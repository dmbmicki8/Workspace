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i\workspace\excel\individual-projects\exercises\"/>
    </mc:Choice>
  </mc:AlternateContent>
  <xr:revisionPtr revIDLastSave="0" documentId="13_ncr:1_{596E6FDD-D894-4FC9-9B18-CEBCC1DE17FE}" xr6:coauthVersionLast="47" xr6:coauthVersionMax="47" xr10:uidLastSave="{00000000-0000-0000-0000-000000000000}"/>
  <bookViews>
    <workbookView xWindow="28680" yWindow="1590" windowWidth="29040" windowHeight="15720" xr2:uid="{00000000-000D-0000-FFFF-FFFF00000000}"/>
  </bookViews>
  <sheets>
    <sheet name="2018_Central_Park_Squirrel_Cen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 a="1"/>
  <c r="AG3" i="1"/>
  <c r="AG4" i="1" a="1"/>
  <c r="AG4" i="1"/>
  <c r="AG5" i="1" a="1"/>
  <c r="AG5" i="1"/>
  <c r="AG6" i="1" a="1"/>
  <c r="AG6" i="1"/>
  <c r="AG7" i="1" a="1"/>
  <c r="AG7" i="1"/>
  <c r="AG8" i="1" a="1"/>
  <c r="AG8" i="1"/>
  <c r="AG9" i="1" a="1"/>
  <c r="AG9" i="1"/>
  <c r="AG10" i="1" a="1"/>
  <c r="AG10" i="1"/>
  <c r="AG11" i="1" a="1"/>
  <c r="AG11" i="1"/>
  <c r="AG12" i="1" a="1"/>
  <c r="AG12" i="1"/>
  <c r="AG13" i="1" a="1"/>
  <c r="AG13" i="1"/>
  <c r="AG14" i="1" a="1"/>
  <c r="AG14" i="1"/>
  <c r="AG15" i="1" a="1"/>
  <c r="AG15" i="1"/>
  <c r="AG16" i="1" a="1"/>
  <c r="AG16" i="1"/>
  <c r="AG17" i="1" a="1"/>
  <c r="AG17" i="1"/>
  <c r="AG18" i="1" a="1"/>
  <c r="AG18" i="1"/>
  <c r="AG19" i="1" a="1"/>
  <c r="AG19" i="1"/>
  <c r="AG20" i="1" a="1"/>
  <c r="AG20" i="1"/>
  <c r="AG21" i="1" a="1"/>
  <c r="AG21" i="1"/>
  <c r="AG22" i="1" a="1"/>
  <c r="AG22" i="1"/>
  <c r="AG23" i="1" a="1"/>
  <c r="AG23" i="1"/>
  <c r="AG24" i="1" a="1"/>
  <c r="AG24" i="1"/>
  <c r="AG25" i="1" a="1"/>
  <c r="AG25" i="1"/>
  <c r="AG26" i="1" a="1"/>
  <c r="AG26" i="1"/>
  <c r="AG27" i="1" a="1"/>
  <c r="AG27" i="1"/>
  <c r="AG28" i="1" a="1"/>
  <c r="AG28" i="1" s="1"/>
  <c r="AG29" i="1" a="1"/>
  <c r="AG29" i="1" s="1"/>
  <c r="AG30" i="1" a="1"/>
  <c r="AG30" i="1" s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8" i="1" a="1"/>
  <c r="AG38" i="1" s="1"/>
  <c r="AG39" i="1" a="1"/>
  <c r="AG39" i="1"/>
  <c r="AG40" i="1" a="1"/>
  <c r="AG40" i="1" s="1"/>
  <c r="AG41" i="1" a="1"/>
  <c r="AG41" i="1" s="1"/>
  <c r="AG42" i="1" a="1"/>
  <c r="AG42" i="1" s="1"/>
  <c r="AG43" i="1" a="1"/>
  <c r="AG43" i="1" s="1"/>
  <c r="AG44" i="1" a="1"/>
  <c r="AG44" i="1" s="1"/>
  <c r="AG45" i="1" a="1"/>
  <c r="AG45" i="1" s="1"/>
  <c r="AG46" i="1" a="1"/>
  <c r="AG46" i="1" s="1"/>
  <c r="AG47" i="1" a="1"/>
  <c r="AG47" i="1" s="1"/>
  <c r="AG48" i="1" a="1"/>
  <c r="AG48" i="1" s="1"/>
  <c r="AG49" i="1" a="1"/>
  <c r="AG49" i="1" s="1"/>
  <c r="AG50" i="1" a="1"/>
  <c r="AG50" i="1" s="1"/>
  <c r="AG51" i="1" a="1"/>
  <c r="AG51" i="1" s="1"/>
  <c r="AG52" i="1" a="1"/>
  <c r="AG52" i="1" s="1"/>
  <c r="AG53" i="1" a="1"/>
  <c r="AG53" i="1" s="1"/>
  <c r="AG54" i="1" a="1"/>
  <c r="AG54" i="1" s="1"/>
  <c r="AG55" i="1" a="1"/>
  <c r="AG55" i="1" s="1"/>
  <c r="AG56" i="1" a="1"/>
  <c r="AG56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4" i="1" a="1"/>
  <c r="AG64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0" i="1" a="1"/>
  <c r="AG70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G77" i="1" a="1"/>
  <c r="AG77" i="1" s="1"/>
  <c r="AG78" i="1" a="1"/>
  <c r="AG78" i="1" s="1"/>
  <c r="AG79" i="1" a="1"/>
  <c r="AG79" i="1" s="1"/>
  <c r="AG80" i="1" a="1"/>
  <c r="AG80" i="1" s="1"/>
  <c r="AG81" i="1" a="1"/>
  <c r="AG81" i="1" s="1"/>
  <c r="AG82" i="1" a="1"/>
  <c r="AG82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0" i="1" a="1"/>
  <c r="AG90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6" i="1" a="1"/>
  <c r="AG96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G102" i="1" a="1"/>
  <c r="AG102" i="1" s="1"/>
  <c r="AG103" i="1" a="1"/>
  <c r="AG103" i="1" s="1"/>
  <c r="AG104" i="1" a="1"/>
  <c r="AG104" i="1" s="1"/>
  <c r="AG105" i="1" a="1"/>
  <c r="AG105" i="1" s="1"/>
  <c r="AG106" i="1" a="1"/>
  <c r="AG106" i="1" s="1"/>
  <c r="AG107" i="1" a="1"/>
  <c r="AG107" i="1" s="1"/>
  <c r="AG108" i="1" a="1"/>
  <c r="AG108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5" i="1" a="1"/>
  <c r="AG115" i="1" s="1"/>
  <c r="AG116" i="1" a="1"/>
  <c r="AG116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G122" i="1" a="1"/>
  <c r="AG122" i="1" s="1"/>
  <c r="AG123" i="1" a="1"/>
  <c r="AG123" i="1" s="1"/>
  <c r="AG124" i="1" a="1"/>
  <c r="AG124" i="1" s="1"/>
  <c r="AG125" i="1" a="1"/>
  <c r="AG125" i="1" s="1"/>
  <c r="AG126" i="1" a="1"/>
  <c r="AG126" i="1" s="1"/>
  <c r="AG127" i="1" a="1"/>
  <c r="AG127" i="1" s="1"/>
  <c r="AG128" i="1" a="1"/>
  <c r="AG128" i="1" s="1"/>
  <c r="AG129" i="1" a="1"/>
  <c r="AG129" i="1" s="1"/>
  <c r="AG130" i="1" a="1"/>
  <c r="AG130" i="1" s="1"/>
  <c r="AG131" i="1" a="1"/>
  <c r="AG131" i="1" s="1"/>
  <c r="AG132" i="1" a="1"/>
  <c r="AG132" i="1" s="1"/>
  <c r="AG133" i="1" a="1"/>
  <c r="AG133" i="1" s="1"/>
  <c r="AG134" i="1" a="1"/>
  <c r="AG134" i="1" s="1"/>
  <c r="AG135" i="1" a="1"/>
  <c r="AG135" i="1" s="1"/>
  <c r="AG136" i="1" a="1"/>
  <c r="AG136" i="1" s="1"/>
  <c r="AG137" i="1" a="1"/>
  <c r="AG137" i="1" s="1"/>
  <c r="AG138" i="1" a="1"/>
  <c r="AG138" i="1" s="1"/>
  <c r="AG139" i="1" a="1"/>
  <c r="AG139" i="1" s="1"/>
  <c r="AG140" i="1" a="1"/>
  <c r="AG140" i="1" s="1"/>
  <c r="AG141" i="1" a="1"/>
  <c r="AG141" i="1" s="1"/>
  <c r="AG142" i="1" a="1"/>
  <c r="AG142" i="1" s="1"/>
  <c r="AG143" i="1" a="1"/>
  <c r="AG143" i="1" s="1"/>
  <c r="AG144" i="1" a="1"/>
  <c r="AG144" i="1" s="1"/>
  <c r="AG145" i="1" a="1"/>
  <c r="AG145" i="1" s="1"/>
  <c r="AG146" i="1" a="1"/>
  <c r="AG146" i="1" s="1"/>
  <c r="AG147" i="1" a="1"/>
  <c r="AG147" i="1" s="1"/>
  <c r="AG148" i="1" a="1"/>
  <c r="AG148" i="1" s="1"/>
  <c r="AG149" i="1" a="1"/>
  <c r="AG149" i="1" s="1"/>
  <c r="AG150" i="1" a="1"/>
  <c r="AG150" i="1" s="1"/>
  <c r="AG151" i="1" a="1"/>
  <c r="AG151" i="1" s="1"/>
  <c r="AG152" i="1" a="1"/>
  <c r="AG152" i="1" s="1"/>
  <c r="AG153" i="1" a="1"/>
  <c r="AG153" i="1" s="1"/>
  <c r="AG154" i="1" a="1"/>
  <c r="AG154" i="1" s="1"/>
  <c r="AG155" i="1" a="1"/>
  <c r="AG155" i="1" s="1"/>
  <c r="AG156" i="1" a="1"/>
  <c r="AG156" i="1" s="1"/>
  <c r="AG157" i="1" a="1"/>
  <c r="AG157" i="1" s="1"/>
  <c r="AG158" i="1" a="1"/>
  <c r="AG158" i="1" s="1"/>
  <c r="AG159" i="1" a="1"/>
  <c r="AG159" i="1" s="1"/>
  <c r="AG160" i="1" a="1"/>
  <c r="AG160" i="1" s="1"/>
  <c r="AG161" i="1" a="1"/>
  <c r="AG161" i="1" s="1"/>
  <c r="AG162" i="1" a="1"/>
  <c r="AG162" i="1" s="1"/>
  <c r="AG163" i="1" a="1"/>
  <c r="AG163" i="1" s="1"/>
  <c r="AG164" i="1" a="1"/>
  <c r="AG164" i="1" s="1"/>
  <c r="AG165" i="1" a="1"/>
  <c r="AG165" i="1" s="1"/>
  <c r="AG166" i="1" a="1"/>
  <c r="AG166" i="1" s="1"/>
  <c r="AG167" i="1" a="1"/>
  <c r="AG167" i="1" s="1"/>
  <c r="AG168" i="1" a="1"/>
  <c r="AG168" i="1" s="1"/>
  <c r="AG169" i="1" a="1"/>
  <c r="AG169" i="1" s="1"/>
  <c r="AG170" i="1" a="1"/>
  <c r="AG170" i="1" s="1"/>
  <c r="AG171" i="1" a="1"/>
  <c r="AG171" i="1" s="1"/>
  <c r="AG172" i="1" a="1"/>
  <c r="AG172" i="1" s="1"/>
  <c r="AG173" i="1" a="1"/>
  <c r="AG173" i="1" s="1"/>
  <c r="AG174" i="1" a="1"/>
  <c r="AG174" i="1" s="1"/>
  <c r="AG175" i="1" a="1"/>
  <c r="AG175" i="1" s="1"/>
  <c r="AG176" i="1" a="1"/>
  <c r="AG176" i="1" s="1"/>
  <c r="AG177" i="1" a="1"/>
  <c r="AG177" i="1" s="1"/>
  <c r="AG178" i="1" a="1"/>
  <c r="AG178" i="1" s="1"/>
  <c r="AG179" i="1" a="1"/>
  <c r="AG179" i="1" s="1"/>
  <c r="AG180" i="1" a="1"/>
  <c r="AG180" i="1" s="1"/>
  <c r="AG181" i="1" a="1"/>
  <c r="AG181" i="1" s="1"/>
  <c r="AG182" i="1" a="1"/>
  <c r="AG182" i="1" s="1"/>
  <c r="AG183" i="1" a="1"/>
  <c r="AG183" i="1" s="1"/>
  <c r="AG184" i="1" a="1"/>
  <c r="AG184" i="1" s="1"/>
  <c r="AG185" i="1" a="1"/>
  <c r="AG185" i="1" s="1"/>
  <c r="AG186" i="1" a="1"/>
  <c r="AG186" i="1" s="1"/>
  <c r="AG187" i="1" a="1"/>
  <c r="AG187" i="1" s="1"/>
  <c r="AG188" i="1" a="1"/>
  <c r="AG188" i="1" s="1"/>
  <c r="AG189" i="1" a="1"/>
  <c r="AG189" i="1" s="1"/>
  <c r="AG190" i="1" a="1"/>
  <c r="AG190" i="1" s="1"/>
  <c r="AG191" i="1" a="1"/>
  <c r="AG191" i="1" s="1"/>
  <c r="AG192" i="1" a="1"/>
  <c r="AG192" i="1" s="1"/>
  <c r="AG193" i="1" a="1"/>
  <c r="AG193" i="1" s="1"/>
  <c r="AG194" i="1" a="1"/>
  <c r="AG194" i="1" s="1"/>
  <c r="AG195" i="1" a="1"/>
  <c r="AG195" i="1" s="1"/>
  <c r="AG196" i="1" a="1"/>
  <c r="AG196" i="1" s="1"/>
  <c r="AG197" i="1" a="1"/>
  <c r="AG197" i="1" s="1"/>
  <c r="AG198" i="1" a="1"/>
  <c r="AG198" i="1" s="1"/>
  <c r="AG199" i="1" a="1"/>
  <c r="AG199" i="1" s="1"/>
  <c r="AG200" i="1" a="1"/>
  <c r="AG200" i="1" s="1"/>
  <c r="AG201" i="1" a="1"/>
  <c r="AG201" i="1" s="1"/>
  <c r="AG202" i="1" a="1"/>
  <c r="AG202" i="1" s="1"/>
  <c r="AG203" i="1" a="1"/>
  <c r="AG203" i="1" s="1"/>
  <c r="AG204" i="1" a="1"/>
  <c r="AG204" i="1" s="1"/>
  <c r="AG205" i="1" a="1"/>
  <c r="AG205" i="1" s="1"/>
  <c r="AG206" i="1" a="1"/>
  <c r="AG206" i="1" s="1"/>
  <c r="AG207" i="1" a="1"/>
  <c r="AG207" i="1" s="1"/>
  <c r="AG208" i="1" a="1"/>
  <c r="AG208" i="1" s="1"/>
  <c r="AG209" i="1" a="1"/>
  <c r="AG209" i="1" s="1"/>
  <c r="AG210" i="1" a="1"/>
  <c r="AG210" i="1" s="1"/>
  <c r="AG211" i="1" a="1"/>
  <c r="AG211" i="1" s="1"/>
  <c r="AG212" i="1" a="1"/>
  <c r="AG212" i="1" s="1"/>
  <c r="AG213" i="1" a="1"/>
  <c r="AG213" i="1" s="1"/>
  <c r="AG214" i="1" a="1"/>
  <c r="AG214" i="1" s="1"/>
  <c r="AG215" i="1" a="1"/>
  <c r="AG215" i="1" s="1"/>
  <c r="AG216" i="1" a="1"/>
  <c r="AG216" i="1" s="1"/>
  <c r="AG217" i="1" a="1"/>
  <c r="AG217" i="1" s="1"/>
  <c r="AG218" i="1" a="1"/>
  <c r="AG218" i="1" s="1"/>
  <c r="AG219" i="1" a="1"/>
  <c r="AG219" i="1" s="1"/>
  <c r="AG220" i="1" a="1"/>
  <c r="AG220" i="1" s="1"/>
  <c r="AG221" i="1" a="1"/>
  <c r="AG221" i="1" s="1"/>
  <c r="AG222" i="1" a="1"/>
  <c r="AG222" i="1" s="1"/>
  <c r="AG223" i="1" a="1"/>
  <c r="AG223" i="1" s="1"/>
  <c r="AG224" i="1" a="1"/>
  <c r="AG224" i="1" s="1"/>
  <c r="AG225" i="1" a="1"/>
  <c r="AG225" i="1" s="1"/>
  <c r="AG226" i="1" a="1"/>
  <c r="AG226" i="1" s="1"/>
  <c r="AG227" i="1" a="1"/>
  <c r="AG227" i="1" s="1"/>
  <c r="AG228" i="1" a="1"/>
  <c r="AG228" i="1" s="1"/>
  <c r="AG229" i="1" a="1"/>
  <c r="AG229" i="1" s="1"/>
  <c r="AG230" i="1" a="1"/>
  <c r="AG230" i="1" s="1"/>
  <c r="AG231" i="1" a="1"/>
  <c r="AG231" i="1" s="1"/>
  <c r="AG232" i="1" a="1"/>
  <c r="AG232" i="1" s="1"/>
  <c r="AG233" i="1" a="1"/>
  <c r="AG233" i="1" s="1"/>
  <c r="AG234" i="1" a="1"/>
  <c r="AG234" i="1" s="1"/>
  <c r="AG235" i="1" a="1"/>
  <c r="AG235" i="1" s="1"/>
  <c r="AG236" i="1" a="1"/>
  <c r="AG236" i="1" s="1"/>
  <c r="AG237" i="1" a="1"/>
  <c r="AG237" i="1" s="1"/>
  <c r="AG238" i="1" a="1"/>
  <c r="AG238" i="1" s="1"/>
  <c r="AG239" i="1" a="1"/>
  <c r="AG239" i="1" s="1"/>
  <c r="AG240" i="1" a="1"/>
  <c r="AG240" i="1" s="1"/>
  <c r="AG241" i="1" a="1"/>
  <c r="AG241" i="1" s="1"/>
  <c r="AG242" i="1" a="1"/>
  <c r="AG242" i="1" s="1"/>
  <c r="AG243" i="1" a="1"/>
  <c r="AG243" i="1" s="1"/>
  <c r="AG244" i="1" a="1"/>
  <c r="AG244" i="1" s="1"/>
  <c r="AG245" i="1" a="1"/>
  <c r="AG245" i="1" s="1"/>
  <c r="AG246" i="1" a="1"/>
  <c r="AG246" i="1" s="1"/>
  <c r="AG247" i="1" a="1"/>
  <c r="AG247" i="1" s="1"/>
  <c r="AG248" i="1" a="1"/>
  <c r="AG248" i="1" s="1"/>
  <c r="AG249" i="1" a="1"/>
  <c r="AG249" i="1" s="1"/>
  <c r="AG250" i="1" a="1"/>
  <c r="AG250" i="1" s="1"/>
  <c r="AG251" i="1" a="1"/>
  <c r="AG251" i="1" s="1"/>
  <c r="AG252" i="1" a="1"/>
  <c r="AG252" i="1" s="1"/>
  <c r="AG253" i="1" a="1"/>
  <c r="AG253" i="1" s="1"/>
  <c r="AG254" i="1" a="1"/>
  <c r="AG254" i="1" s="1"/>
  <c r="AG255" i="1" a="1"/>
  <c r="AG255" i="1" s="1"/>
  <c r="AG256" i="1" a="1"/>
  <c r="AG256" i="1" s="1"/>
  <c r="AG257" i="1" a="1"/>
  <c r="AG257" i="1" s="1"/>
  <c r="AG258" i="1" a="1"/>
  <c r="AG258" i="1" s="1"/>
  <c r="AG259" i="1" a="1"/>
  <c r="AG259" i="1" s="1"/>
  <c r="AG260" i="1" a="1"/>
  <c r="AG260" i="1" s="1"/>
  <c r="AG261" i="1" a="1"/>
  <c r="AG261" i="1" s="1"/>
  <c r="AG262" i="1" a="1"/>
  <c r="AG262" i="1" s="1"/>
  <c r="AG263" i="1" a="1"/>
  <c r="AG263" i="1" s="1"/>
  <c r="AG264" i="1" a="1"/>
  <c r="AG264" i="1" s="1"/>
  <c r="AG265" i="1" a="1"/>
  <c r="AG265" i="1" s="1"/>
  <c r="AG266" i="1" a="1"/>
  <c r="AG266" i="1" s="1"/>
  <c r="AG267" i="1" a="1"/>
  <c r="AG267" i="1" s="1"/>
  <c r="AG268" i="1" a="1"/>
  <c r="AG268" i="1" s="1"/>
  <c r="AG269" i="1" a="1"/>
  <c r="AG269" i="1" s="1"/>
  <c r="AG270" i="1" a="1"/>
  <c r="AG270" i="1" s="1"/>
  <c r="AG271" i="1" a="1"/>
  <c r="AG271" i="1" s="1"/>
  <c r="AG272" i="1" a="1"/>
  <c r="AG272" i="1" s="1"/>
  <c r="AG273" i="1" a="1"/>
  <c r="AG273" i="1" s="1"/>
  <c r="AG274" i="1" a="1"/>
  <c r="AG274" i="1" s="1"/>
  <c r="AG275" i="1" a="1"/>
  <c r="AG275" i="1" s="1"/>
  <c r="AG276" i="1" a="1"/>
  <c r="AG276" i="1" s="1"/>
  <c r="AG277" i="1" a="1"/>
  <c r="AG277" i="1" s="1"/>
  <c r="AG278" i="1" a="1"/>
  <c r="AG278" i="1" s="1"/>
  <c r="AG279" i="1" a="1"/>
  <c r="AG279" i="1" s="1"/>
  <c r="AG280" i="1" a="1"/>
  <c r="AG280" i="1" s="1"/>
  <c r="AG281" i="1" a="1"/>
  <c r="AG281" i="1" s="1"/>
  <c r="AG282" i="1" a="1"/>
  <c r="AG282" i="1" s="1"/>
  <c r="AG283" i="1" a="1"/>
  <c r="AG283" i="1" s="1"/>
  <c r="AG284" i="1" a="1"/>
  <c r="AG284" i="1" s="1"/>
  <c r="AG285" i="1" a="1"/>
  <c r="AG285" i="1" s="1"/>
  <c r="AG286" i="1" a="1"/>
  <c r="AG286" i="1" s="1"/>
  <c r="AG287" i="1" a="1"/>
  <c r="AG287" i="1" s="1"/>
  <c r="AG288" i="1" a="1"/>
  <c r="AG288" i="1" s="1"/>
  <c r="AG289" i="1" a="1"/>
  <c r="AG289" i="1" s="1"/>
  <c r="AG290" i="1" a="1"/>
  <c r="AG290" i="1" s="1"/>
  <c r="AG291" i="1" a="1"/>
  <c r="AG291" i="1" s="1"/>
  <c r="AG292" i="1" a="1"/>
  <c r="AG292" i="1" s="1"/>
  <c r="AG293" i="1" a="1"/>
  <c r="AG293" i="1" s="1"/>
  <c r="AG294" i="1" a="1"/>
  <c r="AG294" i="1" s="1"/>
  <c r="AG295" i="1" a="1"/>
  <c r="AG295" i="1" s="1"/>
  <c r="AG296" i="1" a="1"/>
  <c r="AG296" i="1" s="1"/>
  <c r="AG297" i="1" a="1"/>
  <c r="AG297" i="1" s="1"/>
  <c r="AG298" i="1" a="1"/>
  <c r="AG298" i="1" s="1"/>
  <c r="AG299" i="1" a="1"/>
  <c r="AG299" i="1" s="1"/>
  <c r="AG300" i="1" a="1"/>
  <c r="AG300" i="1" s="1"/>
  <c r="AG301" i="1" a="1"/>
  <c r="AG301" i="1" s="1"/>
  <c r="AG302" i="1" a="1"/>
  <c r="AG302" i="1" s="1"/>
  <c r="AG303" i="1" a="1"/>
  <c r="AG303" i="1" s="1"/>
  <c r="AG304" i="1" a="1"/>
  <c r="AG304" i="1" s="1"/>
  <c r="AG305" i="1" a="1"/>
  <c r="AG305" i="1" s="1"/>
  <c r="AG306" i="1" a="1"/>
  <c r="AG306" i="1" s="1"/>
  <c r="AG307" i="1" a="1"/>
  <c r="AG307" i="1" s="1"/>
  <c r="AG308" i="1" a="1"/>
  <c r="AG308" i="1" s="1"/>
  <c r="AG309" i="1" a="1"/>
  <c r="AG309" i="1" s="1"/>
  <c r="AG310" i="1" a="1"/>
  <c r="AG310" i="1" s="1"/>
  <c r="AG311" i="1" a="1"/>
  <c r="AG311" i="1" s="1"/>
  <c r="AG312" i="1" a="1"/>
  <c r="AG312" i="1" s="1"/>
  <c r="AG313" i="1" a="1"/>
  <c r="AG313" i="1" s="1"/>
  <c r="AG314" i="1" a="1"/>
  <c r="AG314" i="1" s="1"/>
  <c r="AG315" i="1" a="1"/>
  <c r="AG315" i="1" s="1"/>
  <c r="AG316" i="1" a="1"/>
  <c r="AG316" i="1" s="1"/>
  <c r="AG317" i="1" a="1"/>
  <c r="AG317" i="1" s="1"/>
  <c r="AG318" i="1" a="1"/>
  <c r="AG318" i="1" s="1"/>
  <c r="AG319" i="1" a="1"/>
  <c r="AG319" i="1" s="1"/>
  <c r="AG320" i="1" a="1"/>
  <c r="AG320" i="1" s="1"/>
  <c r="AG321" i="1" a="1"/>
  <c r="AG321" i="1" s="1"/>
  <c r="AG322" i="1" a="1"/>
  <c r="AG322" i="1" s="1"/>
  <c r="AG323" i="1" a="1"/>
  <c r="AG323" i="1" s="1"/>
  <c r="AG324" i="1" a="1"/>
  <c r="AG324" i="1" s="1"/>
  <c r="AG325" i="1" a="1"/>
  <c r="AG325" i="1" s="1"/>
  <c r="AG326" i="1" a="1"/>
  <c r="AG326" i="1" s="1"/>
  <c r="AG327" i="1" a="1"/>
  <c r="AG327" i="1" s="1"/>
  <c r="AG328" i="1" a="1"/>
  <c r="AG328" i="1" s="1"/>
  <c r="AG329" i="1" a="1"/>
  <c r="AG329" i="1" s="1"/>
  <c r="AG330" i="1" a="1"/>
  <c r="AG330" i="1" s="1"/>
  <c r="AG331" i="1" a="1"/>
  <c r="AG331" i="1" s="1"/>
  <c r="AG332" i="1" a="1"/>
  <c r="AG332" i="1" s="1"/>
  <c r="AG333" i="1" a="1"/>
  <c r="AG333" i="1" s="1"/>
  <c r="AG334" i="1" a="1"/>
  <c r="AG334" i="1" s="1"/>
  <c r="AG335" i="1" a="1"/>
  <c r="AG335" i="1" s="1"/>
  <c r="AG336" i="1" a="1"/>
  <c r="AG336" i="1" s="1"/>
  <c r="AG337" i="1" a="1"/>
  <c r="AG337" i="1" s="1"/>
  <c r="AG338" i="1" a="1"/>
  <c r="AG338" i="1" s="1"/>
  <c r="AG339" i="1" a="1"/>
  <c r="AG339" i="1" s="1"/>
  <c r="AG340" i="1" a="1"/>
  <c r="AG340" i="1" s="1"/>
  <c r="AG341" i="1" a="1"/>
  <c r="AG341" i="1" s="1"/>
  <c r="AG342" i="1" a="1"/>
  <c r="AG342" i="1" s="1"/>
  <c r="AG343" i="1" a="1"/>
  <c r="AG343" i="1" s="1"/>
  <c r="AG344" i="1" a="1"/>
  <c r="AG344" i="1" s="1"/>
  <c r="AG345" i="1" a="1"/>
  <c r="AG345" i="1" s="1"/>
  <c r="AG346" i="1" a="1"/>
  <c r="AG346" i="1" s="1"/>
  <c r="AG347" i="1" a="1"/>
  <c r="AG347" i="1" s="1"/>
  <c r="AG348" i="1" a="1"/>
  <c r="AG348" i="1" s="1"/>
  <c r="AG349" i="1" a="1"/>
  <c r="AG349" i="1" s="1"/>
  <c r="AG350" i="1" a="1"/>
  <c r="AG350" i="1" s="1"/>
  <c r="AG351" i="1" a="1"/>
  <c r="AG351" i="1" s="1"/>
  <c r="AG352" i="1" a="1"/>
  <c r="AG352" i="1" s="1"/>
  <c r="AG353" i="1" a="1"/>
  <c r="AG353" i="1" s="1"/>
  <c r="AG354" i="1" a="1"/>
  <c r="AG354" i="1" s="1"/>
  <c r="AG355" i="1" a="1"/>
  <c r="AG355" i="1" s="1"/>
  <c r="AG356" i="1" a="1"/>
  <c r="AG356" i="1" s="1"/>
  <c r="AG357" i="1" a="1"/>
  <c r="AG357" i="1" s="1"/>
  <c r="AG358" i="1" a="1"/>
  <c r="AG358" i="1" s="1"/>
  <c r="AG359" i="1" a="1"/>
  <c r="AG359" i="1" s="1"/>
  <c r="AG360" i="1" a="1"/>
  <c r="AG360" i="1" s="1"/>
  <c r="AG361" i="1" a="1"/>
  <c r="AG361" i="1" s="1"/>
  <c r="AG362" i="1" a="1"/>
  <c r="AG362" i="1" s="1"/>
  <c r="AG363" i="1" a="1"/>
  <c r="AG363" i="1" s="1"/>
  <c r="AG364" i="1" a="1"/>
  <c r="AG364" i="1" s="1"/>
  <c r="AG365" i="1" a="1"/>
  <c r="AG365" i="1" s="1"/>
  <c r="AG366" i="1" a="1"/>
  <c r="AG366" i="1" s="1"/>
  <c r="AG367" i="1" a="1"/>
  <c r="AG367" i="1" s="1"/>
  <c r="AG368" i="1" a="1"/>
  <c r="AG368" i="1" s="1"/>
  <c r="AG369" i="1" a="1"/>
  <c r="AG369" i="1" s="1"/>
  <c r="AG370" i="1" a="1"/>
  <c r="AG370" i="1" s="1"/>
  <c r="AG371" i="1" a="1"/>
  <c r="AG371" i="1" s="1"/>
  <c r="AG372" i="1" a="1"/>
  <c r="AG372" i="1" s="1"/>
  <c r="AG373" i="1" a="1"/>
  <c r="AG373" i="1" s="1"/>
  <c r="AG374" i="1" a="1"/>
  <c r="AG374" i="1" s="1"/>
  <c r="AG375" i="1" a="1"/>
  <c r="AG375" i="1" s="1"/>
  <c r="AG376" i="1" a="1"/>
  <c r="AG376" i="1" s="1"/>
  <c r="AG377" i="1" a="1"/>
  <c r="AG377" i="1" s="1"/>
  <c r="AG378" i="1" a="1"/>
  <c r="AG378" i="1" s="1"/>
  <c r="AG379" i="1" a="1"/>
  <c r="AG379" i="1" s="1"/>
  <c r="AG380" i="1" a="1"/>
  <c r="AG380" i="1" s="1"/>
  <c r="AG381" i="1" a="1"/>
  <c r="AG381" i="1" s="1"/>
  <c r="AG382" i="1" a="1"/>
  <c r="AG382" i="1" s="1"/>
  <c r="AG383" i="1" a="1"/>
  <c r="AG383" i="1" s="1"/>
  <c r="AG384" i="1" a="1"/>
  <c r="AG384" i="1" s="1"/>
  <c r="AG385" i="1" a="1"/>
  <c r="AG385" i="1" s="1"/>
  <c r="AG386" i="1" a="1"/>
  <c r="AG386" i="1" s="1"/>
  <c r="AG387" i="1" a="1"/>
  <c r="AG387" i="1" s="1"/>
  <c r="AG388" i="1" a="1"/>
  <c r="AG388" i="1" s="1"/>
  <c r="AG389" i="1" a="1"/>
  <c r="AG389" i="1" s="1"/>
  <c r="AG390" i="1" a="1"/>
  <c r="AG390" i="1" s="1"/>
  <c r="AG391" i="1" a="1"/>
  <c r="AG391" i="1" s="1"/>
  <c r="AG392" i="1" a="1"/>
  <c r="AG392" i="1" s="1"/>
  <c r="AG393" i="1" a="1"/>
  <c r="AG393" i="1" s="1"/>
  <c r="AG394" i="1" a="1"/>
  <c r="AG394" i="1" s="1"/>
  <c r="AG395" i="1" a="1"/>
  <c r="AG395" i="1" s="1"/>
  <c r="AG396" i="1" a="1"/>
  <c r="AG396" i="1" s="1"/>
  <c r="AG397" i="1" a="1"/>
  <c r="AG397" i="1" s="1"/>
  <c r="AG398" i="1" a="1"/>
  <c r="AG398" i="1" s="1"/>
  <c r="AG399" i="1" a="1"/>
  <c r="AG399" i="1" s="1"/>
  <c r="AG400" i="1" a="1"/>
  <c r="AG400" i="1" s="1"/>
  <c r="AG401" i="1" a="1"/>
  <c r="AG401" i="1" s="1"/>
  <c r="AG402" i="1" a="1"/>
  <c r="AG402" i="1" s="1"/>
  <c r="AG403" i="1" a="1"/>
  <c r="AG403" i="1" s="1"/>
  <c r="AG404" i="1" a="1"/>
  <c r="AG404" i="1" s="1"/>
  <c r="AG405" i="1" a="1"/>
  <c r="AG405" i="1" s="1"/>
  <c r="AG406" i="1" a="1"/>
  <c r="AG406" i="1" s="1"/>
  <c r="AG407" i="1" a="1"/>
  <c r="AG407" i="1" s="1"/>
  <c r="AG408" i="1" a="1"/>
  <c r="AG408" i="1" s="1"/>
  <c r="AG409" i="1" a="1"/>
  <c r="AG409" i="1" s="1"/>
  <c r="AG410" i="1" a="1"/>
  <c r="AG410" i="1" s="1"/>
  <c r="AG411" i="1" a="1"/>
  <c r="AG411" i="1" s="1"/>
  <c r="AG412" i="1" a="1"/>
  <c r="AG412" i="1" s="1"/>
  <c r="AG413" i="1" a="1"/>
  <c r="AG413" i="1" s="1"/>
  <c r="AG414" i="1" a="1"/>
  <c r="AG414" i="1" s="1"/>
  <c r="AG415" i="1" a="1"/>
  <c r="AG415" i="1" s="1"/>
  <c r="AG416" i="1" a="1"/>
  <c r="AG416" i="1" s="1"/>
  <c r="AG417" i="1" a="1"/>
  <c r="AG417" i="1" s="1"/>
  <c r="AG418" i="1" a="1"/>
  <c r="AG418" i="1" s="1"/>
  <c r="AG419" i="1" a="1"/>
  <c r="AG419" i="1" s="1"/>
  <c r="AG420" i="1" a="1"/>
  <c r="AG420" i="1" s="1"/>
  <c r="AG421" i="1" a="1"/>
  <c r="AG421" i="1" s="1"/>
  <c r="AG422" i="1" a="1"/>
  <c r="AG422" i="1" s="1"/>
  <c r="AG423" i="1" a="1"/>
  <c r="AG423" i="1" s="1"/>
  <c r="AG424" i="1" a="1"/>
  <c r="AG424" i="1" s="1"/>
  <c r="AG425" i="1" a="1"/>
  <c r="AG425" i="1" s="1"/>
  <c r="AG426" i="1" a="1"/>
  <c r="AG426" i="1" s="1"/>
  <c r="AG427" i="1" a="1"/>
  <c r="AG427" i="1" s="1"/>
  <c r="AG428" i="1" a="1"/>
  <c r="AG428" i="1" s="1"/>
  <c r="AG429" i="1" a="1"/>
  <c r="AG429" i="1" s="1"/>
  <c r="AG430" i="1" a="1"/>
  <c r="AG430" i="1" s="1"/>
  <c r="AG431" i="1" a="1"/>
  <c r="AG431" i="1" s="1"/>
  <c r="AG432" i="1" a="1"/>
  <c r="AG432" i="1" s="1"/>
  <c r="AG433" i="1" a="1"/>
  <c r="AG433" i="1" s="1"/>
  <c r="AG434" i="1" a="1"/>
  <c r="AG434" i="1" s="1"/>
  <c r="AG435" i="1" a="1"/>
  <c r="AG435" i="1" s="1"/>
  <c r="AG436" i="1" a="1"/>
  <c r="AG436" i="1" s="1"/>
  <c r="AG437" i="1" a="1"/>
  <c r="AG437" i="1" s="1"/>
  <c r="AG438" i="1" a="1"/>
  <c r="AG438" i="1" s="1"/>
  <c r="AG439" i="1" a="1"/>
  <c r="AG439" i="1" s="1"/>
  <c r="AG440" i="1" a="1"/>
  <c r="AG440" i="1" s="1"/>
  <c r="AG441" i="1" a="1"/>
  <c r="AG441" i="1" s="1"/>
  <c r="AG442" i="1" a="1"/>
  <c r="AG442" i="1" s="1"/>
  <c r="AG443" i="1" a="1"/>
  <c r="AG443" i="1" s="1"/>
  <c r="AG444" i="1" a="1"/>
  <c r="AG444" i="1" s="1"/>
  <c r="AG445" i="1" a="1"/>
  <c r="AG445" i="1" s="1"/>
  <c r="AG446" i="1" a="1"/>
  <c r="AG446" i="1" s="1"/>
  <c r="AG447" i="1" a="1"/>
  <c r="AG447" i="1" s="1"/>
  <c r="AG448" i="1" a="1"/>
  <c r="AG448" i="1" s="1"/>
  <c r="AG449" i="1" a="1"/>
  <c r="AG449" i="1" s="1"/>
  <c r="AG450" i="1" a="1"/>
  <c r="AG450" i="1" s="1"/>
  <c r="AG451" i="1" a="1"/>
  <c r="AG451" i="1" s="1"/>
  <c r="AG452" i="1" a="1"/>
  <c r="AG452" i="1" s="1"/>
  <c r="AG453" i="1" a="1"/>
  <c r="AG453" i="1" s="1"/>
  <c r="AG454" i="1" a="1"/>
  <c r="AG454" i="1" s="1"/>
  <c r="AG455" i="1" a="1"/>
  <c r="AG455" i="1" s="1"/>
  <c r="AG456" i="1" a="1"/>
  <c r="AG456" i="1" s="1"/>
  <c r="AG457" i="1" a="1"/>
  <c r="AG457" i="1" s="1"/>
  <c r="AG458" i="1" a="1"/>
  <c r="AG458" i="1" s="1"/>
  <c r="AG459" i="1" a="1"/>
  <c r="AG459" i="1" s="1"/>
  <c r="AG460" i="1" a="1"/>
  <c r="AG460" i="1" s="1"/>
  <c r="AG461" i="1" a="1"/>
  <c r="AG461" i="1" s="1"/>
  <c r="AG462" i="1" a="1"/>
  <c r="AG462" i="1" s="1"/>
  <c r="AG463" i="1" a="1"/>
  <c r="AG463" i="1" s="1"/>
  <c r="AG464" i="1" a="1"/>
  <c r="AG464" i="1" s="1"/>
  <c r="AG465" i="1" a="1"/>
  <c r="AG465" i="1" s="1"/>
  <c r="AG466" i="1" a="1"/>
  <c r="AG466" i="1" s="1"/>
  <c r="AG467" i="1" a="1"/>
  <c r="AG467" i="1" s="1"/>
  <c r="AG468" i="1" a="1"/>
  <c r="AG468" i="1" s="1"/>
  <c r="AG469" i="1" a="1"/>
  <c r="AG469" i="1" s="1"/>
  <c r="AG470" i="1" a="1"/>
  <c r="AG470" i="1" s="1"/>
  <c r="AG471" i="1" a="1"/>
  <c r="AG471" i="1" s="1"/>
  <c r="AG472" i="1" a="1"/>
  <c r="AG472" i="1" s="1"/>
  <c r="AG473" i="1" a="1"/>
  <c r="AG473" i="1" s="1"/>
  <c r="AG474" i="1" a="1"/>
  <c r="AG474" i="1" s="1"/>
  <c r="AG475" i="1" a="1"/>
  <c r="AG475" i="1"/>
  <c r="AG476" i="1" a="1"/>
  <c r="AG476" i="1"/>
  <c r="AG477" i="1" a="1"/>
  <c r="AG477" i="1"/>
  <c r="AG478" i="1" a="1"/>
  <c r="AG478" i="1"/>
  <c r="AG479" i="1" a="1"/>
  <c r="AG479" i="1"/>
  <c r="AG480" i="1" a="1"/>
  <c r="AG480" i="1"/>
  <c r="AG481" i="1" a="1"/>
  <c r="AG481" i="1"/>
  <c r="AG482" i="1" a="1"/>
  <c r="AG482" i="1"/>
  <c r="AG483" i="1" a="1"/>
  <c r="AG483" i="1"/>
  <c r="AG484" i="1" a="1"/>
  <c r="AG484" i="1"/>
  <c r="AG485" i="1" a="1"/>
  <c r="AG485" i="1"/>
  <c r="AG486" i="1" a="1"/>
  <c r="AG486" i="1"/>
  <c r="AG487" i="1" a="1"/>
  <c r="AG487" i="1"/>
  <c r="AG488" i="1" a="1"/>
  <c r="AG488" i="1"/>
  <c r="AG489" i="1" a="1"/>
  <c r="AG489" i="1"/>
  <c r="AG490" i="1" a="1"/>
  <c r="AG490" i="1"/>
  <c r="AG491" i="1" a="1"/>
  <c r="AG491" i="1"/>
  <c r="AG492" i="1" a="1"/>
  <c r="AG492" i="1"/>
  <c r="AG493" i="1" a="1"/>
  <c r="AG493" i="1"/>
  <c r="AG494" i="1" a="1"/>
  <c r="AG494" i="1"/>
  <c r="AG495" i="1" a="1"/>
  <c r="AG495" i="1"/>
  <c r="AG496" i="1" a="1"/>
  <c r="AG496" i="1"/>
  <c r="AG497" i="1" a="1"/>
  <c r="AG497" i="1"/>
  <c r="AG498" i="1" a="1"/>
  <c r="AG498" i="1"/>
  <c r="AG499" i="1" a="1"/>
  <c r="AG499" i="1"/>
  <c r="AG500" i="1" a="1"/>
  <c r="AG500" i="1"/>
  <c r="AG501" i="1" a="1"/>
  <c r="AG501" i="1"/>
  <c r="AG502" i="1" a="1"/>
  <c r="AG502" i="1"/>
  <c r="AG503" i="1" a="1"/>
  <c r="AG503" i="1"/>
  <c r="AG504" i="1" a="1"/>
  <c r="AG504" i="1"/>
  <c r="AG505" i="1" a="1"/>
  <c r="AG505" i="1"/>
  <c r="AG506" i="1" a="1"/>
  <c r="AG506" i="1"/>
  <c r="AG507" i="1" a="1"/>
  <c r="AG507" i="1"/>
  <c r="AG508" i="1" a="1"/>
  <c r="AG508" i="1"/>
  <c r="AG509" i="1" a="1"/>
  <c r="AG509" i="1"/>
  <c r="AG510" i="1" a="1"/>
  <c r="AG510" i="1"/>
  <c r="AG511" i="1" a="1"/>
  <c r="AG511" i="1"/>
  <c r="AG512" i="1" a="1"/>
  <c r="AG512" i="1"/>
  <c r="AG513" i="1" a="1"/>
  <c r="AG513" i="1"/>
  <c r="AG514" i="1" a="1"/>
  <c r="AG514" i="1"/>
  <c r="AG515" i="1" a="1"/>
  <c r="AG515" i="1"/>
  <c r="AG516" i="1" a="1"/>
  <c r="AG516" i="1"/>
  <c r="AG517" i="1" a="1"/>
  <c r="AG517" i="1"/>
  <c r="AG518" i="1" a="1"/>
  <c r="AG518" i="1"/>
  <c r="AG519" i="1" a="1"/>
  <c r="AG519" i="1"/>
  <c r="AG520" i="1" a="1"/>
  <c r="AG520" i="1"/>
  <c r="AG521" i="1" a="1"/>
  <c r="AG521" i="1"/>
  <c r="AG522" i="1" a="1"/>
  <c r="AG522" i="1"/>
  <c r="AG523" i="1" a="1"/>
  <c r="AG523" i="1"/>
  <c r="AG524" i="1" a="1"/>
  <c r="AG524" i="1"/>
  <c r="AG525" i="1" a="1"/>
  <c r="AG525" i="1"/>
  <c r="AG526" i="1" a="1"/>
  <c r="AG526" i="1"/>
  <c r="AG527" i="1" a="1"/>
  <c r="AG527" i="1"/>
  <c r="AG528" i="1" a="1"/>
  <c r="AG528" i="1"/>
  <c r="AG529" i="1" a="1"/>
  <c r="AG529" i="1"/>
  <c r="AG530" i="1" a="1"/>
  <c r="AG530" i="1"/>
  <c r="AG531" i="1" a="1"/>
  <c r="AG531" i="1"/>
  <c r="AG532" i="1" a="1"/>
  <c r="AG532" i="1"/>
  <c r="AG533" i="1" a="1"/>
  <c r="AG533" i="1"/>
  <c r="AG534" i="1" a="1"/>
  <c r="AG534" i="1"/>
  <c r="AG535" i="1" a="1"/>
  <c r="AG535" i="1"/>
  <c r="AG536" i="1" a="1"/>
  <c r="AG536" i="1"/>
  <c r="AG537" i="1" a="1"/>
  <c r="AG537" i="1"/>
  <c r="AG538" i="1" a="1"/>
  <c r="AG538" i="1"/>
  <c r="AG539" i="1" a="1"/>
  <c r="AG539" i="1"/>
  <c r="AG540" i="1" a="1"/>
  <c r="AG540" i="1"/>
  <c r="AG541" i="1" a="1"/>
  <c r="AG541" i="1"/>
  <c r="AG542" i="1" a="1"/>
  <c r="AG542" i="1"/>
  <c r="AG543" i="1" a="1"/>
  <c r="AG543" i="1"/>
  <c r="AG544" i="1" a="1"/>
  <c r="AG544" i="1"/>
  <c r="AG545" i="1" a="1"/>
  <c r="AG545" i="1"/>
  <c r="AG546" i="1" a="1"/>
  <c r="AG546" i="1"/>
  <c r="AG547" i="1" a="1"/>
  <c r="AG547" i="1"/>
  <c r="AG548" i="1" a="1"/>
  <c r="AG548" i="1"/>
  <c r="AG549" i="1" a="1"/>
  <c r="AG549" i="1"/>
  <c r="AG550" i="1" a="1"/>
  <c r="AG550" i="1"/>
  <c r="AG551" i="1" a="1"/>
  <c r="AG551" i="1"/>
  <c r="AG552" i="1" a="1"/>
  <c r="AG552" i="1"/>
  <c r="AG553" i="1" a="1"/>
  <c r="AG553" i="1"/>
  <c r="AG554" i="1" a="1"/>
  <c r="AG554" i="1"/>
  <c r="AG555" i="1" a="1"/>
  <c r="AG555" i="1"/>
  <c r="AG556" i="1" a="1"/>
  <c r="AG556" i="1"/>
  <c r="AG557" i="1" a="1"/>
  <c r="AG557" i="1"/>
  <c r="AG558" i="1" a="1"/>
  <c r="AG558" i="1"/>
  <c r="AG559" i="1" a="1"/>
  <c r="AG559" i="1"/>
  <c r="AG560" i="1" a="1"/>
  <c r="AG560" i="1"/>
  <c r="AG561" i="1" a="1"/>
  <c r="AG561" i="1"/>
  <c r="AG562" i="1" a="1"/>
  <c r="AG562" i="1"/>
  <c r="AG563" i="1" a="1"/>
  <c r="AG563" i="1"/>
  <c r="AG564" i="1" a="1"/>
  <c r="AG564" i="1"/>
  <c r="AG565" i="1" a="1"/>
  <c r="AG565" i="1"/>
  <c r="AG566" i="1" a="1"/>
  <c r="AG566" i="1"/>
  <c r="AG567" i="1" a="1"/>
  <c r="AG567" i="1"/>
  <c r="AG568" i="1" a="1"/>
  <c r="AG568" i="1"/>
  <c r="AG569" i="1" a="1"/>
  <c r="AG569" i="1"/>
  <c r="AG570" i="1" a="1"/>
  <c r="AG570" i="1"/>
  <c r="AG571" i="1" a="1"/>
  <c r="AG571" i="1"/>
  <c r="AG572" i="1" a="1"/>
  <c r="AG572" i="1"/>
  <c r="AG573" i="1" a="1"/>
  <c r="AG573" i="1"/>
  <c r="AG574" i="1" a="1"/>
  <c r="AG574" i="1"/>
  <c r="AG575" i="1" a="1"/>
  <c r="AG575" i="1"/>
  <c r="AG576" i="1" a="1"/>
  <c r="AG576" i="1"/>
  <c r="AG577" i="1" a="1"/>
  <c r="AG577" i="1"/>
  <c r="AG578" i="1" a="1"/>
  <c r="AG578" i="1" s="1"/>
  <c r="AG579" i="1" a="1"/>
  <c r="AG579" i="1" s="1"/>
  <c r="AG580" i="1" a="1"/>
  <c r="AG580" i="1" s="1"/>
  <c r="AG581" i="1" a="1"/>
  <c r="AG581" i="1" s="1"/>
  <c r="AG582" i="1" a="1"/>
  <c r="AG582" i="1" s="1"/>
  <c r="AG583" i="1" a="1"/>
  <c r="AG583" i="1" s="1"/>
  <c r="AG584" i="1" a="1"/>
  <c r="AG584" i="1" s="1"/>
  <c r="AG585" i="1" a="1"/>
  <c r="AG585" i="1" s="1"/>
  <c r="AG586" i="1" a="1"/>
  <c r="AG586" i="1" s="1"/>
  <c r="AG587" i="1" a="1"/>
  <c r="AG587" i="1" s="1"/>
  <c r="AG588" i="1" a="1"/>
  <c r="AG588" i="1" s="1"/>
  <c r="AG589" i="1" a="1"/>
  <c r="AG589" i="1" s="1"/>
  <c r="AG590" i="1" a="1"/>
  <c r="AG590" i="1" s="1"/>
  <c r="AG591" i="1" a="1"/>
  <c r="AG591" i="1" s="1"/>
  <c r="AG592" i="1" a="1"/>
  <c r="AG592" i="1" s="1"/>
  <c r="AG593" i="1" a="1"/>
  <c r="AG593" i="1" s="1"/>
  <c r="AG594" i="1" a="1"/>
  <c r="AG594" i="1" s="1"/>
  <c r="AG595" i="1" a="1"/>
  <c r="AG595" i="1" s="1"/>
  <c r="AG596" i="1" a="1"/>
  <c r="AG596" i="1" s="1"/>
  <c r="AG597" i="1" a="1"/>
  <c r="AG597" i="1" s="1"/>
  <c r="AG598" i="1" a="1"/>
  <c r="AG598" i="1" s="1"/>
  <c r="AG599" i="1" a="1"/>
  <c r="AG599" i="1" s="1"/>
  <c r="AG600" i="1" a="1"/>
  <c r="AG600" i="1" s="1"/>
  <c r="AG601" i="1" a="1"/>
  <c r="AG601" i="1" s="1"/>
  <c r="AG602" i="1" a="1"/>
  <c r="AG602" i="1" s="1"/>
  <c r="AG603" i="1" a="1"/>
  <c r="AG603" i="1" s="1"/>
  <c r="AG604" i="1" a="1"/>
  <c r="AG604" i="1" s="1"/>
  <c r="AG605" i="1" a="1"/>
  <c r="AG605" i="1" s="1"/>
  <c r="AG606" i="1" a="1"/>
  <c r="AG606" i="1" s="1"/>
  <c r="AG607" i="1" a="1"/>
  <c r="AG607" i="1" s="1"/>
  <c r="AG608" i="1" a="1"/>
  <c r="AG608" i="1" s="1"/>
  <c r="AG609" i="1" a="1"/>
  <c r="AG609" i="1" s="1"/>
  <c r="AG610" i="1" a="1"/>
  <c r="AG610" i="1" s="1"/>
  <c r="AG611" i="1" a="1"/>
  <c r="AG611" i="1" s="1"/>
  <c r="AG612" i="1" a="1"/>
  <c r="AG612" i="1" s="1"/>
  <c r="AG613" i="1" a="1"/>
  <c r="AG613" i="1" s="1"/>
  <c r="AG614" i="1" a="1"/>
  <c r="AG614" i="1" s="1"/>
  <c r="AG615" i="1" a="1"/>
  <c r="AG615" i="1" s="1"/>
  <c r="AG616" i="1" a="1"/>
  <c r="AG616" i="1" s="1"/>
  <c r="AG617" i="1" a="1"/>
  <c r="AG617" i="1" s="1"/>
  <c r="AG618" i="1" a="1"/>
  <c r="AG618" i="1" s="1"/>
  <c r="AG619" i="1" a="1"/>
  <c r="AG619" i="1" s="1"/>
  <c r="AG620" i="1" a="1"/>
  <c r="AG620" i="1" s="1"/>
  <c r="AG621" i="1" a="1"/>
  <c r="AG621" i="1" s="1"/>
  <c r="AG622" i="1" a="1"/>
  <c r="AG622" i="1" s="1"/>
  <c r="AG623" i="1" a="1"/>
  <c r="AG623" i="1" s="1"/>
  <c r="AG624" i="1" a="1"/>
  <c r="AG624" i="1" s="1"/>
  <c r="AG625" i="1" a="1"/>
  <c r="AG625" i="1" s="1"/>
  <c r="AG626" i="1" a="1"/>
  <c r="AG626" i="1" s="1"/>
  <c r="AG627" i="1" a="1"/>
  <c r="AG627" i="1" s="1"/>
  <c r="AG628" i="1" a="1"/>
  <c r="AG628" i="1" s="1"/>
  <c r="AG629" i="1" a="1"/>
  <c r="AG629" i="1" s="1"/>
  <c r="AG630" i="1" a="1"/>
  <c r="AG630" i="1" s="1"/>
  <c r="AG631" i="1" a="1"/>
  <c r="AG631" i="1" s="1"/>
  <c r="AG632" i="1" a="1"/>
  <c r="AG632" i="1" s="1"/>
  <c r="AG633" i="1" a="1"/>
  <c r="AG633" i="1" s="1"/>
  <c r="AG634" i="1" a="1"/>
  <c r="AG634" i="1" s="1"/>
  <c r="AG635" i="1" a="1"/>
  <c r="AG635" i="1" s="1"/>
  <c r="AG636" i="1" a="1"/>
  <c r="AG636" i="1" s="1"/>
  <c r="AG637" i="1" a="1"/>
  <c r="AG637" i="1" s="1"/>
  <c r="AG638" i="1" a="1"/>
  <c r="AG638" i="1" s="1"/>
  <c r="AG639" i="1" a="1"/>
  <c r="AG639" i="1" s="1"/>
  <c r="AG640" i="1" a="1"/>
  <c r="AG640" i="1" s="1"/>
  <c r="AG641" i="1" a="1"/>
  <c r="AG641" i="1" s="1"/>
  <c r="AG642" i="1" a="1"/>
  <c r="AG642" i="1" s="1"/>
  <c r="AG643" i="1" a="1"/>
  <c r="AG643" i="1" s="1"/>
  <c r="AG644" i="1" a="1"/>
  <c r="AG644" i="1" s="1"/>
  <c r="AG645" i="1" a="1"/>
  <c r="AG645" i="1" s="1"/>
  <c r="AG646" i="1" a="1"/>
  <c r="AG646" i="1" s="1"/>
  <c r="AG647" i="1" a="1"/>
  <c r="AG647" i="1" s="1"/>
  <c r="AG648" i="1" a="1"/>
  <c r="AG648" i="1" s="1"/>
  <c r="AG649" i="1" a="1"/>
  <c r="AG649" i="1" s="1"/>
  <c r="AG650" i="1" a="1"/>
  <c r="AG650" i="1" s="1"/>
  <c r="AG651" i="1" a="1"/>
  <c r="AG651" i="1" s="1"/>
  <c r="AG652" i="1" a="1"/>
  <c r="AG652" i="1" s="1"/>
  <c r="AG653" i="1" a="1"/>
  <c r="AG653" i="1" s="1"/>
  <c r="AG654" i="1" a="1"/>
  <c r="AG654" i="1" s="1"/>
  <c r="AG655" i="1" a="1"/>
  <c r="AG655" i="1" s="1"/>
  <c r="AG656" i="1" a="1"/>
  <c r="AG656" i="1" s="1"/>
  <c r="AG657" i="1" a="1"/>
  <c r="AG657" i="1" s="1"/>
  <c r="AG658" i="1" a="1"/>
  <c r="AG658" i="1" s="1"/>
  <c r="AG659" i="1" a="1"/>
  <c r="AG659" i="1" s="1"/>
  <c r="AG660" i="1" a="1"/>
  <c r="AG660" i="1" s="1"/>
  <c r="AG661" i="1" a="1"/>
  <c r="AG661" i="1" s="1"/>
  <c r="AG662" i="1" a="1"/>
  <c r="AG662" i="1" s="1"/>
  <c r="AG663" i="1" a="1"/>
  <c r="AG663" i="1" s="1"/>
  <c r="AG664" i="1" a="1"/>
  <c r="AG664" i="1" s="1"/>
  <c r="AG665" i="1" a="1"/>
  <c r="AG665" i="1" s="1"/>
  <c r="AG666" i="1" a="1"/>
  <c r="AG666" i="1" s="1"/>
  <c r="AG667" i="1" a="1"/>
  <c r="AG667" i="1" s="1"/>
  <c r="AG668" i="1" a="1"/>
  <c r="AG668" i="1" s="1"/>
  <c r="AG669" i="1" a="1"/>
  <c r="AG669" i="1" s="1"/>
  <c r="AG670" i="1" a="1"/>
  <c r="AG670" i="1" s="1"/>
  <c r="AG671" i="1" a="1"/>
  <c r="AG671" i="1" s="1"/>
  <c r="AG672" i="1" a="1"/>
  <c r="AG672" i="1" s="1"/>
  <c r="AG673" i="1" a="1"/>
  <c r="AG673" i="1" s="1"/>
  <c r="AG674" i="1" a="1"/>
  <c r="AG674" i="1" s="1"/>
  <c r="AG675" i="1" a="1"/>
  <c r="AG675" i="1" s="1"/>
  <c r="AG676" i="1" a="1"/>
  <c r="AG676" i="1" s="1"/>
  <c r="AG677" i="1" a="1"/>
  <c r="AG677" i="1" s="1"/>
  <c r="AG678" i="1" a="1"/>
  <c r="AG678" i="1" s="1"/>
  <c r="AG679" i="1" a="1"/>
  <c r="AG679" i="1" s="1"/>
  <c r="AG680" i="1" a="1"/>
  <c r="AG680" i="1" s="1"/>
  <c r="AG681" i="1" a="1"/>
  <c r="AG681" i="1" s="1"/>
  <c r="AG682" i="1" a="1"/>
  <c r="AG682" i="1" s="1"/>
  <c r="AG683" i="1" a="1"/>
  <c r="AG683" i="1" s="1"/>
  <c r="AG684" i="1" a="1"/>
  <c r="AG684" i="1" s="1"/>
  <c r="AG685" i="1" a="1"/>
  <c r="AG685" i="1" s="1"/>
  <c r="AG686" i="1" a="1"/>
  <c r="AG686" i="1" s="1"/>
  <c r="AG687" i="1" a="1"/>
  <c r="AG687" i="1" s="1"/>
  <c r="AG688" i="1" a="1"/>
  <c r="AG688" i="1" s="1"/>
  <c r="AG689" i="1" a="1"/>
  <c r="AG689" i="1" s="1"/>
  <c r="AG690" i="1" a="1"/>
  <c r="AG690" i="1" s="1"/>
  <c r="AG691" i="1" a="1"/>
  <c r="AG691" i="1" s="1"/>
  <c r="AG692" i="1" a="1"/>
  <c r="AG692" i="1" s="1"/>
  <c r="AG693" i="1" a="1"/>
  <c r="AG693" i="1" s="1"/>
  <c r="AG694" i="1" a="1"/>
  <c r="AG694" i="1" s="1"/>
  <c r="AG695" i="1" a="1"/>
  <c r="AG695" i="1" s="1"/>
  <c r="AG696" i="1" a="1"/>
  <c r="AG696" i="1" s="1"/>
  <c r="AG697" i="1" a="1"/>
  <c r="AG697" i="1" s="1"/>
  <c r="AG698" i="1" a="1"/>
  <c r="AG698" i="1" s="1"/>
  <c r="AG699" i="1" a="1"/>
  <c r="AG699" i="1" s="1"/>
  <c r="AG700" i="1" a="1"/>
  <c r="AG700" i="1" s="1"/>
  <c r="AG701" i="1" a="1"/>
  <c r="AG701" i="1" s="1"/>
  <c r="AG702" i="1" a="1"/>
  <c r="AG702" i="1" s="1"/>
  <c r="AG703" i="1" a="1"/>
  <c r="AG703" i="1" s="1"/>
  <c r="AG704" i="1" a="1"/>
  <c r="AG704" i="1" s="1"/>
  <c r="AG705" i="1" a="1"/>
  <c r="AG705" i="1" s="1"/>
  <c r="AG706" i="1" a="1"/>
  <c r="AG706" i="1" s="1"/>
  <c r="AG707" i="1" a="1"/>
  <c r="AG707" i="1" s="1"/>
  <c r="AG708" i="1" a="1"/>
  <c r="AG708" i="1" s="1"/>
  <c r="AG709" i="1" a="1"/>
  <c r="AG709" i="1" s="1"/>
  <c r="AG710" i="1" a="1"/>
  <c r="AG710" i="1" s="1"/>
  <c r="AG711" i="1" a="1"/>
  <c r="AG711" i="1" s="1"/>
  <c r="AG712" i="1" a="1"/>
  <c r="AG712" i="1" s="1"/>
  <c r="AG713" i="1" a="1"/>
  <c r="AG713" i="1" s="1"/>
  <c r="AG714" i="1" a="1"/>
  <c r="AG714" i="1" s="1"/>
  <c r="AG715" i="1" a="1"/>
  <c r="AG715" i="1" s="1"/>
  <c r="AG716" i="1" a="1"/>
  <c r="AG716" i="1" s="1"/>
  <c r="AG717" i="1" a="1"/>
  <c r="AG717" i="1" s="1"/>
  <c r="AG718" i="1" a="1"/>
  <c r="AG718" i="1" s="1"/>
  <c r="AG719" i="1" a="1"/>
  <c r="AG719" i="1" s="1"/>
  <c r="AG720" i="1" a="1"/>
  <c r="AG720" i="1" s="1"/>
  <c r="AG721" i="1" a="1"/>
  <c r="AG721" i="1" s="1"/>
  <c r="AG722" i="1" a="1"/>
  <c r="AG722" i="1" s="1"/>
  <c r="AG723" i="1" a="1"/>
  <c r="AG723" i="1" s="1"/>
  <c r="AG724" i="1" a="1"/>
  <c r="AG724" i="1" s="1"/>
  <c r="AG725" i="1" a="1"/>
  <c r="AG725" i="1" s="1"/>
  <c r="AG726" i="1" a="1"/>
  <c r="AG726" i="1" s="1"/>
  <c r="AG727" i="1" a="1"/>
  <c r="AG727" i="1" s="1"/>
  <c r="AG728" i="1" a="1"/>
  <c r="AG728" i="1" s="1"/>
  <c r="AG729" i="1" a="1"/>
  <c r="AG729" i="1" s="1"/>
  <c r="AG730" i="1" a="1"/>
  <c r="AG730" i="1" s="1"/>
  <c r="AG731" i="1" a="1"/>
  <c r="AG731" i="1" s="1"/>
  <c r="AG732" i="1" a="1"/>
  <c r="AG732" i="1" s="1"/>
  <c r="AG733" i="1" a="1"/>
  <c r="AG733" i="1" s="1"/>
  <c r="AG734" i="1" a="1"/>
  <c r="AG734" i="1" s="1"/>
  <c r="AG735" i="1" a="1"/>
  <c r="AG735" i="1" s="1"/>
  <c r="AG736" i="1" a="1"/>
  <c r="AG736" i="1" s="1"/>
  <c r="AG737" i="1" a="1"/>
  <c r="AG737" i="1" s="1"/>
  <c r="AG738" i="1" a="1"/>
  <c r="AG738" i="1" s="1"/>
  <c r="AG739" i="1" a="1"/>
  <c r="AG739" i="1" s="1"/>
  <c r="AG740" i="1" a="1"/>
  <c r="AG740" i="1" s="1"/>
  <c r="AG741" i="1" a="1"/>
  <c r="AG741" i="1" s="1"/>
  <c r="AG742" i="1" a="1"/>
  <c r="AG742" i="1" s="1"/>
  <c r="AG743" i="1" a="1"/>
  <c r="AG743" i="1" s="1"/>
  <c r="AG744" i="1" a="1"/>
  <c r="AG744" i="1" s="1"/>
  <c r="AG745" i="1" a="1"/>
  <c r="AG745" i="1" s="1"/>
  <c r="AG746" i="1" a="1"/>
  <c r="AG746" i="1" s="1"/>
  <c r="AG747" i="1" a="1"/>
  <c r="AG747" i="1" s="1"/>
  <c r="AG748" i="1" a="1"/>
  <c r="AG748" i="1" s="1"/>
  <c r="AG749" i="1" a="1"/>
  <c r="AG749" i="1" s="1"/>
  <c r="AG750" i="1" a="1"/>
  <c r="AG750" i="1" s="1"/>
  <c r="AG751" i="1" a="1"/>
  <c r="AG751" i="1" s="1"/>
  <c r="AG752" i="1" a="1"/>
  <c r="AG752" i="1" s="1"/>
  <c r="AG753" i="1" a="1"/>
  <c r="AG753" i="1" s="1"/>
  <c r="AG754" i="1" a="1"/>
  <c r="AG754" i="1" s="1"/>
  <c r="AG755" i="1" a="1"/>
  <c r="AG755" i="1" s="1"/>
  <c r="AG756" i="1" a="1"/>
  <c r="AG756" i="1" s="1"/>
  <c r="AG757" i="1" a="1"/>
  <c r="AG757" i="1" s="1"/>
  <c r="AG758" i="1" a="1"/>
  <c r="AG758" i="1" s="1"/>
  <c r="AG759" i="1" a="1"/>
  <c r="AG759" i="1" s="1"/>
  <c r="AG760" i="1" a="1"/>
  <c r="AG760" i="1" s="1"/>
  <c r="AG761" i="1" a="1"/>
  <c r="AG761" i="1" s="1"/>
  <c r="AG762" i="1" a="1"/>
  <c r="AG762" i="1" s="1"/>
  <c r="AG763" i="1" a="1"/>
  <c r="AG763" i="1" s="1"/>
  <c r="AG764" i="1" a="1"/>
  <c r="AG764" i="1" s="1"/>
  <c r="AG765" i="1" a="1"/>
  <c r="AG765" i="1" s="1"/>
  <c r="AG766" i="1" a="1"/>
  <c r="AG766" i="1" s="1"/>
  <c r="AG767" i="1" a="1"/>
  <c r="AG767" i="1" s="1"/>
  <c r="AG768" i="1" a="1"/>
  <c r="AG768" i="1" s="1"/>
  <c r="AG769" i="1" a="1"/>
  <c r="AG769" i="1" s="1"/>
  <c r="AG770" i="1" a="1"/>
  <c r="AG770" i="1" s="1"/>
  <c r="AG771" i="1" a="1"/>
  <c r="AG771" i="1" s="1"/>
  <c r="AG772" i="1" a="1"/>
  <c r="AG772" i="1" s="1"/>
  <c r="AG773" i="1" a="1"/>
  <c r="AG773" i="1" s="1"/>
  <c r="AG774" i="1" a="1"/>
  <c r="AG774" i="1" s="1"/>
  <c r="AG775" i="1" a="1"/>
  <c r="AG775" i="1" s="1"/>
  <c r="AG776" i="1" a="1"/>
  <c r="AG776" i="1" s="1"/>
  <c r="AG777" i="1" a="1"/>
  <c r="AG777" i="1" s="1"/>
  <c r="AG778" i="1" a="1"/>
  <c r="AG778" i="1" s="1"/>
  <c r="AG779" i="1" a="1"/>
  <c r="AG779" i="1" s="1"/>
  <c r="AG780" i="1" a="1"/>
  <c r="AG780" i="1" s="1"/>
  <c r="AG781" i="1" a="1"/>
  <c r="AG781" i="1" s="1"/>
  <c r="AG782" i="1" a="1"/>
  <c r="AG782" i="1" s="1"/>
  <c r="AG783" i="1" a="1"/>
  <c r="AG783" i="1" s="1"/>
  <c r="AG784" i="1" a="1"/>
  <c r="AG784" i="1" s="1"/>
  <c r="AG785" i="1" a="1"/>
  <c r="AG785" i="1" s="1"/>
  <c r="AG786" i="1" a="1"/>
  <c r="AG786" i="1" s="1"/>
  <c r="AG787" i="1" a="1"/>
  <c r="AG787" i="1" s="1"/>
  <c r="AG788" i="1" a="1"/>
  <c r="AG788" i="1" s="1"/>
  <c r="AG789" i="1" a="1"/>
  <c r="AG789" i="1" s="1"/>
  <c r="AG790" i="1" a="1"/>
  <c r="AG790" i="1" s="1"/>
  <c r="AG791" i="1" a="1"/>
  <c r="AG791" i="1" s="1"/>
  <c r="AG792" i="1" a="1"/>
  <c r="AG792" i="1" s="1"/>
  <c r="AG793" i="1" a="1"/>
  <c r="AG793" i="1" s="1"/>
  <c r="AG794" i="1" a="1"/>
  <c r="AG794" i="1" s="1"/>
  <c r="AG795" i="1" a="1"/>
  <c r="AG795" i="1" s="1"/>
  <c r="AG796" i="1" a="1"/>
  <c r="AG796" i="1" s="1"/>
  <c r="AG797" i="1" a="1"/>
  <c r="AG797" i="1" s="1"/>
  <c r="AG798" i="1" a="1"/>
  <c r="AG798" i="1" s="1"/>
  <c r="AG799" i="1" a="1"/>
  <c r="AG799" i="1" s="1"/>
  <c r="AG800" i="1" a="1"/>
  <c r="AG800" i="1" s="1"/>
  <c r="AG801" i="1" a="1"/>
  <c r="AG801" i="1" s="1"/>
  <c r="AG802" i="1" a="1"/>
  <c r="AG802" i="1"/>
  <c r="AG803" i="1" a="1"/>
  <c r="AG803" i="1" s="1"/>
  <c r="AG804" i="1" a="1"/>
  <c r="AG804" i="1" s="1"/>
  <c r="AG805" i="1" a="1"/>
  <c r="AG805" i="1" s="1"/>
  <c r="AG806" i="1" a="1"/>
  <c r="AG806" i="1" s="1"/>
  <c r="AG807" i="1" a="1"/>
  <c r="AG807" i="1" s="1"/>
  <c r="AG808" i="1" a="1"/>
  <c r="AG808" i="1" s="1"/>
  <c r="AG809" i="1" a="1"/>
  <c r="AG809" i="1" s="1"/>
  <c r="AG810" i="1" a="1"/>
  <c r="AG810" i="1" s="1"/>
  <c r="AG811" i="1" a="1"/>
  <c r="AG811" i="1" s="1"/>
  <c r="AG812" i="1" a="1"/>
  <c r="AG812" i="1" s="1"/>
  <c r="AG813" i="1" a="1"/>
  <c r="AG813" i="1" s="1"/>
  <c r="AG814" i="1" a="1"/>
  <c r="AG814" i="1" s="1"/>
  <c r="AG815" i="1" a="1"/>
  <c r="AG815" i="1" s="1"/>
  <c r="AG816" i="1" a="1"/>
  <c r="AG816" i="1" s="1"/>
  <c r="AG817" i="1" a="1"/>
  <c r="AG817" i="1" s="1"/>
  <c r="AG818" i="1" a="1"/>
  <c r="AG818" i="1" s="1"/>
  <c r="AG819" i="1" a="1"/>
  <c r="AG819" i="1" s="1"/>
  <c r="AG820" i="1" a="1"/>
  <c r="AG820" i="1" s="1"/>
  <c r="AG821" i="1" a="1"/>
  <c r="AG821" i="1" s="1"/>
  <c r="AG822" i="1" a="1"/>
  <c r="AG822" i="1" s="1"/>
  <c r="AG823" i="1" a="1"/>
  <c r="AG823" i="1" s="1"/>
  <c r="AG824" i="1" a="1"/>
  <c r="AG824" i="1" s="1"/>
  <c r="AG825" i="1" a="1"/>
  <c r="AG825" i="1" s="1"/>
  <c r="AG826" i="1" a="1"/>
  <c r="AG826" i="1" s="1"/>
  <c r="AG827" i="1" a="1"/>
  <c r="AG827" i="1" s="1"/>
  <c r="AG828" i="1" a="1"/>
  <c r="AG828" i="1" s="1"/>
  <c r="AG829" i="1" a="1"/>
  <c r="AG829" i="1" s="1"/>
  <c r="AG830" i="1" a="1"/>
  <c r="AG830" i="1" s="1"/>
  <c r="AG831" i="1" a="1"/>
  <c r="AG831" i="1" s="1"/>
  <c r="AG832" i="1" a="1"/>
  <c r="AG832" i="1" s="1"/>
  <c r="AG833" i="1" a="1"/>
  <c r="AG833" i="1" s="1"/>
  <c r="AG834" i="1" a="1"/>
  <c r="AG834" i="1" s="1"/>
  <c r="AG835" i="1" a="1"/>
  <c r="AG835" i="1" s="1"/>
  <c r="AG836" i="1" a="1"/>
  <c r="AG836" i="1" s="1"/>
  <c r="AG837" i="1" a="1"/>
  <c r="AG837" i="1" s="1"/>
  <c r="AG838" i="1" a="1"/>
  <c r="AG838" i="1" s="1"/>
  <c r="AG839" i="1" a="1"/>
  <c r="AG839" i="1" s="1"/>
  <c r="AG840" i="1" a="1"/>
  <c r="AG840" i="1" s="1"/>
  <c r="AG841" i="1" a="1"/>
  <c r="AG841" i="1" s="1"/>
  <c r="AG842" i="1" a="1"/>
  <c r="AG842" i="1" s="1"/>
  <c r="AG843" i="1" a="1"/>
  <c r="AG843" i="1" s="1"/>
  <c r="AG844" i="1" a="1"/>
  <c r="AG844" i="1" s="1"/>
  <c r="AG845" i="1" a="1"/>
  <c r="AG845" i="1" s="1"/>
  <c r="AG846" i="1" a="1"/>
  <c r="AG846" i="1" s="1"/>
  <c r="AG847" i="1" a="1"/>
  <c r="AG847" i="1" s="1"/>
  <c r="AG848" i="1" a="1"/>
  <c r="AG848" i="1" s="1"/>
  <c r="AG849" i="1" a="1"/>
  <c r="AG849" i="1" s="1"/>
  <c r="AG850" i="1" a="1"/>
  <c r="AG850" i="1" s="1"/>
  <c r="AG851" i="1" a="1"/>
  <c r="AG851" i="1" s="1"/>
  <c r="AG852" i="1" a="1"/>
  <c r="AG852" i="1" s="1"/>
  <c r="AG853" i="1" a="1"/>
  <c r="AG853" i="1" s="1"/>
  <c r="AG854" i="1" a="1"/>
  <c r="AG854" i="1" s="1"/>
  <c r="AG855" i="1" a="1"/>
  <c r="AG855" i="1" s="1"/>
  <c r="AG856" i="1" a="1"/>
  <c r="AG856" i="1" s="1"/>
  <c r="AG857" i="1" a="1"/>
  <c r="AG857" i="1" s="1"/>
  <c r="AG858" i="1" a="1"/>
  <c r="AG858" i="1" s="1"/>
  <c r="AG859" i="1" a="1"/>
  <c r="AG859" i="1" s="1"/>
  <c r="AG860" i="1" a="1"/>
  <c r="AG860" i="1" s="1"/>
  <c r="AG861" i="1" a="1"/>
  <c r="AG861" i="1" s="1"/>
  <c r="AG862" i="1" a="1"/>
  <c r="AG862" i="1" s="1"/>
  <c r="AG863" i="1" a="1"/>
  <c r="AG863" i="1" s="1"/>
  <c r="AG864" i="1" a="1"/>
  <c r="AG864" i="1" s="1"/>
  <c r="AG865" i="1" a="1"/>
  <c r="AG865" i="1" s="1"/>
  <c r="AG866" i="1" a="1"/>
  <c r="AG866" i="1" s="1"/>
  <c r="AG867" i="1" a="1"/>
  <c r="AG867" i="1" s="1"/>
  <c r="AG868" i="1" a="1"/>
  <c r="AG868" i="1" s="1"/>
  <c r="AG869" i="1" a="1"/>
  <c r="AG869" i="1" s="1"/>
  <c r="AG870" i="1" a="1"/>
  <c r="AG870" i="1" s="1"/>
  <c r="AG871" i="1" a="1"/>
  <c r="AG871" i="1" s="1"/>
  <c r="AG872" i="1" a="1"/>
  <c r="AG872" i="1" s="1"/>
  <c r="AG873" i="1" a="1"/>
  <c r="AG873" i="1" s="1"/>
  <c r="AG874" i="1" a="1"/>
  <c r="AG874" i="1" s="1"/>
  <c r="AG875" i="1" a="1"/>
  <c r="AG875" i="1" s="1"/>
  <c r="AG876" i="1" a="1"/>
  <c r="AG876" i="1" s="1"/>
  <c r="AG877" i="1" a="1"/>
  <c r="AG877" i="1" s="1"/>
  <c r="AG878" i="1" a="1"/>
  <c r="AG878" i="1" s="1"/>
  <c r="AG879" i="1" a="1"/>
  <c r="AG879" i="1" s="1"/>
  <c r="AG880" i="1" a="1"/>
  <c r="AG880" i="1" s="1"/>
  <c r="AG881" i="1" a="1"/>
  <c r="AG881" i="1" s="1"/>
  <c r="AG882" i="1" a="1"/>
  <c r="AG882" i="1" s="1"/>
  <c r="AG883" i="1" a="1"/>
  <c r="AG883" i="1" s="1"/>
  <c r="AG884" i="1" a="1"/>
  <c r="AG884" i="1" s="1"/>
  <c r="AG885" i="1" a="1"/>
  <c r="AG885" i="1" s="1"/>
  <c r="AG886" i="1" a="1"/>
  <c r="AG886" i="1" s="1"/>
  <c r="AG887" i="1" a="1"/>
  <c r="AG887" i="1" s="1"/>
  <c r="AG888" i="1" a="1"/>
  <c r="AG888" i="1" s="1"/>
  <c r="AG889" i="1" a="1"/>
  <c r="AG889" i="1" s="1"/>
  <c r="AG890" i="1" a="1"/>
  <c r="AG890" i="1" s="1"/>
  <c r="AG891" i="1" a="1"/>
  <c r="AG891" i="1" s="1"/>
  <c r="AG892" i="1" a="1"/>
  <c r="AG892" i="1" s="1"/>
  <c r="AG893" i="1" a="1"/>
  <c r="AG893" i="1" s="1"/>
  <c r="AG894" i="1" a="1"/>
  <c r="AG894" i="1" s="1"/>
  <c r="AG895" i="1" a="1"/>
  <c r="AG895" i="1" s="1"/>
  <c r="AG896" i="1" a="1"/>
  <c r="AG896" i="1" s="1"/>
  <c r="AG897" i="1" a="1"/>
  <c r="AG897" i="1" s="1"/>
  <c r="AG898" i="1" a="1"/>
  <c r="AG898" i="1" s="1"/>
  <c r="AG899" i="1" a="1"/>
  <c r="AG899" i="1" s="1"/>
  <c r="AG900" i="1" a="1"/>
  <c r="AG900" i="1" s="1"/>
  <c r="AG901" i="1" a="1"/>
  <c r="AG901" i="1" s="1"/>
  <c r="AG902" i="1" a="1"/>
  <c r="AG902" i="1" s="1"/>
  <c r="AG903" i="1" a="1"/>
  <c r="AG903" i="1" s="1"/>
  <c r="AG904" i="1" a="1"/>
  <c r="AG904" i="1"/>
  <c r="AG905" i="1" a="1"/>
  <c r="AG905" i="1" s="1"/>
  <c r="AG906" i="1" a="1"/>
  <c r="AG906" i="1" s="1"/>
  <c r="AG907" i="1" a="1"/>
  <c r="AG907" i="1" s="1"/>
  <c r="AG908" i="1" a="1"/>
  <c r="AG908" i="1" s="1"/>
  <c r="AG909" i="1" a="1"/>
  <c r="AG909" i="1" s="1"/>
  <c r="AG910" i="1" a="1"/>
  <c r="AG910" i="1" s="1"/>
  <c r="AG911" i="1" a="1"/>
  <c r="AG911" i="1" s="1"/>
  <c r="AG912" i="1" a="1"/>
  <c r="AG912" i="1" s="1"/>
  <c r="AG913" i="1" a="1"/>
  <c r="AG913" i="1" s="1"/>
  <c r="AG914" i="1" a="1"/>
  <c r="AG914" i="1" s="1"/>
  <c r="AG915" i="1" a="1"/>
  <c r="AG915" i="1" s="1"/>
  <c r="AG916" i="1" a="1"/>
  <c r="AG916" i="1" s="1"/>
  <c r="AG917" i="1" a="1"/>
  <c r="AG917" i="1" s="1"/>
  <c r="AG918" i="1" a="1"/>
  <c r="AG918" i="1" s="1"/>
  <c r="AG919" i="1" a="1"/>
  <c r="AG919" i="1" s="1"/>
  <c r="AG920" i="1" a="1"/>
  <c r="AG920" i="1" s="1"/>
  <c r="AG921" i="1" a="1"/>
  <c r="AG921" i="1" s="1"/>
  <c r="AG922" i="1" a="1"/>
  <c r="AG922" i="1" s="1"/>
  <c r="AG923" i="1" a="1"/>
  <c r="AG923" i="1" s="1"/>
  <c r="AG924" i="1" a="1"/>
  <c r="AG924" i="1" s="1"/>
  <c r="AG925" i="1" a="1"/>
  <c r="AG925" i="1" s="1"/>
  <c r="AG926" i="1" a="1"/>
  <c r="AG926" i="1" s="1"/>
  <c r="AG927" i="1" a="1"/>
  <c r="AG927" i="1" s="1"/>
  <c r="AG928" i="1" a="1"/>
  <c r="AG928" i="1" s="1"/>
  <c r="AG929" i="1" a="1"/>
  <c r="AG929" i="1" s="1"/>
  <c r="AG930" i="1" a="1"/>
  <c r="AG930" i="1" s="1"/>
  <c r="AG931" i="1" a="1"/>
  <c r="AG931" i="1" s="1"/>
  <c r="AG932" i="1" a="1"/>
  <c r="AG932" i="1" s="1"/>
  <c r="AG933" i="1" a="1"/>
  <c r="AG933" i="1" s="1"/>
  <c r="AG934" i="1" a="1"/>
  <c r="AG934" i="1" s="1"/>
  <c r="AG935" i="1" a="1"/>
  <c r="AG935" i="1" s="1"/>
  <c r="AG936" i="1" a="1"/>
  <c r="AG936" i="1" s="1"/>
  <c r="AG937" i="1" a="1"/>
  <c r="AG937" i="1" s="1"/>
  <c r="AG938" i="1" a="1"/>
  <c r="AG938" i="1" s="1"/>
  <c r="AG939" i="1" a="1"/>
  <c r="AG939" i="1" s="1"/>
  <c r="AG940" i="1" a="1"/>
  <c r="AG940" i="1" s="1"/>
  <c r="AG941" i="1" a="1"/>
  <c r="AG941" i="1" s="1"/>
  <c r="AG942" i="1" a="1"/>
  <c r="AG942" i="1" s="1"/>
  <c r="AG943" i="1" a="1"/>
  <c r="AG943" i="1" s="1"/>
  <c r="AG944" i="1" a="1"/>
  <c r="AG944" i="1" s="1"/>
  <c r="AG945" i="1" a="1"/>
  <c r="AG945" i="1" s="1"/>
  <c r="AG946" i="1" a="1"/>
  <c r="AG946" i="1" s="1"/>
  <c r="AG947" i="1" a="1"/>
  <c r="AG947" i="1" s="1"/>
  <c r="AG948" i="1" a="1"/>
  <c r="AG948" i="1"/>
  <c r="AG949" i="1" a="1"/>
  <c r="AG949" i="1"/>
  <c r="AG950" i="1" a="1"/>
  <c r="AG950" i="1"/>
  <c r="AG951" i="1" a="1"/>
  <c r="AG951" i="1"/>
  <c r="AG952" i="1" a="1"/>
  <c r="AG952" i="1"/>
  <c r="AG953" i="1" a="1"/>
  <c r="AG953" i="1"/>
  <c r="AG954" i="1" a="1"/>
  <c r="AG954" i="1"/>
  <c r="AG955" i="1" a="1"/>
  <c r="AG955" i="1"/>
  <c r="AG956" i="1" a="1"/>
  <c r="AG956" i="1"/>
  <c r="AG957" i="1" a="1"/>
  <c r="AG957" i="1"/>
  <c r="AG958" i="1" a="1"/>
  <c r="AG958" i="1"/>
  <c r="AG959" i="1" a="1"/>
  <c r="AG959" i="1"/>
  <c r="AG960" i="1" a="1"/>
  <c r="AG960" i="1"/>
  <c r="AG961" i="1" a="1"/>
  <c r="AG961" i="1"/>
  <c r="AG962" i="1" a="1"/>
  <c r="AG962" i="1"/>
  <c r="AG963" i="1" a="1"/>
  <c r="AG963" i="1"/>
  <c r="AG964" i="1" a="1"/>
  <c r="AG964" i="1"/>
  <c r="AG965" i="1" a="1"/>
  <c r="AG965" i="1"/>
  <c r="AG966" i="1" a="1"/>
  <c r="AG966" i="1"/>
  <c r="AG967" i="1" a="1"/>
  <c r="AG967" i="1"/>
  <c r="AG968" i="1" a="1"/>
  <c r="AG968" i="1"/>
  <c r="AG969" i="1" a="1"/>
  <c r="AG969" i="1"/>
  <c r="AG970" i="1" a="1"/>
  <c r="AG970" i="1"/>
  <c r="AG971" i="1" a="1"/>
  <c r="AG971" i="1"/>
  <c r="AG972" i="1" a="1"/>
  <c r="AG972" i="1"/>
  <c r="AG973" i="1" a="1"/>
  <c r="AG973" i="1"/>
  <c r="AG974" i="1" a="1"/>
  <c r="AG974" i="1"/>
  <c r="AG975" i="1" a="1"/>
  <c r="AG975" i="1"/>
  <c r="AG976" i="1" a="1"/>
  <c r="AG976" i="1"/>
  <c r="AG977" i="1" a="1"/>
  <c r="AG977" i="1"/>
  <c r="AG978" i="1" a="1"/>
  <c r="AG978" i="1"/>
  <c r="AG979" i="1" a="1"/>
  <c r="AG979" i="1"/>
  <c r="AG980" i="1" a="1"/>
  <c r="AG980" i="1"/>
  <c r="AG981" i="1" a="1"/>
  <c r="AG981" i="1"/>
  <c r="AG982" i="1" a="1"/>
  <c r="AG982" i="1"/>
  <c r="AG983" i="1" a="1"/>
  <c r="AG983" i="1"/>
  <c r="AG984" i="1" a="1"/>
  <c r="AG984" i="1"/>
  <c r="AG985" i="1" a="1"/>
  <c r="AG985" i="1"/>
  <c r="AG986" i="1" a="1"/>
  <c r="AG986" i="1"/>
  <c r="AG987" i="1" a="1"/>
  <c r="AG987" i="1"/>
  <c r="AG988" i="1" a="1"/>
  <c r="AG988" i="1"/>
  <c r="AG989" i="1" a="1"/>
  <c r="AG989" i="1"/>
  <c r="AG990" i="1" a="1"/>
  <c r="AG990" i="1"/>
  <c r="AG991" i="1" a="1"/>
  <c r="AG991" i="1"/>
  <c r="AG992" i="1" a="1"/>
  <c r="AG992" i="1"/>
  <c r="AG993" i="1" a="1"/>
  <c r="AG993" i="1"/>
  <c r="AG994" i="1" a="1"/>
  <c r="AG994" i="1"/>
  <c r="AG995" i="1" a="1"/>
  <c r="AG995" i="1"/>
  <c r="AG996" i="1" a="1"/>
  <c r="AG996" i="1"/>
  <c r="AG997" i="1" a="1"/>
  <c r="AG997" i="1"/>
  <c r="AG998" i="1" a="1"/>
  <c r="AG998" i="1"/>
  <c r="AG999" i="1" a="1"/>
  <c r="AG999" i="1"/>
  <c r="AG1000" i="1" a="1"/>
  <c r="AG1000" i="1"/>
  <c r="AG1001" i="1" a="1"/>
  <c r="AG1001" i="1"/>
  <c r="AG1002" i="1" a="1"/>
  <c r="AG1002" i="1"/>
  <c r="AG1003" i="1" a="1"/>
  <c r="AG1003" i="1"/>
  <c r="AG1004" i="1" a="1"/>
  <c r="AG1004" i="1"/>
  <c r="AG1005" i="1" a="1"/>
  <c r="AG1005" i="1"/>
  <c r="AG1006" i="1" a="1"/>
  <c r="AG1006" i="1"/>
  <c r="AG1007" i="1" a="1"/>
  <c r="AG1007" i="1"/>
  <c r="AG1008" i="1" a="1"/>
  <c r="AG1008" i="1"/>
  <c r="AG1009" i="1" a="1"/>
  <c r="AG1009" i="1"/>
  <c r="AG1010" i="1" a="1"/>
  <c r="AG1010" i="1"/>
  <c r="AG1011" i="1" a="1"/>
  <c r="AG1011" i="1"/>
  <c r="AG1012" i="1" a="1"/>
  <c r="AG1012" i="1"/>
  <c r="AG1013" i="1" a="1"/>
  <c r="AG1013" i="1"/>
  <c r="AG1014" i="1" a="1"/>
  <c r="AG1014" i="1"/>
  <c r="AG1015" i="1" a="1"/>
  <c r="AG1015" i="1"/>
  <c r="AG1016" i="1" a="1"/>
  <c r="AG1016" i="1"/>
  <c r="AG1017" i="1" a="1"/>
  <c r="AG1017" i="1"/>
  <c r="AG1018" i="1" a="1"/>
  <c r="AG1018" i="1"/>
  <c r="AG1019" i="1" a="1"/>
  <c r="AG1019" i="1"/>
  <c r="AG1020" i="1" a="1"/>
  <c r="AG1020" i="1"/>
  <c r="AG1021" i="1" a="1"/>
  <c r="AG1021" i="1"/>
  <c r="AG1022" i="1" a="1"/>
  <c r="AG1022" i="1"/>
  <c r="AG1023" i="1" a="1"/>
  <c r="AG1023" i="1"/>
  <c r="AG1024" i="1" a="1"/>
  <c r="AG1024" i="1"/>
  <c r="AG1025" i="1" a="1"/>
  <c r="AG1025" i="1"/>
  <c r="AG1026" i="1" a="1"/>
  <c r="AG1026" i="1"/>
  <c r="AG1027" i="1" a="1"/>
  <c r="AG1027" i="1"/>
  <c r="AG1028" i="1" a="1"/>
  <c r="AG1028" i="1"/>
  <c r="AG1029" i="1" a="1"/>
  <c r="AG1029" i="1"/>
  <c r="AG1030" i="1" a="1"/>
  <c r="AG1030" i="1"/>
  <c r="AG1031" i="1" a="1"/>
  <c r="AG1031" i="1"/>
  <c r="AG1032" i="1" a="1"/>
  <c r="AG1032" i="1"/>
  <c r="AG1033" i="1" a="1"/>
  <c r="AG1033" i="1"/>
  <c r="AG1034" i="1" a="1"/>
  <c r="AG1034" i="1"/>
  <c r="AG1035" i="1" a="1"/>
  <c r="AG1035" i="1"/>
  <c r="AG1036" i="1" a="1"/>
  <c r="AG1036" i="1"/>
  <c r="AG1037" i="1" a="1"/>
  <c r="AG1037" i="1"/>
  <c r="AG1038" i="1" a="1"/>
  <c r="AG1038" i="1"/>
  <c r="AG1039" i="1" a="1"/>
  <c r="AG1039" i="1"/>
  <c r="AG1040" i="1" a="1"/>
  <c r="AG1040" i="1"/>
  <c r="AG1041" i="1" a="1"/>
  <c r="AG1041" i="1"/>
  <c r="AG1042" i="1" a="1"/>
  <c r="AG1042" i="1"/>
  <c r="AG1043" i="1" a="1"/>
  <c r="AG1043" i="1"/>
  <c r="AG1044" i="1" a="1"/>
  <c r="AG1044" i="1"/>
  <c r="AG1045" i="1" a="1"/>
  <c r="AG1045" i="1"/>
  <c r="AG1046" i="1" a="1"/>
  <c r="AG1046" i="1"/>
  <c r="AG1047" i="1" a="1"/>
  <c r="AG1047" i="1"/>
  <c r="AG1048" i="1" a="1"/>
  <c r="AG1048" i="1"/>
  <c r="AG1049" i="1" a="1"/>
  <c r="AG1049" i="1"/>
  <c r="AG1050" i="1" a="1"/>
  <c r="AG1050" i="1"/>
  <c r="AG1051" i="1" a="1"/>
  <c r="AG1051" i="1"/>
  <c r="AG1052" i="1" a="1"/>
  <c r="AG1052" i="1"/>
  <c r="AG1053" i="1" a="1"/>
  <c r="AG1053" i="1"/>
  <c r="AG1054" i="1" a="1"/>
  <c r="AG1054" i="1"/>
  <c r="AG1055" i="1" a="1"/>
  <c r="AG1055" i="1"/>
  <c r="AG1056" i="1" a="1"/>
  <c r="AG1056" i="1"/>
  <c r="AG1057" i="1" a="1"/>
  <c r="AG1057" i="1"/>
  <c r="AG1058" i="1" a="1"/>
  <c r="AG1058" i="1"/>
  <c r="AG1059" i="1" a="1"/>
  <c r="AG1059" i="1"/>
  <c r="AG1060" i="1" a="1"/>
  <c r="AG1060" i="1"/>
  <c r="AG1061" i="1" a="1"/>
  <c r="AG1061" i="1"/>
  <c r="AG1062" i="1" a="1"/>
  <c r="AG1062" i="1"/>
  <c r="AG1063" i="1" a="1"/>
  <c r="AG1063" i="1"/>
  <c r="AG1064" i="1" a="1"/>
  <c r="AG1064" i="1"/>
  <c r="AG1065" i="1" a="1"/>
  <c r="AG1065" i="1"/>
  <c r="AG1066" i="1" a="1"/>
  <c r="AG1066" i="1"/>
  <c r="AG1067" i="1" a="1"/>
  <c r="AG1067" i="1"/>
  <c r="AG1068" i="1" a="1"/>
  <c r="AG1068" i="1"/>
  <c r="AG1069" i="1" a="1"/>
  <c r="AG1069" i="1"/>
  <c r="AG1070" i="1" a="1"/>
  <c r="AG1070" i="1"/>
  <c r="AG1071" i="1" a="1"/>
  <c r="AG1071" i="1"/>
  <c r="AG1072" i="1" a="1"/>
  <c r="AG1072" i="1"/>
  <c r="AG1073" i="1" a="1"/>
  <c r="AG1073" i="1"/>
  <c r="AG1074" i="1" a="1"/>
  <c r="AG1074" i="1"/>
  <c r="AG1075" i="1" a="1"/>
  <c r="AG1075" i="1"/>
  <c r="AG1076" i="1" a="1"/>
  <c r="AG1076" i="1"/>
  <c r="AG1077" i="1" a="1"/>
  <c r="AG1077" i="1"/>
  <c r="AG1078" i="1" a="1"/>
  <c r="AG1078" i="1"/>
  <c r="AG1079" i="1" a="1"/>
  <c r="AG1079" i="1"/>
  <c r="AG1080" i="1" a="1"/>
  <c r="AG1080" i="1"/>
  <c r="AG1081" i="1" a="1"/>
  <c r="AG1081" i="1"/>
  <c r="AG1082" i="1" a="1"/>
  <c r="AG1082" i="1"/>
  <c r="AG1083" i="1" a="1"/>
  <c r="AG1083" i="1"/>
  <c r="AG1084" i="1" a="1"/>
  <c r="AG1084" i="1"/>
  <c r="AG1085" i="1" a="1"/>
  <c r="AG1085" i="1"/>
  <c r="AG1086" i="1" a="1"/>
  <c r="AG1086" i="1"/>
  <c r="AG1087" i="1" a="1"/>
  <c r="AG1087" i="1"/>
  <c r="AG1088" i="1" a="1"/>
  <c r="AG1088" i="1"/>
  <c r="AG1089" i="1" a="1"/>
  <c r="AG1089" i="1"/>
  <c r="AG1090" i="1" a="1"/>
  <c r="AG1090" i="1"/>
  <c r="AG1091" i="1" a="1"/>
  <c r="AG1091" i="1"/>
  <c r="AG1092" i="1" a="1"/>
  <c r="AG1092" i="1"/>
  <c r="AG1093" i="1" a="1"/>
  <c r="AG1093" i="1"/>
  <c r="AG1094" i="1" a="1"/>
  <c r="AG1094" i="1"/>
  <c r="AG1095" i="1" a="1"/>
  <c r="AG1095" i="1"/>
  <c r="AG1096" i="1" a="1"/>
  <c r="AG1096" i="1"/>
  <c r="AG1097" i="1" a="1"/>
  <c r="AG1097" i="1"/>
  <c r="AG1098" i="1" a="1"/>
  <c r="AG1098" i="1"/>
  <c r="AG1099" i="1" a="1"/>
  <c r="AG1099" i="1"/>
  <c r="AG1100" i="1" a="1"/>
  <c r="AG1100" i="1"/>
  <c r="AG1101" i="1" a="1"/>
  <c r="AG1101" i="1"/>
  <c r="AG1102" i="1" a="1"/>
  <c r="AG1102" i="1"/>
  <c r="AG1103" i="1" a="1"/>
  <c r="AG1103" i="1"/>
  <c r="AG1104" i="1" a="1"/>
  <c r="AG1104" i="1"/>
  <c r="AG1105" i="1" a="1"/>
  <c r="AG1105" i="1"/>
  <c r="AG1106" i="1" a="1"/>
  <c r="AG1106" i="1"/>
  <c r="AG1107" i="1" a="1"/>
  <c r="AG1107" i="1" s="1"/>
  <c r="AG1108" i="1" a="1"/>
  <c r="AG1108" i="1" s="1"/>
  <c r="AG1109" i="1" a="1"/>
  <c r="AG1109" i="1" s="1"/>
  <c r="AG1110" i="1" a="1"/>
  <c r="AG1110" i="1" s="1"/>
  <c r="AG1111" i="1" a="1"/>
  <c r="AG1111" i="1" s="1"/>
  <c r="AG1112" i="1" a="1"/>
  <c r="AG1112" i="1" s="1"/>
  <c r="AG1113" i="1" a="1"/>
  <c r="AG1113" i="1" s="1"/>
  <c r="AG1114" i="1" a="1"/>
  <c r="AG1114" i="1" s="1"/>
  <c r="AG1115" i="1" a="1"/>
  <c r="AG1115" i="1" s="1"/>
  <c r="AG1116" i="1" a="1"/>
  <c r="AG1116" i="1" s="1"/>
  <c r="AG1117" i="1" a="1"/>
  <c r="AG1117" i="1" s="1"/>
  <c r="AG1118" i="1" a="1"/>
  <c r="AG1118" i="1" s="1"/>
  <c r="AG1119" i="1" a="1"/>
  <c r="AG1119" i="1" s="1"/>
  <c r="AG1120" i="1" a="1"/>
  <c r="AG1120" i="1" s="1"/>
  <c r="AG1121" i="1" a="1"/>
  <c r="AG1121" i="1" s="1"/>
  <c r="AG1122" i="1" a="1"/>
  <c r="AG1122" i="1" s="1"/>
  <c r="AG1123" i="1" a="1"/>
  <c r="AG1123" i="1" s="1"/>
  <c r="AG1124" i="1" a="1"/>
  <c r="AG1124" i="1" s="1"/>
  <c r="AG1125" i="1" a="1"/>
  <c r="AG1125" i="1" s="1"/>
  <c r="AG1126" i="1" a="1"/>
  <c r="AG1126" i="1" s="1"/>
  <c r="AG1127" i="1" a="1"/>
  <c r="AG1127" i="1" s="1"/>
  <c r="AG1128" i="1" a="1"/>
  <c r="AG1128" i="1" s="1"/>
  <c r="AG1129" i="1" a="1"/>
  <c r="AG1129" i="1" s="1"/>
  <c r="AG1130" i="1" a="1"/>
  <c r="AG1130" i="1" s="1"/>
  <c r="AG1131" i="1" a="1"/>
  <c r="AG1131" i="1" s="1"/>
  <c r="AG1132" i="1" a="1"/>
  <c r="AG1132" i="1" s="1"/>
  <c r="AG1133" i="1" a="1"/>
  <c r="AG1133" i="1" s="1"/>
  <c r="AG1134" i="1" a="1"/>
  <c r="AG1134" i="1" s="1"/>
  <c r="AG1135" i="1" a="1"/>
  <c r="AG1135" i="1" s="1"/>
  <c r="AG1136" i="1" a="1"/>
  <c r="AG1136" i="1" s="1"/>
  <c r="AG1137" i="1" a="1"/>
  <c r="AG1137" i="1" s="1"/>
  <c r="AG1138" i="1" a="1"/>
  <c r="AG1138" i="1" s="1"/>
  <c r="AG1139" i="1" a="1"/>
  <c r="AG1139" i="1" s="1"/>
  <c r="AG1140" i="1" a="1"/>
  <c r="AG1140" i="1" s="1"/>
  <c r="AG1141" i="1" a="1"/>
  <c r="AG1141" i="1" s="1"/>
  <c r="AG1142" i="1" a="1"/>
  <c r="AG1142" i="1" s="1"/>
  <c r="AG1143" i="1" a="1"/>
  <c r="AG1143" i="1" s="1"/>
  <c r="AG1144" i="1" a="1"/>
  <c r="AG1144" i="1" s="1"/>
  <c r="AG1145" i="1" a="1"/>
  <c r="AG1145" i="1" s="1"/>
  <c r="AG1146" i="1" a="1"/>
  <c r="AG1146" i="1" s="1"/>
  <c r="AG1147" i="1" a="1"/>
  <c r="AG1147" i="1" s="1"/>
  <c r="AG1148" i="1" a="1"/>
  <c r="AG1148" i="1" s="1"/>
  <c r="AG1149" i="1" a="1"/>
  <c r="AG1149" i="1" s="1"/>
  <c r="AG1150" i="1" a="1"/>
  <c r="AG1150" i="1" s="1"/>
  <c r="AG1151" i="1" a="1"/>
  <c r="AG1151" i="1" s="1"/>
  <c r="AG1152" i="1" a="1"/>
  <c r="AG1152" i="1" s="1"/>
  <c r="AG1153" i="1" a="1"/>
  <c r="AG1153" i="1" s="1"/>
  <c r="AG1154" i="1" a="1"/>
  <c r="AG1154" i="1" s="1"/>
  <c r="AG1155" i="1" a="1"/>
  <c r="AG1155" i="1" s="1"/>
  <c r="AG1156" i="1" a="1"/>
  <c r="AG1156" i="1" s="1"/>
  <c r="AG1157" i="1" a="1"/>
  <c r="AG1157" i="1" s="1"/>
  <c r="AG1158" i="1" a="1"/>
  <c r="AG1158" i="1" s="1"/>
  <c r="AG1159" i="1" a="1"/>
  <c r="AG1159" i="1" s="1"/>
  <c r="AG1160" i="1" a="1"/>
  <c r="AG1160" i="1" s="1"/>
  <c r="AG1161" i="1" a="1"/>
  <c r="AG1161" i="1" s="1"/>
  <c r="AG1162" i="1" a="1"/>
  <c r="AG1162" i="1" s="1"/>
  <c r="AG1163" i="1" a="1"/>
  <c r="AG1163" i="1" s="1"/>
  <c r="AG1164" i="1" a="1"/>
  <c r="AG1164" i="1" s="1"/>
  <c r="AG1165" i="1" a="1"/>
  <c r="AG1165" i="1" s="1"/>
  <c r="AG1166" i="1" a="1"/>
  <c r="AG1166" i="1" s="1"/>
  <c r="AG1167" i="1" a="1"/>
  <c r="AG1167" i="1" s="1"/>
  <c r="AG1168" i="1" a="1"/>
  <c r="AG1168" i="1" s="1"/>
  <c r="AG1169" i="1" a="1"/>
  <c r="AG1169" i="1" s="1"/>
  <c r="AG1170" i="1" a="1"/>
  <c r="AG1170" i="1" s="1"/>
  <c r="AG1171" i="1" a="1"/>
  <c r="AG1171" i="1" s="1"/>
  <c r="AG1172" i="1" a="1"/>
  <c r="AG1172" i="1" s="1"/>
  <c r="AG1173" i="1" a="1"/>
  <c r="AG1173" i="1" s="1"/>
  <c r="AG1174" i="1" a="1"/>
  <c r="AG1174" i="1" s="1"/>
  <c r="AG1175" i="1" a="1"/>
  <c r="AG1175" i="1" s="1"/>
  <c r="AG1176" i="1" a="1"/>
  <c r="AG1176" i="1" s="1"/>
  <c r="AG1177" i="1" a="1"/>
  <c r="AG1177" i="1" s="1"/>
  <c r="AG1178" i="1" a="1"/>
  <c r="AG1178" i="1" s="1"/>
  <c r="AG1179" i="1" a="1"/>
  <c r="AG1179" i="1" s="1"/>
  <c r="AG1180" i="1" a="1"/>
  <c r="AG1180" i="1" s="1"/>
  <c r="AG1181" i="1" a="1"/>
  <c r="AG1181" i="1" s="1"/>
  <c r="AG1182" i="1" a="1"/>
  <c r="AG1182" i="1" s="1"/>
  <c r="AG1183" i="1" a="1"/>
  <c r="AG1183" i="1" s="1"/>
  <c r="AG1184" i="1" a="1"/>
  <c r="AG1184" i="1" s="1"/>
  <c r="AG1185" i="1" a="1"/>
  <c r="AG1185" i="1" s="1"/>
  <c r="AG1186" i="1" a="1"/>
  <c r="AG1186" i="1" s="1"/>
  <c r="AG1187" i="1" a="1"/>
  <c r="AG1187" i="1" s="1"/>
  <c r="AG1188" i="1" a="1"/>
  <c r="AG1188" i="1" s="1"/>
  <c r="AG1189" i="1" a="1"/>
  <c r="AG1189" i="1" s="1"/>
  <c r="AG1190" i="1" a="1"/>
  <c r="AG1190" i="1" s="1"/>
  <c r="AG1191" i="1" a="1"/>
  <c r="AG1191" i="1" s="1"/>
  <c r="AG1192" i="1" a="1"/>
  <c r="AG1192" i="1" s="1"/>
  <c r="AG1193" i="1" a="1"/>
  <c r="AG1193" i="1" s="1"/>
  <c r="AG1194" i="1" a="1"/>
  <c r="AG1194" i="1" s="1"/>
  <c r="AG1195" i="1" a="1"/>
  <c r="AG1195" i="1" s="1"/>
  <c r="AG1196" i="1" a="1"/>
  <c r="AG1196" i="1" s="1"/>
  <c r="AG1197" i="1" a="1"/>
  <c r="AG1197" i="1" s="1"/>
  <c r="AG1198" i="1" a="1"/>
  <c r="AG1198" i="1" s="1"/>
  <c r="AG1199" i="1" a="1"/>
  <c r="AG1199" i="1" s="1"/>
  <c r="AG1200" i="1" a="1"/>
  <c r="AG1200" i="1" s="1"/>
  <c r="AG1201" i="1" a="1"/>
  <c r="AG1201" i="1" s="1"/>
  <c r="AG1202" i="1" a="1"/>
  <c r="AG1202" i="1" s="1"/>
  <c r="AG1203" i="1" a="1"/>
  <c r="AG1203" i="1" s="1"/>
  <c r="AG1204" i="1" a="1"/>
  <c r="AG1204" i="1" s="1"/>
  <c r="AG1205" i="1" a="1"/>
  <c r="AG1205" i="1" s="1"/>
  <c r="AG1206" i="1" a="1"/>
  <c r="AG1206" i="1" s="1"/>
  <c r="AG1207" i="1" a="1"/>
  <c r="AG1207" i="1" s="1"/>
  <c r="AG1208" i="1" a="1"/>
  <c r="AG1208" i="1" s="1"/>
  <c r="AG1209" i="1" a="1"/>
  <c r="AG1209" i="1" s="1"/>
  <c r="AG1210" i="1" a="1"/>
  <c r="AG1210" i="1" s="1"/>
  <c r="AG1211" i="1" a="1"/>
  <c r="AG1211" i="1" s="1"/>
  <c r="AG1212" i="1" a="1"/>
  <c r="AG1212" i="1" s="1"/>
  <c r="AG1213" i="1" a="1"/>
  <c r="AG1213" i="1" s="1"/>
  <c r="AG1214" i="1" a="1"/>
  <c r="AG1214" i="1" s="1"/>
  <c r="AG1215" i="1" a="1"/>
  <c r="AG1215" i="1" s="1"/>
  <c r="AG1216" i="1" a="1"/>
  <c r="AG1216" i="1" s="1"/>
  <c r="AG1217" i="1" a="1"/>
  <c r="AG1217" i="1" s="1"/>
  <c r="AG1218" i="1" a="1"/>
  <c r="AG1218" i="1" s="1"/>
  <c r="AG1219" i="1" a="1"/>
  <c r="AG1219" i="1" s="1"/>
  <c r="AG1220" i="1" a="1"/>
  <c r="AG1220" i="1" s="1"/>
  <c r="AG1221" i="1" a="1"/>
  <c r="AG1221" i="1" s="1"/>
  <c r="AG1222" i="1" a="1"/>
  <c r="AG1222" i="1" s="1"/>
  <c r="AG1223" i="1" a="1"/>
  <c r="AG1223" i="1" s="1"/>
  <c r="AG1224" i="1" a="1"/>
  <c r="AG1224" i="1" s="1"/>
  <c r="AG1225" i="1" a="1"/>
  <c r="AG1225" i="1" s="1"/>
  <c r="AG1226" i="1" a="1"/>
  <c r="AG1226" i="1" s="1"/>
  <c r="AG1227" i="1" a="1"/>
  <c r="AG1227" i="1" s="1"/>
  <c r="AG1228" i="1" a="1"/>
  <c r="AG1228" i="1" s="1"/>
  <c r="AG1229" i="1" a="1"/>
  <c r="AG1229" i="1" s="1"/>
  <c r="AG1230" i="1" a="1"/>
  <c r="AG1230" i="1" s="1"/>
  <c r="AG1231" i="1" a="1"/>
  <c r="AG1231" i="1" s="1"/>
  <c r="AG1232" i="1" a="1"/>
  <c r="AG1232" i="1" s="1"/>
  <c r="AG1233" i="1" a="1"/>
  <c r="AG1233" i="1" s="1"/>
  <c r="AG1234" i="1" a="1"/>
  <c r="AG1234" i="1" s="1"/>
  <c r="AG1235" i="1" a="1"/>
  <c r="AG1235" i="1" s="1"/>
  <c r="AG1236" i="1" a="1"/>
  <c r="AG1236" i="1" s="1"/>
  <c r="AG1237" i="1" a="1"/>
  <c r="AG1237" i="1" s="1"/>
  <c r="AG1238" i="1" a="1"/>
  <c r="AG1238" i="1" s="1"/>
  <c r="AG1239" i="1" a="1"/>
  <c r="AG1239" i="1" s="1"/>
  <c r="AG1240" i="1" a="1"/>
  <c r="AG1240" i="1" s="1"/>
  <c r="AG1241" i="1" a="1"/>
  <c r="AG1241" i="1" s="1"/>
  <c r="AG1242" i="1" a="1"/>
  <c r="AG1242" i="1" s="1"/>
  <c r="AG1243" i="1" a="1"/>
  <c r="AG1243" i="1" s="1"/>
  <c r="AG1244" i="1" a="1"/>
  <c r="AG1244" i="1" s="1"/>
  <c r="AG1245" i="1" a="1"/>
  <c r="AG1245" i="1" s="1"/>
  <c r="AG1246" i="1" a="1"/>
  <c r="AG1246" i="1" s="1"/>
  <c r="AG1247" i="1" a="1"/>
  <c r="AG1247" i="1" s="1"/>
  <c r="AG1248" i="1" a="1"/>
  <c r="AG1248" i="1" s="1"/>
  <c r="AG1249" i="1" a="1"/>
  <c r="AG1249" i="1" s="1"/>
  <c r="AG1250" i="1" a="1"/>
  <c r="AG1250" i="1" s="1"/>
  <c r="AG1251" i="1" a="1"/>
  <c r="AG1251" i="1" s="1"/>
  <c r="AG1252" i="1" a="1"/>
  <c r="AG1252" i="1" s="1"/>
  <c r="AG1253" i="1" a="1"/>
  <c r="AG1253" i="1" s="1"/>
  <c r="AG1254" i="1" a="1"/>
  <c r="AG1254" i="1" s="1"/>
  <c r="AG1255" i="1" a="1"/>
  <c r="AG1255" i="1" s="1"/>
  <c r="AG1256" i="1" a="1"/>
  <c r="AG1256" i="1" s="1"/>
  <c r="AG1257" i="1" a="1"/>
  <c r="AG1257" i="1" s="1"/>
  <c r="AG1258" i="1" a="1"/>
  <c r="AG1258" i="1" s="1"/>
  <c r="AG1259" i="1" a="1"/>
  <c r="AG1259" i="1" s="1"/>
  <c r="AG1260" i="1" a="1"/>
  <c r="AG1260" i="1" s="1"/>
  <c r="AG1261" i="1" a="1"/>
  <c r="AG1261" i="1" s="1"/>
  <c r="AG1262" i="1" a="1"/>
  <c r="AG1262" i="1" s="1"/>
  <c r="AG1263" i="1" a="1"/>
  <c r="AG1263" i="1" s="1"/>
  <c r="AG1264" i="1" a="1"/>
  <c r="AG1264" i="1" s="1"/>
  <c r="AG1265" i="1" a="1"/>
  <c r="AG1265" i="1" s="1"/>
  <c r="AG1266" i="1" a="1"/>
  <c r="AG1266" i="1" s="1"/>
  <c r="AG1267" i="1" a="1"/>
  <c r="AG1267" i="1" s="1"/>
  <c r="AG1268" i="1" a="1"/>
  <c r="AG1268" i="1" s="1"/>
  <c r="AG1269" i="1" a="1"/>
  <c r="AG1269" i="1" s="1"/>
  <c r="AG1270" i="1" a="1"/>
  <c r="AG1270" i="1" s="1"/>
  <c r="AG1271" i="1" a="1"/>
  <c r="AG1271" i="1" s="1"/>
  <c r="AG1272" i="1" a="1"/>
  <c r="AG1272" i="1" s="1"/>
  <c r="AG1273" i="1" a="1"/>
  <c r="AG1273" i="1" s="1"/>
  <c r="AG1274" i="1" a="1"/>
  <c r="AG1274" i="1" s="1"/>
  <c r="AG1275" i="1" a="1"/>
  <c r="AG1275" i="1" s="1"/>
  <c r="AG1276" i="1" a="1"/>
  <c r="AG1276" i="1" s="1"/>
  <c r="AG1277" i="1" a="1"/>
  <c r="AG1277" i="1" s="1"/>
  <c r="AG1278" i="1" a="1"/>
  <c r="AG1278" i="1" s="1"/>
  <c r="AG1279" i="1" a="1"/>
  <c r="AG1279" i="1" s="1"/>
  <c r="AG1280" i="1" a="1"/>
  <c r="AG1280" i="1" s="1"/>
  <c r="AG1281" i="1" a="1"/>
  <c r="AG1281" i="1" s="1"/>
  <c r="AG1282" i="1" a="1"/>
  <c r="AG1282" i="1" s="1"/>
  <c r="AG1283" i="1" a="1"/>
  <c r="AG1283" i="1" s="1"/>
  <c r="AG1284" i="1" a="1"/>
  <c r="AG1284" i="1" s="1"/>
  <c r="AG1285" i="1" a="1"/>
  <c r="AG1285" i="1" s="1"/>
  <c r="AG1286" i="1" a="1"/>
  <c r="AG1286" i="1" s="1"/>
  <c r="AG1287" i="1" a="1"/>
  <c r="AG1287" i="1" s="1"/>
  <c r="AG1288" i="1" a="1"/>
  <c r="AG1288" i="1" s="1"/>
  <c r="AG1289" i="1" a="1"/>
  <c r="AG1289" i="1" s="1"/>
  <c r="AG1290" i="1" a="1"/>
  <c r="AG1290" i="1" s="1"/>
  <c r="AG1291" i="1" a="1"/>
  <c r="AG1291" i="1" s="1"/>
  <c r="AG1292" i="1" a="1"/>
  <c r="AG1292" i="1" s="1"/>
  <c r="AG1293" i="1" a="1"/>
  <c r="AG1293" i="1" s="1"/>
  <c r="AG1294" i="1" a="1"/>
  <c r="AG1294" i="1" s="1"/>
  <c r="AG1295" i="1" a="1"/>
  <c r="AG1295" i="1" s="1"/>
  <c r="AG1296" i="1" a="1"/>
  <c r="AG1296" i="1" s="1"/>
  <c r="AG1297" i="1" a="1"/>
  <c r="AG1297" i="1" s="1"/>
  <c r="AG1298" i="1" a="1"/>
  <c r="AG1298" i="1" s="1"/>
  <c r="AG1299" i="1" a="1"/>
  <c r="AG1299" i="1" s="1"/>
  <c r="AG1300" i="1" a="1"/>
  <c r="AG1300" i="1" s="1"/>
  <c r="AG1301" i="1" a="1"/>
  <c r="AG1301" i="1" s="1"/>
  <c r="AG1302" i="1" a="1"/>
  <c r="AG1302" i="1" s="1"/>
  <c r="AG1303" i="1" a="1"/>
  <c r="AG1303" i="1" s="1"/>
  <c r="AG1304" i="1" a="1"/>
  <c r="AG1304" i="1" s="1"/>
  <c r="AG1305" i="1" a="1"/>
  <c r="AG1305" i="1" s="1"/>
  <c r="AG1306" i="1" a="1"/>
  <c r="AG1306" i="1" s="1"/>
  <c r="AG1307" i="1" a="1"/>
  <c r="AG1307" i="1" s="1"/>
  <c r="AG1308" i="1" a="1"/>
  <c r="AG1308" i="1" s="1"/>
  <c r="AG1309" i="1" a="1"/>
  <c r="AG1309" i="1" s="1"/>
  <c r="AG1310" i="1" a="1"/>
  <c r="AG1310" i="1" s="1"/>
  <c r="AG1311" i="1" a="1"/>
  <c r="AG1311" i="1" s="1"/>
  <c r="AG1312" i="1" a="1"/>
  <c r="AG1312" i="1" s="1"/>
  <c r="AG1313" i="1" a="1"/>
  <c r="AG1313" i="1" s="1"/>
  <c r="AG1314" i="1" a="1"/>
  <c r="AG1314" i="1" s="1"/>
  <c r="AG1315" i="1" a="1"/>
  <c r="AG1315" i="1" s="1"/>
  <c r="AG1316" i="1" a="1"/>
  <c r="AG1316" i="1" s="1"/>
  <c r="AG1317" i="1" a="1"/>
  <c r="AG1317" i="1" s="1"/>
  <c r="AG1318" i="1" a="1"/>
  <c r="AG1318" i="1" s="1"/>
  <c r="AG1319" i="1" a="1"/>
  <c r="AG1319" i="1" s="1"/>
  <c r="AG1320" i="1" a="1"/>
  <c r="AG1320" i="1" s="1"/>
  <c r="AG1321" i="1" a="1"/>
  <c r="AG1321" i="1" s="1"/>
  <c r="AG1322" i="1" a="1"/>
  <c r="AG1322" i="1" s="1"/>
  <c r="AG1323" i="1" a="1"/>
  <c r="AG1323" i="1" s="1"/>
  <c r="AG1324" i="1" a="1"/>
  <c r="AG1324" i="1" s="1"/>
  <c r="AG1325" i="1" a="1"/>
  <c r="AG1325" i="1" s="1"/>
  <c r="AG1326" i="1" a="1"/>
  <c r="AG1326" i="1" s="1"/>
  <c r="AG1327" i="1" a="1"/>
  <c r="AG1327" i="1" s="1"/>
  <c r="AG1328" i="1" a="1"/>
  <c r="AG1328" i="1" s="1"/>
  <c r="AG1329" i="1" a="1"/>
  <c r="AG1329" i="1" s="1"/>
  <c r="AG1330" i="1" a="1"/>
  <c r="AG1330" i="1" s="1"/>
  <c r="AG1331" i="1" a="1"/>
  <c r="AG1331" i="1" s="1"/>
  <c r="AG1332" i="1" a="1"/>
  <c r="AG1332" i="1" s="1"/>
  <c r="AG1333" i="1" a="1"/>
  <c r="AG1333" i="1" s="1"/>
  <c r="AG1334" i="1" a="1"/>
  <c r="AG1334" i="1" s="1"/>
  <c r="AG1335" i="1" a="1"/>
  <c r="AG1335" i="1" s="1"/>
  <c r="AG1336" i="1" a="1"/>
  <c r="AG1336" i="1" s="1"/>
  <c r="AG1337" i="1" a="1"/>
  <c r="AG1337" i="1" s="1"/>
  <c r="AG1338" i="1" a="1"/>
  <c r="AG1338" i="1" s="1"/>
  <c r="AG1339" i="1" a="1"/>
  <c r="AG1339" i="1" s="1"/>
  <c r="AG1340" i="1" a="1"/>
  <c r="AG1340" i="1" s="1"/>
  <c r="AG1341" i="1" a="1"/>
  <c r="AG1341" i="1" s="1"/>
  <c r="AG1342" i="1" a="1"/>
  <c r="AG1342" i="1" s="1"/>
  <c r="AG1343" i="1" a="1"/>
  <c r="AG1343" i="1" s="1"/>
  <c r="AG1344" i="1" a="1"/>
  <c r="AG1344" i="1" s="1"/>
  <c r="AG1345" i="1" a="1"/>
  <c r="AG1345" i="1" s="1"/>
  <c r="AG1346" i="1" a="1"/>
  <c r="AG1346" i="1" s="1"/>
  <c r="AG1347" i="1" a="1"/>
  <c r="AG1347" i="1" s="1"/>
  <c r="AG1348" i="1" a="1"/>
  <c r="AG1348" i="1" s="1"/>
  <c r="AG1349" i="1" a="1"/>
  <c r="AG1349" i="1" s="1"/>
  <c r="AG1350" i="1" a="1"/>
  <c r="AG1350" i="1" s="1"/>
  <c r="AG1351" i="1" a="1"/>
  <c r="AG1351" i="1" s="1"/>
  <c r="AG1352" i="1" a="1"/>
  <c r="AG1352" i="1" s="1"/>
  <c r="AG1353" i="1" a="1"/>
  <c r="AG1353" i="1" s="1"/>
  <c r="AG1354" i="1" a="1"/>
  <c r="AG1354" i="1" s="1"/>
  <c r="AG1355" i="1" a="1"/>
  <c r="AG1355" i="1" s="1"/>
  <c r="AG1356" i="1" a="1"/>
  <c r="AG1356" i="1" s="1"/>
  <c r="AG1357" i="1" a="1"/>
  <c r="AG1357" i="1" s="1"/>
  <c r="AG1358" i="1" a="1"/>
  <c r="AG1358" i="1" s="1"/>
  <c r="AG1359" i="1" a="1"/>
  <c r="AG1359" i="1" s="1"/>
  <c r="AG1360" i="1" a="1"/>
  <c r="AG1360" i="1" s="1"/>
  <c r="AG1361" i="1" a="1"/>
  <c r="AG1361" i="1" s="1"/>
  <c r="AG1362" i="1" a="1"/>
  <c r="AG1362" i="1" s="1"/>
  <c r="AG1363" i="1" a="1"/>
  <c r="AG1363" i="1" s="1"/>
  <c r="AG1364" i="1" a="1"/>
  <c r="AG1364" i="1" s="1"/>
  <c r="AG1365" i="1" a="1"/>
  <c r="AG1365" i="1" s="1"/>
  <c r="AG1366" i="1" a="1"/>
  <c r="AG1366" i="1" s="1"/>
  <c r="AG1367" i="1" a="1"/>
  <c r="AG1367" i="1" s="1"/>
  <c r="AG1368" i="1" a="1"/>
  <c r="AG1368" i="1" s="1"/>
  <c r="AG1369" i="1" a="1"/>
  <c r="AG1369" i="1" s="1"/>
  <c r="AG1370" i="1" a="1"/>
  <c r="AG1370" i="1" s="1"/>
  <c r="AG1371" i="1" a="1"/>
  <c r="AG1371" i="1" s="1"/>
  <c r="AG1372" i="1" a="1"/>
  <c r="AG1372" i="1" s="1"/>
  <c r="AG1373" i="1" a="1"/>
  <c r="AG1373" i="1" s="1"/>
  <c r="AG1374" i="1" a="1"/>
  <c r="AG1374" i="1" s="1"/>
  <c r="AG1375" i="1" a="1"/>
  <c r="AG1375" i="1" s="1"/>
  <c r="AG1376" i="1" a="1"/>
  <c r="AG1376" i="1" s="1"/>
  <c r="AG1377" i="1" a="1"/>
  <c r="AG1377" i="1" s="1"/>
  <c r="AG1378" i="1" a="1"/>
  <c r="AG1378" i="1" s="1"/>
  <c r="AG1379" i="1" a="1"/>
  <c r="AG1379" i="1" s="1"/>
  <c r="AG1380" i="1" a="1"/>
  <c r="AG1380" i="1" s="1"/>
  <c r="AG1381" i="1" a="1"/>
  <c r="AG1381" i="1" s="1"/>
  <c r="AG1382" i="1" a="1"/>
  <c r="AG1382" i="1" s="1"/>
  <c r="AG1383" i="1" a="1"/>
  <c r="AG1383" i="1" s="1"/>
  <c r="AG1384" i="1" a="1"/>
  <c r="AG1384" i="1" s="1"/>
  <c r="AG1385" i="1" a="1"/>
  <c r="AG1385" i="1" s="1"/>
  <c r="AG1386" i="1" a="1"/>
  <c r="AG1386" i="1" s="1"/>
  <c r="AG1387" i="1" a="1"/>
  <c r="AG1387" i="1" s="1"/>
  <c r="AG1388" i="1" a="1"/>
  <c r="AG1388" i="1" s="1"/>
  <c r="AG1389" i="1" a="1"/>
  <c r="AG1389" i="1" s="1"/>
  <c r="AG1390" i="1" a="1"/>
  <c r="AG1390" i="1" s="1"/>
  <c r="AG1391" i="1" a="1"/>
  <c r="AG1391" i="1" s="1"/>
  <c r="AG1392" i="1" a="1"/>
  <c r="AG1392" i="1" s="1"/>
  <c r="AG1393" i="1" a="1"/>
  <c r="AG1393" i="1" s="1"/>
  <c r="AG1394" i="1" a="1"/>
  <c r="AG1394" i="1" s="1"/>
  <c r="AG1395" i="1" a="1"/>
  <c r="AG1395" i="1" s="1"/>
  <c r="AG1396" i="1" a="1"/>
  <c r="AG1396" i="1" s="1"/>
  <c r="AG1397" i="1" a="1"/>
  <c r="AG1397" i="1" s="1"/>
  <c r="AG1398" i="1" a="1"/>
  <c r="AG1398" i="1" s="1"/>
  <c r="AG1399" i="1" a="1"/>
  <c r="AG1399" i="1" s="1"/>
  <c r="AG1400" i="1" a="1"/>
  <c r="AG1400" i="1" s="1"/>
  <c r="AG1401" i="1" a="1"/>
  <c r="AG1401" i="1" s="1"/>
  <c r="AG1402" i="1" a="1"/>
  <c r="AG1402" i="1" s="1"/>
  <c r="AG1403" i="1" a="1"/>
  <c r="AG1403" i="1" s="1"/>
  <c r="AG1404" i="1" a="1"/>
  <c r="AG1404" i="1" s="1"/>
  <c r="AG1405" i="1" a="1"/>
  <c r="AG1405" i="1" s="1"/>
  <c r="AG1406" i="1" a="1"/>
  <c r="AG1406" i="1" s="1"/>
  <c r="AG1407" i="1" a="1"/>
  <c r="AG1407" i="1" s="1"/>
  <c r="AG1408" i="1" a="1"/>
  <c r="AG1408" i="1" s="1"/>
  <c r="AG1409" i="1" a="1"/>
  <c r="AG1409" i="1" s="1"/>
  <c r="AG1410" i="1" a="1"/>
  <c r="AG1410" i="1" s="1"/>
  <c r="AG1411" i="1" a="1"/>
  <c r="AG1411" i="1" s="1"/>
  <c r="AG1412" i="1" a="1"/>
  <c r="AG1412" i="1" s="1"/>
  <c r="AG1413" i="1" a="1"/>
  <c r="AG1413" i="1" s="1"/>
  <c r="AG1414" i="1" a="1"/>
  <c r="AG1414" i="1" s="1"/>
  <c r="AG1415" i="1" a="1"/>
  <c r="AG1415" i="1" s="1"/>
  <c r="AG1416" i="1" a="1"/>
  <c r="AG1416" i="1" s="1"/>
  <c r="AG1417" i="1" a="1"/>
  <c r="AG1417" i="1" s="1"/>
  <c r="AG1418" i="1" a="1"/>
  <c r="AG1418" i="1" s="1"/>
  <c r="AG1419" i="1" a="1"/>
  <c r="AG1419" i="1" s="1"/>
  <c r="AG1420" i="1" a="1"/>
  <c r="AG1420" i="1"/>
  <c r="AG1421" i="1" a="1"/>
  <c r="AG1421" i="1"/>
  <c r="AG1422" i="1" a="1"/>
  <c r="AG1422" i="1"/>
  <c r="AG1423" i="1" a="1"/>
  <c r="AG1423" i="1"/>
  <c r="AG1424" i="1" a="1"/>
  <c r="AG1424" i="1"/>
  <c r="AG1425" i="1" a="1"/>
  <c r="AG1425" i="1"/>
  <c r="AG1426" i="1" a="1"/>
  <c r="AG1426" i="1"/>
  <c r="AG1427" i="1" a="1"/>
  <c r="AG1427" i="1"/>
  <c r="AG1428" i="1" a="1"/>
  <c r="AG1428" i="1"/>
  <c r="AG1429" i="1" a="1"/>
  <c r="AG1429" i="1"/>
  <c r="AG1430" i="1" a="1"/>
  <c r="AG1430" i="1"/>
  <c r="AG1431" i="1" a="1"/>
  <c r="AG1431" i="1"/>
  <c r="AG1432" i="1" a="1"/>
  <c r="AG1432" i="1"/>
  <c r="AG1433" i="1" a="1"/>
  <c r="AG1433" i="1"/>
  <c r="AG1434" i="1" a="1"/>
  <c r="AG1434" i="1"/>
  <c r="AG1435" i="1" a="1"/>
  <c r="AG1435" i="1"/>
  <c r="AG1436" i="1" a="1"/>
  <c r="AG1436" i="1"/>
  <c r="AG1437" i="1" a="1"/>
  <c r="AG1437" i="1"/>
  <c r="AG1438" i="1" a="1"/>
  <c r="AG1438" i="1"/>
  <c r="AG1439" i="1" a="1"/>
  <c r="AG1439" i="1"/>
  <c r="AG1440" i="1" a="1"/>
  <c r="AG1440" i="1"/>
  <c r="AG1441" i="1" a="1"/>
  <c r="AG1441" i="1"/>
  <c r="AG1442" i="1" a="1"/>
  <c r="AG1442" i="1"/>
  <c r="AG1443" i="1" a="1"/>
  <c r="AG1443" i="1"/>
  <c r="AG1444" i="1" a="1"/>
  <c r="AG1444" i="1"/>
  <c r="AG1445" i="1" a="1"/>
  <c r="AG1445" i="1"/>
  <c r="AG1446" i="1" a="1"/>
  <c r="AG1446" i="1"/>
  <c r="AG1447" i="1" a="1"/>
  <c r="AG1447" i="1"/>
  <c r="AG1448" i="1" a="1"/>
  <c r="AG1448" i="1"/>
  <c r="AG1449" i="1" a="1"/>
  <c r="AG1449" i="1"/>
  <c r="AG1450" i="1" a="1"/>
  <c r="AG1450" i="1"/>
  <c r="AG1451" i="1" a="1"/>
  <c r="AG1451" i="1"/>
  <c r="AG1452" i="1" a="1"/>
  <c r="AG1452" i="1"/>
  <c r="AG1453" i="1" a="1"/>
  <c r="AG1453" i="1"/>
  <c r="AG1454" i="1" a="1"/>
  <c r="AG1454" i="1"/>
  <c r="AG1455" i="1" a="1"/>
  <c r="AG1455" i="1"/>
  <c r="AG1456" i="1" a="1"/>
  <c r="AG1456" i="1"/>
  <c r="AG1457" i="1" a="1"/>
  <c r="AG1457" i="1"/>
  <c r="AG1458" i="1" a="1"/>
  <c r="AG1458" i="1"/>
  <c r="AG1459" i="1" a="1"/>
  <c r="AG1459" i="1"/>
  <c r="AG1460" i="1" a="1"/>
  <c r="AG1460" i="1"/>
  <c r="AG1461" i="1" a="1"/>
  <c r="AG1461" i="1"/>
  <c r="AG1462" i="1" a="1"/>
  <c r="AG1462" i="1"/>
  <c r="AG1463" i="1" a="1"/>
  <c r="AG1463" i="1"/>
  <c r="AG1464" i="1" a="1"/>
  <c r="AG1464" i="1"/>
  <c r="AG1465" i="1" a="1"/>
  <c r="AG1465" i="1"/>
  <c r="AG1466" i="1" a="1"/>
  <c r="AG1466" i="1"/>
  <c r="AG1467" i="1" a="1"/>
  <c r="AG1467" i="1"/>
  <c r="AG1468" i="1" a="1"/>
  <c r="AG1468" i="1"/>
  <c r="AG1469" i="1" a="1"/>
  <c r="AG1469" i="1"/>
  <c r="AG1470" i="1" a="1"/>
  <c r="AG1470" i="1"/>
  <c r="AG1471" i="1" a="1"/>
  <c r="AG1471" i="1"/>
  <c r="AG1472" i="1" a="1"/>
  <c r="AG1472" i="1"/>
  <c r="AG1473" i="1" a="1"/>
  <c r="AG1473" i="1"/>
  <c r="AG1474" i="1" a="1"/>
  <c r="AG1474" i="1"/>
  <c r="AG1475" i="1" a="1"/>
  <c r="AG1475" i="1"/>
  <c r="AG1476" i="1" a="1"/>
  <c r="AG1476" i="1"/>
  <c r="AG1477" i="1" a="1"/>
  <c r="AG1477" i="1"/>
  <c r="AG1478" i="1" a="1"/>
  <c r="AG1478" i="1"/>
  <c r="AG1479" i="1" a="1"/>
  <c r="AG1479" i="1"/>
  <c r="AG1480" i="1" a="1"/>
  <c r="AG1480" i="1"/>
  <c r="AG1481" i="1" a="1"/>
  <c r="AG1481" i="1"/>
  <c r="AG1482" i="1" a="1"/>
  <c r="AG1482" i="1"/>
  <c r="AG1483" i="1" a="1"/>
  <c r="AG1483" i="1"/>
  <c r="AG1484" i="1" a="1"/>
  <c r="AG1484" i="1"/>
  <c r="AG1485" i="1" a="1"/>
  <c r="AG1485" i="1"/>
  <c r="AG1486" i="1" a="1"/>
  <c r="AG1486" i="1"/>
  <c r="AG1487" i="1" a="1"/>
  <c r="AG1487" i="1"/>
  <c r="AG1488" i="1" a="1"/>
  <c r="AG1488" i="1"/>
  <c r="AG1489" i="1" a="1"/>
  <c r="AG1489" i="1"/>
  <c r="AG1490" i="1" a="1"/>
  <c r="AG1490" i="1"/>
  <c r="AG1491" i="1" a="1"/>
  <c r="AG1491" i="1"/>
  <c r="AG1492" i="1" a="1"/>
  <c r="AG1492" i="1"/>
  <c r="AG1493" i="1" a="1"/>
  <c r="AG1493" i="1"/>
  <c r="AG1494" i="1" a="1"/>
  <c r="AG1494" i="1"/>
  <c r="AG1495" i="1" a="1"/>
  <c r="AG1495" i="1"/>
  <c r="AG1496" i="1" a="1"/>
  <c r="AG1496" i="1"/>
  <c r="AG1497" i="1" a="1"/>
  <c r="AG1497" i="1"/>
  <c r="AG1498" i="1" a="1"/>
  <c r="AG1498" i="1"/>
  <c r="AG1499" i="1" a="1"/>
  <c r="AG1499" i="1"/>
  <c r="AG1500" i="1" a="1"/>
  <c r="AG1500" i="1"/>
  <c r="AG1501" i="1" a="1"/>
  <c r="AG1501" i="1"/>
  <c r="AG1502" i="1" a="1"/>
  <c r="AG1502" i="1"/>
  <c r="AG1503" i="1" a="1"/>
  <c r="AG1503" i="1"/>
  <c r="AG1504" i="1" a="1"/>
  <c r="AG1504" i="1"/>
  <c r="AG1505" i="1" a="1"/>
  <c r="AG1505" i="1"/>
  <c r="AG1506" i="1" a="1"/>
  <c r="AG1506" i="1"/>
  <c r="AG1507" i="1" a="1"/>
  <c r="AG1507" i="1"/>
  <c r="AG1508" i="1" a="1"/>
  <c r="AG1508" i="1"/>
  <c r="AG1509" i="1" a="1"/>
  <c r="AG1509" i="1"/>
  <c r="AG1510" i="1" a="1"/>
  <c r="AG1510" i="1"/>
  <c r="AG1511" i="1" a="1"/>
  <c r="AG1511" i="1"/>
  <c r="AG1512" i="1" a="1"/>
  <c r="AG1512" i="1"/>
  <c r="AG1513" i="1" a="1"/>
  <c r="AG1513" i="1"/>
  <c r="AG1514" i="1" a="1"/>
  <c r="AG1514" i="1"/>
  <c r="AG1515" i="1" a="1"/>
  <c r="AG1515" i="1"/>
  <c r="AG1516" i="1" a="1"/>
  <c r="AG1516" i="1"/>
  <c r="AG1517" i="1" a="1"/>
  <c r="AG1517" i="1"/>
  <c r="AG1518" i="1" a="1"/>
  <c r="AG1518" i="1"/>
  <c r="AG1519" i="1" a="1"/>
  <c r="AG1519" i="1"/>
  <c r="AG1520" i="1" a="1"/>
  <c r="AG1520" i="1"/>
  <c r="AG1521" i="1" a="1"/>
  <c r="AG1521" i="1"/>
  <c r="AG1522" i="1" a="1"/>
  <c r="AG1522" i="1"/>
  <c r="AG1523" i="1" a="1"/>
  <c r="AG1523" i="1"/>
  <c r="AG1524" i="1" a="1"/>
  <c r="AG1524" i="1"/>
  <c r="AG1525" i="1" a="1"/>
  <c r="AG1525" i="1"/>
  <c r="AG1526" i="1" a="1"/>
  <c r="AG1526" i="1"/>
  <c r="AG1527" i="1" a="1"/>
  <c r="AG1527" i="1"/>
  <c r="AG1528" i="1" a="1"/>
  <c r="AG1528" i="1"/>
  <c r="AG1529" i="1" a="1"/>
  <c r="AG1529" i="1"/>
  <c r="AG1530" i="1" a="1"/>
  <c r="AG1530" i="1"/>
  <c r="AG1531" i="1" a="1"/>
  <c r="AG1531" i="1"/>
  <c r="AG1532" i="1" a="1"/>
  <c r="AG1532" i="1"/>
  <c r="AG1533" i="1" a="1"/>
  <c r="AG1533" i="1"/>
  <c r="AG1534" i="1" a="1"/>
  <c r="AG1534" i="1"/>
  <c r="AG1535" i="1" a="1"/>
  <c r="AG1535" i="1"/>
  <c r="AG1536" i="1" a="1"/>
  <c r="AG1536" i="1"/>
  <c r="AG1537" i="1" a="1"/>
  <c r="AG1537" i="1"/>
  <c r="AG1538" i="1" a="1"/>
  <c r="AG1538" i="1"/>
  <c r="AG1539" i="1" a="1"/>
  <c r="AG1539" i="1"/>
  <c r="AG1540" i="1" a="1"/>
  <c r="AG1540" i="1"/>
  <c r="AG1541" i="1" a="1"/>
  <c r="AG1541" i="1"/>
  <c r="AG1542" i="1" a="1"/>
  <c r="AG1542" i="1"/>
  <c r="AG1543" i="1" a="1"/>
  <c r="AG1543" i="1"/>
  <c r="AG1544" i="1" a="1"/>
  <c r="AG1544" i="1"/>
  <c r="AG1545" i="1" a="1"/>
  <c r="AG1545" i="1"/>
  <c r="AG1546" i="1" a="1"/>
  <c r="AG1546" i="1"/>
  <c r="AG1547" i="1" a="1"/>
  <c r="AG1547" i="1"/>
  <c r="AG1548" i="1" a="1"/>
  <c r="AG1548" i="1"/>
  <c r="AG1549" i="1" a="1"/>
  <c r="AG1549" i="1"/>
  <c r="AG1550" i="1" a="1"/>
  <c r="AG1550" i="1"/>
  <c r="AG1551" i="1" a="1"/>
  <c r="AG1551" i="1"/>
  <c r="AG1552" i="1" a="1"/>
  <c r="AG1552" i="1"/>
  <c r="AG1553" i="1" a="1"/>
  <c r="AG1553" i="1"/>
  <c r="AG1554" i="1" a="1"/>
  <c r="AG1554" i="1"/>
  <c r="AG1555" i="1" a="1"/>
  <c r="AG1555" i="1"/>
  <c r="AG1556" i="1" a="1"/>
  <c r="AG1556" i="1"/>
  <c r="AG1557" i="1" a="1"/>
  <c r="AG1557" i="1"/>
  <c r="AG1558" i="1" a="1"/>
  <c r="AG1558" i="1"/>
  <c r="AG1559" i="1" a="1"/>
  <c r="AG1559" i="1"/>
  <c r="AG1560" i="1" a="1"/>
  <c r="AG1560" i="1"/>
  <c r="AG1561" i="1" a="1"/>
  <c r="AG1561" i="1"/>
  <c r="AG1562" i="1" a="1"/>
  <c r="AG1562" i="1"/>
  <c r="AG1563" i="1" a="1"/>
  <c r="AG1563" i="1"/>
  <c r="AG1564" i="1" a="1"/>
  <c r="AG1564" i="1"/>
  <c r="AG1565" i="1" a="1"/>
  <c r="AG1565" i="1"/>
  <c r="AG1566" i="1" a="1"/>
  <c r="AG1566" i="1"/>
  <c r="AG1567" i="1" a="1"/>
  <c r="AG1567" i="1"/>
  <c r="AG1568" i="1" a="1"/>
  <c r="AG1568" i="1"/>
  <c r="AG1569" i="1" a="1"/>
  <c r="AG1569" i="1"/>
  <c r="AG1570" i="1" a="1"/>
  <c r="AG1570" i="1"/>
  <c r="AG1571" i="1" a="1"/>
  <c r="AG1571" i="1"/>
  <c r="AG1572" i="1" a="1"/>
  <c r="AG1572" i="1"/>
  <c r="AG1573" i="1" a="1"/>
  <c r="AG1573" i="1"/>
  <c r="AG1574" i="1" a="1"/>
  <c r="AG1574" i="1"/>
  <c r="AG1575" i="1" a="1"/>
  <c r="AG1575" i="1"/>
  <c r="AG1576" i="1" a="1"/>
  <c r="AG1576" i="1"/>
  <c r="AG1577" i="1" a="1"/>
  <c r="AG1577" i="1"/>
  <c r="AG1578" i="1" a="1"/>
  <c r="AG1578" i="1"/>
  <c r="AG1579" i="1" a="1"/>
  <c r="AG1579" i="1"/>
  <c r="AG1580" i="1" a="1"/>
  <c r="AG1580" i="1"/>
  <c r="AG1581" i="1" a="1"/>
  <c r="AG1581" i="1"/>
  <c r="AG1582" i="1" a="1"/>
  <c r="AG1582" i="1"/>
  <c r="AG1583" i="1" a="1"/>
  <c r="AG1583" i="1"/>
  <c r="AG1584" i="1" a="1"/>
  <c r="AG1584" i="1"/>
  <c r="AG1585" i="1" a="1"/>
  <c r="AG1585" i="1"/>
  <c r="AG1586" i="1" a="1"/>
  <c r="AG1586" i="1"/>
  <c r="AG1587" i="1" a="1"/>
  <c r="AG1587" i="1"/>
  <c r="AG1588" i="1" a="1"/>
  <c r="AG1588" i="1"/>
  <c r="AG1589" i="1" a="1"/>
  <c r="AG1589" i="1"/>
  <c r="AG1590" i="1" a="1"/>
  <c r="AG1590" i="1"/>
  <c r="AG1591" i="1" a="1"/>
  <c r="AG1591" i="1"/>
  <c r="AG1592" i="1" a="1"/>
  <c r="AG1592" i="1"/>
  <c r="AG1593" i="1" a="1"/>
  <c r="AG1593" i="1"/>
  <c r="AG1594" i="1" a="1"/>
  <c r="AG1594" i="1"/>
  <c r="AG1595" i="1" a="1"/>
  <c r="AG1595" i="1"/>
  <c r="AG1596" i="1" a="1"/>
  <c r="AG1596" i="1"/>
  <c r="AG1597" i="1" a="1"/>
  <c r="AG1597" i="1"/>
  <c r="AG1598" i="1" a="1"/>
  <c r="AG1598" i="1"/>
  <c r="AG1599" i="1" a="1"/>
  <c r="AG1599" i="1"/>
  <c r="AG1600" i="1" a="1"/>
  <c r="AG1600" i="1"/>
  <c r="AG1601" i="1" a="1"/>
  <c r="AG1601" i="1"/>
  <c r="AG1602" i="1" a="1"/>
  <c r="AG1602" i="1"/>
  <c r="AG1603" i="1" a="1"/>
  <c r="AG1603" i="1"/>
  <c r="AG1604" i="1" a="1"/>
  <c r="AG1604" i="1"/>
  <c r="AG1605" i="1" a="1"/>
  <c r="AG1605" i="1"/>
  <c r="AG1606" i="1" a="1"/>
  <c r="AG1606" i="1"/>
  <c r="AG1607" i="1" a="1"/>
  <c r="AG1607" i="1"/>
  <c r="AG1608" i="1" a="1"/>
  <c r="AG1608" i="1"/>
  <c r="AG1609" i="1" a="1"/>
  <c r="AG1609" i="1"/>
  <c r="AG1610" i="1" a="1"/>
  <c r="AG1610" i="1"/>
  <c r="AG1611" i="1" a="1"/>
  <c r="AG1611" i="1"/>
  <c r="AG1612" i="1" a="1"/>
  <c r="AG1612" i="1"/>
  <c r="AG1613" i="1" a="1"/>
  <c r="AG1613" i="1"/>
  <c r="AG1614" i="1" a="1"/>
  <c r="AG1614" i="1"/>
  <c r="AG1615" i="1" a="1"/>
  <c r="AG1615" i="1"/>
  <c r="AG1616" i="1" a="1"/>
  <c r="AG1616" i="1"/>
  <c r="AG1617" i="1" a="1"/>
  <c r="AG1617" i="1"/>
  <c r="AG1618" i="1" a="1"/>
  <c r="AG1618" i="1"/>
  <c r="AG1619" i="1" a="1"/>
  <c r="AG1619" i="1"/>
  <c r="AG1620" i="1" a="1"/>
  <c r="AG1620" i="1"/>
  <c r="AG1621" i="1" a="1"/>
  <c r="AG1621" i="1"/>
  <c r="AG1622" i="1" a="1"/>
  <c r="AG1622" i="1"/>
  <c r="AG1623" i="1" a="1"/>
  <c r="AG1623" i="1"/>
  <c r="AG1624" i="1" a="1"/>
  <c r="AG1624" i="1"/>
  <c r="AG1625" i="1" a="1"/>
  <c r="AG1625" i="1"/>
  <c r="AG1626" i="1" a="1"/>
  <c r="AG1626" i="1"/>
  <c r="AG1627" i="1" a="1"/>
  <c r="AG1627" i="1"/>
  <c r="AG1628" i="1" a="1"/>
  <c r="AG1628" i="1"/>
  <c r="AG1629" i="1" a="1"/>
  <c r="AG1629" i="1"/>
  <c r="AG1630" i="1" a="1"/>
  <c r="AG1630" i="1"/>
  <c r="AG1631" i="1" a="1"/>
  <c r="AG1631" i="1"/>
  <c r="AG1632" i="1" a="1"/>
  <c r="AG1632" i="1"/>
  <c r="AG1633" i="1" a="1"/>
  <c r="AG1633" i="1"/>
  <c r="AG1634" i="1" a="1"/>
  <c r="AG1634" i="1"/>
  <c r="AG1635" i="1" a="1"/>
  <c r="AG1635" i="1"/>
  <c r="AG1636" i="1" a="1"/>
  <c r="AG1636" i="1"/>
  <c r="AG1637" i="1" a="1"/>
  <c r="AG1637" i="1"/>
  <c r="AG1638" i="1" a="1"/>
  <c r="AG1638" i="1"/>
  <c r="AG1639" i="1" a="1"/>
  <c r="AG1639" i="1"/>
  <c r="AG1640" i="1" a="1"/>
  <c r="AG1640" i="1"/>
  <c r="AG1641" i="1" a="1"/>
  <c r="AG1641" i="1"/>
  <c r="AG1642" i="1" a="1"/>
  <c r="AG1642" i="1"/>
  <c r="AG1643" i="1" a="1"/>
  <c r="AG1643" i="1"/>
  <c r="AG1644" i="1" a="1"/>
  <c r="AG1644" i="1"/>
  <c r="AG1645" i="1" a="1"/>
  <c r="AG1645" i="1"/>
  <c r="AG1646" i="1" a="1"/>
  <c r="AG1646" i="1"/>
  <c r="AG1647" i="1" a="1"/>
  <c r="AG1647" i="1"/>
  <c r="AG1648" i="1" a="1"/>
  <c r="AG1648" i="1"/>
  <c r="AG1649" i="1" a="1"/>
  <c r="AG1649" i="1"/>
  <c r="AG1650" i="1" a="1"/>
  <c r="AG1650" i="1"/>
  <c r="AG1651" i="1" a="1"/>
  <c r="AG1651" i="1"/>
  <c r="AG1652" i="1" a="1"/>
  <c r="AG1652" i="1"/>
  <c r="AG1653" i="1" a="1"/>
  <c r="AG1653" i="1"/>
  <c r="AG1654" i="1" a="1"/>
  <c r="AG1654" i="1"/>
  <c r="AG1655" i="1" a="1"/>
  <c r="AG1655" i="1"/>
  <c r="AG1656" i="1" a="1"/>
  <c r="AG1656" i="1"/>
  <c r="AG1657" i="1" a="1"/>
  <c r="AG1657" i="1"/>
  <c r="AG1658" i="1" a="1"/>
  <c r="AG1658" i="1"/>
  <c r="AG1659" i="1" a="1"/>
  <c r="AG1659" i="1"/>
  <c r="AG1660" i="1" a="1"/>
  <c r="AG1660" i="1"/>
  <c r="AG1661" i="1" a="1"/>
  <c r="AG1661" i="1"/>
  <c r="AG1662" i="1" a="1"/>
  <c r="AG1662" i="1"/>
  <c r="AG1663" i="1" a="1"/>
  <c r="AG1663" i="1"/>
  <c r="AG1664" i="1" a="1"/>
  <c r="AG1664" i="1"/>
  <c r="AG1665" i="1" a="1"/>
  <c r="AG1665" i="1"/>
  <c r="AG1666" i="1" a="1"/>
  <c r="AG1666" i="1"/>
  <c r="AG1667" i="1" a="1"/>
  <c r="AG1667" i="1"/>
  <c r="AG1668" i="1" a="1"/>
  <c r="AG1668" i="1"/>
  <c r="AG1669" i="1" a="1"/>
  <c r="AG1669" i="1"/>
  <c r="AG1670" i="1" a="1"/>
  <c r="AG1670" i="1"/>
  <c r="AG1671" i="1" a="1"/>
  <c r="AG1671" i="1"/>
  <c r="AG1672" i="1" a="1"/>
  <c r="AG1672" i="1" s="1"/>
  <c r="AG1673" i="1" a="1"/>
  <c r="AG1673" i="1" s="1"/>
  <c r="AG1674" i="1" a="1"/>
  <c r="AG1674" i="1" s="1"/>
  <c r="AG1675" i="1" a="1"/>
  <c r="AG1675" i="1" s="1"/>
  <c r="AG1676" i="1" a="1"/>
  <c r="AG1676" i="1" s="1"/>
  <c r="AG1677" i="1" a="1"/>
  <c r="AG1677" i="1" s="1"/>
  <c r="AG1678" i="1" a="1"/>
  <c r="AG1678" i="1" s="1"/>
  <c r="AG1679" i="1" a="1"/>
  <c r="AG1679" i="1" s="1"/>
  <c r="AG1680" i="1" a="1"/>
  <c r="AG1680" i="1" s="1"/>
  <c r="AG1681" i="1" a="1"/>
  <c r="AG1681" i="1" s="1"/>
  <c r="AG1682" i="1" a="1"/>
  <c r="AG1682" i="1" s="1"/>
  <c r="AG1683" i="1" a="1"/>
  <c r="AG1683" i="1" s="1"/>
  <c r="AG1684" i="1" a="1"/>
  <c r="AG1684" i="1" s="1"/>
  <c r="AG1685" i="1" a="1"/>
  <c r="AG1685" i="1" s="1"/>
  <c r="AG1686" i="1" a="1"/>
  <c r="AG1686" i="1" s="1"/>
  <c r="AG1687" i="1" a="1"/>
  <c r="AG1687" i="1" s="1"/>
  <c r="AG1688" i="1" a="1"/>
  <c r="AG1688" i="1" s="1"/>
  <c r="AG1689" i="1" a="1"/>
  <c r="AG1689" i="1" s="1"/>
  <c r="AG1690" i="1" a="1"/>
  <c r="AG1690" i="1" s="1"/>
  <c r="AG1691" i="1" a="1"/>
  <c r="AG1691" i="1" s="1"/>
  <c r="AG1692" i="1" a="1"/>
  <c r="AG1692" i="1" s="1"/>
  <c r="AG1693" i="1" a="1"/>
  <c r="AG1693" i="1" s="1"/>
  <c r="AG1694" i="1" a="1"/>
  <c r="AG1694" i="1" s="1"/>
  <c r="AG1695" i="1" a="1"/>
  <c r="AG1695" i="1" s="1"/>
  <c r="AG1696" i="1" a="1"/>
  <c r="AG1696" i="1" s="1"/>
  <c r="AG1697" i="1" a="1"/>
  <c r="AG1697" i="1" s="1"/>
  <c r="AG1698" i="1" a="1"/>
  <c r="AG1698" i="1" s="1"/>
  <c r="AG1699" i="1" a="1"/>
  <c r="AG1699" i="1" s="1"/>
  <c r="AG1700" i="1" a="1"/>
  <c r="AG1700" i="1" s="1"/>
  <c r="AG1701" i="1" a="1"/>
  <c r="AG1701" i="1" s="1"/>
  <c r="AG1702" i="1" a="1"/>
  <c r="AG1702" i="1" s="1"/>
  <c r="AG1703" i="1" a="1"/>
  <c r="AG1703" i="1" s="1"/>
  <c r="AG1704" i="1" a="1"/>
  <c r="AG1704" i="1" s="1"/>
  <c r="AG1705" i="1" a="1"/>
  <c r="AG1705" i="1" s="1"/>
  <c r="AG1706" i="1" a="1"/>
  <c r="AG1706" i="1" s="1"/>
  <c r="AG1707" i="1" a="1"/>
  <c r="AG1707" i="1" s="1"/>
  <c r="AG1708" i="1" a="1"/>
  <c r="AG1708" i="1" s="1"/>
  <c r="AG1709" i="1" a="1"/>
  <c r="AG1709" i="1" s="1"/>
  <c r="AG1710" i="1" a="1"/>
  <c r="AG1710" i="1" s="1"/>
  <c r="AG1711" i="1" a="1"/>
  <c r="AG1711" i="1" s="1"/>
  <c r="AG1712" i="1" a="1"/>
  <c r="AG1712" i="1" s="1"/>
  <c r="AG1713" i="1" a="1"/>
  <c r="AG1713" i="1" s="1"/>
  <c r="AG1714" i="1" a="1"/>
  <c r="AG1714" i="1" s="1"/>
  <c r="AG1715" i="1" a="1"/>
  <c r="AG1715" i="1" s="1"/>
  <c r="AG1716" i="1" a="1"/>
  <c r="AG1716" i="1" s="1"/>
  <c r="AG1717" i="1" a="1"/>
  <c r="AG1717" i="1" s="1"/>
  <c r="AG1718" i="1" a="1"/>
  <c r="AG1718" i="1" s="1"/>
  <c r="AG1719" i="1" a="1"/>
  <c r="AG1719" i="1" s="1"/>
  <c r="AG1720" i="1" a="1"/>
  <c r="AG1720" i="1" s="1"/>
  <c r="AG1721" i="1" a="1"/>
  <c r="AG1721" i="1" s="1"/>
  <c r="AG1722" i="1" a="1"/>
  <c r="AG1722" i="1" s="1"/>
  <c r="AG1723" i="1" a="1"/>
  <c r="AG1723" i="1" s="1"/>
  <c r="AG1724" i="1" a="1"/>
  <c r="AG1724" i="1" s="1"/>
  <c r="AG1725" i="1" a="1"/>
  <c r="AG1725" i="1" s="1"/>
  <c r="AG1726" i="1" a="1"/>
  <c r="AG1726" i="1" s="1"/>
  <c r="AG1727" i="1" a="1"/>
  <c r="AG1727" i="1" s="1"/>
  <c r="AG1728" i="1" a="1"/>
  <c r="AG1728" i="1" s="1"/>
  <c r="AG1729" i="1" a="1"/>
  <c r="AG1729" i="1" s="1"/>
  <c r="AG1730" i="1" a="1"/>
  <c r="AG1730" i="1" s="1"/>
  <c r="AG1731" i="1" a="1"/>
  <c r="AG1731" i="1" s="1"/>
  <c r="AG1732" i="1" a="1"/>
  <c r="AG1732" i="1" s="1"/>
  <c r="AG1733" i="1" a="1"/>
  <c r="AG1733" i="1" s="1"/>
  <c r="AG1734" i="1" a="1"/>
  <c r="AG1734" i="1" s="1"/>
  <c r="AG1735" i="1" a="1"/>
  <c r="AG1735" i="1" s="1"/>
  <c r="AG1736" i="1" a="1"/>
  <c r="AG1736" i="1" s="1"/>
  <c r="AG1737" i="1" a="1"/>
  <c r="AG1737" i="1" s="1"/>
  <c r="AG1738" i="1" a="1"/>
  <c r="AG1738" i="1" s="1"/>
  <c r="AG1739" i="1" a="1"/>
  <c r="AG1739" i="1" s="1"/>
  <c r="AG1740" i="1" a="1"/>
  <c r="AG1740" i="1" s="1"/>
  <c r="AG1741" i="1" a="1"/>
  <c r="AG1741" i="1" s="1"/>
  <c r="AG1742" i="1" a="1"/>
  <c r="AG1742" i="1" s="1"/>
  <c r="AG1743" i="1" a="1"/>
  <c r="AG1743" i="1" s="1"/>
  <c r="AG1744" i="1" a="1"/>
  <c r="AG1744" i="1" s="1"/>
  <c r="AG1745" i="1" a="1"/>
  <c r="AG1745" i="1" s="1"/>
  <c r="AG1746" i="1" a="1"/>
  <c r="AG1746" i="1" s="1"/>
  <c r="AG1747" i="1" a="1"/>
  <c r="AG1747" i="1" s="1"/>
  <c r="AG1748" i="1" a="1"/>
  <c r="AG1748" i="1" s="1"/>
  <c r="AG1749" i="1" a="1"/>
  <c r="AG1749" i="1" s="1"/>
  <c r="AG1750" i="1" a="1"/>
  <c r="AG1750" i="1" s="1"/>
  <c r="AG1751" i="1" a="1"/>
  <c r="AG1751" i="1" s="1"/>
  <c r="AG1752" i="1" a="1"/>
  <c r="AG1752" i="1" s="1"/>
  <c r="AG1753" i="1" a="1"/>
  <c r="AG1753" i="1" s="1"/>
  <c r="AG1754" i="1" a="1"/>
  <c r="AG1754" i="1" s="1"/>
  <c r="AG1755" i="1" a="1"/>
  <c r="AG1755" i="1" s="1"/>
  <c r="AG1756" i="1" a="1"/>
  <c r="AG1756" i="1" s="1"/>
  <c r="AG1757" i="1" a="1"/>
  <c r="AG1757" i="1" s="1"/>
  <c r="AG1758" i="1" a="1"/>
  <c r="AG1758" i="1" s="1"/>
  <c r="AG1759" i="1" a="1"/>
  <c r="AG1759" i="1" s="1"/>
  <c r="AG1760" i="1" a="1"/>
  <c r="AG1760" i="1" s="1"/>
  <c r="AG1761" i="1" a="1"/>
  <c r="AG1761" i="1" s="1"/>
  <c r="AG1762" i="1" a="1"/>
  <c r="AG1762" i="1" s="1"/>
  <c r="AG1763" i="1" a="1"/>
  <c r="AG1763" i="1" s="1"/>
  <c r="AG1764" i="1" a="1"/>
  <c r="AG1764" i="1" s="1"/>
  <c r="AG1765" i="1" a="1"/>
  <c r="AG1765" i="1" s="1"/>
  <c r="AG1766" i="1" a="1"/>
  <c r="AG1766" i="1" s="1"/>
  <c r="AG1767" i="1" a="1"/>
  <c r="AG1767" i="1" s="1"/>
  <c r="AG1768" i="1" a="1"/>
  <c r="AG1768" i="1" s="1"/>
  <c r="AG1769" i="1" a="1"/>
  <c r="AG1769" i="1" s="1"/>
  <c r="AG1770" i="1" a="1"/>
  <c r="AG1770" i="1" s="1"/>
  <c r="AG1771" i="1" a="1"/>
  <c r="AG1771" i="1" s="1"/>
  <c r="AG1772" i="1" a="1"/>
  <c r="AG1772" i="1" s="1"/>
  <c r="AG1773" i="1" a="1"/>
  <c r="AG1773" i="1" s="1"/>
  <c r="AG1774" i="1" a="1"/>
  <c r="AG1774" i="1" s="1"/>
  <c r="AG1775" i="1" a="1"/>
  <c r="AG1775" i="1" s="1"/>
  <c r="AG1776" i="1" a="1"/>
  <c r="AG1776" i="1" s="1"/>
  <c r="AG1777" i="1" a="1"/>
  <c r="AG1777" i="1" s="1"/>
  <c r="AG1778" i="1" a="1"/>
  <c r="AG1778" i="1" s="1"/>
  <c r="AG1779" i="1" a="1"/>
  <c r="AG1779" i="1" s="1"/>
  <c r="AG1780" i="1" a="1"/>
  <c r="AG1780" i="1" s="1"/>
  <c r="AG1781" i="1" a="1"/>
  <c r="AG1781" i="1" s="1"/>
  <c r="AG1782" i="1" a="1"/>
  <c r="AG1782" i="1" s="1"/>
  <c r="AG1783" i="1" a="1"/>
  <c r="AG1783" i="1" s="1"/>
  <c r="AG1784" i="1" a="1"/>
  <c r="AG1784" i="1" s="1"/>
  <c r="AG1785" i="1" a="1"/>
  <c r="AG1785" i="1" s="1"/>
  <c r="AG1786" i="1" a="1"/>
  <c r="AG1786" i="1" s="1"/>
  <c r="AG1787" i="1" a="1"/>
  <c r="AG1787" i="1" s="1"/>
  <c r="AG1788" i="1" a="1"/>
  <c r="AG1788" i="1" s="1"/>
  <c r="AG1789" i="1" a="1"/>
  <c r="AG1789" i="1" s="1"/>
  <c r="AG1790" i="1" a="1"/>
  <c r="AG1790" i="1" s="1"/>
  <c r="AG1791" i="1" a="1"/>
  <c r="AG1791" i="1" s="1"/>
  <c r="AG1792" i="1" a="1"/>
  <c r="AG1792" i="1" s="1"/>
  <c r="AG1793" i="1" a="1"/>
  <c r="AG1793" i="1" s="1"/>
  <c r="AG1794" i="1" a="1"/>
  <c r="AG1794" i="1" s="1"/>
  <c r="AG1795" i="1" a="1"/>
  <c r="AG1795" i="1" s="1"/>
  <c r="AG1796" i="1" a="1"/>
  <c r="AG1796" i="1" s="1"/>
  <c r="AG1797" i="1" a="1"/>
  <c r="AG1797" i="1" s="1"/>
  <c r="AG1798" i="1" a="1"/>
  <c r="AG1798" i="1" s="1"/>
  <c r="AG1799" i="1" a="1"/>
  <c r="AG1799" i="1" s="1"/>
  <c r="AG1800" i="1" a="1"/>
  <c r="AG1800" i="1" s="1"/>
  <c r="AG1801" i="1" a="1"/>
  <c r="AG1801" i="1" s="1"/>
  <c r="AG1802" i="1" a="1"/>
  <c r="AG1802" i="1" s="1"/>
  <c r="AG1803" i="1" a="1"/>
  <c r="AG1803" i="1" s="1"/>
  <c r="AG1804" i="1" a="1"/>
  <c r="AG1804" i="1" s="1"/>
  <c r="AG1805" i="1" a="1"/>
  <c r="AG1805" i="1" s="1"/>
  <c r="AG1806" i="1" a="1"/>
  <c r="AG1806" i="1" s="1"/>
  <c r="AG1807" i="1" a="1"/>
  <c r="AG1807" i="1" s="1"/>
  <c r="AG1808" i="1" a="1"/>
  <c r="AG1808" i="1" s="1"/>
  <c r="AG1809" i="1" a="1"/>
  <c r="AG1809" i="1" s="1"/>
  <c r="AG1810" i="1" a="1"/>
  <c r="AG1810" i="1" s="1"/>
  <c r="AG1811" i="1" a="1"/>
  <c r="AG1811" i="1" s="1"/>
  <c r="AG1812" i="1" a="1"/>
  <c r="AG1812" i="1" s="1"/>
  <c r="AG1813" i="1" a="1"/>
  <c r="AG1813" i="1" s="1"/>
  <c r="AG1814" i="1" a="1"/>
  <c r="AG1814" i="1" s="1"/>
  <c r="AG1815" i="1" a="1"/>
  <c r="AG1815" i="1" s="1"/>
  <c r="AG1816" i="1" a="1"/>
  <c r="AG1816" i="1" s="1"/>
  <c r="AG1817" i="1" a="1"/>
  <c r="AG1817" i="1" s="1"/>
  <c r="AG1818" i="1" a="1"/>
  <c r="AG1818" i="1" s="1"/>
  <c r="AG1819" i="1" a="1"/>
  <c r="AG1819" i="1" s="1"/>
  <c r="AG1820" i="1" a="1"/>
  <c r="AG1820" i="1" s="1"/>
  <c r="AG1821" i="1" a="1"/>
  <c r="AG1821" i="1" s="1"/>
  <c r="AG1822" i="1" a="1"/>
  <c r="AG1822" i="1" s="1"/>
  <c r="AG1823" i="1" a="1"/>
  <c r="AG1823" i="1" s="1"/>
  <c r="AG1824" i="1" a="1"/>
  <c r="AG1824" i="1" s="1"/>
  <c r="AG1825" i="1" a="1"/>
  <c r="AG1825" i="1" s="1"/>
  <c r="AG1826" i="1" a="1"/>
  <c r="AG1826" i="1" s="1"/>
  <c r="AG1827" i="1" a="1"/>
  <c r="AG1827" i="1" s="1"/>
  <c r="AG1828" i="1" a="1"/>
  <c r="AG1828" i="1" s="1"/>
  <c r="AG1829" i="1" a="1"/>
  <c r="AG1829" i="1" s="1"/>
  <c r="AG1830" i="1" a="1"/>
  <c r="AG1830" i="1" s="1"/>
  <c r="AG1831" i="1" a="1"/>
  <c r="AG1831" i="1" s="1"/>
  <c r="AG1832" i="1" a="1"/>
  <c r="AG1832" i="1" s="1"/>
  <c r="AG1833" i="1" a="1"/>
  <c r="AG1833" i="1" s="1"/>
  <c r="AG1834" i="1" a="1"/>
  <c r="AG1834" i="1" s="1"/>
  <c r="AG1835" i="1" a="1"/>
  <c r="AG1835" i="1" s="1"/>
  <c r="AG1836" i="1" a="1"/>
  <c r="AG1836" i="1" s="1"/>
  <c r="AG1837" i="1" a="1"/>
  <c r="AG1837" i="1" s="1"/>
  <c r="AG1838" i="1" a="1"/>
  <c r="AG1838" i="1" s="1"/>
  <c r="AG1839" i="1" a="1"/>
  <c r="AG1839" i="1" s="1"/>
  <c r="AG1840" i="1" a="1"/>
  <c r="AG1840" i="1" s="1"/>
  <c r="AG1841" i="1" a="1"/>
  <c r="AG1841" i="1" s="1"/>
  <c r="AG1842" i="1" a="1"/>
  <c r="AG1842" i="1" s="1"/>
  <c r="AG1843" i="1" a="1"/>
  <c r="AG1843" i="1" s="1"/>
  <c r="AG1844" i="1" a="1"/>
  <c r="AG1844" i="1" s="1"/>
  <c r="AG1845" i="1" a="1"/>
  <c r="AG1845" i="1" s="1"/>
  <c r="AG1846" i="1" a="1"/>
  <c r="AG1846" i="1" s="1"/>
  <c r="AG1847" i="1" a="1"/>
  <c r="AG1847" i="1" s="1"/>
  <c r="AG1848" i="1" a="1"/>
  <c r="AG1848" i="1" s="1"/>
  <c r="AG1849" i="1" a="1"/>
  <c r="AG1849" i="1" s="1"/>
  <c r="AG1850" i="1" a="1"/>
  <c r="AG1850" i="1" s="1"/>
  <c r="AG1851" i="1" a="1"/>
  <c r="AG1851" i="1" s="1"/>
  <c r="AG1852" i="1" a="1"/>
  <c r="AG1852" i="1" s="1"/>
  <c r="AG1853" i="1" a="1"/>
  <c r="AG1853" i="1" s="1"/>
  <c r="AG1854" i="1" a="1"/>
  <c r="AG1854" i="1" s="1"/>
  <c r="AG1855" i="1" a="1"/>
  <c r="AG1855" i="1" s="1"/>
  <c r="AG1856" i="1" a="1"/>
  <c r="AG1856" i="1" s="1"/>
  <c r="AG1857" i="1" a="1"/>
  <c r="AG1857" i="1" s="1"/>
  <c r="AG1858" i="1" a="1"/>
  <c r="AG1858" i="1" s="1"/>
  <c r="AG1859" i="1" a="1"/>
  <c r="AG1859" i="1" s="1"/>
  <c r="AG1860" i="1" a="1"/>
  <c r="AG1860" i="1" s="1"/>
  <c r="AG1861" i="1" a="1"/>
  <c r="AG1861" i="1" s="1"/>
  <c r="AG1862" i="1" a="1"/>
  <c r="AG1862" i="1" s="1"/>
  <c r="AG1863" i="1" a="1"/>
  <c r="AG1863" i="1" s="1"/>
  <c r="AG1864" i="1" a="1"/>
  <c r="AG1864" i="1" s="1"/>
  <c r="AG1865" i="1" a="1"/>
  <c r="AG1865" i="1" s="1"/>
  <c r="AG1866" i="1" a="1"/>
  <c r="AG1866" i="1" s="1"/>
  <c r="AG1867" i="1" a="1"/>
  <c r="AG1867" i="1" s="1"/>
  <c r="AG1868" i="1" a="1"/>
  <c r="AG1868" i="1" s="1"/>
  <c r="AG1869" i="1" a="1"/>
  <c r="AG1869" i="1" s="1"/>
  <c r="AG1870" i="1" a="1"/>
  <c r="AG1870" i="1" s="1"/>
  <c r="AG1871" i="1" a="1"/>
  <c r="AG1871" i="1" s="1"/>
  <c r="AG1872" i="1" a="1"/>
  <c r="AG1872" i="1" s="1"/>
  <c r="AG1873" i="1" a="1"/>
  <c r="AG1873" i="1" s="1"/>
  <c r="AG1874" i="1" a="1"/>
  <c r="AG1874" i="1" s="1"/>
  <c r="AG1875" i="1" a="1"/>
  <c r="AG1875" i="1" s="1"/>
  <c r="AG1876" i="1" a="1"/>
  <c r="AG1876" i="1" s="1"/>
  <c r="AG1877" i="1" a="1"/>
  <c r="AG1877" i="1" s="1"/>
  <c r="AG1878" i="1" a="1"/>
  <c r="AG1878" i="1" s="1"/>
  <c r="AG1879" i="1" a="1"/>
  <c r="AG1879" i="1" s="1"/>
  <c r="AG1880" i="1" a="1"/>
  <c r="AG1880" i="1" s="1"/>
  <c r="AG1881" i="1" a="1"/>
  <c r="AG1881" i="1" s="1"/>
  <c r="AG1882" i="1" a="1"/>
  <c r="AG1882" i="1" s="1"/>
  <c r="AG1883" i="1" a="1"/>
  <c r="AG1883" i="1" s="1"/>
  <c r="AG1884" i="1" a="1"/>
  <c r="AG1884" i="1" s="1"/>
  <c r="AG1885" i="1" a="1"/>
  <c r="AG1885" i="1" s="1"/>
  <c r="AG1886" i="1" a="1"/>
  <c r="AG1886" i="1" s="1"/>
  <c r="AG1887" i="1" a="1"/>
  <c r="AG1887" i="1" s="1"/>
  <c r="AG1888" i="1" a="1"/>
  <c r="AG1888" i="1" s="1"/>
  <c r="AG1889" i="1" a="1"/>
  <c r="AG1889" i="1" s="1"/>
  <c r="AG1890" i="1" a="1"/>
  <c r="AG1890" i="1" s="1"/>
  <c r="AG1891" i="1" a="1"/>
  <c r="AG1891" i="1" s="1"/>
  <c r="AG1892" i="1" a="1"/>
  <c r="AG1892" i="1"/>
  <c r="AG1893" i="1" a="1"/>
  <c r="AG1893" i="1"/>
  <c r="AG1894" i="1" a="1"/>
  <c r="AG1894" i="1"/>
  <c r="AG1895" i="1" a="1"/>
  <c r="AG1895" i="1"/>
  <c r="AG1896" i="1" a="1"/>
  <c r="AG1896" i="1"/>
  <c r="AG1897" i="1" a="1"/>
  <c r="AG1897" i="1"/>
  <c r="AG1898" i="1" a="1"/>
  <c r="AG1898" i="1"/>
  <c r="AG1899" i="1" a="1"/>
  <c r="AG1899" i="1"/>
  <c r="AG1900" i="1" a="1"/>
  <c r="AG1900" i="1"/>
  <c r="AG1901" i="1" a="1"/>
  <c r="AG1901" i="1"/>
  <c r="AG1902" i="1" a="1"/>
  <c r="AG1902" i="1"/>
  <c r="AG1903" i="1" a="1"/>
  <c r="AG1903" i="1"/>
  <c r="AG1904" i="1" a="1"/>
  <c r="AG1904" i="1"/>
  <c r="AG1905" i="1" a="1"/>
  <c r="AG1905" i="1"/>
  <c r="AG1906" i="1" a="1"/>
  <c r="AG1906" i="1"/>
  <c r="AG1907" i="1" a="1"/>
  <c r="AG1907" i="1"/>
  <c r="AG1908" i="1" a="1"/>
  <c r="AG1908" i="1"/>
  <c r="AG1909" i="1" a="1"/>
  <c r="AG1909" i="1"/>
  <c r="AG1910" i="1" a="1"/>
  <c r="AG1910" i="1"/>
  <c r="AG1911" i="1" a="1"/>
  <c r="AG1911" i="1"/>
  <c r="AG1912" i="1" a="1"/>
  <c r="AG1912" i="1"/>
  <c r="AG1913" i="1" a="1"/>
  <c r="AG1913" i="1"/>
  <c r="AG1914" i="1" a="1"/>
  <c r="AG1914" i="1"/>
  <c r="AG1915" i="1" a="1"/>
  <c r="AG1915" i="1"/>
  <c r="AG1916" i="1" a="1"/>
  <c r="AG1916" i="1"/>
  <c r="AG1917" i="1" a="1"/>
  <c r="AG1917" i="1"/>
  <c r="AG1918" i="1" a="1"/>
  <c r="AG1918" i="1"/>
  <c r="AG1919" i="1" a="1"/>
  <c r="AG1919" i="1"/>
  <c r="AG1920" i="1" a="1"/>
  <c r="AG1920" i="1"/>
  <c r="AG1921" i="1" a="1"/>
  <c r="AG1921" i="1"/>
  <c r="AG1922" i="1" a="1"/>
  <c r="AG1922" i="1"/>
  <c r="AG1923" i="1" a="1"/>
  <c r="AG1923" i="1"/>
  <c r="AG1924" i="1" a="1"/>
  <c r="AG1924" i="1"/>
  <c r="AG1925" i="1" a="1"/>
  <c r="AG1925" i="1"/>
  <c r="AG1926" i="1" a="1"/>
  <c r="AG1926" i="1"/>
  <c r="AG1927" i="1" a="1"/>
  <c r="AG1927" i="1"/>
  <c r="AG1928" i="1" a="1"/>
  <c r="AG1928" i="1"/>
  <c r="AG1929" i="1" a="1"/>
  <c r="AG1929" i="1"/>
  <c r="AG1930" i="1" a="1"/>
  <c r="AG1930" i="1"/>
  <c r="AG1931" i="1" a="1"/>
  <c r="AG1931" i="1"/>
  <c r="AG1932" i="1" a="1"/>
  <c r="AG1932" i="1"/>
  <c r="AG1933" i="1" a="1"/>
  <c r="AG1933" i="1"/>
  <c r="AG1934" i="1" a="1"/>
  <c r="AG1934" i="1"/>
  <c r="AG1935" i="1" a="1"/>
  <c r="AG1935" i="1"/>
  <c r="AG1936" i="1" a="1"/>
  <c r="AG1936" i="1"/>
  <c r="AG1937" i="1" a="1"/>
  <c r="AG1937" i="1"/>
  <c r="AG1938" i="1" a="1"/>
  <c r="AG1938" i="1"/>
  <c r="AG1939" i="1" a="1"/>
  <c r="AG1939" i="1"/>
  <c r="AG1940" i="1" a="1"/>
  <c r="AG1940" i="1"/>
  <c r="AG1941" i="1" a="1"/>
  <c r="AG1941" i="1"/>
  <c r="AG1942" i="1" a="1"/>
  <c r="AG1942" i="1"/>
  <c r="AG1943" i="1" a="1"/>
  <c r="AG1943" i="1"/>
  <c r="AG1944" i="1" a="1"/>
  <c r="AG1944" i="1"/>
  <c r="AG1945" i="1" a="1"/>
  <c r="AG1945" i="1"/>
  <c r="AG1946" i="1" a="1"/>
  <c r="AG1946" i="1"/>
  <c r="AG1947" i="1" a="1"/>
  <c r="AG1947" i="1"/>
  <c r="AG1948" i="1" a="1"/>
  <c r="AG1948" i="1"/>
  <c r="AG1949" i="1" a="1"/>
  <c r="AG1949" i="1"/>
  <c r="AG1950" i="1" a="1"/>
  <c r="AG1950" i="1"/>
  <c r="AG1951" i="1" a="1"/>
  <c r="AG1951" i="1"/>
  <c r="AG1952" i="1" a="1"/>
  <c r="AG1952" i="1"/>
  <c r="AG1953" i="1" a="1"/>
  <c r="AG1953" i="1"/>
  <c r="AG1954" i="1" a="1"/>
  <c r="AG1954" i="1"/>
  <c r="AG1955" i="1" a="1"/>
  <c r="AG1955" i="1"/>
  <c r="AG1956" i="1" a="1"/>
  <c r="AG1956" i="1"/>
  <c r="AG1957" i="1" a="1"/>
  <c r="AG1957" i="1"/>
  <c r="AG1958" i="1" a="1"/>
  <c r="AG1958" i="1"/>
  <c r="AG1959" i="1" a="1"/>
  <c r="AG1959" i="1"/>
  <c r="AG1960" i="1" a="1"/>
  <c r="AG1960" i="1"/>
  <c r="AG1961" i="1" a="1"/>
  <c r="AG1961" i="1"/>
  <c r="AG1962" i="1" a="1"/>
  <c r="AG1962" i="1"/>
  <c r="AG1963" i="1" a="1"/>
  <c r="AG1963" i="1"/>
  <c r="AG1964" i="1" a="1"/>
  <c r="AG1964" i="1"/>
  <c r="AG1965" i="1" a="1"/>
  <c r="AG1965" i="1"/>
  <c r="AG1966" i="1" a="1"/>
  <c r="AG1966" i="1"/>
  <c r="AG1967" i="1" a="1"/>
  <c r="AG1967" i="1"/>
  <c r="AG1968" i="1" a="1"/>
  <c r="AG1968" i="1"/>
  <c r="AG1969" i="1" a="1"/>
  <c r="AG1969" i="1"/>
  <c r="AG1970" i="1" a="1"/>
  <c r="AG1970" i="1"/>
  <c r="AG1971" i="1" a="1"/>
  <c r="AG1971" i="1"/>
  <c r="AG1972" i="1" a="1"/>
  <c r="AG1972" i="1"/>
  <c r="AG1973" i="1" a="1"/>
  <c r="AG1973" i="1"/>
  <c r="AG1974" i="1" a="1"/>
  <c r="AG1974" i="1"/>
  <c r="AG1975" i="1" a="1"/>
  <c r="AG1975" i="1"/>
  <c r="AG1976" i="1" a="1"/>
  <c r="AG1976" i="1"/>
  <c r="AG1977" i="1" a="1"/>
  <c r="AG1977" i="1"/>
  <c r="AG1978" i="1" a="1"/>
  <c r="AG1978" i="1"/>
  <c r="AG1979" i="1" a="1"/>
  <c r="AG1979" i="1"/>
  <c r="AG1980" i="1" a="1"/>
  <c r="AG1980" i="1"/>
  <c r="AG1981" i="1" a="1"/>
  <c r="AG1981" i="1"/>
  <c r="AG1982" i="1" a="1"/>
  <c r="AG1982" i="1"/>
  <c r="AG1983" i="1" a="1"/>
  <c r="AG1983" i="1"/>
  <c r="AG1984" i="1" a="1"/>
  <c r="AG1984" i="1"/>
  <c r="AG1985" i="1" a="1"/>
  <c r="AG1985" i="1"/>
  <c r="AG1986" i="1" a="1"/>
  <c r="AG1986" i="1"/>
  <c r="AG1987" i="1" a="1"/>
  <c r="AG1987" i="1"/>
  <c r="AG1988" i="1" a="1"/>
  <c r="AG1988" i="1"/>
  <c r="AG1989" i="1" a="1"/>
  <c r="AG1989" i="1"/>
  <c r="AG1990" i="1" a="1"/>
  <c r="AG1990" i="1"/>
  <c r="AG1991" i="1" a="1"/>
  <c r="AG1991" i="1"/>
  <c r="AG1992" i="1" a="1"/>
  <c r="AG1992" i="1"/>
  <c r="AG1993" i="1" a="1"/>
  <c r="AG1993" i="1"/>
  <c r="AG1994" i="1" a="1"/>
  <c r="AG1994" i="1"/>
  <c r="AG1995" i="1" a="1"/>
  <c r="AG1995" i="1"/>
  <c r="AG1996" i="1" a="1"/>
  <c r="AG1996" i="1"/>
  <c r="AG1997" i="1" a="1"/>
  <c r="AG1997" i="1"/>
  <c r="AG1998" i="1" a="1"/>
  <c r="AG1998" i="1"/>
  <c r="AG1999" i="1" a="1"/>
  <c r="AG1999" i="1"/>
  <c r="AG2000" i="1" a="1"/>
  <c r="AG2000" i="1"/>
  <c r="AG2001" i="1" a="1"/>
  <c r="AG2001" i="1"/>
  <c r="AG2002" i="1" a="1"/>
  <c r="AG2002" i="1"/>
  <c r="AG2003" i="1" a="1"/>
  <c r="AG2003" i="1"/>
  <c r="AG2004" i="1" a="1"/>
  <c r="AG2004" i="1"/>
  <c r="AG2005" i="1" a="1"/>
  <c r="AG2005" i="1"/>
  <c r="AG2006" i="1" a="1"/>
  <c r="AG2006" i="1"/>
  <c r="AG2007" i="1" a="1"/>
  <c r="AG2007" i="1"/>
  <c r="AG2008" i="1" a="1"/>
  <c r="AG2008" i="1"/>
  <c r="AG2009" i="1" a="1"/>
  <c r="AG2009" i="1"/>
  <c r="AG2010" i="1" a="1"/>
  <c r="AG2010" i="1"/>
  <c r="AG2011" i="1" a="1"/>
  <c r="AG2011" i="1"/>
  <c r="AG2012" i="1" a="1"/>
  <c r="AG2012" i="1"/>
  <c r="AG2013" i="1" a="1"/>
  <c r="AG2013" i="1"/>
  <c r="AG2014" i="1" a="1"/>
  <c r="AG2014" i="1"/>
  <c r="AG2015" i="1" a="1"/>
  <c r="AG2015" i="1"/>
  <c r="AG2016" i="1" a="1"/>
  <c r="AG2016" i="1"/>
  <c r="AG2017" i="1" a="1"/>
  <c r="AG2017" i="1"/>
  <c r="AG2018" i="1" a="1"/>
  <c r="AG2018" i="1"/>
  <c r="AG2019" i="1" a="1"/>
  <c r="AG2019" i="1"/>
  <c r="AG2020" i="1" a="1"/>
  <c r="AG2020" i="1"/>
  <c r="AG2021" i="1" a="1"/>
  <c r="AG2021" i="1"/>
  <c r="AG2022" i="1" a="1"/>
  <c r="AG2022" i="1"/>
  <c r="AG2023" i="1" a="1"/>
  <c r="AG2023" i="1"/>
  <c r="AG2024" i="1" a="1"/>
  <c r="AG2024" i="1"/>
  <c r="AG2025" i="1" a="1"/>
  <c r="AG2025" i="1"/>
  <c r="AG2026" i="1" a="1"/>
  <c r="AG2026" i="1"/>
  <c r="AG2027" i="1" a="1"/>
  <c r="AG2027" i="1"/>
  <c r="AG2028" i="1" a="1"/>
  <c r="AG2028" i="1"/>
  <c r="AG2029" i="1" a="1"/>
  <c r="AG2029" i="1"/>
  <c r="AG2030" i="1" a="1"/>
  <c r="AG2030" i="1"/>
  <c r="AG2031" i="1" a="1"/>
  <c r="AG2031" i="1"/>
  <c r="AG2032" i="1" a="1"/>
  <c r="AG2032" i="1"/>
  <c r="AG2033" i="1" a="1"/>
  <c r="AG2033" i="1"/>
  <c r="AG2034" i="1" a="1"/>
  <c r="AG2034" i="1"/>
  <c r="AG2035" i="1" a="1"/>
  <c r="AG2035" i="1"/>
  <c r="AG2036" i="1" a="1"/>
  <c r="AG2036" i="1"/>
  <c r="AG2037" i="1" a="1"/>
  <c r="AG2037" i="1"/>
  <c r="AG2038" i="1" a="1"/>
  <c r="AG2038" i="1"/>
  <c r="AG2039" i="1" a="1"/>
  <c r="AG2039" i="1"/>
  <c r="AG2040" i="1" a="1"/>
  <c r="AG2040" i="1"/>
  <c r="AG2041" i="1" a="1"/>
  <c r="AG2041" i="1"/>
  <c r="AG2042" i="1" a="1"/>
  <c r="AG2042" i="1"/>
  <c r="AG2043" i="1" a="1"/>
  <c r="AG2043" i="1"/>
  <c r="AG2044" i="1" a="1"/>
  <c r="AG2044" i="1"/>
  <c r="AG2045" i="1" a="1"/>
  <c r="AG2045" i="1"/>
  <c r="AG2046" i="1" a="1"/>
  <c r="AG2046" i="1"/>
  <c r="AG2047" i="1" a="1"/>
  <c r="AG2047" i="1"/>
  <c r="AG2048" i="1" a="1"/>
  <c r="AG2048" i="1"/>
  <c r="AG2049" i="1" a="1"/>
  <c r="AG2049" i="1"/>
  <c r="AG2050" i="1" a="1"/>
  <c r="AG2050" i="1"/>
  <c r="AG2051" i="1" a="1"/>
  <c r="AG2051" i="1"/>
  <c r="AG2052" i="1" a="1"/>
  <c r="AG2052" i="1"/>
  <c r="AG2053" i="1" a="1"/>
  <c r="AG2053" i="1"/>
  <c r="AG2054" i="1" a="1"/>
  <c r="AG2054" i="1"/>
  <c r="AG2055" i="1" a="1"/>
  <c r="AG2055" i="1"/>
  <c r="AG2056" i="1" a="1"/>
  <c r="AG2056" i="1"/>
  <c r="AG2057" i="1" a="1"/>
  <c r="AG2057" i="1"/>
  <c r="AG2058" i="1" a="1"/>
  <c r="AG2058" i="1"/>
  <c r="AG2059" i="1" a="1"/>
  <c r="AG2059" i="1"/>
  <c r="AG2060" i="1" a="1"/>
  <c r="AG2060" i="1"/>
  <c r="AG2061" i="1" a="1"/>
  <c r="AG2061" i="1"/>
  <c r="AG2062" i="1" a="1"/>
  <c r="AG2062" i="1"/>
  <c r="AG2063" i="1" a="1"/>
  <c r="AG2063" i="1"/>
  <c r="AG2064" i="1" a="1"/>
  <c r="AG2064" i="1"/>
  <c r="AG2065" i="1" a="1"/>
  <c r="AG2065" i="1"/>
  <c r="AG2066" i="1" a="1"/>
  <c r="AG2066" i="1"/>
  <c r="AG2067" i="1" a="1"/>
  <c r="AG2067" i="1"/>
  <c r="AG2068" i="1" a="1"/>
  <c r="AG2068" i="1"/>
  <c r="AG2069" i="1" a="1"/>
  <c r="AG2069" i="1"/>
  <c r="AG2070" i="1" a="1"/>
  <c r="AG2070" i="1"/>
  <c r="AG2071" i="1" a="1"/>
  <c r="AG2071" i="1"/>
  <c r="AG2072" i="1" a="1"/>
  <c r="AG2072" i="1"/>
  <c r="AG2073" i="1" a="1"/>
  <c r="AG2073" i="1"/>
  <c r="AG2074" i="1" a="1"/>
  <c r="AG2074" i="1"/>
  <c r="AG2075" i="1" a="1"/>
  <c r="AG2075" i="1"/>
  <c r="AG2076" i="1" a="1"/>
  <c r="AG2076" i="1"/>
  <c r="AG2077" i="1" a="1"/>
  <c r="AG2077" i="1"/>
  <c r="AG2078" i="1" a="1"/>
  <c r="AG2078" i="1"/>
  <c r="AG2079" i="1" a="1"/>
  <c r="AG2079" i="1"/>
  <c r="AG2080" i="1" a="1"/>
  <c r="AG2080" i="1"/>
  <c r="AG2081" i="1" a="1"/>
  <c r="AG2081" i="1"/>
  <c r="AG2082" i="1" a="1"/>
  <c r="AG2082" i="1"/>
  <c r="AG2083" i="1" a="1"/>
  <c r="AG2083" i="1"/>
  <c r="AG2084" i="1" a="1"/>
  <c r="AG2084" i="1"/>
  <c r="AG2085" i="1" a="1"/>
  <c r="AG2085" i="1"/>
  <c r="AG2086" i="1" a="1"/>
  <c r="AG2086" i="1"/>
  <c r="AG2087" i="1" a="1"/>
  <c r="AG2087" i="1"/>
  <c r="AG2088" i="1" a="1"/>
  <c r="AG2088" i="1"/>
  <c r="AG2089" i="1" a="1"/>
  <c r="AG2089" i="1"/>
  <c r="AG2090" i="1" a="1"/>
  <c r="AG2090" i="1"/>
  <c r="AG2091" i="1" a="1"/>
  <c r="AG2091" i="1"/>
  <c r="AG2092" i="1" a="1"/>
  <c r="AG2092" i="1"/>
  <c r="AG2093" i="1" a="1"/>
  <c r="AG2093" i="1"/>
  <c r="AG2094" i="1" a="1"/>
  <c r="AG2094" i="1"/>
  <c r="AG2095" i="1" a="1"/>
  <c r="AG2095" i="1"/>
  <c r="AG2096" i="1" a="1"/>
  <c r="AG2096" i="1"/>
  <c r="AG2097" i="1" a="1"/>
  <c r="AG2097" i="1"/>
  <c r="AG2098" i="1" a="1"/>
  <c r="AG2098" i="1"/>
  <c r="AG2099" i="1" a="1"/>
  <c r="AG2099" i="1"/>
  <c r="AG2100" i="1" a="1"/>
  <c r="AG2100" i="1"/>
  <c r="AG2101" i="1" a="1"/>
  <c r="AG2101" i="1"/>
  <c r="AG2102" i="1" a="1"/>
  <c r="AG2102" i="1"/>
  <c r="AG2103" i="1" a="1"/>
  <c r="AG2103" i="1"/>
  <c r="AG2104" i="1" a="1"/>
  <c r="AG2104" i="1"/>
  <c r="AG2105" i="1" a="1"/>
  <c r="AG2105" i="1"/>
  <c r="AG2106" i="1" a="1"/>
  <c r="AG2106" i="1"/>
  <c r="AG2107" i="1" a="1"/>
  <c r="AG2107" i="1"/>
  <c r="AG2108" i="1" a="1"/>
  <c r="AG2108" i="1"/>
  <c r="AG2109" i="1" a="1"/>
  <c r="AG2109" i="1"/>
  <c r="AG2110" i="1" a="1"/>
  <c r="AG2110" i="1"/>
  <c r="AG2111" i="1" a="1"/>
  <c r="AG2111" i="1"/>
  <c r="AG2112" i="1" a="1"/>
  <c r="AG2112" i="1"/>
  <c r="AG2113" i="1" a="1"/>
  <c r="AG2113" i="1"/>
  <c r="AG2114" i="1" a="1"/>
  <c r="AG2114" i="1"/>
  <c r="AG2115" i="1" a="1"/>
  <c r="AG2115" i="1"/>
  <c r="AG2116" i="1" a="1"/>
  <c r="AG2116" i="1"/>
  <c r="AG2117" i="1" a="1"/>
  <c r="AG2117" i="1"/>
  <c r="AG2118" i="1" a="1"/>
  <c r="AG2118" i="1"/>
  <c r="AG2119" i="1" a="1"/>
  <c r="AG2119" i="1"/>
  <c r="AG2120" i="1" a="1"/>
  <c r="AG2120" i="1"/>
  <c r="AG2121" i="1" a="1"/>
  <c r="AG2121" i="1"/>
  <c r="AG2122" i="1" a="1"/>
  <c r="AG2122" i="1"/>
  <c r="AG2123" i="1" a="1"/>
  <c r="AG2123" i="1"/>
  <c r="AG2124" i="1" a="1"/>
  <c r="AG2124" i="1"/>
  <c r="AG2125" i="1" a="1"/>
  <c r="AG2125" i="1"/>
  <c r="AG2126" i="1" a="1"/>
  <c r="AG2126" i="1"/>
  <c r="AG2127" i="1" a="1"/>
  <c r="AG2127" i="1"/>
  <c r="AG2128" i="1" a="1"/>
  <c r="AG2128" i="1"/>
  <c r="AG2129" i="1" a="1"/>
  <c r="AG2129" i="1"/>
  <c r="AG2130" i="1" a="1"/>
  <c r="AG2130" i="1"/>
  <c r="AG2131" i="1" a="1"/>
  <c r="AG2131" i="1"/>
  <c r="AG2132" i="1" a="1"/>
  <c r="AG2132" i="1"/>
  <c r="AG2133" i="1" a="1"/>
  <c r="AG2133" i="1"/>
  <c r="AG2134" i="1" a="1"/>
  <c r="AG2134" i="1"/>
  <c r="AG2135" i="1" a="1"/>
  <c r="AG2135" i="1"/>
  <c r="AG2136" i="1" a="1"/>
  <c r="AG2136" i="1"/>
  <c r="AG2137" i="1" a="1"/>
  <c r="AG2137" i="1"/>
  <c r="AG2138" i="1" a="1"/>
  <c r="AG2138" i="1"/>
  <c r="AG2139" i="1" a="1"/>
  <c r="AG2139" i="1"/>
  <c r="AG2140" i="1" a="1"/>
  <c r="AG2140" i="1"/>
  <c r="AG2141" i="1" a="1"/>
  <c r="AG2141" i="1"/>
  <c r="AG2142" i="1" a="1"/>
  <c r="AG2142" i="1"/>
  <c r="AG2143" i="1" a="1"/>
  <c r="AG2143" i="1"/>
  <c r="AG2144" i="1" a="1"/>
  <c r="AG2144" i="1"/>
  <c r="AG2145" i="1" a="1"/>
  <c r="AG2145" i="1"/>
  <c r="AG2146" i="1" a="1"/>
  <c r="AG2146" i="1"/>
  <c r="AG2147" i="1" a="1"/>
  <c r="AG2147" i="1"/>
  <c r="AG2148" i="1" a="1"/>
  <c r="AG2148" i="1"/>
  <c r="AG2149" i="1" a="1"/>
  <c r="AG2149" i="1"/>
  <c r="AG2150" i="1" a="1"/>
  <c r="AG2150" i="1"/>
  <c r="AG2151" i="1" a="1"/>
  <c r="AG2151" i="1"/>
  <c r="AG2152" i="1" a="1"/>
  <c r="AG2152" i="1"/>
  <c r="AG2153" i="1" a="1"/>
  <c r="AG2153" i="1"/>
  <c r="AG2154" i="1" a="1"/>
  <c r="AG2154" i="1"/>
  <c r="AG2155" i="1" a="1"/>
  <c r="AG2155" i="1"/>
  <c r="AG2156" i="1" a="1"/>
  <c r="AG2156" i="1"/>
  <c r="AG2157" i="1" a="1"/>
  <c r="AG2157" i="1"/>
  <c r="AG2158" i="1" a="1"/>
  <c r="AG2158" i="1"/>
  <c r="AG2159" i="1" a="1"/>
  <c r="AG2159" i="1"/>
  <c r="AG2160" i="1" a="1"/>
  <c r="AG2160" i="1"/>
  <c r="AG2161" i="1" a="1"/>
  <c r="AG2161" i="1"/>
  <c r="AG2162" i="1" a="1"/>
  <c r="AG2162" i="1"/>
  <c r="AG2163" i="1" a="1"/>
  <c r="AG2163" i="1"/>
  <c r="AG2164" i="1" a="1"/>
  <c r="AG2164" i="1"/>
  <c r="AG2165" i="1" a="1"/>
  <c r="AG2165" i="1"/>
  <c r="AG2166" i="1" a="1"/>
  <c r="AG2166" i="1"/>
  <c r="AG2167" i="1" a="1"/>
  <c r="AG2167" i="1"/>
  <c r="AG2168" i="1" a="1"/>
  <c r="AG2168" i="1"/>
  <c r="AG2169" i="1" a="1"/>
  <c r="AG2169" i="1"/>
  <c r="AG2170" i="1" a="1"/>
  <c r="AG2170" i="1"/>
  <c r="AG2171" i="1" a="1"/>
  <c r="AG2171" i="1"/>
  <c r="AG2172" i="1" a="1"/>
  <c r="AG2172" i="1"/>
  <c r="AG2173" i="1" a="1"/>
  <c r="AG2173" i="1"/>
  <c r="AG2174" i="1" a="1"/>
  <c r="AG2174" i="1"/>
  <c r="AG2175" i="1" a="1"/>
  <c r="AG2175" i="1"/>
  <c r="AG2176" i="1" a="1"/>
  <c r="AG2176" i="1"/>
  <c r="AG2177" i="1" a="1"/>
  <c r="AG2177" i="1"/>
  <c r="AG2178" i="1" a="1"/>
  <c r="AG2178" i="1"/>
  <c r="AG2179" i="1" a="1"/>
  <c r="AG2179" i="1"/>
  <c r="AG2180" i="1" a="1"/>
  <c r="AG2180" i="1"/>
  <c r="AG2181" i="1" a="1"/>
  <c r="AG2181" i="1"/>
  <c r="AG2182" i="1" a="1"/>
  <c r="AG2182" i="1"/>
  <c r="AG2183" i="1" a="1"/>
  <c r="AG2183" i="1"/>
  <c r="AG2184" i="1" a="1"/>
  <c r="AG2184" i="1"/>
  <c r="AG2185" i="1" a="1"/>
  <c r="AG2185" i="1"/>
  <c r="AG2186" i="1" a="1"/>
  <c r="AG2186" i="1"/>
  <c r="AG2187" i="1" a="1"/>
  <c r="AG2187" i="1"/>
  <c r="AG2188" i="1" a="1"/>
  <c r="AG2188" i="1"/>
  <c r="AG2189" i="1" a="1"/>
  <c r="AG2189" i="1"/>
  <c r="AG2190" i="1" a="1"/>
  <c r="AG2190" i="1"/>
  <c r="AG2191" i="1" a="1"/>
  <c r="AG2191" i="1"/>
  <c r="AG2192" i="1" a="1"/>
  <c r="AG2192" i="1"/>
  <c r="AG2193" i="1" a="1"/>
  <c r="AG2193" i="1"/>
  <c r="AG2194" i="1" a="1"/>
  <c r="AG2194" i="1"/>
  <c r="AG2195" i="1" a="1"/>
  <c r="AG2195" i="1"/>
  <c r="AG2196" i="1" a="1"/>
  <c r="AG2196" i="1"/>
  <c r="AG2197" i="1" a="1"/>
  <c r="AG2197" i="1"/>
  <c r="AG2198" i="1" a="1"/>
  <c r="AG2198" i="1"/>
  <c r="AG2199" i="1" a="1"/>
  <c r="AG2199" i="1"/>
  <c r="AG2200" i="1" a="1"/>
  <c r="AG2200" i="1"/>
  <c r="AG2201" i="1" a="1"/>
  <c r="AG2201" i="1"/>
  <c r="AG2202" i="1" a="1"/>
  <c r="AG2202" i="1"/>
  <c r="AG2203" i="1" a="1"/>
  <c r="AG2203" i="1"/>
  <c r="AG2204" i="1" a="1"/>
  <c r="AG2204" i="1"/>
  <c r="AG2205" i="1" a="1"/>
  <c r="AG2205" i="1"/>
  <c r="AG2206" i="1" a="1"/>
  <c r="AG2206" i="1"/>
  <c r="AG2207" i="1" a="1"/>
  <c r="AG2207" i="1"/>
  <c r="AG2208" i="1" a="1"/>
  <c r="AG2208" i="1"/>
  <c r="AG2209" i="1" a="1"/>
  <c r="AG2209" i="1"/>
  <c r="AG2210" i="1" a="1"/>
  <c r="AG2210" i="1"/>
  <c r="AG2211" i="1" a="1"/>
  <c r="AG2211" i="1"/>
  <c r="AG2212" i="1" a="1"/>
  <c r="AG2212" i="1"/>
  <c r="AG2213" i="1" a="1"/>
  <c r="AG2213" i="1"/>
  <c r="AG2214" i="1" a="1"/>
  <c r="AG2214" i="1"/>
  <c r="AG2215" i="1" a="1"/>
  <c r="AG2215" i="1"/>
  <c r="AG2216" i="1" a="1"/>
  <c r="AG2216" i="1"/>
  <c r="AG2217" i="1" a="1"/>
  <c r="AG2217" i="1"/>
  <c r="AG2218" i="1" a="1"/>
  <c r="AG2218" i="1"/>
  <c r="AG2219" i="1" a="1"/>
  <c r="AG2219" i="1"/>
  <c r="AG2220" i="1" a="1"/>
  <c r="AG2220" i="1"/>
  <c r="AG2221" i="1" a="1"/>
  <c r="AG2221" i="1"/>
  <c r="AG2222" i="1" a="1"/>
  <c r="AG2222" i="1"/>
  <c r="AG2223" i="1" a="1"/>
  <c r="AG2223" i="1"/>
  <c r="AG2224" i="1" a="1"/>
  <c r="AG2224" i="1"/>
  <c r="AG2225" i="1" a="1"/>
  <c r="AG2225" i="1"/>
  <c r="AG2226" i="1" a="1"/>
  <c r="AG2226" i="1"/>
  <c r="AG2227" i="1" a="1"/>
  <c r="AG2227" i="1"/>
  <c r="AG2228" i="1" a="1"/>
  <c r="AG2228" i="1"/>
  <c r="AG2229" i="1" a="1"/>
  <c r="AG2229" i="1"/>
  <c r="AG2230" i="1" a="1"/>
  <c r="AG2230" i="1"/>
  <c r="AG2231" i="1" a="1"/>
  <c r="AG2231" i="1"/>
  <c r="AG2232" i="1" a="1"/>
  <c r="AG2232" i="1"/>
  <c r="AG2233" i="1" a="1"/>
  <c r="AG2233" i="1"/>
  <c r="AG2234" i="1" a="1"/>
  <c r="AG2234" i="1"/>
  <c r="AG2235" i="1" a="1"/>
  <c r="AG2235" i="1"/>
  <c r="AG2236" i="1" a="1"/>
  <c r="AG2236" i="1" s="1"/>
  <c r="AG2237" i="1" a="1"/>
  <c r="AG2237" i="1" s="1"/>
  <c r="AG2238" i="1" a="1"/>
  <c r="AG2238" i="1" s="1"/>
  <c r="AG2239" i="1" a="1"/>
  <c r="AG2239" i="1" s="1"/>
  <c r="AG2240" i="1" a="1"/>
  <c r="AG2240" i="1" s="1"/>
  <c r="AG2241" i="1" a="1"/>
  <c r="AG2241" i="1" s="1"/>
  <c r="AG2242" i="1" a="1"/>
  <c r="AG2242" i="1" s="1"/>
  <c r="AG2243" i="1" a="1"/>
  <c r="AG2243" i="1" s="1"/>
  <c r="AG2244" i="1" a="1"/>
  <c r="AG2244" i="1" s="1"/>
  <c r="AG2245" i="1" a="1"/>
  <c r="AG2245" i="1" s="1"/>
  <c r="AG2246" i="1" a="1"/>
  <c r="AG2246" i="1" s="1"/>
  <c r="AG2247" i="1" a="1"/>
  <c r="AG2247" i="1" s="1"/>
  <c r="AG2248" i="1" a="1"/>
  <c r="AG2248" i="1" s="1"/>
  <c r="AG2249" i="1" a="1"/>
  <c r="AG2249" i="1" s="1"/>
  <c r="AG2250" i="1" a="1"/>
  <c r="AG2250" i="1" s="1"/>
  <c r="AG2251" i="1" a="1"/>
  <c r="AG2251" i="1" s="1"/>
  <c r="AG2252" i="1" a="1"/>
  <c r="AG2252" i="1" s="1"/>
  <c r="AG2253" i="1" a="1"/>
  <c r="AG2253" i="1" s="1"/>
  <c r="AG2254" i="1" a="1"/>
  <c r="AG2254" i="1" s="1"/>
  <c r="AG2255" i="1" a="1"/>
  <c r="AG2255" i="1" s="1"/>
  <c r="AG2256" i="1" a="1"/>
  <c r="AG2256" i="1" s="1"/>
  <c r="AG2257" i="1" a="1"/>
  <c r="AG2257" i="1" s="1"/>
  <c r="AG2258" i="1" a="1"/>
  <c r="AG2258" i="1" s="1"/>
  <c r="AG2259" i="1" a="1"/>
  <c r="AG2259" i="1" s="1"/>
  <c r="AG2260" i="1" a="1"/>
  <c r="AG2260" i="1" s="1"/>
  <c r="AG2261" i="1" a="1"/>
  <c r="AG2261" i="1" s="1"/>
  <c r="AG2262" i="1" a="1"/>
  <c r="AG2262" i="1" s="1"/>
  <c r="AG2263" i="1" a="1"/>
  <c r="AG2263" i="1" s="1"/>
  <c r="AG2264" i="1" a="1"/>
  <c r="AG2264" i="1" s="1"/>
  <c r="AG2265" i="1" a="1"/>
  <c r="AG2265" i="1" s="1"/>
  <c r="AG2266" i="1" a="1"/>
  <c r="AG2266" i="1" s="1"/>
  <c r="AG2267" i="1" a="1"/>
  <c r="AG2267" i="1" s="1"/>
  <c r="AG2268" i="1" a="1"/>
  <c r="AG2268" i="1" s="1"/>
  <c r="AG2269" i="1" a="1"/>
  <c r="AG2269" i="1" s="1"/>
  <c r="AG2270" i="1" a="1"/>
  <c r="AG2270" i="1" s="1"/>
  <c r="AG2271" i="1" a="1"/>
  <c r="AG2271" i="1" s="1"/>
  <c r="AG2272" i="1" a="1"/>
  <c r="AG2272" i="1" s="1"/>
  <c r="AG2273" i="1" a="1"/>
  <c r="AG2273" i="1" s="1"/>
  <c r="AG2274" i="1" a="1"/>
  <c r="AG2274" i="1" s="1"/>
  <c r="AG2275" i="1" a="1"/>
  <c r="AG2275" i="1" s="1"/>
  <c r="AG2276" i="1" a="1"/>
  <c r="AG2276" i="1" s="1"/>
  <c r="AG2277" i="1" a="1"/>
  <c r="AG2277" i="1" s="1"/>
  <c r="AG2278" i="1" a="1"/>
  <c r="AG2278" i="1" s="1"/>
  <c r="AG2279" i="1" a="1"/>
  <c r="AG2279" i="1" s="1"/>
  <c r="AG2280" i="1" a="1"/>
  <c r="AG2280" i="1" s="1"/>
  <c r="AG2281" i="1" a="1"/>
  <c r="AG2281" i="1" s="1"/>
  <c r="AG2282" i="1" a="1"/>
  <c r="AG2282" i="1" s="1"/>
  <c r="AG2283" i="1" a="1"/>
  <c r="AG2283" i="1" s="1"/>
  <c r="AG2284" i="1" a="1"/>
  <c r="AG2284" i="1" s="1"/>
  <c r="AG2285" i="1" a="1"/>
  <c r="AG2285" i="1" s="1"/>
  <c r="AG2286" i="1" a="1"/>
  <c r="AG2286" i="1" s="1"/>
  <c r="AG2287" i="1" a="1"/>
  <c r="AG2287" i="1" s="1"/>
  <c r="AG2288" i="1" a="1"/>
  <c r="AG2288" i="1" s="1"/>
  <c r="AG2289" i="1" a="1"/>
  <c r="AG2289" i="1" s="1"/>
  <c r="AG2290" i="1" a="1"/>
  <c r="AG2290" i="1" s="1"/>
  <c r="AG2291" i="1" a="1"/>
  <c r="AG2291" i="1" s="1"/>
  <c r="AG2292" i="1" a="1"/>
  <c r="AG2292" i="1" s="1"/>
  <c r="AG2293" i="1" a="1"/>
  <c r="AG2293" i="1" s="1"/>
  <c r="AG2294" i="1" a="1"/>
  <c r="AG2294" i="1" s="1"/>
  <c r="AG2295" i="1" a="1"/>
  <c r="AG2295" i="1" s="1"/>
  <c r="AG2296" i="1" a="1"/>
  <c r="AG2296" i="1" s="1"/>
  <c r="AG2297" i="1" a="1"/>
  <c r="AG2297" i="1" s="1"/>
  <c r="AG2298" i="1" a="1"/>
  <c r="AG2298" i="1" s="1"/>
  <c r="AG2299" i="1" a="1"/>
  <c r="AG2299" i="1" s="1"/>
  <c r="AG2300" i="1" a="1"/>
  <c r="AG2300" i="1" s="1"/>
  <c r="AG2301" i="1" a="1"/>
  <c r="AG2301" i="1" s="1"/>
  <c r="AG2302" i="1" a="1"/>
  <c r="AG2302" i="1" s="1"/>
  <c r="AG2303" i="1" a="1"/>
  <c r="AG2303" i="1" s="1"/>
  <c r="AG2304" i="1" a="1"/>
  <c r="AG2304" i="1" s="1"/>
  <c r="AG2305" i="1" a="1"/>
  <c r="AG2305" i="1" s="1"/>
  <c r="AG2306" i="1" a="1"/>
  <c r="AG2306" i="1" s="1"/>
  <c r="AG2307" i="1" a="1"/>
  <c r="AG2307" i="1" s="1"/>
  <c r="AG2308" i="1" a="1"/>
  <c r="AG2308" i="1" s="1"/>
  <c r="AG2309" i="1" a="1"/>
  <c r="AG2309" i="1" s="1"/>
  <c r="AG2310" i="1" a="1"/>
  <c r="AG2310" i="1" s="1"/>
  <c r="AG2311" i="1" a="1"/>
  <c r="AG2311" i="1" s="1"/>
  <c r="AG2312" i="1" a="1"/>
  <c r="AG2312" i="1" s="1"/>
  <c r="AG2313" i="1" a="1"/>
  <c r="AG2313" i="1" s="1"/>
  <c r="AG2314" i="1" a="1"/>
  <c r="AG2314" i="1" s="1"/>
  <c r="AG2315" i="1" a="1"/>
  <c r="AG2315" i="1" s="1"/>
  <c r="AG2316" i="1" a="1"/>
  <c r="AG2316" i="1" s="1"/>
  <c r="AG2317" i="1" a="1"/>
  <c r="AG2317" i="1" s="1"/>
  <c r="AG2318" i="1" a="1"/>
  <c r="AG2318" i="1" s="1"/>
  <c r="AG2319" i="1" a="1"/>
  <c r="AG2319" i="1" s="1"/>
  <c r="AG2320" i="1" a="1"/>
  <c r="AG2320" i="1" s="1"/>
  <c r="AG2321" i="1" a="1"/>
  <c r="AG2321" i="1" s="1"/>
  <c r="AG2322" i="1" a="1"/>
  <c r="AG2322" i="1" s="1"/>
  <c r="AG2323" i="1" a="1"/>
  <c r="AG2323" i="1" s="1"/>
  <c r="AG2324" i="1" a="1"/>
  <c r="AG2324" i="1" s="1"/>
  <c r="AG2325" i="1" a="1"/>
  <c r="AG2325" i="1" s="1"/>
  <c r="AG2326" i="1" a="1"/>
  <c r="AG2326" i="1" s="1"/>
  <c r="AG2327" i="1" a="1"/>
  <c r="AG2327" i="1" s="1"/>
  <c r="AG2328" i="1" a="1"/>
  <c r="AG2328" i="1" s="1"/>
  <c r="AG2329" i="1" a="1"/>
  <c r="AG2329" i="1" s="1"/>
  <c r="AG2330" i="1" a="1"/>
  <c r="AG2330" i="1" s="1"/>
  <c r="AG2331" i="1" a="1"/>
  <c r="AG2331" i="1" s="1"/>
  <c r="AG2332" i="1" a="1"/>
  <c r="AG2332" i="1" s="1"/>
  <c r="AG2333" i="1" a="1"/>
  <c r="AG2333" i="1" s="1"/>
  <c r="AG2334" i="1" a="1"/>
  <c r="AG2334" i="1" s="1"/>
  <c r="AG2335" i="1" a="1"/>
  <c r="AG2335" i="1" s="1"/>
  <c r="AG2336" i="1" a="1"/>
  <c r="AG2336" i="1" s="1"/>
  <c r="AG2337" i="1" a="1"/>
  <c r="AG2337" i="1" s="1"/>
  <c r="AG2338" i="1" a="1"/>
  <c r="AG2338" i="1" s="1"/>
  <c r="AG2339" i="1" a="1"/>
  <c r="AG2339" i="1" s="1"/>
  <c r="AG2340" i="1" a="1"/>
  <c r="AG2340" i="1" s="1"/>
  <c r="AG2341" i="1" a="1"/>
  <c r="AG2341" i="1" s="1"/>
  <c r="AG2342" i="1" a="1"/>
  <c r="AG2342" i="1" s="1"/>
  <c r="AG2343" i="1" a="1"/>
  <c r="AG2343" i="1" s="1"/>
  <c r="AG2344" i="1" a="1"/>
  <c r="AG2344" i="1" s="1"/>
  <c r="AG2345" i="1" a="1"/>
  <c r="AG2345" i="1" s="1"/>
  <c r="AG2346" i="1" a="1"/>
  <c r="AG2346" i="1" s="1"/>
  <c r="AG2347" i="1" a="1"/>
  <c r="AG2347" i="1" s="1"/>
  <c r="AG2348" i="1" a="1"/>
  <c r="AG2348" i="1" s="1"/>
  <c r="AG2349" i="1" a="1"/>
  <c r="AG2349" i="1" s="1"/>
  <c r="AG2350" i="1" a="1"/>
  <c r="AG2350" i="1" s="1"/>
  <c r="AG2351" i="1" a="1"/>
  <c r="AG2351" i="1" s="1"/>
  <c r="AG2352" i="1" a="1"/>
  <c r="AG2352" i="1" s="1"/>
  <c r="AG2353" i="1" a="1"/>
  <c r="AG2353" i="1" s="1"/>
  <c r="AG2354" i="1" a="1"/>
  <c r="AG2354" i="1" s="1"/>
  <c r="AG2355" i="1" a="1"/>
  <c r="AG2355" i="1" s="1"/>
  <c r="AG2356" i="1" a="1"/>
  <c r="AG2356" i="1" s="1"/>
  <c r="AG2357" i="1" a="1"/>
  <c r="AG2357" i="1" s="1"/>
  <c r="AG2358" i="1" a="1"/>
  <c r="AG2358" i="1" s="1"/>
  <c r="AG2359" i="1" a="1"/>
  <c r="AG2359" i="1" s="1"/>
  <c r="AG2360" i="1" a="1"/>
  <c r="AG2360" i="1" s="1"/>
  <c r="AG2361" i="1" a="1"/>
  <c r="AG2361" i="1" s="1"/>
  <c r="AG2362" i="1" a="1"/>
  <c r="AG2362" i="1" s="1"/>
  <c r="AG2363" i="1" a="1"/>
  <c r="AG2363" i="1" s="1"/>
  <c r="AG2364" i="1" a="1"/>
  <c r="AG2364" i="1" s="1"/>
  <c r="AG2365" i="1" a="1"/>
  <c r="AG2365" i="1"/>
  <c r="AG2366" i="1" a="1"/>
  <c r="AG2366" i="1"/>
  <c r="AG2367" i="1" a="1"/>
  <c r="AG2367" i="1"/>
  <c r="AG2368" i="1" a="1"/>
  <c r="AG2368" i="1"/>
  <c r="AG2369" i="1" a="1"/>
  <c r="AG2369" i="1"/>
  <c r="AG2370" i="1" a="1"/>
  <c r="AG2370" i="1"/>
  <c r="AG2371" i="1" a="1"/>
  <c r="AG2371" i="1"/>
  <c r="AG2372" i="1" a="1"/>
  <c r="AG2372" i="1"/>
  <c r="AG2373" i="1" a="1"/>
  <c r="AG2373" i="1"/>
  <c r="AG2374" i="1" a="1"/>
  <c r="AG2374" i="1"/>
  <c r="AG2375" i="1" a="1"/>
  <c r="AG2375" i="1"/>
  <c r="AG2376" i="1" a="1"/>
  <c r="AG2376" i="1"/>
  <c r="AG2377" i="1" a="1"/>
  <c r="AG2377" i="1"/>
  <c r="AG2378" i="1" a="1"/>
  <c r="AG2378" i="1"/>
  <c r="AG2379" i="1" a="1"/>
  <c r="AG2379" i="1"/>
  <c r="AG2380" i="1" a="1"/>
  <c r="AG2380" i="1"/>
  <c r="AG2381" i="1" a="1"/>
  <c r="AG2381" i="1"/>
  <c r="AG2382" i="1" a="1"/>
  <c r="AG2382" i="1"/>
  <c r="AG2383" i="1" a="1"/>
  <c r="AG2383" i="1"/>
  <c r="AG2384" i="1" a="1"/>
  <c r="AG2384" i="1"/>
  <c r="AG2385" i="1" a="1"/>
  <c r="AG2385" i="1"/>
  <c r="AG2386" i="1" a="1"/>
  <c r="AG2386" i="1"/>
  <c r="AG2387" i="1" a="1"/>
  <c r="AG2387" i="1"/>
  <c r="AG2388" i="1" a="1"/>
  <c r="AG2388" i="1"/>
  <c r="AG2389" i="1" a="1"/>
  <c r="AG2389" i="1"/>
  <c r="AG2390" i="1" a="1"/>
  <c r="AG2390" i="1"/>
  <c r="AG2391" i="1" a="1"/>
  <c r="AG2391" i="1"/>
  <c r="AG2392" i="1" a="1"/>
  <c r="AG2392" i="1"/>
  <c r="AG2393" i="1" a="1"/>
  <c r="AG2393" i="1"/>
  <c r="AG2394" i="1" a="1"/>
  <c r="AG2394" i="1"/>
  <c r="AG2395" i="1" a="1"/>
  <c r="AG2395" i="1"/>
  <c r="AG2396" i="1" a="1"/>
  <c r="AG2396" i="1"/>
  <c r="AG2397" i="1" a="1"/>
  <c r="AG2397" i="1"/>
  <c r="AG2398" i="1" a="1"/>
  <c r="AG2398" i="1"/>
  <c r="AG2399" i="1" a="1"/>
  <c r="AG2399" i="1"/>
  <c r="AG2400" i="1" a="1"/>
  <c r="AG2400" i="1"/>
  <c r="AG2401" i="1" a="1"/>
  <c r="AG2401" i="1"/>
  <c r="AG2402" i="1" a="1"/>
  <c r="AG2402" i="1"/>
  <c r="AG2403" i="1" a="1"/>
  <c r="AG2403" i="1"/>
  <c r="AG2404" i="1" a="1"/>
  <c r="AG2404" i="1"/>
  <c r="AG2405" i="1" a="1"/>
  <c r="AG2405" i="1"/>
  <c r="AG2406" i="1" a="1"/>
  <c r="AG2406" i="1"/>
  <c r="AG2407" i="1" a="1"/>
  <c r="AG2407" i="1"/>
  <c r="AG2408" i="1" a="1"/>
  <c r="AG2408" i="1"/>
  <c r="AG2409" i="1" a="1"/>
  <c r="AG2409" i="1"/>
  <c r="AG2410" i="1" a="1"/>
  <c r="AG2410" i="1"/>
  <c r="AG2411" i="1" a="1"/>
  <c r="AG2411" i="1"/>
  <c r="AG2412" i="1" a="1"/>
  <c r="AG2412" i="1"/>
  <c r="AG2413" i="1" a="1"/>
  <c r="AG2413" i="1"/>
  <c r="AG2414" i="1" a="1"/>
  <c r="AG2414" i="1"/>
  <c r="AG2415" i="1" a="1"/>
  <c r="AG2415" i="1"/>
  <c r="AG2416" i="1" a="1"/>
  <c r="AG2416" i="1"/>
  <c r="AG2417" i="1" a="1"/>
  <c r="AG2417" i="1"/>
  <c r="AG2418" i="1" a="1"/>
  <c r="AG2418" i="1"/>
  <c r="AG2419" i="1" a="1"/>
  <c r="AG2419" i="1"/>
  <c r="AG2420" i="1" a="1"/>
  <c r="AG2420" i="1"/>
  <c r="AG2421" i="1" a="1"/>
  <c r="AG2421" i="1"/>
  <c r="AG2422" i="1" a="1"/>
  <c r="AG2422" i="1"/>
  <c r="AG2423" i="1" a="1"/>
  <c r="AG2423" i="1"/>
  <c r="AG2424" i="1" a="1"/>
  <c r="AG2424" i="1"/>
  <c r="AG2425" i="1" a="1"/>
  <c r="AG2425" i="1"/>
  <c r="AG2426" i="1" a="1"/>
  <c r="AG2426" i="1"/>
  <c r="AG2427" i="1" a="1"/>
  <c r="AG2427" i="1"/>
  <c r="AG2428" i="1" a="1"/>
  <c r="AG2428" i="1"/>
  <c r="AG2429" i="1" a="1"/>
  <c r="AG2429" i="1"/>
  <c r="AG2430" i="1" a="1"/>
  <c r="AG2430" i="1"/>
  <c r="AG2431" i="1" a="1"/>
  <c r="AG2431" i="1"/>
  <c r="AG2432" i="1" a="1"/>
  <c r="AG2432" i="1"/>
  <c r="AG2433" i="1" a="1"/>
  <c r="AG2433" i="1"/>
  <c r="AG2434" i="1" a="1"/>
  <c r="AG2434" i="1"/>
  <c r="AG2435" i="1" a="1"/>
  <c r="AG2435" i="1"/>
  <c r="AG2436" i="1" a="1"/>
  <c r="AG2436" i="1"/>
  <c r="AG2437" i="1" a="1"/>
  <c r="AG2437" i="1"/>
  <c r="AG2438" i="1" a="1"/>
  <c r="AG2438" i="1"/>
  <c r="AG2439" i="1" a="1"/>
  <c r="AG2439" i="1"/>
  <c r="AG2440" i="1" a="1"/>
  <c r="AG2440" i="1"/>
  <c r="AG2441" i="1" a="1"/>
  <c r="AG2441" i="1"/>
  <c r="AG2442" i="1" a="1"/>
  <c r="AG2442" i="1"/>
  <c r="AG2443" i="1" a="1"/>
  <c r="AG2443" i="1"/>
  <c r="AG2444" i="1" a="1"/>
  <c r="AG2444" i="1"/>
  <c r="AG2445" i="1" a="1"/>
  <c r="AG2445" i="1"/>
  <c r="AG2446" i="1" a="1"/>
  <c r="AG2446" i="1"/>
  <c r="AG2447" i="1" a="1"/>
  <c r="AG2447" i="1"/>
  <c r="AG2448" i="1" a="1"/>
  <c r="AG2448" i="1"/>
  <c r="AG2449" i="1" a="1"/>
  <c r="AG2449" i="1"/>
  <c r="AG2450" i="1" a="1"/>
  <c r="AG2450" i="1"/>
  <c r="AG2451" i="1" a="1"/>
  <c r="AG2451" i="1"/>
  <c r="AG2452" i="1" a="1"/>
  <c r="AG2452" i="1"/>
  <c r="AG2453" i="1" a="1"/>
  <c r="AG2453" i="1"/>
  <c r="AG2454" i="1" a="1"/>
  <c r="AG2454" i="1"/>
  <c r="AG2455" i="1" a="1"/>
  <c r="AG2455" i="1"/>
  <c r="AG2456" i="1" a="1"/>
  <c r="AG2456" i="1"/>
  <c r="AG2457" i="1" a="1"/>
  <c r="AG2457" i="1"/>
  <c r="AG2458" i="1" a="1"/>
  <c r="AG2458" i="1"/>
  <c r="AG2459" i="1" a="1"/>
  <c r="AG2459" i="1"/>
  <c r="AG2460" i="1" a="1"/>
  <c r="AG2460" i="1"/>
  <c r="AG2461" i="1" a="1"/>
  <c r="AG2461" i="1"/>
  <c r="AG2462" i="1" a="1"/>
  <c r="AG2462" i="1"/>
  <c r="AG2463" i="1" a="1"/>
  <c r="AG2463" i="1"/>
  <c r="AG2464" i="1" a="1"/>
  <c r="AG2464" i="1"/>
  <c r="AG2465" i="1" a="1"/>
  <c r="AG2465" i="1"/>
  <c r="AG2466" i="1" a="1"/>
  <c r="AG2466" i="1"/>
  <c r="AG2467" i="1" a="1"/>
  <c r="AG2467" i="1"/>
  <c r="AG2468" i="1" a="1"/>
  <c r="AG2468" i="1"/>
  <c r="AG2469" i="1" a="1"/>
  <c r="AG2469" i="1"/>
  <c r="AG2470" i="1" a="1"/>
  <c r="AG2470" i="1"/>
  <c r="AG2471" i="1" a="1"/>
  <c r="AG2471" i="1"/>
  <c r="AG2472" i="1" a="1"/>
  <c r="AG2472" i="1"/>
  <c r="AG2473" i="1" a="1"/>
  <c r="AG2473" i="1"/>
  <c r="AG2474" i="1" a="1"/>
  <c r="AG2474" i="1"/>
  <c r="AG2475" i="1" a="1"/>
  <c r="AG2475" i="1"/>
  <c r="AG2476" i="1" a="1"/>
  <c r="AG2476" i="1"/>
  <c r="AG2477" i="1" a="1"/>
  <c r="AG2477" i="1"/>
  <c r="AG2478" i="1" a="1"/>
  <c r="AG2478" i="1"/>
  <c r="AG2479" i="1" a="1"/>
  <c r="AG2479" i="1"/>
  <c r="AG2480" i="1" a="1"/>
  <c r="AG2480" i="1"/>
  <c r="AG2481" i="1" a="1"/>
  <c r="AG2481" i="1"/>
  <c r="AG2482" i="1" a="1"/>
  <c r="AG2482" i="1"/>
  <c r="AG2483" i="1" a="1"/>
  <c r="AG2483" i="1"/>
  <c r="AG2484" i="1" a="1"/>
  <c r="AG2484" i="1"/>
  <c r="AG2485" i="1" a="1"/>
  <c r="AG2485" i="1"/>
  <c r="AG2486" i="1" a="1"/>
  <c r="AG2486" i="1"/>
  <c r="AG2487" i="1" a="1"/>
  <c r="AG2487" i="1"/>
  <c r="AG2488" i="1" a="1"/>
  <c r="AG2488" i="1"/>
  <c r="AG2489" i="1" a="1"/>
  <c r="AG2489" i="1"/>
  <c r="AG2490" i="1" a="1"/>
  <c r="AG2490" i="1"/>
  <c r="AG2491" i="1" a="1"/>
  <c r="AG2491" i="1"/>
  <c r="AG2492" i="1" a="1"/>
  <c r="AG2492" i="1"/>
  <c r="AG2493" i="1" a="1"/>
  <c r="AG2493" i="1"/>
  <c r="AG2494" i="1" a="1"/>
  <c r="AG2494" i="1"/>
  <c r="AG2495" i="1" a="1"/>
  <c r="AG2495" i="1"/>
  <c r="AG2496" i="1" a="1"/>
  <c r="AG2496" i="1"/>
  <c r="AG2497" i="1" a="1"/>
  <c r="AG2497" i="1"/>
  <c r="AG2498" i="1" a="1"/>
  <c r="AG2498" i="1"/>
  <c r="AG2499" i="1" a="1"/>
  <c r="AG2499" i="1"/>
  <c r="AG2500" i="1" a="1"/>
  <c r="AG2500" i="1"/>
  <c r="AG2501" i="1" a="1"/>
  <c r="AG2501" i="1"/>
  <c r="AG2502" i="1" a="1"/>
  <c r="AG2502" i="1"/>
  <c r="AG2503" i="1" a="1"/>
  <c r="AG2503" i="1"/>
  <c r="AG2504" i="1" a="1"/>
  <c r="AG2504" i="1"/>
  <c r="AG2505" i="1" a="1"/>
  <c r="AG2505" i="1"/>
  <c r="AG2506" i="1" a="1"/>
  <c r="AG2506" i="1"/>
  <c r="AG2507" i="1" a="1"/>
  <c r="AG2507" i="1"/>
  <c r="AG2508" i="1" a="1"/>
  <c r="AG2508" i="1"/>
  <c r="AG2509" i="1" a="1"/>
  <c r="AG2509" i="1"/>
  <c r="AG2510" i="1" a="1"/>
  <c r="AG2510" i="1"/>
  <c r="AG2511" i="1" a="1"/>
  <c r="AG2511" i="1"/>
  <c r="AG2512" i="1" a="1"/>
  <c r="AG2512" i="1"/>
  <c r="AG2513" i="1" a="1"/>
  <c r="AG2513" i="1"/>
  <c r="AG2514" i="1" a="1"/>
  <c r="AG2514" i="1"/>
  <c r="AG2515" i="1" a="1"/>
  <c r="AG2515" i="1"/>
  <c r="AG2516" i="1" a="1"/>
  <c r="AG2516" i="1"/>
  <c r="AG2517" i="1" a="1"/>
  <c r="AG2517" i="1"/>
  <c r="AG2518" i="1" a="1"/>
  <c r="AG2518" i="1"/>
  <c r="AG2519" i="1" a="1"/>
  <c r="AG2519" i="1"/>
  <c r="AG2520" i="1" a="1"/>
  <c r="AG2520" i="1"/>
  <c r="AG2521" i="1" a="1"/>
  <c r="AG2521" i="1"/>
  <c r="AG2522" i="1" a="1"/>
  <c r="AG2522" i="1"/>
  <c r="AG2523" i="1" a="1"/>
  <c r="AG2523" i="1"/>
  <c r="AG2524" i="1" a="1"/>
  <c r="AG2524" i="1"/>
  <c r="AG2525" i="1" a="1"/>
  <c r="AG2525" i="1"/>
  <c r="AG2526" i="1" a="1"/>
  <c r="AG2526" i="1"/>
  <c r="AG2527" i="1" a="1"/>
  <c r="AG2527" i="1"/>
  <c r="AG2528" i="1" a="1"/>
  <c r="AG2528" i="1"/>
  <c r="AG2529" i="1" a="1"/>
  <c r="AG2529" i="1"/>
  <c r="AG2530" i="1" a="1"/>
  <c r="AG2530" i="1"/>
  <c r="AG2531" i="1" a="1"/>
  <c r="AG2531" i="1"/>
  <c r="AG2532" i="1" a="1"/>
  <c r="AG2532" i="1"/>
  <c r="AG2533" i="1" a="1"/>
  <c r="AG2533" i="1"/>
  <c r="AG2534" i="1" a="1"/>
  <c r="AG2534" i="1"/>
  <c r="AG2535" i="1" a="1"/>
  <c r="AG2535" i="1"/>
  <c r="AG2536" i="1" a="1"/>
  <c r="AG2536" i="1"/>
  <c r="AG2537" i="1" a="1"/>
  <c r="AG2537" i="1"/>
  <c r="AG2538" i="1" a="1"/>
  <c r="AG2538" i="1"/>
  <c r="AG2539" i="1" a="1"/>
  <c r="AG2539" i="1"/>
  <c r="AG2540" i="1" a="1"/>
  <c r="AG2540" i="1"/>
  <c r="AG2541" i="1" a="1"/>
  <c r="AG2541" i="1"/>
  <c r="AG2542" i="1" a="1"/>
  <c r="AG2542" i="1"/>
  <c r="AG2543" i="1" a="1"/>
  <c r="AG2543" i="1"/>
  <c r="AG2544" i="1" a="1"/>
  <c r="AG2544" i="1"/>
  <c r="AG2545" i="1" a="1"/>
  <c r="AG2545" i="1"/>
  <c r="AG2546" i="1" a="1"/>
  <c r="AG2546" i="1"/>
  <c r="AG2547" i="1" a="1"/>
  <c r="AG2547" i="1"/>
  <c r="AG2548" i="1" a="1"/>
  <c r="AG2548" i="1"/>
  <c r="AG2549" i="1" a="1"/>
  <c r="AG2549" i="1"/>
  <c r="AG2550" i="1" a="1"/>
  <c r="AG2550" i="1"/>
  <c r="AG2551" i="1" a="1"/>
  <c r="AG2551" i="1"/>
  <c r="AG2552" i="1" a="1"/>
  <c r="AG2552" i="1"/>
  <c r="AG2553" i="1" a="1"/>
  <c r="AG2553" i="1"/>
  <c r="AG2554" i="1" a="1"/>
  <c r="AG2554" i="1"/>
  <c r="AG2555" i="1" a="1"/>
  <c r="AG2555" i="1"/>
  <c r="AG2556" i="1" a="1"/>
  <c r="AG2556" i="1"/>
  <c r="AG2557" i="1" a="1"/>
  <c r="AG2557" i="1"/>
  <c r="AG2558" i="1" a="1"/>
  <c r="AG2558" i="1"/>
  <c r="AG2559" i="1" a="1"/>
  <c r="AG2559" i="1"/>
  <c r="AG2560" i="1" a="1"/>
  <c r="AG2560" i="1"/>
  <c r="AG2561" i="1" a="1"/>
  <c r="AG2561" i="1"/>
  <c r="AG2562" i="1" a="1"/>
  <c r="AG2562" i="1"/>
  <c r="AG2563" i="1" a="1"/>
  <c r="AG2563" i="1"/>
  <c r="AG2564" i="1" a="1"/>
  <c r="AG2564" i="1"/>
  <c r="AG2565" i="1" a="1"/>
  <c r="AG2565" i="1"/>
  <c r="AG2566" i="1" a="1"/>
  <c r="AG2566" i="1"/>
  <c r="AG2567" i="1" a="1"/>
  <c r="AG2567" i="1"/>
  <c r="AG2568" i="1" a="1"/>
  <c r="AG2568" i="1"/>
  <c r="AG2569" i="1" a="1"/>
  <c r="AG2569" i="1"/>
  <c r="AG2570" i="1" a="1"/>
  <c r="AG2570" i="1"/>
  <c r="AG2571" i="1" a="1"/>
  <c r="AG2571" i="1"/>
  <c r="AG2572" i="1" a="1"/>
  <c r="AG2572" i="1"/>
  <c r="AG2573" i="1" a="1"/>
  <c r="AG2573" i="1"/>
  <c r="AG2574" i="1" a="1"/>
  <c r="AG2574" i="1"/>
  <c r="AG2575" i="1" a="1"/>
  <c r="AG2575" i="1"/>
  <c r="AG2576" i="1" a="1"/>
  <c r="AG2576" i="1"/>
  <c r="AG2577" i="1" a="1"/>
  <c r="AG2577" i="1"/>
  <c r="AG2578" i="1" a="1"/>
  <c r="AG2578" i="1"/>
  <c r="AG2579" i="1" a="1"/>
  <c r="AG2579" i="1"/>
  <c r="AG2580" i="1" a="1"/>
  <c r="AG2580" i="1"/>
  <c r="AG2581" i="1" a="1"/>
  <c r="AG2581" i="1"/>
  <c r="AG2582" i="1" a="1"/>
  <c r="AG2582" i="1"/>
  <c r="AG2583" i="1" a="1"/>
  <c r="AG2583" i="1"/>
  <c r="AG2584" i="1" a="1"/>
  <c r="AG2584" i="1"/>
  <c r="AG2585" i="1" a="1"/>
  <c r="AG2585" i="1"/>
  <c r="AG2586" i="1" a="1"/>
  <c r="AG2586" i="1"/>
  <c r="AG2587" i="1" a="1"/>
  <c r="AG2587" i="1"/>
  <c r="AG2588" i="1" a="1"/>
  <c r="AG2588" i="1"/>
  <c r="AG2589" i="1" a="1"/>
  <c r="AG2589" i="1"/>
  <c r="AG2590" i="1" a="1"/>
  <c r="AG2590" i="1"/>
  <c r="AG2591" i="1" a="1"/>
  <c r="AG2591" i="1"/>
  <c r="AG2592" i="1" a="1"/>
  <c r="AG2592" i="1"/>
  <c r="AG2593" i="1" a="1"/>
  <c r="AG2593" i="1"/>
  <c r="AG2594" i="1" a="1"/>
  <c r="AG2594" i="1"/>
  <c r="AG2595" i="1" a="1"/>
  <c r="AG2595" i="1"/>
  <c r="AG2596" i="1" a="1"/>
  <c r="AG2596" i="1"/>
  <c r="AG2597" i="1" a="1"/>
  <c r="AG2597" i="1"/>
  <c r="AG2598" i="1" a="1"/>
  <c r="AG2598" i="1"/>
  <c r="AG2599" i="1" a="1"/>
  <c r="AG2599" i="1"/>
  <c r="AG2600" i="1" a="1"/>
  <c r="AG2600" i="1"/>
  <c r="AG2601" i="1" a="1"/>
  <c r="AG2601" i="1"/>
  <c r="AG2602" i="1" a="1"/>
  <c r="AG2602" i="1"/>
  <c r="AG2603" i="1" a="1"/>
  <c r="AG2603" i="1"/>
  <c r="AG2604" i="1" a="1"/>
  <c r="AG2604" i="1"/>
  <c r="AG2605" i="1" a="1"/>
  <c r="AG2605" i="1"/>
  <c r="AG2606" i="1" a="1"/>
  <c r="AG2606" i="1"/>
  <c r="AG2607" i="1" a="1"/>
  <c r="AG2607" i="1"/>
  <c r="AG2608" i="1" a="1"/>
  <c r="AG2608" i="1"/>
  <c r="AG2609" i="1" a="1"/>
  <c r="AG2609" i="1"/>
  <c r="AG2610" i="1" a="1"/>
  <c r="AG2610" i="1"/>
  <c r="AG2611" i="1" a="1"/>
  <c r="AG2611" i="1"/>
  <c r="AG2612" i="1" a="1"/>
  <c r="AG2612" i="1"/>
  <c r="AG2613" i="1" a="1"/>
  <c r="AG2613" i="1"/>
  <c r="AG2614" i="1" a="1"/>
  <c r="AG2614" i="1"/>
  <c r="AG2615" i="1" a="1"/>
  <c r="AG2615" i="1"/>
  <c r="AG2616" i="1" a="1"/>
  <c r="AG2616" i="1"/>
  <c r="AG2617" i="1" a="1"/>
  <c r="AG2617" i="1"/>
  <c r="AG2618" i="1" a="1"/>
  <c r="AG2618" i="1"/>
  <c r="AG2619" i="1" a="1"/>
  <c r="AG2619" i="1"/>
  <c r="AG2620" i="1" a="1"/>
  <c r="AG2620" i="1"/>
  <c r="AG2621" i="1" a="1"/>
  <c r="AG2621" i="1"/>
  <c r="AG2622" i="1" a="1"/>
  <c r="AG2622" i="1"/>
  <c r="AG2623" i="1" a="1"/>
  <c r="AG2623" i="1"/>
  <c r="AG2624" i="1" a="1"/>
  <c r="AG2624" i="1"/>
  <c r="AG2625" i="1" a="1"/>
  <c r="AG2625" i="1"/>
  <c r="AG2626" i="1" a="1"/>
  <c r="AG2626" i="1"/>
  <c r="AG2627" i="1" a="1"/>
  <c r="AG2627" i="1"/>
  <c r="AG2628" i="1" a="1"/>
  <c r="AG2628" i="1"/>
  <c r="AG2629" i="1" a="1"/>
  <c r="AG2629" i="1"/>
  <c r="AG2630" i="1" a="1"/>
  <c r="AG2630" i="1"/>
  <c r="AG2631" i="1" a="1"/>
  <c r="AG2631" i="1"/>
  <c r="AG2632" i="1" a="1"/>
  <c r="AG2632" i="1"/>
  <c r="AG2633" i="1" a="1"/>
  <c r="AG2633" i="1"/>
  <c r="AG2634" i="1" a="1"/>
  <c r="AG2634" i="1"/>
  <c r="AG2635" i="1" a="1"/>
  <c r="AG2635" i="1"/>
  <c r="AG2636" i="1" a="1"/>
  <c r="AG2636" i="1"/>
  <c r="AG2637" i="1" a="1"/>
  <c r="AG2637" i="1"/>
  <c r="AG2638" i="1" a="1"/>
  <c r="AG2638" i="1"/>
  <c r="AG2639" i="1" a="1"/>
  <c r="AG2639" i="1"/>
  <c r="AG2640" i="1" a="1"/>
  <c r="AG2640" i="1"/>
  <c r="AG2641" i="1" a="1"/>
  <c r="AG2641" i="1"/>
  <c r="AG2642" i="1" a="1"/>
  <c r="AG2642" i="1"/>
  <c r="AG2643" i="1" a="1"/>
  <c r="AG2643" i="1"/>
  <c r="AG2644" i="1" a="1"/>
  <c r="AG2644" i="1"/>
  <c r="AG2645" i="1" a="1"/>
  <c r="AG2645" i="1"/>
  <c r="AG2646" i="1" a="1"/>
  <c r="AG2646" i="1"/>
  <c r="AG2647" i="1" a="1"/>
  <c r="AG2647" i="1"/>
  <c r="AG2648" i="1" a="1"/>
  <c r="AG2648" i="1"/>
  <c r="AG2649" i="1" a="1"/>
  <c r="AG2649" i="1"/>
  <c r="AG2650" i="1" a="1"/>
  <c r="AG2650" i="1"/>
  <c r="AG2651" i="1" a="1"/>
  <c r="AG2651" i="1"/>
  <c r="AG2652" i="1" a="1"/>
  <c r="AG2652" i="1"/>
  <c r="AG2653" i="1" a="1"/>
  <c r="AG2653" i="1"/>
  <c r="AG2654" i="1" a="1"/>
  <c r="AG2654" i="1"/>
  <c r="AG2655" i="1" a="1"/>
  <c r="AG2655" i="1"/>
  <c r="AG2656" i="1" a="1"/>
  <c r="AG2656" i="1"/>
  <c r="AG2657" i="1" a="1"/>
  <c r="AG2657" i="1"/>
  <c r="AG2658" i="1" a="1"/>
  <c r="AG2658" i="1"/>
  <c r="AG2659" i="1" a="1"/>
  <c r="AG2659" i="1"/>
  <c r="AG2660" i="1" a="1"/>
  <c r="AG2660" i="1"/>
  <c r="AG2661" i="1" a="1"/>
  <c r="AG2661" i="1"/>
  <c r="AG2662" i="1" a="1"/>
  <c r="AG2662" i="1"/>
  <c r="AG2663" i="1" a="1"/>
  <c r="AG2663" i="1"/>
  <c r="AG2664" i="1" a="1"/>
  <c r="AG2664" i="1"/>
  <c r="AG2665" i="1" a="1"/>
  <c r="AG2665" i="1"/>
  <c r="AG2666" i="1" a="1"/>
  <c r="AG2666" i="1"/>
  <c r="AG2667" i="1" a="1"/>
  <c r="AG2667" i="1"/>
  <c r="AG2668" i="1" a="1"/>
  <c r="AG2668" i="1"/>
  <c r="AG2669" i="1" a="1"/>
  <c r="AG2669" i="1"/>
  <c r="AG2670" i="1" a="1"/>
  <c r="AG2670" i="1"/>
  <c r="AG2671" i="1" a="1"/>
  <c r="AG2671" i="1"/>
  <c r="AG2672" i="1" a="1"/>
  <c r="AG2672" i="1"/>
  <c r="AG2673" i="1" a="1"/>
  <c r="AG2673" i="1"/>
  <c r="AG2674" i="1" a="1"/>
  <c r="AG2674" i="1"/>
  <c r="AG2675" i="1" a="1"/>
  <c r="AG2675" i="1"/>
  <c r="AG2676" i="1" a="1"/>
  <c r="AG2676" i="1"/>
  <c r="AG2677" i="1" a="1"/>
  <c r="AG2677" i="1"/>
  <c r="AG2678" i="1" a="1"/>
  <c r="AG2678" i="1"/>
  <c r="AG2679" i="1" a="1"/>
  <c r="AG2679" i="1"/>
  <c r="AG2680" i="1" a="1"/>
  <c r="AG2680" i="1"/>
  <c r="AG2681" i="1" a="1"/>
  <c r="AG2681" i="1"/>
  <c r="AG2682" i="1" a="1"/>
  <c r="AG2682" i="1"/>
  <c r="AG2683" i="1" a="1"/>
  <c r="AG2683" i="1"/>
  <c r="AG2684" i="1" a="1"/>
  <c r="AG2684" i="1"/>
  <c r="AG2685" i="1" a="1"/>
  <c r="AG2685" i="1"/>
  <c r="AG2686" i="1" a="1"/>
  <c r="AG2686" i="1"/>
  <c r="AG2687" i="1" a="1"/>
  <c r="AG2687" i="1"/>
  <c r="AG2688" i="1" a="1"/>
  <c r="AG2688" i="1"/>
  <c r="AG2689" i="1" a="1"/>
  <c r="AG2689" i="1"/>
  <c r="AG2690" i="1" a="1"/>
  <c r="AG2690" i="1"/>
  <c r="AG2691" i="1" a="1"/>
  <c r="AG2691" i="1"/>
  <c r="AG2692" i="1" a="1"/>
  <c r="AG2692" i="1"/>
  <c r="AG2693" i="1" a="1"/>
  <c r="AG2693" i="1"/>
  <c r="AG2694" i="1" a="1"/>
  <c r="AG2694" i="1"/>
  <c r="AG2695" i="1" a="1"/>
  <c r="AG2695" i="1"/>
  <c r="AG2696" i="1" a="1"/>
  <c r="AG2696" i="1"/>
  <c r="AG2697" i="1" a="1"/>
  <c r="AG2697" i="1"/>
  <c r="AG2698" i="1" a="1"/>
  <c r="AG2698" i="1"/>
  <c r="AG2699" i="1" a="1"/>
  <c r="AG2699" i="1"/>
  <c r="AG2700" i="1" a="1"/>
  <c r="AG2700" i="1"/>
  <c r="AG2701" i="1" a="1"/>
  <c r="AG2701" i="1"/>
  <c r="AG2702" i="1" a="1"/>
  <c r="AG2702" i="1"/>
  <c r="AG2703" i="1" a="1"/>
  <c r="AG2703" i="1"/>
  <c r="AG2704" i="1" a="1"/>
  <c r="AG2704" i="1"/>
  <c r="AG2705" i="1" a="1"/>
  <c r="AG2705" i="1"/>
  <c r="AG2706" i="1" a="1"/>
  <c r="AG2706" i="1"/>
  <c r="AG2707" i="1" a="1"/>
  <c r="AG2707" i="1"/>
  <c r="AG2708" i="1" a="1"/>
  <c r="AG2708" i="1"/>
  <c r="AG2709" i="1" a="1"/>
  <c r="AG2709" i="1"/>
  <c r="AG2710" i="1" a="1"/>
  <c r="AG2710" i="1"/>
  <c r="AG2711" i="1" a="1"/>
  <c r="AG2711" i="1"/>
  <c r="AG2712" i="1" a="1"/>
  <c r="AG2712" i="1"/>
  <c r="AG2713" i="1" a="1"/>
  <c r="AG2713" i="1"/>
  <c r="AG2714" i="1" a="1"/>
  <c r="AG2714" i="1"/>
  <c r="AG2715" i="1" a="1"/>
  <c r="AG2715" i="1"/>
  <c r="AG2716" i="1" a="1"/>
  <c r="AG2716" i="1"/>
  <c r="AG2717" i="1" a="1"/>
  <c r="AG2717" i="1"/>
  <c r="AG2718" i="1" a="1"/>
  <c r="AG2718" i="1"/>
  <c r="AG2719" i="1" a="1"/>
  <c r="AG2719" i="1"/>
  <c r="AG2720" i="1" a="1"/>
  <c r="AG2720" i="1"/>
  <c r="AG2721" i="1" a="1"/>
  <c r="AG2721" i="1"/>
  <c r="AG2722" i="1" a="1"/>
  <c r="AG2722" i="1"/>
  <c r="AG2723" i="1" a="1"/>
  <c r="AG2723" i="1"/>
  <c r="AG2724" i="1" a="1"/>
  <c r="AG2724" i="1"/>
  <c r="AG2725" i="1" a="1"/>
  <c r="AG2725" i="1"/>
  <c r="AG2726" i="1" a="1"/>
  <c r="AG2726" i="1"/>
  <c r="AG2727" i="1" a="1"/>
  <c r="AG2727" i="1"/>
  <c r="AG2728" i="1" a="1"/>
  <c r="AG2728" i="1"/>
  <c r="AG2729" i="1" a="1"/>
  <c r="AG2729" i="1"/>
  <c r="AG2730" i="1" a="1"/>
  <c r="AG2730" i="1"/>
  <c r="AG2731" i="1" a="1"/>
  <c r="AG2731" i="1"/>
  <c r="AG2732" i="1" a="1"/>
  <c r="AG2732" i="1"/>
  <c r="AG2733" i="1" a="1"/>
  <c r="AG2733" i="1"/>
  <c r="AG2734" i="1" a="1"/>
  <c r="AG2734" i="1"/>
  <c r="AG2735" i="1" a="1"/>
  <c r="AG2735" i="1"/>
  <c r="AG2736" i="1" a="1"/>
  <c r="AG2736" i="1"/>
  <c r="AG2737" i="1" a="1"/>
  <c r="AG2737" i="1"/>
  <c r="AG2738" i="1" a="1"/>
  <c r="AG2738" i="1"/>
  <c r="AG2739" i="1" a="1"/>
  <c r="AG2739" i="1"/>
  <c r="AG2740" i="1" a="1"/>
  <c r="AG2740" i="1"/>
  <c r="AG2741" i="1" a="1"/>
  <c r="AG2741" i="1"/>
  <c r="AG2742" i="1" a="1"/>
  <c r="AG2742" i="1"/>
  <c r="AG2743" i="1" a="1"/>
  <c r="AG2743" i="1"/>
  <c r="AG2744" i="1" a="1"/>
  <c r="AG2744" i="1"/>
  <c r="AG2745" i="1" a="1"/>
  <c r="AG2745" i="1"/>
  <c r="AG2746" i="1" a="1"/>
  <c r="AG2746" i="1"/>
  <c r="AG2747" i="1" a="1"/>
  <c r="AG2747" i="1"/>
  <c r="AG2748" i="1" a="1"/>
  <c r="AG2748" i="1"/>
  <c r="AG2749" i="1" a="1"/>
  <c r="AG2749" i="1"/>
  <c r="AG2750" i="1" a="1"/>
  <c r="AG2750" i="1"/>
  <c r="AG2751" i="1" a="1"/>
  <c r="AG2751" i="1"/>
  <c r="AG2752" i="1" a="1"/>
  <c r="AG2752" i="1"/>
  <c r="AG2753" i="1" a="1"/>
  <c r="AG2753" i="1"/>
  <c r="AG2754" i="1" a="1"/>
  <c r="AG2754" i="1"/>
  <c r="AG2755" i="1" a="1"/>
  <c r="AG2755" i="1"/>
  <c r="AG2756" i="1" a="1"/>
  <c r="AG2756" i="1"/>
  <c r="AG2757" i="1" a="1"/>
  <c r="AG2757" i="1"/>
  <c r="AG2758" i="1" a="1"/>
  <c r="AG2758" i="1"/>
  <c r="AG2759" i="1" a="1"/>
  <c r="AG2759" i="1"/>
  <c r="AG2760" i="1" a="1"/>
  <c r="AG2760" i="1"/>
  <c r="AG2761" i="1" a="1"/>
  <c r="AG2761" i="1"/>
  <c r="AG2762" i="1" a="1"/>
  <c r="AG2762" i="1"/>
  <c r="AG2763" i="1" a="1"/>
  <c r="AG2763" i="1"/>
  <c r="AG2764" i="1" a="1"/>
  <c r="AG2764" i="1"/>
  <c r="AG2765" i="1" a="1"/>
  <c r="AG2765" i="1"/>
  <c r="AG2766" i="1" a="1"/>
  <c r="AG2766" i="1"/>
  <c r="AG2767" i="1" a="1"/>
  <c r="AG2767" i="1" s="1"/>
  <c r="AG2768" i="1" a="1"/>
  <c r="AG2768" i="1" s="1"/>
  <c r="AG2769" i="1" a="1"/>
  <c r="AG2769" i="1" s="1"/>
  <c r="AG2770" i="1" a="1"/>
  <c r="AG2770" i="1" s="1"/>
  <c r="AG2771" i="1" a="1"/>
  <c r="AG2771" i="1" s="1"/>
  <c r="AG2772" i="1" a="1"/>
  <c r="AG2772" i="1" s="1"/>
  <c r="AG2773" i="1" a="1"/>
  <c r="AG2773" i="1" s="1"/>
  <c r="AG2774" i="1" a="1"/>
  <c r="AG2774" i="1" s="1"/>
  <c r="AG2775" i="1" a="1"/>
  <c r="AG2775" i="1" s="1"/>
  <c r="AG2776" i="1" a="1"/>
  <c r="AG2776" i="1" s="1"/>
  <c r="AG2777" i="1" a="1"/>
  <c r="AG2777" i="1" s="1"/>
  <c r="AG2778" i="1" a="1"/>
  <c r="AG2778" i="1" s="1"/>
  <c r="AG2779" i="1" a="1"/>
  <c r="AG2779" i="1" s="1"/>
  <c r="AG2780" i="1" a="1"/>
  <c r="AG2780" i="1" s="1"/>
  <c r="AG2781" i="1" a="1"/>
  <c r="AG2781" i="1" s="1"/>
  <c r="AG2782" i="1" a="1"/>
  <c r="AG2782" i="1" s="1"/>
  <c r="AG2783" i="1" a="1"/>
  <c r="AG2783" i="1" s="1"/>
  <c r="AG2784" i="1" a="1"/>
  <c r="AG2784" i="1" s="1"/>
  <c r="AG2785" i="1" a="1"/>
  <c r="AG2785" i="1" s="1"/>
  <c r="AG2786" i="1" a="1"/>
  <c r="AG2786" i="1" s="1"/>
  <c r="AG2787" i="1" a="1"/>
  <c r="AG2787" i="1" s="1"/>
  <c r="AG2788" i="1" a="1"/>
  <c r="AG2788" i="1" s="1"/>
  <c r="AG2789" i="1" a="1"/>
  <c r="AG2789" i="1" s="1"/>
  <c r="AG2790" i="1" a="1"/>
  <c r="AG2790" i="1" s="1"/>
  <c r="AG2791" i="1" a="1"/>
  <c r="AG2791" i="1" s="1"/>
  <c r="AG2792" i="1" a="1"/>
  <c r="AG2792" i="1" s="1"/>
  <c r="AG2793" i="1" a="1"/>
  <c r="AG2793" i="1" s="1"/>
  <c r="AG2794" i="1" a="1"/>
  <c r="AG2794" i="1" s="1"/>
  <c r="AG2795" i="1" a="1"/>
  <c r="AG2795" i="1" s="1"/>
  <c r="AG2796" i="1" a="1"/>
  <c r="AG2796" i="1" s="1"/>
  <c r="AG2797" i="1" a="1"/>
  <c r="AG2797" i="1" s="1"/>
  <c r="AG2798" i="1" a="1"/>
  <c r="AG2798" i="1" s="1"/>
  <c r="AG2799" i="1" a="1"/>
  <c r="AG2799" i="1" s="1"/>
  <c r="AG2800" i="1" a="1"/>
  <c r="AG2800" i="1" s="1"/>
  <c r="AG2801" i="1" a="1"/>
  <c r="AG2801" i="1" s="1"/>
  <c r="AG2802" i="1" a="1"/>
  <c r="AG2802" i="1" s="1"/>
  <c r="AG2803" i="1" a="1"/>
  <c r="AG2803" i="1" s="1"/>
  <c r="AG2804" i="1" a="1"/>
  <c r="AG2804" i="1" s="1"/>
  <c r="AG2805" i="1" a="1"/>
  <c r="AG2805" i="1" s="1"/>
  <c r="AG2806" i="1" a="1"/>
  <c r="AG2806" i="1" s="1"/>
  <c r="AG2807" i="1" a="1"/>
  <c r="AG2807" i="1" s="1"/>
  <c r="AG2808" i="1" a="1"/>
  <c r="AG2808" i="1" s="1"/>
  <c r="AG2809" i="1" a="1"/>
  <c r="AG2809" i="1" s="1"/>
  <c r="AG2810" i="1" a="1"/>
  <c r="AG2810" i="1" s="1"/>
  <c r="AG2811" i="1" a="1"/>
  <c r="AG2811" i="1" s="1"/>
  <c r="AG2812" i="1" a="1"/>
  <c r="AG2812" i="1" s="1"/>
  <c r="AG2813" i="1" a="1"/>
  <c r="AG2813" i="1" s="1"/>
  <c r="AG2814" i="1" a="1"/>
  <c r="AG2814" i="1" s="1"/>
  <c r="AG2815" i="1" a="1"/>
  <c r="AG2815" i="1" s="1"/>
  <c r="AG2816" i="1" a="1"/>
  <c r="AG2816" i="1" s="1"/>
  <c r="AG2817" i="1" a="1"/>
  <c r="AG2817" i="1" s="1"/>
  <c r="AG2818" i="1" a="1"/>
  <c r="AG2818" i="1" s="1"/>
  <c r="AG2819" i="1" a="1"/>
  <c r="AG2819" i="1" s="1"/>
  <c r="AG2820" i="1" a="1"/>
  <c r="AG2820" i="1" s="1"/>
  <c r="AG2821" i="1" a="1"/>
  <c r="AG2821" i="1" s="1"/>
  <c r="AG2822" i="1" a="1"/>
  <c r="AG2822" i="1" s="1"/>
  <c r="AG2823" i="1" a="1"/>
  <c r="AG2823" i="1" s="1"/>
  <c r="AG2824" i="1" a="1"/>
  <c r="AG2824" i="1" s="1"/>
  <c r="AG2825" i="1" a="1"/>
  <c r="AG2825" i="1" s="1"/>
  <c r="AG2826" i="1" a="1"/>
  <c r="AG2826" i="1" s="1"/>
  <c r="AG2827" i="1" a="1"/>
  <c r="AG2827" i="1" s="1"/>
  <c r="AG2828" i="1" a="1"/>
  <c r="AG2828" i="1" s="1"/>
  <c r="AG2829" i="1" a="1"/>
  <c r="AG2829" i="1" s="1"/>
  <c r="AG2830" i="1" a="1"/>
  <c r="AG2830" i="1" s="1"/>
  <c r="AG2831" i="1" a="1"/>
  <c r="AG2831" i="1" s="1"/>
  <c r="AG2832" i="1" a="1"/>
  <c r="AG2832" i="1" s="1"/>
  <c r="AG2833" i="1" a="1"/>
  <c r="AG2833" i="1" s="1"/>
  <c r="AG2834" i="1" a="1"/>
  <c r="AG2834" i="1" s="1"/>
  <c r="AG2835" i="1" a="1"/>
  <c r="AG2835" i="1" s="1"/>
  <c r="AG2836" i="1" a="1"/>
  <c r="AG2836" i="1" s="1"/>
  <c r="AG2837" i="1" a="1"/>
  <c r="AG2837" i="1"/>
  <c r="AG2838" i="1" a="1"/>
  <c r="AG2838" i="1"/>
  <c r="AG2839" i="1" a="1"/>
  <c r="AG2839" i="1"/>
  <c r="AG2840" i="1" a="1"/>
  <c r="AG2840" i="1"/>
  <c r="AG2841" i="1" a="1"/>
  <c r="AG2841" i="1"/>
  <c r="AG2842" i="1" a="1"/>
  <c r="AG2842" i="1"/>
  <c r="AG2843" i="1" a="1"/>
  <c r="AG2843" i="1"/>
  <c r="AG2844" i="1" a="1"/>
  <c r="AG2844" i="1"/>
  <c r="AG2845" i="1" a="1"/>
  <c r="AG2845" i="1"/>
  <c r="AG2846" i="1" a="1"/>
  <c r="AG2846" i="1"/>
  <c r="AG2847" i="1" a="1"/>
  <c r="AG2847" i="1"/>
  <c r="AG2848" i="1" a="1"/>
  <c r="AG2848" i="1"/>
  <c r="AG2849" i="1" a="1"/>
  <c r="AG2849" i="1"/>
  <c r="AG2850" i="1" a="1"/>
  <c r="AG2850" i="1"/>
  <c r="AG2851" i="1" a="1"/>
  <c r="AG2851" i="1"/>
  <c r="AG2852" i="1" a="1"/>
  <c r="AG2852" i="1"/>
  <c r="AG2853" i="1" a="1"/>
  <c r="AG2853" i="1"/>
  <c r="AG2854" i="1" a="1"/>
  <c r="AG2854" i="1"/>
  <c r="AG2855" i="1" a="1"/>
  <c r="AG2855" i="1"/>
  <c r="AG2856" i="1" a="1"/>
  <c r="AG2856" i="1"/>
  <c r="AG2857" i="1" a="1"/>
  <c r="AG2857" i="1"/>
  <c r="AG2858" i="1" a="1"/>
  <c r="AG2858" i="1"/>
  <c r="AG2859" i="1" a="1"/>
  <c r="AG2859" i="1"/>
  <c r="AG2860" i="1" a="1"/>
  <c r="AG2860" i="1"/>
  <c r="AG2861" i="1" a="1"/>
  <c r="AG2861" i="1"/>
  <c r="AG2862" i="1" a="1"/>
  <c r="AG2862" i="1"/>
  <c r="AG2863" i="1" a="1"/>
  <c r="AG2863" i="1"/>
  <c r="AG2864" i="1" a="1"/>
  <c r="AG2864" i="1"/>
  <c r="AG2865" i="1" a="1"/>
  <c r="AG2865" i="1"/>
  <c r="AG2866" i="1" a="1"/>
  <c r="AG2866" i="1"/>
  <c r="AG2867" i="1" a="1"/>
  <c r="AG2867" i="1"/>
  <c r="AG2868" i="1" a="1"/>
  <c r="AG2868" i="1"/>
  <c r="AG2869" i="1" a="1"/>
  <c r="AG2869" i="1"/>
  <c r="AG2870" i="1" a="1"/>
  <c r="AG2870" i="1"/>
  <c r="AG2871" i="1" a="1"/>
  <c r="AG2871" i="1"/>
  <c r="AG2872" i="1" a="1"/>
  <c r="AG2872" i="1"/>
  <c r="AG2873" i="1" a="1"/>
  <c r="AG2873" i="1"/>
  <c r="AG2874" i="1" a="1"/>
  <c r="AG2874" i="1"/>
  <c r="AG2875" i="1" a="1"/>
  <c r="AG2875" i="1"/>
  <c r="AG2876" i="1" a="1"/>
  <c r="AG2876" i="1"/>
  <c r="AG2877" i="1" a="1"/>
  <c r="AG2877" i="1"/>
  <c r="AG2878" i="1" a="1"/>
  <c r="AG2878" i="1"/>
  <c r="AG2879" i="1" a="1"/>
  <c r="AG2879" i="1"/>
  <c r="AG2880" i="1" a="1"/>
  <c r="AG2880" i="1"/>
  <c r="AG2881" i="1" a="1"/>
  <c r="AG2881" i="1"/>
  <c r="AG2882" i="1" a="1"/>
  <c r="AG2882" i="1"/>
  <c r="AG2883" i="1" a="1"/>
  <c r="AG2883" i="1"/>
  <c r="AG2884" i="1" a="1"/>
  <c r="AG2884" i="1"/>
  <c r="AG2885" i="1" a="1"/>
  <c r="AG2885" i="1"/>
  <c r="AG2886" i="1" a="1"/>
  <c r="AG2886" i="1"/>
  <c r="AG2887" i="1" a="1"/>
  <c r="AG2887" i="1"/>
  <c r="AG2888" i="1" a="1"/>
  <c r="AG2888" i="1"/>
  <c r="AG2889" i="1" a="1"/>
  <c r="AG2889" i="1"/>
  <c r="AG2890" i="1" a="1"/>
  <c r="AG2890" i="1"/>
  <c r="AG2891" i="1" a="1"/>
  <c r="AG2891" i="1"/>
  <c r="AG2892" i="1" a="1"/>
  <c r="AG2892" i="1"/>
  <c r="AG2893" i="1" a="1"/>
  <c r="AG2893" i="1"/>
  <c r="AG2894" i="1" a="1"/>
  <c r="AG2894" i="1"/>
  <c r="AG2895" i="1" a="1"/>
  <c r="AG2895" i="1"/>
  <c r="AG2896" i="1" a="1"/>
  <c r="AG2896" i="1"/>
  <c r="AG2897" i="1" a="1"/>
  <c r="AG2897" i="1"/>
  <c r="AG2898" i="1" a="1"/>
  <c r="AG2898" i="1"/>
  <c r="AG2899" i="1" a="1"/>
  <c r="AG2899" i="1"/>
  <c r="AG2900" i="1" a="1"/>
  <c r="AG2900" i="1"/>
  <c r="AG2901" i="1" a="1"/>
  <c r="AG2901" i="1"/>
  <c r="AG2902" i="1" a="1"/>
  <c r="AG2902" i="1"/>
  <c r="AG2903" i="1" a="1"/>
  <c r="AG2903" i="1"/>
  <c r="AG2904" i="1" a="1"/>
  <c r="AG2904" i="1"/>
  <c r="AG2905" i="1" a="1"/>
  <c r="AG2905" i="1"/>
  <c r="AG2906" i="1" a="1"/>
  <c r="AG2906" i="1"/>
  <c r="AG2907" i="1" a="1"/>
  <c r="AG2907" i="1"/>
  <c r="AG2908" i="1" a="1"/>
  <c r="AG2908" i="1"/>
  <c r="AG2909" i="1" a="1"/>
  <c r="AG2909" i="1"/>
  <c r="AG2910" i="1" a="1"/>
  <c r="AG2910" i="1"/>
  <c r="AG2911" i="1" a="1"/>
  <c r="AG2911" i="1"/>
  <c r="AG2912" i="1" a="1"/>
  <c r="AG2912" i="1"/>
  <c r="AG2913" i="1" a="1"/>
  <c r="AG2913" i="1"/>
  <c r="AG2914" i="1" a="1"/>
  <c r="AG2914" i="1"/>
  <c r="AG2915" i="1" a="1"/>
  <c r="AG2915" i="1"/>
  <c r="AG2916" i="1" a="1"/>
  <c r="AG2916" i="1"/>
  <c r="AG2917" i="1" a="1"/>
  <c r="AG2917" i="1"/>
  <c r="AG2918" i="1" a="1"/>
  <c r="AG2918" i="1"/>
  <c r="AG2919" i="1" a="1"/>
  <c r="AG2919" i="1"/>
  <c r="AG2920" i="1" a="1"/>
  <c r="AG2920" i="1"/>
  <c r="AG2921" i="1" a="1"/>
  <c r="AG2921" i="1"/>
  <c r="AG2922" i="1" a="1"/>
  <c r="AG2922" i="1"/>
  <c r="AG2923" i="1" a="1"/>
  <c r="AG2923" i="1"/>
  <c r="AG2924" i="1" a="1"/>
  <c r="AG2924" i="1"/>
  <c r="AG2925" i="1" a="1"/>
  <c r="AG2925" i="1"/>
  <c r="AG2926" i="1" a="1"/>
  <c r="AG2926" i="1"/>
  <c r="AG2927" i="1" a="1"/>
  <c r="AG2927" i="1"/>
  <c r="AG2928" i="1" a="1"/>
  <c r="AG2928" i="1"/>
  <c r="AG2929" i="1" a="1"/>
  <c r="AG2929" i="1"/>
  <c r="AG2930" i="1" a="1"/>
  <c r="AG2930" i="1"/>
  <c r="AG2931" i="1" a="1"/>
  <c r="AG2931" i="1"/>
  <c r="AG2932" i="1" a="1"/>
  <c r="AG2932" i="1"/>
  <c r="AG2933" i="1" a="1"/>
  <c r="AG2933" i="1"/>
  <c r="AG2934" i="1" a="1"/>
  <c r="AG2934" i="1"/>
  <c r="AG2935" i="1" a="1"/>
  <c r="AG2935" i="1"/>
  <c r="AG2936" i="1" a="1"/>
  <c r="AG2936" i="1"/>
  <c r="AG2937" i="1" a="1"/>
  <c r="AG2937" i="1"/>
  <c r="AG2938" i="1" a="1"/>
  <c r="AG2938" i="1"/>
  <c r="AG2939" i="1" a="1"/>
  <c r="AG2939" i="1"/>
  <c r="AG2940" i="1" a="1"/>
  <c r="AG2940" i="1"/>
  <c r="AG2941" i="1" a="1"/>
  <c r="AG2941" i="1"/>
  <c r="AG2942" i="1" a="1"/>
  <c r="AG2942" i="1"/>
  <c r="AG2943" i="1" a="1"/>
  <c r="AG2943" i="1"/>
  <c r="AG2944" i="1" a="1"/>
  <c r="AG2944" i="1"/>
  <c r="AG2945" i="1" a="1"/>
  <c r="AG2945" i="1"/>
  <c r="AG2946" i="1" a="1"/>
  <c r="AG2946" i="1"/>
  <c r="AG2947" i="1" a="1"/>
  <c r="AG2947" i="1"/>
  <c r="AG2948" i="1" a="1"/>
  <c r="AG2948" i="1"/>
  <c r="AG2949" i="1" a="1"/>
  <c r="AG2949" i="1"/>
  <c r="AG2950" i="1" a="1"/>
  <c r="AG2950" i="1"/>
  <c r="AG2951" i="1" a="1"/>
  <c r="AG2951" i="1"/>
  <c r="AG2952" i="1" a="1"/>
  <c r="AG2952" i="1"/>
  <c r="AG2953" i="1" a="1"/>
  <c r="AG2953" i="1"/>
  <c r="AG2954" i="1" a="1"/>
  <c r="AG2954" i="1"/>
  <c r="AG2955" i="1" a="1"/>
  <c r="AG2955" i="1"/>
  <c r="AG2956" i="1" a="1"/>
  <c r="AG2956" i="1"/>
  <c r="AG2957" i="1" a="1"/>
  <c r="AG2957" i="1"/>
  <c r="AG2958" i="1" a="1"/>
  <c r="AG2958" i="1"/>
  <c r="AG2959" i="1" a="1"/>
  <c r="AG2959" i="1"/>
  <c r="AG2960" i="1" a="1"/>
  <c r="AG2960" i="1"/>
  <c r="AG2961" i="1" a="1"/>
  <c r="AG2961" i="1"/>
  <c r="AG2962" i="1" a="1"/>
  <c r="AG2962" i="1"/>
  <c r="AG2963" i="1" a="1"/>
  <c r="AG2963" i="1"/>
  <c r="AG2964" i="1" a="1"/>
  <c r="AG2964" i="1"/>
  <c r="AG2965" i="1" a="1"/>
  <c r="AG2965" i="1"/>
  <c r="AG2966" i="1" a="1"/>
  <c r="AG2966" i="1"/>
  <c r="AG2967" i="1" a="1"/>
  <c r="AG2967" i="1"/>
  <c r="AG2968" i="1" a="1"/>
  <c r="AG2968" i="1"/>
  <c r="AG2969" i="1" a="1"/>
  <c r="AG2969" i="1"/>
  <c r="AG2970" i="1" a="1"/>
  <c r="AG2970" i="1"/>
  <c r="AG2971" i="1" a="1"/>
  <c r="AG2971" i="1"/>
  <c r="AG2972" i="1" a="1"/>
  <c r="AG2972" i="1"/>
  <c r="AG2973" i="1" a="1"/>
  <c r="AG2973" i="1"/>
  <c r="AG2974" i="1" a="1"/>
  <c r="AG2974" i="1"/>
  <c r="AG2975" i="1" a="1"/>
  <c r="AG2975" i="1"/>
  <c r="AG2976" i="1" a="1"/>
  <c r="AG2976" i="1"/>
  <c r="AG2977" i="1" a="1"/>
  <c r="AG2977" i="1"/>
  <c r="AG2978" i="1" a="1"/>
  <c r="AG2978" i="1"/>
  <c r="AG2979" i="1" a="1"/>
  <c r="AG2979" i="1"/>
  <c r="AG2980" i="1" a="1"/>
  <c r="AG2980" i="1"/>
  <c r="AG2981" i="1" a="1"/>
  <c r="AG2981" i="1"/>
  <c r="AG2982" i="1" a="1"/>
  <c r="AG2982" i="1"/>
  <c r="AG2983" i="1" a="1"/>
  <c r="AG2983" i="1"/>
  <c r="AG2984" i="1" a="1"/>
  <c r="AG2984" i="1"/>
  <c r="AG2985" i="1" a="1"/>
  <c r="AG2985" i="1"/>
  <c r="AG2986" i="1" a="1"/>
  <c r="AG2986" i="1"/>
  <c r="AG2987" i="1" a="1"/>
  <c r="AG2987" i="1"/>
  <c r="AG2988" i="1" a="1"/>
  <c r="AG2988" i="1"/>
  <c r="AG2989" i="1" a="1"/>
  <c r="AG2989" i="1"/>
  <c r="AG2990" i="1" a="1"/>
  <c r="AG2990" i="1"/>
  <c r="AG2991" i="1" a="1"/>
  <c r="AG2991" i="1"/>
  <c r="AG2992" i="1" a="1"/>
  <c r="AG2992" i="1"/>
  <c r="AG2993" i="1" a="1"/>
  <c r="AG2993" i="1"/>
  <c r="AG2994" i="1" a="1"/>
  <c r="AG2994" i="1"/>
  <c r="AG2995" i="1" a="1"/>
  <c r="AG2995" i="1"/>
  <c r="AG2996" i="1" a="1"/>
  <c r="AG2996" i="1"/>
  <c r="AG2997" i="1" a="1"/>
  <c r="AG2997" i="1"/>
  <c r="AG2998" i="1" a="1"/>
  <c r="AG2998" i="1"/>
  <c r="AG2999" i="1" a="1"/>
  <c r="AG2999" i="1"/>
  <c r="AG3000" i="1" a="1"/>
  <c r="AG3000" i="1"/>
  <c r="AG3001" i="1" a="1"/>
  <c r="AG3001" i="1"/>
  <c r="AG3002" i="1" a="1"/>
  <c r="AG3002" i="1"/>
  <c r="AG3003" i="1" a="1"/>
  <c r="AG3003" i="1"/>
  <c r="AG3004" i="1" a="1"/>
  <c r="AG3004" i="1"/>
  <c r="AG3005" i="1" a="1"/>
  <c r="AG3005" i="1"/>
  <c r="AG3006" i="1" a="1"/>
  <c r="AG3006" i="1"/>
  <c r="AG3007" i="1" a="1"/>
  <c r="AG3007" i="1"/>
  <c r="AG3008" i="1" a="1"/>
  <c r="AG3008" i="1"/>
  <c r="AG3009" i="1" a="1"/>
  <c r="AG3009" i="1"/>
  <c r="AG3010" i="1" a="1"/>
  <c r="AG3010" i="1"/>
  <c r="AG3011" i="1" a="1"/>
  <c r="AG3011" i="1"/>
  <c r="AG3012" i="1" a="1"/>
  <c r="AG3012" i="1"/>
  <c r="AG3013" i="1" a="1"/>
  <c r="AG3013" i="1"/>
  <c r="AG3014" i="1" a="1"/>
  <c r="AG3014" i="1"/>
  <c r="AG3015" i="1" a="1"/>
  <c r="AG3015" i="1"/>
  <c r="AG3016" i="1" a="1"/>
  <c r="AG3016" i="1"/>
  <c r="AG3017" i="1" a="1"/>
  <c r="AG3017" i="1"/>
  <c r="AG3018" i="1" a="1"/>
  <c r="AG3018" i="1"/>
  <c r="AG3019" i="1" a="1"/>
  <c r="AG3019" i="1"/>
  <c r="AG3020" i="1" a="1"/>
  <c r="AG3020" i="1"/>
  <c r="AG3021" i="1" a="1"/>
  <c r="AG3021" i="1"/>
  <c r="AG3022" i="1" a="1"/>
  <c r="AG3022" i="1"/>
  <c r="AG3023" i="1" a="1"/>
  <c r="AG3023" i="1"/>
  <c r="AG3024" i="1" a="1"/>
  <c r="AG3024" i="1"/>
  <c r="AG2" i="1" a="1"/>
  <c r="AG2" i="1" s="1"/>
  <c r="F149" i="1" a="1"/>
  <c r="F149" i="1" s="1"/>
  <c r="F156" i="1" a="1"/>
  <c r="F156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F657" i="1" a="1"/>
  <c r="F657" i="1"/>
  <c r="F658" i="1" a="1"/>
  <c r="F658" i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/>
  <c r="F854" i="1" a="1"/>
  <c r="F854" i="1"/>
  <c r="F855" i="1" a="1"/>
  <c r="F855" i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/>
  <c r="F864" i="1" a="1"/>
  <c r="F864" i="1"/>
  <c r="F865" i="1" a="1"/>
  <c r="F865" i="1"/>
  <c r="F866" i="1" a="1"/>
  <c r="F866" i="1"/>
  <c r="F867" i="1" a="1"/>
  <c r="F867" i="1"/>
  <c r="F868" i="1" a="1"/>
  <c r="F868" i="1"/>
  <c r="F869" i="1" a="1"/>
  <c r="F869" i="1"/>
  <c r="F870" i="1" a="1"/>
  <c r="F870" i="1"/>
  <c r="F871" i="1" a="1"/>
  <c r="F871" i="1"/>
  <c r="F872" i="1" a="1"/>
  <c r="F872" i="1"/>
  <c r="F873" i="1" a="1"/>
  <c r="F873" i="1"/>
  <c r="F874" i="1" a="1"/>
  <c r="F874" i="1"/>
  <c r="F875" i="1" a="1"/>
  <c r="F875" i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/>
  <c r="F885" i="1" a="1"/>
  <c r="F885" i="1"/>
  <c r="F886" i="1" a="1"/>
  <c r="F886" i="1"/>
  <c r="F887" i="1" a="1"/>
  <c r="F887" i="1"/>
  <c r="F888" i="1" a="1"/>
  <c r="F888" i="1"/>
  <c r="F889" i="1" a="1"/>
  <c r="F889" i="1"/>
  <c r="F890" i="1" a="1"/>
  <c r="F890" i="1"/>
  <c r="F891" i="1" a="1"/>
  <c r="F891" i="1"/>
  <c r="F892" i="1" a="1"/>
  <c r="F892" i="1"/>
  <c r="F893" i="1" a="1"/>
  <c r="F893" i="1"/>
  <c r="F894" i="1" a="1"/>
  <c r="F894" i="1"/>
  <c r="F895" i="1" a="1"/>
  <c r="F895" i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/>
  <c r="F906" i="1" a="1"/>
  <c r="F906" i="1"/>
  <c r="F907" i="1" a="1"/>
  <c r="F907" i="1"/>
  <c r="F908" i="1" a="1"/>
  <c r="F908" i="1"/>
  <c r="F909" i="1" a="1"/>
  <c r="F909" i="1"/>
  <c r="F910" i="1" a="1"/>
  <c r="F910" i="1"/>
  <c r="F911" i="1" a="1"/>
  <c r="F911" i="1"/>
  <c r="F912" i="1" a="1"/>
  <c r="F912" i="1"/>
  <c r="F913" i="1" a="1"/>
  <c r="F913" i="1"/>
  <c r="F914" i="1" a="1"/>
  <c r="F914" i="1"/>
  <c r="F915" i="1" a="1"/>
  <c r="F915" i="1"/>
  <c r="F916" i="1" a="1"/>
  <c r="F916" i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/>
  <c r="F926" i="1" a="1"/>
  <c r="F926" i="1"/>
  <c r="F927" i="1" a="1"/>
  <c r="F927" i="1"/>
  <c r="F928" i="1" a="1"/>
  <c r="F928" i="1"/>
  <c r="F929" i="1" a="1"/>
  <c r="F929" i="1"/>
  <c r="F930" i="1" a="1"/>
  <c r="F930" i="1"/>
  <c r="F931" i="1" a="1"/>
  <c r="F931" i="1"/>
  <c r="F932" i="1" a="1"/>
  <c r="F932" i="1"/>
  <c r="F933" i="1" a="1"/>
  <c r="F933" i="1"/>
  <c r="F934" i="1" a="1"/>
  <c r="F934" i="1"/>
  <c r="F935" i="1" a="1"/>
  <c r="F935" i="1"/>
  <c r="F936" i="1" a="1"/>
  <c r="F936" i="1"/>
  <c r="F937" i="1" a="1"/>
  <c r="F937" i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/>
  <c r="F946" i="1" a="1"/>
  <c r="F946" i="1"/>
  <c r="F947" i="1" a="1"/>
  <c r="F947" i="1"/>
  <c r="F948" i="1" a="1"/>
  <c r="F948" i="1"/>
  <c r="F949" i="1" a="1"/>
  <c r="F949" i="1"/>
  <c r="F950" i="1" a="1"/>
  <c r="F950" i="1"/>
  <c r="F951" i="1" a="1"/>
  <c r="F951" i="1"/>
  <c r="F952" i="1" a="1"/>
  <c r="F952" i="1"/>
  <c r="F953" i="1" a="1"/>
  <c r="F953" i="1"/>
  <c r="F954" i="1" a="1"/>
  <c r="F954" i="1"/>
  <c r="F955" i="1" a="1"/>
  <c r="F955" i="1"/>
  <c r="F956" i="1" a="1"/>
  <c r="F956" i="1"/>
  <c r="F957" i="1" a="1"/>
  <c r="F957" i="1"/>
  <c r="F958" i="1" a="1"/>
  <c r="F958" i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/>
  <c r="F966" i="1" a="1"/>
  <c r="F966" i="1"/>
  <c r="F967" i="1" a="1"/>
  <c r="F967" i="1"/>
  <c r="F968" i="1" a="1"/>
  <c r="F968" i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/>
  <c r="F1138" i="1" a="1"/>
  <c r="F1138" i="1"/>
  <c r="F1139" i="1" a="1"/>
  <c r="F1139" i="1"/>
  <c r="F1140" i="1" a="1"/>
  <c r="F1140" i="1"/>
  <c r="F1141" i="1" a="1"/>
  <c r="F1141" i="1"/>
  <c r="F1142" i="1" a="1"/>
  <c r="F1142" i="1"/>
  <c r="F1143" i="1" a="1"/>
  <c r="F1143" i="1"/>
  <c r="F1144" i="1" a="1"/>
  <c r="F1144" i="1"/>
  <c r="F1145" i="1" a="1"/>
  <c r="F1145" i="1"/>
  <c r="F1146" i="1" a="1"/>
  <c r="F1146" i="1"/>
  <c r="F1147" i="1" a="1"/>
  <c r="F1147" i="1"/>
  <c r="F1148" i="1" a="1"/>
  <c r="F1148" i="1"/>
  <c r="F1149" i="1" a="1"/>
  <c r="F1149" i="1"/>
  <c r="F1150" i="1" a="1"/>
  <c r="F1150" i="1"/>
  <c r="F1151" i="1" a="1"/>
  <c r="F1151" i="1"/>
  <c r="F1152" i="1" a="1"/>
  <c r="F1152" i="1"/>
  <c r="F1153" i="1" a="1"/>
  <c r="F1153" i="1"/>
  <c r="F1154" i="1" a="1"/>
  <c r="F1154" i="1"/>
  <c r="F1155" i="1" a="1"/>
  <c r="F1155" i="1"/>
  <c r="F1156" i="1" a="1"/>
  <c r="F1156" i="1"/>
  <c r="F1157" i="1" a="1"/>
  <c r="F1157" i="1"/>
  <c r="F1158" i="1" a="1"/>
  <c r="F1158" i="1"/>
  <c r="F1159" i="1" a="1"/>
  <c r="F1159" i="1"/>
  <c r="F1160" i="1" a="1"/>
  <c r="F1160" i="1"/>
  <c r="F1161" i="1" a="1"/>
  <c r="F1161" i="1"/>
  <c r="F1162" i="1" a="1"/>
  <c r="F1162" i="1"/>
  <c r="F1163" i="1" a="1"/>
  <c r="F1163" i="1"/>
  <c r="F1164" i="1" a="1"/>
  <c r="F1164" i="1"/>
  <c r="F1165" i="1" a="1"/>
  <c r="F1165" i="1"/>
  <c r="F1166" i="1" a="1"/>
  <c r="F1166" i="1"/>
  <c r="F1167" i="1" a="1"/>
  <c r="F1167" i="1"/>
  <c r="F1168" i="1" a="1"/>
  <c r="F1168" i="1"/>
  <c r="F1169" i="1" a="1"/>
  <c r="F1169" i="1"/>
  <c r="F1170" i="1" a="1"/>
  <c r="F1170" i="1"/>
  <c r="F1171" i="1" a="1"/>
  <c r="F1171" i="1"/>
  <c r="F1172" i="1" a="1"/>
  <c r="F1172" i="1"/>
  <c r="F1173" i="1" a="1"/>
  <c r="F1173" i="1"/>
  <c r="F1174" i="1" a="1"/>
  <c r="F1174" i="1"/>
  <c r="F1175" i="1" a="1"/>
  <c r="F1175" i="1"/>
  <c r="F1176" i="1" a="1"/>
  <c r="F1176" i="1"/>
  <c r="F1177" i="1" a="1"/>
  <c r="F1177" i="1"/>
  <c r="F1178" i="1" a="1"/>
  <c r="F1178" i="1"/>
  <c r="F1179" i="1" a="1"/>
  <c r="F1179" i="1"/>
  <c r="F1180" i="1" a="1"/>
  <c r="F1180" i="1"/>
  <c r="F1181" i="1" a="1"/>
  <c r="F1181" i="1"/>
  <c r="F1182" i="1" a="1"/>
  <c r="F1182" i="1"/>
  <c r="F1183" i="1" a="1"/>
  <c r="F1183" i="1"/>
  <c r="F1184" i="1" a="1"/>
  <c r="F1184" i="1"/>
  <c r="F1185" i="1" a="1"/>
  <c r="F1185" i="1"/>
  <c r="F1186" i="1" a="1"/>
  <c r="F1186" i="1"/>
  <c r="F1187" i="1" a="1"/>
  <c r="F1187" i="1"/>
  <c r="F1188" i="1" a="1"/>
  <c r="F1188" i="1"/>
  <c r="F1189" i="1" a="1"/>
  <c r="F1189" i="1"/>
  <c r="F1190" i="1" a="1"/>
  <c r="F1190" i="1"/>
  <c r="F1191" i="1" a="1"/>
  <c r="F1191" i="1"/>
  <c r="F1192" i="1" a="1"/>
  <c r="F1192" i="1"/>
  <c r="F1193" i="1" a="1"/>
  <c r="F1193" i="1"/>
  <c r="F1194" i="1" a="1"/>
  <c r="F1194" i="1"/>
  <c r="F1195" i="1" a="1"/>
  <c r="F1195" i="1"/>
  <c r="F1196" i="1" a="1"/>
  <c r="F1196" i="1"/>
  <c r="F1197" i="1" a="1"/>
  <c r="F1197" i="1"/>
  <c r="F1198" i="1" a="1"/>
  <c r="F1198" i="1"/>
  <c r="F1199" i="1" a="1"/>
  <c r="F1199" i="1"/>
  <c r="F1200" i="1" a="1"/>
  <c r="F1200" i="1"/>
  <c r="F1201" i="1" a="1"/>
  <c r="F1201" i="1"/>
  <c r="F1202" i="1" a="1"/>
  <c r="F1202" i="1"/>
  <c r="F1203" i="1" a="1"/>
  <c r="F1203" i="1"/>
  <c r="F1204" i="1" a="1"/>
  <c r="F1204" i="1"/>
  <c r="F1205" i="1" a="1"/>
  <c r="F1205" i="1"/>
  <c r="F1206" i="1" a="1"/>
  <c r="F1206" i="1"/>
  <c r="F1207" i="1" a="1"/>
  <c r="F1207" i="1"/>
  <c r="F1208" i="1" a="1"/>
  <c r="F1208" i="1"/>
  <c r="F1209" i="1" a="1"/>
  <c r="F1209" i="1"/>
  <c r="F1210" i="1" a="1"/>
  <c r="F1210" i="1"/>
  <c r="F1211" i="1" a="1"/>
  <c r="F1211" i="1"/>
  <c r="F1212" i="1" a="1"/>
  <c r="F1212" i="1"/>
  <c r="F1213" i="1" a="1"/>
  <c r="F1213" i="1"/>
  <c r="F1214" i="1" a="1"/>
  <c r="F1214" i="1"/>
  <c r="F1215" i="1" a="1"/>
  <c r="F1215" i="1"/>
  <c r="F1216" i="1" a="1"/>
  <c r="F1216" i="1"/>
  <c r="F1217" i="1" a="1"/>
  <c r="F1217" i="1"/>
  <c r="F1218" i="1" a="1"/>
  <c r="F1218" i="1"/>
  <c r="F1219" i="1" a="1"/>
  <c r="F1219" i="1"/>
  <c r="F1220" i="1" a="1"/>
  <c r="F1220" i="1"/>
  <c r="F1221" i="1" a="1"/>
  <c r="F1221" i="1"/>
  <c r="F1222" i="1" a="1"/>
  <c r="F1222" i="1"/>
  <c r="F1223" i="1" a="1"/>
  <c r="F1223" i="1"/>
  <c r="F1224" i="1" a="1"/>
  <c r="F1224" i="1"/>
  <c r="F1225" i="1" a="1"/>
  <c r="F1225" i="1"/>
  <c r="F1226" i="1" a="1"/>
  <c r="F1226" i="1"/>
  <c r="F1227" i="1" a="1"/>
  <c r="F1227" i="1"/>
  <c r="F1228" i="1" a="1"/>
  <c r="F1228" i="1"/>
  <c r="F1229" i="1" a="1"/>
  <c r="F1229" i="1"/>
  <c r="F1230" i="1" a="1"/>
  <c r="F1230" i="1"/>
  <c r="F1231" i="1" a="1"/>
  <c r="F1231" i="1"/>
  <c r="F1232" i="1" a="1"/>
  <c r="F1232" i="1"/>
  <c r="F1233" i="1" a="1"/>
  <c r="F1233" i="1"/>
  <c r="F1234" i="1" a="1"/>
  <c r="F1234" i="1"/>
  <c r="F1235" i="1" a="1"/>
  <c r="F1235" i="1"/>
  <c r="F1236" i="1" a="1"/>
  <c r="F1236" i="1"/>
  <c r="F1237" i="1" a="1"/>
  <c r="F1237" i="1"/>
  <c r="F1238" i="1" a="1"/>
  <c r="F1238" i="1"/>
  <c r="F1239" i="1" a="1"/>
  <c r="F1239" i="1"/>
  <c r="F1240" i="1" a="1"/>
  <c r="F1240" i="1"/>
  <c r="F1241" i="1" a="1"/>
  <c r="F1241" i="1"/>
  <c r="F1242" i="1" a="1"/>
  <c r="F1242" i="1"/>
  <c r="F1243" i="1" a="1"/>
  <c r="F1243" i="1"/>
  <c r="F1244" i="1" a="1"/>
  <c r="F1244" i="1"/>
  <c r="F1245" i="1" a="1"/>
  <c r="F1245" i="1"/>
  <c r="F1246" i="1" a="1"/>
  <c r="F1246" i="1"/>
  <c r="F1247" i="1" a="1"/>
  <c r="F1247" i="1"/>
  <c r="F1248" i="1" a="1"/>
  <c r="F1248" i="1"/>
  <c r="F1249" i="1" a="1"/>
  <c r="F1249" i="1"/>
  <c r="F1250" i="1" a="1"/>
  <c r="F1250" i="1"/>
  <c r="F1251" i="1" a="1"/>
  <c r="F1251" i="1"/>
  <c r="F1252" i="1" a="1"/>
  <c r="F1252" i="1"/>
  <c r="F1253" i="1" a="1"/>
  <c r="F1253" i="1"/>
  <c r="F1254" i="1" a="1"/>
  <c r="F1254" i="1"/>
  <c r="F1255" i="1" a="1"/>
  <c r="F1255" i="1"/>
  <c r="F1256" i="1" a="1"/>
  <c r="F1256" i="1"/>
  <c r="F1257" i="1" a="1"/>
  <c r="F1257" i="1"/>
  <c r="F1258" i="1" a="1"/>
  <c r="F1258" i="1"/>
  <c r="F1259" i="1" a="1"/>
  <c r="F1259" i="1"/>
  <c r="F1260" i="1" a="1"/>
  <c r="F1260" i="1"/>
  <c r="F1261" i="1" a="1"/>
  <c r="F1261" i="1"/>
  <c r="F1262" i="1" a="1"/>
  <c r="F1262" i="1"/>
  <c r="F1263" i="1" a="1"/>
  <c r="F1263" i="1"/>
  <c r="F1264" i="1" a="1"/>
  <c r="F1264" i="1"/>
  <c r="F1265" i="1" a="1"/>
  <c r="F1265" i="1"/>
  <c r="F1266" i="1" a="1"/>
  <c r="F1266" i="1"/>
  <c r="F1267" i="1" a="1"/>
  <c r="F1267" i="1"/>
  <c r="F1268" i="1" a="1"/>
  <c r="F1268" i="1"/>
  <c r="F1269" i="1" a="1"/>
  <c r="F1269" i="1"/>
  <c r="F1270" i="1" a="1"/>
  <c r="F1270" i="1"/>
  <c r="F1271" i="1" a="1"/>
  <c r="F1271" i="1"/>
  <c r="F1272" i="1" a="1"/>
  <c r="F1272" i="1"/>
  <c r="F1273" i="1" a="1"/>
  <c r="F1273" i="1"/>
  <c r="F1274" i="1" a="1"/>
  <c r="F1274" i="1"/>
  <c r="F1275" i="1" a="1"/>
  <c r="F1275" i="1"/>
  <c r="F1276" i="1" a="1"/>
  <c r="F1276" i="1"/>
  <c r="F1277" i="1" a="1"/>
  <c r="F1277" i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 s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/>
  <c r="F1421" i="1" a="1"/>
  <c r="F1421" i="1"/>
  <c r="F1422" i="1" a="1"/>
  <c r="F1422" i="1"/>
  <c r="F1423" i="1" a="1"/>
  <c r="F1423" i="1"/>
  <c r="F1424" i="1" a="1"/>
  <c r="F1424" i="1"/>
  <c r="F1425" i="1" a="1"/>
  <c r="F1425" i="1"/>
  <c r="F1426" i="1" a="1"/>
  <c r="F1426" i="1"/>
  <c r="F1427" i="1" a="1"/>
  <c r="F1427" i="1"/>
  <c r="F1428" i="1" a="1"/>
  <c r="F1428" i="1"/>
  <c r="F1429" i="1" a="1"/>
  <c r="F1429" i="1"/>
  <c r="F1430" i="1" a="1"/>
  <c r="F1430" i="1"/>
  <c r="F1431" i="1" a="1"/>
  <c r="F1431" i="1"/>
  <c r="F1432" i="1" a="1"/>
  <c r="F1432" i="1"/>
  <c r="F1433" i="1" a="1"/>
  <c r="F1433" i="1"/>
  <c r="F1434" i="1" a="1"/>
  <c r="F1434" i="1"/>
  <c r="F1435" i="1" a="1"/>
  <c r="F1435" i="1"/>
  <c r="F1436" i="1" a="1"/>
  <c r="F1436" i="1"/>
  <c r="F1437" i="1" a="1"/>
  <c r="F1437" i="1"/>
  <c r="F1438" i="1" a="1"/>
  <c r="F1438" i="1"/>
  <c r="F1439" i="1" a="1"/>
  <c r="F1439" i="1"/>
  <c r="F1440" i="1" a="1"/>
  <c r="F1440" i="1"/>
  <c r="F1441" i="1" a="1"/>
  <c r="F1441" i="1"/>
  <c r="F1442" i="1" a="1"/>
  <c r="F1442" i="1"/>
  <c r="F1443" i="1" a="1"/>
  <c r="F1443" i="1"/>
  <c r="F1444" i="1" a="1"/>
  <c r="F1444" i="1"/>
  <c r="F1445" i="1" a="1"/>
  <c r="F1445" i="1"/>
  <c r="F1446" i="1" a="1"/>
  <c r="F1446" i="1"/>
  <c r="F1447" i="1" a="1"/>
  <c r="F1447" i="1"/>
  <c r="F1448" i="1" a="1"/>
  <c r="F1448" i="1"/>
  <c r="F1449" i="1" a="1"/>
  <c r="F1449" i="1"/>
  <c r="F1450" i="1" a="1"/>
  <c r="F1450" i="1"/>
  <c r="F1451" i="1" a="1"/>
  <c r="F1451" i="1"/>
  <c r="F1452" i="1" a="1"/>
  <c r="F1452" i="1"/>
  <c r="F1453" i="1" a="1"/>
  <c r="F1453" i="1"/>
  <c r="F1454" i="1" a="1"/>
  <c r="F1454" i="1"/>
  <c r="F1455" i="1" a="1"/>
  <c r="F1455" i="1"/>
  <c r="F1456" i="1" a="1"/>
  <c r="F1456" i="1"/>
  <c r="F1457" i="1" a="1"/>
  <c r="F1457" i="1"/>
  <c r="F1458" i="1" a="1"/>
  <c r="F1458" i="1"/>
  <c r="F1459" i="1" a="1"/>
  <c r="F1459" i="1"/>
  <c r="F1460" i="1" a="1"/>
  <c r="F1460" i="1"/>
  <c r="F1461" i="1" a="1"/>
  <c r="F1461" i="1"/>
  <c r="F1462" i="1" a="1"/>
  <c r="F1462" i="1"/>
  <c r="F1463" i="1" a="1"/>
  <c r="F1463" i="1"/>
  <c r="F1464" i="1" a="1"/>
  <c r="F1464" i="1"/>
  <c r="F1465" i="1" a="1"/>
  <c r="F1465" i="1"/>
  <c r="F1466" i="1" a="1"/>
  <c r="F1466" i="1"/>
  <c r="F1467" i="1" a="1"/>
  <c r="F1467" i="1"/>
  <c r="F1468" i="1" a="1"/>
  <c r="F1468" i="1"/>
  <c r="F1469" i="1" a="1"/>
  <c r="F1469" i="1"/>
  <c r="F1470" i="1" a="1"/>
  <c r="F1470" i="1"/>
  <c r="F1471" i="1" a="1"/>
  <c r="F1471" i="1"/>
  <c r="F1472" i="1" a="1"/>
  <c r="F1472" i="1"/>
  <c r="F1473" i="1" a="1"/>
  <c r="F1473" i="1"/>
  <c r="F1474" i="1" a="1"/>
  <c r="F1474" i="1"/>
  <c r="F1475" i="1" a="1"/>
  <c r="F1475" i="1"/>
  <c r="F1476" i="1" a="1"/>
  <c r="F1476" i="1"/>
  <c r="F1477" i="1" a="1"/>
  <c r="F1477" i="1"/>
  <c r="F1478" i="1" a="1"/>
  <c r="F1478" i="1"/>
  <c r="F1479" i="1" a="1"/>
  <c r="F1479" i="1"/>
  <c r="F1480" i="1" a="1"/>
  <c r="F1480" i="1"/>
  <c r="F1481" i="1" a="1"/>
  <c r="F1481" i="1"/>
  <c r="F1482" i="1" a="1"/>
  <c r="F1482" i="1"/>
  <c r="F1483" i="1" a="1"/>
  <c r="F1483" i="1"/>
  <c r="F1484" i="1" a="1"/>
  <c r="F1484" i="1"/>
  <c r="F1485" i="1" a="1"/>
  <c r="F1485" i="1"/>
  <c r="F1486" i="1" a="1"/>
  <c r="F1486" i="1"/>
  <c r="F1487" i="1" a="1"/>
  <c r="F1487" i="1"/>
  <c r="F1488" i="1" a="1"/>
  <c r="F1488" i="1"/>
  <c r="F1489" i="1" a="1"/>
  <c r="F1489" i="1"/>
  <c r="F1490" i="1" a="1"/>
  <c r="F1490" i="1"/>
  <c r="F1491" i="1" a="1"/>
  <c r="F1491" i="1"/>
  <c r="F1492" i="1" a="1"/>
  <c r="F1492" i="1"/>
  <c r="F1493" i="1" a="1"/>
  <c r="F1493" i="1"/>
  <c r="F1494" i="1" a="1"/>
  <c r="F1494" i="1"/>
  <c r="F1495" i="1" a="1"/>
  <c r="F1495" i="1"/>
  <c r="F1496" i="1" a="1"/>
  <c r="F1496" i="1"/>
  <c r="F1497" i="1" a="1"/>
  <c r="F1497" i="1"/>
  <c r="F1498" i="1" a="1"/>
  <c r="F1498" i="1"/>
  <c r="F1499" i="1" a="1"/>
  <c r="F1499" i="1"/>
  <c r="F1500" i="1" a="1"/>
  <c r="F1500" i="1"/>
  <c r="F1501" i="1" a="1"/>
  <c r="F1501" i="1"/>
  <c r="F1502" i="1" a="1"/>
  <c r="F1502" i="1"/>
  <c r="F1503" i="1" a="1"/>
  <c r="F1503" i="1"/>
  <c r="F1504" i="1" a="1"/>
  <c r="F1504" i="1"/>
  <c r="F1505" i="1" a="1"/>
  <c r="F1505" i="1"/>
  <c r="F1506" i="1" a="1"/>
  <c r="F1506" i="1"/>
  <c r="F1507" i="1" a="1"/>
  <c r="F1507" i="1"/>
  <c r="F1508" i="1" a="1"/>
  <c r="F1508" i="1"/>
  <c r="F1509" i="1" a="1"/>
  <c r="F1509" i="1"/>
  <c r="F1510" i="1" a="1"/>
  <c r="F1510" i="1"/>
  <c r="F1511" i="1" a="1"/>
  <c r="F1511" i="1"/>
  <c r="F1512" i="1" a="1"/>
  <c r="F1512" i="1"/>
  <c r="F1513" i="1" a="1"/>
  <c r="F1513" i="1"/>
  <c r="F1514" i="1" a="1"/>
  <c r="F1514" i="1"/>
  <c r="F1515" i="1" a="1"/>
  <c r="F1515" i="1"/>
  <c r="F1516" i="1" a="1"/>
  <c r="F1516" i="1"/>
  <c r="F1517" i="1" a="1"/>
  <c r="F1517" i="1"/>
  <c r="F1518" i="1" a="1"/>
  <c r="F1518" i="1"/>
  <c r="F1519" i="1" a="1"/>
  <c r="F1519" i="1"/>
  <c r="F1520" i="1" a="1"/>
  <c r="F1520" i="1"/>
  <c r="F1521" i="1" a="1"/>
  <c r="F1521" i="1"/>
  <c r="F1522" i="1" a="1"/>
  <c r="F1522" i="1"/>
  <c r="F1523" i="1" a="1"/>
  <c r="F1523" i="1"/>
  <c r="F1524" i="1" a="1"/>
  <c r="F1524" i="1"/>
  <c r="F1525" i="1" a="1"/>
  <c r="F1525" i="1"/>
  <c r="F1526" i="1" a="1"/>
  <c r="F1526" i="1"/>
  <c r="F1527" i="1" a="1"/>
  <c r="F1527" i="1"/>
  <c r="F1528" i="1" a="1"/>
  <c r="F1528" i="1"/>
  <c r="F1529" i="1" a="1"/>
  <c r="F1529" i="1"/>
  <c r="F1530" i="1" a="1"/>
  <c r="F1530" i="1"/>
  <c r="F1531" i="1" a="1"/>
  <c r="F1531" i="1"/>
  <c r="F1532" i="1" a="1"/>
  <c r="F1532" i="1"/>
  <c r="F1533" i="1" a="1"/>
  <c r="F1533" i="1"/>
  <c r="F1534" i="1" a="1"/>
  <c r="F1534" i="1"/>
  <c r="F1535" i="1" a="1"/>
  <c r="F1535" i="1"/>
  <c r="F1536" i="1" a="1"/>
  <c r="F1536" i="1"/>
  <c r="F1537" i="1" a="1"/>
  <c r="F1537" i="1"/>
  <c r="F1538" i="1" a="1"/>
  <c r="F1538" i="1"/>
  <c r="F1539" i="1" a="1"/>
  <c r="F1539" i="1"/>
  <c r="F1540" i="1" a="1"/>
  <c r="F1540" i="1"/>
  <c r="F1541" i="1" a="1"/>
  <c r="F1541" i="1"/>
  <c r="F1542" i="1" a="1"/>
  <c r="F1542" i="1"/>
  <c r="F1543" i="1" a="1"/>
  <c r="F1543" i="1"/>
  <c r="F1544" i="1" a="1"/>
  <c r="F1544" i="1"/>
  <c r="F1545" i="1" a="1"/>
  <c r="F1545" i="1"/>
  <c r="F1546" i="1" a="1"/>
  <c r="F1546" i="1"/>
  <c r="F1547" i="1" a="1"/>
  <c r="F1547" i="1"/>
  <c r="F1548" i="1" a="1"/>
  <c r="F1548" i="1"/>
  <c r="F1549" i="1" a="1"/>
  <c r="F1549" i="1"/>
  <c r="F1550" i="1" a="1"/>
  <c r="F1550" i="1"/>
  <c r="F1551" i="1" a="1"/>
  <c r="F1551" i="1"/>
  <c r="F1552" i="1" a="1"/>
  <c r="F1552" i="1"/>
  <c r="F1553" i="1" a="1"/>
  <c r="F1553" i="1"/>
  <c r="F1554" i="1" a="1"/>
  <c r="F1554" i="1"/>
  <c r="F1555" i="1" a="1"/>
  <c r="F1555" i="1"/>
  <c r="F1556" i="1" a="1"/>
  <c r="F1556" i="1"/>
  <c r="F1557" i="1" a="1"/>
  <c r="F1557" i="1"/>
  <c r="F1558" i="1" a="1"/>
  <c r="F1558" i="1"/>
  <c r="F1559" i="1" a="1"/>
  <c r="F1559" i="1"/>
  <c r="F1560" i="1" a="1"/>
  <c r="F1560" i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 s="1"/>
  <c r="F1700" i="1" a="1"/>
  <c r="F1700" i="1" s="1"/>
  <c r="F1701" i="1" a="1"/>
  <c r="F1701" i="1" s="1"/>
  <c r="F1702" i="1" a="1"/>
  <c r="F1702" i="1" s="1"/>
  <c r="F1703" i="1" a="1"/>
  <c r="F1703" i="1"/>
  <c r="F1704" i="1" a="1"/>
  <c r="F1704" i="1"/>
  <c r="F1705" i="1" a="1"/>
  <c r="F1705" i="1"/>
  <c r="F1706" i="1" a="1"/>
  <c r="F1706" i="1"/>
  <c r="F1707" i="1" a="1"/>
  <c r="F1707" i="1"/>
  <c r="F1708" i="1" a="1"/>
  <c r="F1708" i="1"/>
  <c r="F1709" i="1" a="1"/>
  <c r="F1709" i="1"/>
  <c r="F1710" i="1" a="1"/>
  <c r="F1710" i="1"/>
  <c r="F1711" i="1" a="1"/>
  <c r="F1711" i="1"/>
  <c r="F1712" i="1" a="1"/>
  <c r="F1712" i="1"/>
  <c r="F1713" i="1" a="1"/>
  <c r="F1713" i="1"/>
  <c r="F1714" i="1" a="1"/>
  <c r="F1714" i="1"/>
  <c r="F1715" i="1" a="1"/>
  <c r="F1715" i="1"/>
  <c r="F1716" i="1" a="1"/>
  <c r="F1716" i="1"/>
  <c r="F1717" i="1" a="1"/>
  <c r="F1717" i="1"/>
  <c r="F1718" i="1" a="1"/>
  <c r="F1718" i="1"/>
  <c r="F1719" i="1" a="1"/>
  <c r="F1719" i="1"/>
  <c r="F1720" i="1" a="1"/>
  <c r="F1720" i="1"/>
  <c r="F1721" i="1" a="1"/>
  <c r="F1721" i="1"/>
  <c r="F1722" i="1" a="1"/>
  <c r="F1722" i="1"/>
  <c r="F1723" i="1" a="1"/>
  <c r="F1723" i="1"/>
  <c r="F1724" i="1" a="1"/>
  <c r="F1724" i="1"/>
  <c r="F1725" i="1" a="1"/>
  <c r="F1725" i="1"/>
  <c r="F1726" i="1" a="1"/>
  <c r="F1726" i="1"/>
  <c r="F1727" i="1" a="1"/>
  <c r="F1727" i="1"/>
  <c r="F1728" i="1" a="1"/>
  <c r="F1728" i="1"/>
  <c r="F1729" i="1" a="1"/>
  <c r="F1729" i="1"/>
  <c r="F1730" i="1" a="1"/>
  <c r="F1730" i="1"/>
  <c r="F1731" i="1" a="1"/>
  <c r="F1731" i="1"/>
  <c r="F1732" i="1" a="1"/>
  <c r="F1732" i="1"/>
  <c r="F1733" i="1" a="1"/>
  <c r="F1733" i="1"/>
  <c r="F1734" i="1" a="1"/>
  <c r="F1734" i="1"/>
  <c r="F1735" i="1" a="1"/>
  <c r="F1735" i="1"/>
  <c r="F1736" i="1" a="1"/>
  <c r="F1736" i="1"/>
  <c r="F1737" i="1" a="1"/>
  <c r="F1737" i="1"/>
  <c r="F1738" i="1" a="1"/>
  <c r="F1738" i="1"/>
  <c r="F1739" i="1" a="1"/>
  <c r="F1739" i="1"/>
  <c r="F1740" i="1" a="1"/>
  <c r="F1740" i="1"/>
  <c r="F1741" i="1" a="1"/>
  <c r="F1741" i="1"/>
  <c r="F1742" i="1" a="1"/>
  <c r="F1742" i="1"/>
  <c r="F1743" i="1" a="1"/>
  <c r="F1743" i="1"/>
  <c r="F1744" i="1" a="1"/>
  <c r="F1744" i="1"/>
  <c r="F1745" i="1" a="1"/>
  <c r="F1745" i="1"/>
  <c r="F1746" i="1" a="1"/>
  <c r="F1746" i="1"/>
  <c r="F1747" i="1" a="1"/>
  <c r="F1747" i="1"/>
  <c r="F1748" i="1" a="1"/>
  <c r="F1748" i="1"/>
  <c r="F1749" i="1" a="1"/>
  <c r="F1749" i="1"/>
  <c r="F1750" i="1" a="1"/>
  <c r="F1750" i="1"/>
  <c r="F1751" i="1" a="1"/>
  <c r="F1751" i="1"/>
  <c r="F1752" i="1" a="1"/>
  <c r="F1752" i="1"/>
  <c r="F1753" i="1" a="1"/>
  <c r="F1753" i="1"/>
  <c r="F1754" i="1" a="1"/>
  <c r="F1754" i="1"/>
  <c r="F1755" i="1" a="1"/>
  <c r="F1755" i="1"/>
  <c r="F1756" i="1" a="1"/>
  <c r="F1756" i="1"/>
  <c r="F1757" i="1" a="1"/>
  <c r="F1757" i="1"/>
  <c r="F1758" i="1" a="1"/>
  <c r="F1758" i="1"/>
  <c r="F1759" i="1" a="1"/>
  <c r="F1759" i="1"/>
  <c r="F1760" i="1" a="1"/>
  <c r="F1760" i="1"/>
  <c r="F1761" i="1" a="1"/>
  <c r="F1761" i="1"/>
  <c r="F1762" i="1" a="1"/>
  <c r="F1762" i="1"/>
  <c r="F1763" i="1" a="1"/>
  <c r="F1763" i="1"/>
  <c r="F1764" i="1" a="1"/>
  <c r="F1764" i="1"/>
  <c r="F1765" i="1" a="1"/>
  <c r="F1765" i="1"/>
  <c r="F1766" i="1" a="1"/>
  <c r="F1766" i="1"/>
  <c r="F1767" i="1" a="1"/>
  <c r="F1767" i="1"/>
  <c r="F1768" i="1" a="1"/>
  <c r="F1768" i="1"/>
  <c r="F1769" i="1" a="1"/>
  <c r="F1769" i="1"/>
  <c r="F1770" i="1" a="1"/>
  <c r="F1770" i="1"/>
  <c r="F1771" i="1" a="1"/>
  <c r="F1771" i="1"/>
  <c r="F1772" i="1" a="1"/>
  <c r="F1772" i="1"/>
  <c r="F1773" i="1" a="1"/>
  <c r="F1773" i="1"/>
  <c r="F1774" i="1" a="1"/>
  <c r="F1774" i="1"/>
  <c r="F1775" i="1" a="1"/>
  <c r="F1775" i="1"/>
  <c r="F1776" i="1" a="1"/>
  <c r="F1776" i="1"/>
  <c r="F1777" i="1" a="1"/>
  <c r="F1777" i="1"/>
  <c r="F1778" i="1" a="1"/>
  <c r="F1778" i="1"/>
  <c r="F1779" i="1" a="1"/>
  <c r="F1779" i="1"/>
  <c r="F1780" i="1" a="1"/>
  <c r="F1780" i="1"/>
  <c r="F1781" i="1" a="1"/>
  <c r="F1781" i="1"/>
  <c r="F1782" i="1" a="1"/>
  <c r="F1782" i="1"/>
  <c r="F1783" i="1" a="1"/>
  <c r="F1783" i="1"/>
  <c r="F1784" i="1" a="1"/>
  <c r="F1784" i="1"/>
  <c r="F1785" i="1" a="1"/>
  <c r="F1785" i="1"/>
  <c r="F1786" i="1" a="1"/>
  <c r="F1786" i="1"/>
  <c r="F1787" i="1" a="1"/>
  <c r="F1787" i="1"/>
  <c r="F1788" i="1" a="1"/>
  <c r="F1788" i="1"/>
  <c r="F1789" i="1" a="1"/>
  <c r="F1789" i="1"/>
  <c r="F1790" i="1" a="1"/>
  <c r="F1790" i="1"/>
  <c r="F1791" i="1" a="1"/>
  <c r="F1791" i="1"/>
  <c r="F1792" i="1" a="1"/>
  <c r="F1792" i="1"/>
  <c r="F1793" i="1" a="1"/>
  <c r="F1793" i="1"/>
  <c r="F1794" i="1" a="1"/>
  <c r="F1794" i="1"/>
  <c r="F1795" i="1" a="1"/>
  <c r="F1795" i="1"/>
  <c r="F1796" i="1" a="1"/>
  <c r="F1796" i="1"/>
  <c r="F1797" i="1" a="1"/>
  <c r="F1797" i="1"/>
  <c r="F1798" i="1" a="1"/>
  <c r="F1798" i="1"/>
  <c r="F1799" i="1" a="1"/>
  <c r="F1799" i="1"/>
  <c r="F1800" i="1" a="1"/>
  <c r="F1800" i="1"/>
  <c r="F1801" i="1" a="1"/>
  <c r="F1801" i="1"/>
  <c r="F1802" i="1" a="1"/>
  <c r="F1802" i="1"/>
  <c r="F1803" i="1" a="1"/>
  <c r="F1803" i="1"/>
  <c r="F1804" i="1" a="1"/>
  <c r="F1804" i="1"/>
  <c r="F1805" i="1" a="1"/>
  <c r="F1805" i="1"/>
  <c r="F1806" i="1" a="1"/>
  <c r="F1806" i="1"/>
  <c r="F1807" i="1" a="1"/>
  <c r="F1807" i="1"/>
  <c r="F1808" i="1" a="1"/>
  <c r="F1808" i="1"/>
  <c r="F1809" i="1" a="1"/>
  <c r="F1809" i="1"/>
  <c r="F1810" i="1" a="1"/>
  <c r="F1810" i="1"/>
  <c r="F1811" i="1" a="1"/>
  <c r="F1811" i="1"/>
  <c r="F1812" i="1" a="1"/>
  <c r="F1812" i="1"/>
  <c r="F1813" i="1" a="1"/>
  <c r="F1813" i="1"/>
  <c r="F1814" i="1" a="1"/>
  <c r="F1814" i="1"/>
  <c r="F1815" i="1" a="1"/>
  <c r="F1815" i="1"/>
  <c r="F1816" i="1" a="1"/>
  <c r="F1816" i="1"/>
  <c r="F1817" i="1" a="1"/>
  <c r="F1817" i="1"/>
  <c r="F1818" i="1" a="1"/>
  <c r="F1818" i="1"/>
  <c r="F1819" i="1" a="1"/>
  <c r="F1819" i="1"/>
  <c r="F1820" i="1" a="1"/>
  <c r="F1820" i="1"/>
  <c r="F1821" i="1" a="1"/>
  <c r="F1821" i="1"/>
  <c r="F1822" i="1" a="1"/>
  <c r="F1822" i="1"/>
  <c r="F1823" i="1" a="1"/>
  <c r="F1823" i="1"/>
  <c r="F1824" i="1" a="1"/>
  <c r="F1824" i="1"/>
  <c r="F1825" i="1" a="1"/>
  <c r="F1825" i="1"/>
  <c r="F1826" i="1" a="1"/>
  <c r="F1826" i="1"/>
  <c r="F1827" i="1" a="1"/>
  <c r="F1827" i="1"/>
  <c r="F1828" i="1" a="1"/>
  <c r="F1828" i="1"/>
  <c r="F1829" i="1" a="1"/>
  <c r="F1829" i="1"/>
  <c r="F1830" i="1" a="1"/>
  <c r="F1830" i="1"/>
  <c r="F1831" i="1" a="1"/>
  <c r="F1831" i="1"/>
  <c r="F1832" i="1" a="1"/>
  <c r="F1832" i="1"/>
  <c r="F1833" i="1" a="1"/>
  <c r="F1833" i="1"/>
  <c r="F1834" i="1" a="1"/>
  <c r="F1834" i="1"/>
  <c r="F1835" i="1" a="1"/>
  <c r="F1835" i="1"/>
  <c r="F1836" i="1" a="1"/>
  <c r="F1836" i="1"/>
  <c r="F1837" i="1" a="1"/>
  <c r="F1837" i="1"/>
  <c r="F1838" i="1" a="1"/>
  <c r="F1838" i="1"/>
  <c r="F1839" i="1" a="1"/>
  <c r="F1839" i="1"/>
  <c r="F1840" i="1" a="1"/>
  <c r="F1840" i="1"/>
  <c r="F1841" i="1" a="1"/>
  <c r="F1841" i="1"/>
  <c r="F1842" i="1" a="1"/>
  <c r="F1842" i="1"/>
  <c r="F1843" i="1" a="1"/>
  <c r="F1843" i="1"/>
  <c r="F1844" i="1" a="1"/>
  <c r="F1844" i="1"/>
  <c r="F1845" i="1" a="1"/>
  <c r="F1845" i="1"/>
  <c r="F1846" i="1" a="1"/>
  <c r="F1846" i="1"/>
  <c r="F1847" i="1" a="1"/>
  <c r="F1847" i="1"/>
  <c r="F1848" i="1" a="1"/>
  <c r="F1848" i="1"/>
  <c r="F1849" i="1" a="1"/>
  <c r="F1849" i="1"/>
  <c r="F1850" i="1" a="1"/>
  <c r="F1850" i="1"/>
  <c r="F1851" i="1" a="1"/>
  <c r="F1851" i="1"/>
  <c r="F1852" i="1" a="1"/>
  <c r="F1852" i="1"/>
  <c r="F1853" i="1" a="1"/>
  <c r="F1853" i="1"/>
  <c r="F1854" i="1" a="1"/>
  <c r="F1854" i="1"/>
  <c r="F1855" i="1" a="1"/>
  <c r="F1855" i="1"/>
  <c r="F1856" i="1" a="1"/>
  <c r="F1856" i="1"/>
  <c r="F1857" i="1" a="1"/>
  <c r="F1857" i="1"/>
  <c r="F1858" i="1" a="1"/>
  <c r="F1858" i="1"/>
  <c r="F1859" i="1" a="1"/>
  <c r="F1859" i="1"/>
  <c r="F1860" i="1" a="1"/>
  <c r="F1860" i="1"/>
  <c r="F1861" i="1" a="1"/>
  <c r="F1861" i="1"/>
  <c r="F1862" i="1" a="1"/>
  <c r="F1862" i="1"/>
  <c r="F1863" i="1" a="1"/>
  <c r="F1863" i="1"/>
  <c r="F1864" i="1" a="1"/>
  <c r="F1864" i="1"/>
  <c r="F1865" i="1" a="1"/>
  <c r="F1865" i="1"/>
  <c r="F1866" i="1" a="1"/>
  <c r="F1866" i="1"/>
  <c r="F1867" i="1" a="1"/>
  <c r="F1867" i="1"/>
  <c r="F1868" i="1" a="1"/>
  <c r="F1868" i="1"/>
  <c r="F1869" i="1" a="1"/>
  <c r="F1869" i="1"/>
  <c r="F1870" i="1" a="1"/>
  <c r="F1870" i="1"/>
  <c r="F1871" i="1" a="1"/>
  <c r="F1871" i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/>
  <c r="F1988" i="1" a="1"/>
  <c r="F1988" i="1"/>
  <c r="F1989" i="1" a="1"/>
  <c r="F1989" i="1"/>
  <c r="F1990" i="1" a="1"/>
  <c r="F1990" i="1"/>
  <c r="F1991" i="1" a="1"/>
  <c r="F1991" i="1"/>
  <c r="F1992" i="1" a="1"/>
  <c r="F1992" i="1"/>
  <c r="F1993" i="1" a="1"/>
  <c r="F1993" i="1"/>
  <c r="F1994" i="1" a="1"/>
  <c r="F1994" i="1"/>
  <c r="F1995" i="1" a="1"/>
  <c r="F1995" i="1"/>
  <c r="F1996" i="1" a="1"/>
  <c r="F1996" i="1"/>
  <c r="F1997" i="1" a="1"/>
  <c r="F1997" i="1"/>
  <c r="F1998" i="1" a="1"/>
  <c r="F1998" i="1"/>
  <c r="F1999" i="1" a="1"/>
  <c r="F1999" i="1"/>
  <c r="F2000" i="1" a="1"/>
  <c r="F2000" i="1"/>
  <c r="F2001" i="1" a="1"/>
  <c r="F2001" i="1"/>
  <c r="F2002" i="1" a="1"/>
  <c r="F2002" i="1"/>
  <c r="F2003" i="1" a="1"/>
  <c r="F2003" i="1"/>
  <c r="F2004" i="1" a="1"/>
  <c r="F2004" i="1"/>
  <c r="F2005" i="1" a="1"/>
  <c r="F2005" i="1"/>
  <c r="F2006" i="1" a="1"/>
  <c r="F2006" i="1"/>
  <c r="F2007" i="1" a="1"/>
  <c r="F2007" i="1"/>
  <c r="F2008" i="1" a="1"/>
  <c r="F2008" i="1"/>
  <c r="F2009" i="1" a="1"/>
  <c r="F2009" i="1"/>
  <c r="F2010" i="1" a="1"/>
  <c r="F2010" i="1"/>
  <c r="F2011" i="1" a="1"/>
  <c r="F2011" i="1"/>
  <c r="F2012" i="1" a="1"/>
  <c r="F2012" i="1"/>
  <c r="F2013" i="1" a="1"/>
  <c r="F2013" i="1"/>
  <c r="F2014" i="1" a="1"/>
  <c r="F2014" i="1"/>
  <c r="F2015" i="1" a="1"/>
  <c r="F2015" i="1"/>
  <c r="F2016" i="1" a="1"/>
  <c r="F2016" i="1"/>
  <c r="F2017" i="1" a="1"/>
  <c r="F2017" i="1"/>
  <c r="F2018" i="1" a="1"/>
  <c r="F2018" i="1"/>
  <c r="F2019" i="1" a="1"/>
  <c r="F2019" i="1"/>
  <c r="F2020" i="1" a="1"/>
  <c r="F2020" i="1"/>
  <c r="F2021" i="1" a="1"/>
  <c r="F2021" i="1"/>
  <c r="F2022" i="1" a="1"/>
  <c r="F2022" i="1"/>
  <c r="F2023" i="1" a="1"/>
  <c r="F2023" i="1"/>
  <c r="F2024" i="1" a="1"/>
  <c r="F2024" i="1"/>
  <c r="F2025" i="1" a="1"/>
  <c r="F2025" i="1"/>
  <c r="F2026" i="1" a="1"/>
  <c r="F2026" i="1"/>
  <c r="F2027" i="1" a="1"/>
  <c r="F2027" i="1"/>
  <c r="F2028" i="1" a="1"/>
  <c r="F2028" i="1"/>
  <c r="F2029" i="1" a="1"/>
  <c r="F2029" i="1"/>
  <c r="F2030" i="1" a="1"/>
  <c r="F2030" i="1"/>
  <c r="F2031" i="1" a="1"/>
  <c r="F2031" i="1"/>
  <c r="F2032" i="1" a="1"/>
  <c r="F2032" i="1"/>
  <c r="F2033" i="1" a="1"/>
  <c r="F2033" i="1"/>
  <c r="F2034" i="1" a="1"/>
  <c r="F2034" i="1"/>
  <c r="F2035" i="1" a="1"/>
  <c r="F2035" i="1"/>
  <c r="F2036" i="1" a="1"/>
  <c r="F2036" i="1"/>
  <c r="F2037" i="1" a="1"/>
  <c r="F2037" i="1"/>
  <c r="F2038" i="1" a="1"/>
  <c r="F2038" i="1"/>
  <c r="F2039" i="1" a="1"/>
  <c r="F2039" i="1"/>
  <c r="F2040" i="1" a="1"/>
  <c r="F2040" i="1"/>
  <c r="F2041" i="1" a="1"/>
  <c r="F2041" i="1"/>
  <c r="F2042" i="1" a="1"/>
  <c r="F2042" i="1"/>
  <c r="F2043" i="1" a="1"/>
  <c r="F2043" i="1"/>
  <c r="F2044" i="1" a="1"/>
  <c r="F2044" i="1"/>
  <c r="F2045" i="1" a="1"/>
  <c r="F2045" i="1"/>
  <c r="F2046" i="1" a="1"/>
  <c r="F2046" i="1"/>
  <c r="F2047" i="1" a="1"/>
  <c r="F2047" i="1"/>
  <c r="F2048" i="1" a="1"/>
  <c r="F2048" i="1"/>
  <c r="F2049" i="1" a="1"/>
  <c r="F2049" i="1"/>
  <c r="F2050" i="1" a="1"/>
  <c r="F2050" i="1"/>
  <c r="F2051" i="1" a="1"/>
  <c r="F2051" i="1"/>
  <c r="F2052" i="1" a="1"/>
  <c r="F2052" i="1"/>
  <c r="F2053" i="1" a="1"/>
  <c r="F2053" i="1"/>
  <c r="F2054" i="1" a="1"/>
  <c r="F2054" i="1"/>
  <c r="F2055" i="1" a="1"/>
  <c r="F2055" i="1"/>
  <c r="F2056" i="1" a="1"/>
  <c r="F2056" i="1"/>
  <c r="F2057" i="1" a="1"/>
  <c r="F2057" i="1"/>
  <c r="F2058" i="1" a="1"/>
  <c r="F2058" i="1"/>
  <c r="F2059" i="1" a="1"/>
  <c r="F2059" i="1"/>
  <c r="F2060" i="1" a="1"/>
  <c r="F2060" i="1"/>
  <c r="F2061" i="1" a="1"/>
  <c r="F2061" i="1"/>
  <c r="F2062" i="1" a="1"/>
  <c r="F2062" i="1"/>
  <c r="F2063" i="1" a="1"/>
  <c r="F2063" i="1"/>
  <c r="F2064" i="1" a="1"/>
  <c r="F2064" i="1"/>
  <c r="F2065" i="1" a="1"/>
  <c r="F2065" i="1"/>
  <c r="F2066" i="1" a="1"/>
  <c r="F2066" i="1"/>
  <c r="F2067" i="1" a="1"/>
  <c r="F2067" i="1"/>
  <c r="F2068" i="1" a="1"/>
  <c r="F2068" i="1"/>
  <c r="F2069" i="1" a="1"/>
  <c r="F2069" i="1"/>
  <c r="F2070" i="1" a="1"/>
  <c r="F2070" i="1"/>
  <c r="F2071" i="1" a="1"/>
  <c r="F2071" i="1"/>
  <c r="F2072" i="1" a="1"/>
  <c r="F2072" i="1"/>
  <c r="F2073" i="1" a="1"/>
  <c r="F2073" i="1"/>
  <c r="F2074" i="1" a="1"/>
  <c r="F2074" i="1"/>
  <c r="F2075" i="1" a="1"/>
  <c r="F2075" i="1"/>
  <c r="F2076" i="1" a="1"/>
  <c r="F2076" i="1"/>
  <c r="F2077" i="1" a="1"/>
  <c r="F2077" i="1"/>
  <c r="F2078" i="1" a="1"/>
  <c r="F2078" i="1"/>
  <c r="F2079" i="1" a="1"/>
  <c r="F2079" i="1"/>
  <c r="F2080" i="1" a="1"/>
  <c r="F2080" i="1"/>
  <c r="F2081" i="1" a="1"/>
  <c r="F2081" i="1"/>
  <c r="F2082" i="1" a="1"/>
  <c r="F2082" i="1"/>
  <c r="F2083" i="1" a="1"/>
  <c r="F2083" i="1"/>
  <c r="F2084" i="1" a="1"/>
  <c r="F2084" i="1"/>
  <c r="F2085" i="1" a="1"/>
  <c r="F2085" i="1"/>
  <c r="F2086" i="1" a="1"/>
  <c r="F2086" i="1"/>
  <c r="F2087" i="1" a="1"/>
  <c r="F2087" i="1"/>
  <c r="F2088" i="1" a="1"/>
  <c r="F2088" i="1"/>
  <c r="F2089" i="1" a="1"/>
  <c r="F2089" i="1"/>
  <c r="F2090" i="1" a="1"/>
  <c r="F2090" i="1"/>
  <c r="F2091" i="1" a="1"/>
  <c r="F2091" i="1"/>
  <c r="F2092" i="1" a="1"/>
  <c r="F2092" i="1"/>
  <c r="F2093" i="1" a="1"/>
  <c r="F2093" i="1"/>
  <c r="F2094" i="1" a="1"/>
  <c r="F2094" i="1"/>
  <c r="F2095" i="1" a="1"/>
  <c r="F2095" i="1"/>
  <c r="F2096" i="1" a="1"/>
  <c r="F2096" i="1"/>
  <c r="F2097" i="1" a="1"/>
  <c r="F2097" i="1"/>
  <c r="F2098" i="1" a="1"/>
  <c r="F2098" i="1"/>
  <c r="F2099" i="1" a="1"/>
  <c r="F2099" i="1"/>
  <c r="F2100" i="1" a="1"/>
  <c r="F2100" i="1"/>
  <c r="F2101" i="1" a="1"/>
  <c r="F2101" i="1"/>
  <c r="F2102" i="1" a="1"/>
  <c r="F2102" i="1"/>
  <c r="F2103" i="1" a="1"/>
  <c r="F2103" i="1"/>
  <c r="F2104" i="1" a="1"/>
  <c r="F2104" i="1"/>
  <c r="F2105" i="1" a="1"/>
  <c r="F2105" i="1"/>
  <c r="F2106" i="1" a="1"/>
  <c r="F2106" i="1"/>
  <c r="F2107" i="1" a="1"/>
  <c r="F2107" i="1"/>
  <c r="F2108" i="1" a="1"/>
  <c r="F2108" i="1"/>
  <c r="F2109" i="1" a="1"/>
  <c r="F2109" i="1"/>
  <c r="F2110" i="1" a="1"/>
  <c r="F2110" i="1"/>
  <c r="F2111" i="1" a="1"/>
  <c r="F2111" i="1"/>
  <c r="F2112" i="1" a="1"/>
  <c r="F2112" i="1"/>
  <c r="F2113" i="1" a="1"/>
  <c r="F2113" i="1"/>
  <c r="F2114" i="1" a="1"/>
  <c r="F2114" i="1"/>
  <c r="F2115" i="1" a="1"/>
  <c r="F2115" i="1"/>
  <c r="F2116" i="1" a="1"/>
  <c r="F2116" i="1"/>
  <c r="F2117" i="1" a="1"/>
  <c r="F2117" i="1"/>
  <c r="F2118" i="1" a="1"/>
  <c r="F2118" i="1"/>
  <c r="F2119" i="1" a="1"/>
  <c r="F2119" i="1"/>
  <c r="F2120" i="1" a="1"/>
  <c r="F2120" i="1"/>
  <c r="F2121" i="1" a="1"/>
  <c r="F2121" i="1"/>
  <c r="F2122" i="1" a="1"/>
  <c r="F2122" i="1"/>
  <c r="F2123" i="1" a="1"/>
  <c r="F2123" i="1"/>
  <c r="F2124" i="1" a="1"/>
  <c r="F2124" i="1"/>
  <c r="F2125" i="1" a="1"/>
  <c r="F2125" i="1"/>
  <c r="F2126" i="1" a="1"/>
  <c r="F2126" i="1"/>
  <c r="F2127" i="1" a="1"/>
  <c r="F2127" i="1"/>
  <c r="F2128" i="1" a="1"/>
  <c r="F2128" i="1"/>
  <c r="F2129" i="1" a="1"/>
  <c r="F2129" i="1"/>
  <c r="F2130" i="1" a="1"/>
  <c r="F2130" i="1"/>
  <c r="F2131" i="1" a="1"/>
  <c r="F2131" i="1"/>
  <c r="F2132" i="1" a="1"/>
  <c r="F2132" i="1"/>
  <c r="F2133" i="1" a="1"/>
  <c r="F2133" i="1"/>
  <c r="F2134" i="1" a="1"/>
  <c r="F2134" i="1"/>
  <c r="F2135" i="1" a="1"/>
  <c r="F2135" i="1"/>
  <c r="F2136" i="1" a="1"/>
  <c r="F2136" i="1"/>
  <c r="F2137" i="1" a="1"/>
  <c r="F2137" i="1"/>
  <c r="F2138" i="1" a="1"/>
  <c r="F2138" i="1"/>
  <c r="F2139" i="1" a="1"/>
  <c r="F2139" i="1"/>
  <c r="F2140" i="1" a="1"/>
  <c r="F2140" i="1"/>
  <c r="F2141" i="1" a="1"/>
  <c r="F2141" i="1"/>
  <c r="F2142" i="1" a="1"/>
  <c r="F2142" i="1"/>
  <c r="F2143" i="1" a="1"/>
  <c r="F2143" i="1"/>
  <c r="F2144" i="1" a="1"/>
  <c r="F2144" i="1"/>
  <c r="F2145" i="1" a="1"/>
  <c r="F2145" i="1"/>
  <c r="F2146" i="1" a="1"/>
  <c r="F2146" i="1"/>
  <c r="F2147" i="1" a="1"/>
  <c r="F2147" i="1"/>
  <c r="F2148" i="1" a="1"/>
  <c r="F2148" i="1"/>
  <c r="F2149" i="1" a="1"/>
  <c r="F2149" i="1"/>
  <c r="F2150" i="1" a="1"/>
  <c r="F2150" i="1"/>
  <c r="F2151" i="1" a="1"/>
  <c r="F2151" i="1"/>
  <c r="F2152" i="1" a="1"/>
  <c r="F2152" i="1"/>
  <c r="F2153" i="1" a="1"/>
  <c r="F2153" i="1"/>
  <c r="F2154" i="1" a="1"/>
  <c r="F2154" i="1"/>
  <c r="F2155" i="1" a="1"/>
  <c r="F2155" i="1"/>
  <c r="F2156" i="1" a="1"/>
  <c r="F2156" i="1"/>
  <c r="F2157" i="1" a="1"/>
  <c r="F2157" i="1"/>
  <c r="F2158" i="1" a="1"/>
  <c r="F2158" i="1"/>
  <c r="F2159" i="1" a="1"/>
  <c r="F2159" i="1"/>
  <c r="F2160" i="1" a="1"/>
  <c r="F2160" i="1"/>
  <c r="F2161" i="1" a="1"/>
  <c r="F2161" i="1"/>
  <c r="F2162" i="1" a="1"/>
  <c r="F2162" i="1"/>
  <c r="F2163" i="1" a="1"/>
  <c r="F2163" i="1"/>
  <c r="F2164" i="1" a="1"/>
  <c r="F2164" i="1"/>
  <c r="F2165" i="1" a="1"/>
  <c r="F2165" i="1"/>
  <c r="F2166" i="1" a="1"/>
  <c r="F2166" i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/>
  <c r="F2271" i="1" a="1"/>
  <c r="F2271" i="1"/>
  <c r="F2272" i="1" a="1"/>
  <c r="F2272" i="1"/>
  <c r="F2273" i="1" a="1"/>
  <c r="F2273" i="1"/>
  <c r="F2274" i="1" a="1"/>
  <c r="F2274" i="1"/>
  <c r="F2275" i="1" a="1"/>
  <c r="F2275" i="1"/>
  <c r="F2276" i="1" a="1"/>
  <c r="F2276" i="1"/>
  <c r="F2277" i="1" a="1"/>
  <c r="F2277" i="1"/>
  <c r="F2278" i="1" a="1"/>
  <c r="F2278" i="1"/>
  <c r="F2279" i="1" a="1"/>
  <c r="F2279" i="1"/>
  <c r="F2280" i="1" a="1"/>
  <c r="F2280" i="1"/>
  <c r="F2281" i="1" a="1"/>
  <c r="F2281" i="1"/>
  <c r="F2282" i="1" a="1"/>
  <c r="F2282" i="1"/>
  <c r="F2283" i="1" a="1"/>
  <c r="F2283" i="1"/>
  <c r="F2284" i="1" a="1"/>
  <c r="F2284" i="1"/>
  <c r="F2285" i="1" a="1"/>
  <c r="F2285" i="1"/>
  <c r="F2286" i="1" a="1"/>
  <c r="F2286" i="1"/>
  <c r="F2287" i="1" a="1"/>
  <c r="F2287" i="1"/>
  <c r="F2288" i="1" a="1"/>
  <c r="F2288" i="1"/>
  <c r="F2289" i="1" a="1"/>
  <c r="F2289" i="1"/>
  <c r="F2290" i="1" a="1"/>
  <c r="F2290" i="1"/>
  <c r="F2291" i="1" a="1"/>
  <c r="F2291" i="1"/>
  <c r="F2292" i="1" a="1"/>
  <c r="F2292" i="1"/>
  <c r="F2293" i="1" a="1"/>
  <c r="F2293" i="1"/>
  <c r="F2294" i="1" a="1"/>
  <c r="F2294" i="1"/>
  <c r="F2295" i="1" a="1"/>
  <c r="F2295" i="1"/>
  <c r="F2296" i="1" a="1"/>
  <c r="F2296" i="1"/>
  <c r="F2297" i="1" a="1"/>
  <c r="F2297" i="1"/>
  <c r="F2298" i="1" a="1"/>
  <c r="F2298" i="1"/>
  <c r="F2299" i="1" a="1"/>
  <c r="F2299" i="1"/>
  <c r="F2300" i="1" a="1"/>
  <c r="F2300" i="1"/>
  <c r="F2301" i="1" a="1"/>
  <c r="F2301" i="1"/>
  <c r="F2302" i="1" a="1"/>
  <c r="F2302" i="1"/>
  <c r="F2303" i="1" a="1"/>
  <c r="F2303" i="1"/>
  <c r="F2304" i="1" a="1"/>
  <c r="F2304" i="1"/>
  <c r="F2305" i="1" a="1"/>
  <c r="F2305" i="1"/>
  <c r="F2306" i="1" a="1"/>
  <c r="F2306" i="1"/>
  <c r="F2307" i="1" a="1"/>
  <c r="F2307" i="1"/>
  <c r="F2308" i="1" a="1"/>
  <c r="F2308" i="1"/>
  <c r="F2309" i="1" a="1"/>
  <c r="F2309" i="1"/>
  <c r="F2310" i="1" a="1"/>
  <c r="F2310" i="1"/>
  <c r="F2311" i="1" a="1"/>
  <c r="F2311" i="1"/>
  <c r="F2312" i="1" a="1"/>
  <c r="F2312" i="1"/>
  <c r="F2313" i="1" a="1"/>
  <c r="F2313" i="1"/>
  <c r="F2314" i="1" a="1"/>
  <c r="F2314" i="1"/>
  <c r="F2315" i="1" a="1"/>
  <c r="F2315" i="1"/>
  <c r="F2316" i="1" a="1"/>
  <c r="F2316" i="1"/>
  <c r="F2317" i="1" a="1"/>
  <c r="F2317" i="1"/>
  <c r="F2318" i="1" a="1"/>
  <c r="F2318" i="1"/>
  <c r="F2319" i="1" a="1"/>
  <c r="F2319" i="1"/>
  <c r="F2320" i="1" a="1"/>
  <c r="F2320" i="1"/>
  <c r="F2321" i="1" a="1"/>
  <c r="F2321" i="1"/>
  <c r="F2322" i="1" a="1"/>
  <c r="F2322" i="1"/>
  <c r="F2323" i="1" a="1"/>
  <c r="F2323" i="1"/>
  <c r="F2324" i="1" a="1"/>
  <c r="F2324" i="1"/>
  <c r="F2325" i="1" a="1"/>
  <c r="F2325" i="1"/>
  <c r="F2326" i="1" a="1"/>
  <c r="F2326" i="1"/>
  <c r="F2327" i="1" a="1"/>
  <c r="F2327" i="1"/>
  <c r="F2328" i="1" a="1"/>
  <c r="F2328" i="1"/>
  <c r="F2329" i="1" a="1"/>
  <c r="F2329" i="1"/>
  <c r="F2330" i="1" a="1"/>
  <c r="F2330" i="1"/>
  <c r="F2331" i="1" a="1"/>
  <c r="F2331" i="1"/>
  <c r="F2332" i="1" a="1"/>
  <c r="F2332" i="1"/>
  <c r="F2333" i="1" a="1"/>
  <c r="F2333" i="1"/>
  <c r="F2334" i="1" a="1"/>
  <c r="F2334" i="1"/>
  <c r="F2335" i="1" a="1"/>
  <c r="F2335" i="1"/>
  <c r="F2336" i="1" a="1"/>
  <c r="F2336" i="1"/>
  <c r="F2337" i="1" a="1"/>
  <c r="F2337" i="1"/>
  <c r="F2338" i="1" a="1"/>
  <c r="F2338" i="1"/>
  <c r="F2339" i="1" a="1"/>
  <c r="F2339" i="1"/>
  <c r="F2340" i="1" a="1"/>
  <c r="F2340" i="1"/>
  <c r="F2341" i="1" a="1"/>
  <c r="F2341" i="1"/>
  <c r="F2342" i="1" a="1"/>
  <c r="F2342" i="1"/>
  <c r="F2343" i="1" a="1"/>
  <c r="F2343" i="1"/>
  <c r="F2344" i="1" a="1"/>
  <c r="F2344" i="1"/>
  <c r="F2345" i="1" a="1"/>
  <c r="F2345" i="1"/>
  <c r="F2346" i="1" a="1"/>
  <c r="F2346" i="1"/>
  <c r="F2347" i="1" a="1"/>
  <c r="F2347" i="1"/>
  <c r="F2348" i="1" a="1"/>
  <c r="F2348" i="1"/>
  <c r="F2349" i="1" a="1"/>
  <c r="F2349" i="1"/>
  <c r="F2350" i="1" a="1"/>
  <c r="F2350" i="1"/>
  <c r="F2351" i="1" a="1"/>
  <c r="F2351" i="1"/>
  <c r="F2352" i="1" a="1"/>
  <c r="F2352" i="1"/>
  <c r="F2353" i="1" a="1"/>
  <c r="F2353" i="1"/>
  <c r="F2354" i="1" a="1"/>
  <c r="F2354" i="1"/>
  <c r="F2355" i="1" a="1"/>
  <c r="F2355" i="1"/>
  <c r="F2356" i="1" a="1"/>
  <c r="F2356" i="1"/>
  <c r="F2357" i="1" a="1"/>
  <c r="F2357" i="1"/>
  <c r="F2358" i="1" a="1"/>
  <c r="F2358" i="1"/>
  <c r="F2359" i="1" a="1"/>
  <c r="F2359" i="1"/>
  <c r="F2360" i="1" a="1"/>
  <c r="F2360" i="1"/>
  <c r="F2361" i="1" a="1"/>
  <c r="F2361" i="1"/>
  <c r="F2362" i="1" a="1"/>
  <c r="F2362" i="1"/>
  <c r="F2363" i="1" a="1"/>
  <c r="F2363" i="1"/>
  <c r="F2364" i="1" a="1"/>
  <c r="F2364" i="1"/>
  <c r="F2365" i="1" a="1"/>
  <c r="F2365" i="1"/>
  <c r="F2366" i="1" a="1"/>
  <c r="F2366" i="1"/>
  <c r="F2367" i="1" a="1"/>
  <c r="F2367" i="1"/>
  <c r="F2368" i="1" a="1"/>
  <c r="F2368" i="1"/>
  <c r="F2369" i="1" a="1"/>
  <c r="F2369" i="1"/>
  <c r="F2370" i="1" a="1"/>
  <c r="F2370" i="1"/>
  <c r="F2371" i="1" a="1"/>
  <c r="F2371" i="1"/>
  <c r="F2372" i="1" a="1"/>
  <c r="F2372" i="1"/>
  <c r="F2373" i="1" a="1"/>
  <c r="F2373" i="1"/>
  <c r="F2374" i="1" a="1"/>
  <c r="F2374" i="1"/>
  <c r="F2375" i="1" a="1"/>
  <c r="F2375" i="1"/>
  <c r="F2376" i="1" a="1"/>
  <c r="F2376" i="1"/>
  <c r="F2377" i="1" a="1"/>
  <c r="F2377" i="1"/>
  <c r="F2378" i="1" a="1"/>
  <c r="F2378" i="1"/>
  <c r="F2379" i="1" a="1"/>
  <c r="F2379" i="1"/>
  <c r="F2380" i="1" a="1"/>
  <c r="F2380" i="1"/>
  <c r="F2381" i="1" a="1"/>
  <c r="F2381" i="1"/>
  <c r="F2382" i="1" a="1"/>
  <c r="F2382" i="1"/>
  <c r="F2383" i="1" a="1"/>
  <c r="F2383" i="1"/>
  <c r="F2384" i="1" a="1"/>
  <c r="F2384" i="1"/>
  <c r="F2385" i="1" a="1"/>
  <c r="F2385" i="1"/>
  <c r="F2386" i="1" a="1"/>
  <c r="F2386" i="1"/>
  <c r="F2387" i="1" a="1"/>
  <c r="F2387" i="1"/>
  <c r="F2388" i="1" a="1"/>
  <c r="F2388" i="1"/>
  <c r="F2389" i="1" a="1"/>
  <c r="F2389" i="1"/>
  <c r="F2390" i="1" a="1"/>
  <c r="F2390" i="1"/>
  <c r="F2391" i="1" a="1"/>
  <c r="F2391" i="1"/>
  <c r="F2392" i="1" a="1"/>
  <c r="F2392" i="1"/>
  <c r="F2393" i="1" a="1"/>
  <c r="F2393" i="1"/>
  <c r="F2394" i="1" a="1"/>
  <c r="F2394" i="1"/>
  <c r="F2395" i="1" a="1"/>
  <c r="F2395" i="1"/>
  <c r="F2396" i="1" a="1"/>
  <c r="F2396" i="1"/>
  <c r="F2397" i="1" a="1"/>
  <c r="F2397" i="1"/>
  <c r="F2398" i="1" a="1"/>
  <c r="F2398" i="1"/>
  <c r="F2399" i="1" a="1"/>
  <c r="F2399" i="1"/>
  <c r="F2400" i="1" a="1"/>
  <c r="F2400" i="1"/>
  <c r="F2401" i="1" a="1"/>
  <c r="F2401" i="1"/>
  <c r="F2402" i="1" a="1"/>
  <c r="F2402" i="1"/>
  <c r="F2403" i="1" a="1"/>
  <c r="F2403" i="1"/>
  <c r="F2404" i="1" a="1"/>
  <c r="F2404" i="1"/>
  <c r="F2405" i="1" a="1"/>
  <c r="F2405" i="1"/>
  <c r="F2406" i="1" a="1"/>
  <c r="F2406" i="1"/>
  <c r="F2407" i="1" a="1"/>
  <c r="F2407" i="1"/>
  <c r="F2408" i="1" a="1"/>
  <c r="F2408" i="1"/>
  <c r="F2409" i="1" a="1"/>
  <c r="F2409" i="1"/>
  <c r="F2410" i="1" a="1"/>
  <c r="F2410" i="1"/>
  <c r="F2411" i="1" a="1"/>
  <c r="F2411" i="1"/>
  <c r="F2412" i="1" a="1"/>
  <c r="F2412" i="1"/>
  <c r="F2413" i="1" a="1"/>
  <c r="F2413" i="1"/>
  <c r="F2414" i="1" a="1"/>
  <c r="F2414" i="1"/>
  <c r="F2415" i="1" a="1"/>
  <c r="F2415" i="1"/>
  <c r="F2416" i="1" a="1"/>
  <c r="F2416" i="1"/>
  <c r="F2417" i="1" a="1"/>
  <c r="F2417" i="1"/>
  <c r="F2418" i="1" a="1"/>
  <c r="F2418" i="1"/>
  <c r="F2419" i="1" a="1"/>
  <c r="F2419" i="1"/>
  <c r="F2420" i="1" a="1"/>
  <c r="F2420" i="1"/>
  <c r="F2421" i="1" a="1"/>
  <c r="F2421" i="1"/>
  <c r="F2422" i="1" a="1"/>
  <c r="F2422" i="1"/>
  <c r="F2423" i="1" a="1"/>
  <c r="F2423" i="1"/>
  <c r="F2424" i="1" a="1"/>
  <c r="F2424" i="1"/>
  <c r="F2425" i="1" a="1"/>
  <c r="F2425" i="1"/>
  <c r="F2426" i="1" a="1"/>
  <c r="F2426" i="1"/>
  <c r="F2427" i="1" a="1"/>
  <c r="F2427" i="1"/>
  <c r="F2428" i="1" a="1"/>
  <c r="F2428" i="1"/>
  <c r="F2429" i="1" a="1"/>
  <c r="F2429" i="1"/>
  <c r="F2430" i="1" a="1"/>
  <c r="F2430" i="1"/>
  <c r="F2431" i="1" a="1"/>
  <c r="F2431" i="1"/>
  <c r="F2432" i="1" a="1"/>
  <c r="F2432" i="1"/>
  <c r="F2433" i="1" a="1"/>
  <c r="F2433" i="1"/>
  <c r="F2434" i="1" a="1"/>
  <c r="F2434" i="1"/>
  <c r="F2435" i="1" a="1"/>
  <c r="F2435" i="1"/>
  <c r="F2436" i="1" a="1"/>
  <c r="F2436" i="1"/>
  <c r="F2437" i="1" a="1"/>
  <c r="F2437" i="1"/>
  <c r="F2438" i="1" a="1"/>
  <c r="F2438" i="1"/>
  <c r="F2439" i="1" a="1"/>
  <c r="F2439" i="1"/>
  <c r="F2440" i="1" a="1"/>
  <c r="F2440" i="1"/>
  <c r="F2441" i="1" a="1"/>
  <c r="F2441" i="1"/>
  <c r="F2442" i="1" a="1"/>
  <c r="F2442" i="1"/>
  <c r="F2443" i="1" a="1"/>
  <c r="F2443" i="1"/>
  <c r="F2444" i="1" a="1"/>
  <c r="F2444" i="1"/>
  <c r="F2445" i="1" a="1"/>
  <c r="F2445" i="1"/>
  <c r="F2446" i="1" a="1"/>
  <c r="F2446" i="1"/>
  <c r="F2447" i="1" a="1"/>
  <c r="F2447" i="1"/>
  <c r="F2448" i="1" a="1"/>
  <c r="F2448" i="1"/>
  <c r="F2449" i="1" a="1"/>
  <c r="F2449" i="1"/>
  <c r="F2450" i="1" a="1"/>
  <c r="F2450" i="1"/>
  <c r="F2451" i="1" a="1"/>
  <c r="F2451" i="1"/>
  <c r="F2452" i="1" a="1"/>
  <c r="F2452" i="1"/>
  <c r="F2453" i="1" a="1"/>
  <c r="F2453" i="1"/>
  <c r="F2454" i="1" a="1"/>
  <c r="F2454" i="1"/>
  <c r="F2455" i="1" a="1"/>
  <c r="F2455" i="1"/>
  <c r="F2456" i="1" a="1"/>
  <c r="F2456" i="1"/>
  <c r="F2457" i="1" a="1"/>
  <c r="F2457" i="1"/>
  <c r="F2458" i="1" a="1"/>
  <c r="F2458" i="1"/>
  <c r="F2459" i="1" a="1"/>
  <c r="F2459" i="1"/>
  <c r="F2460" i="1" a="1"/>
  <c r="F2460" i="1"/>
  <c r="F2461" i="1" a="1"/>
  <c r="F2461" i="1"/>
  <c r="F2462" i="1" a="1"/>
  <c r="F2462" i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 s="1"/>
  <c r="F2546" i="1" a="1"/>
  <c r="F2546" i="1" s="1"/>
  <c r="F2547" i="1" a="1"/>
  <c r="F2547" i="1" s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/>
  <c r="F2555" i="1" a="1"/>
  <c r="F2555" i="1"/>
  <c r="F2556" i="1" a="1"/>
  <c r="F2556" i="1"/>
  <c r="F2557" i="1" a="1"/>
  <c r="F2557" i="1"/>
  <c r="F2558" i="1" a="1"/>
  <c r="F2558" i="1"/>
  <c r="F2559" i="1" a="1"/>
  <c r="F2559" i="1"/>
  <c r="F2560" i="1" a="1"/>
  <c r="F2560" i="1"/>
  <c r="F2561" i="1" a="1"/>
  <c r="F2561" i="1"/>
  <c r="F2562" i="1" a="1"/>
  <c r="F2562" i="1"/>
  <c r="F2563" i="1" a="1"/>
  <c r="F2563" i="1"/>
  <c r="F2564" i="1" a="1"/>
  <c r="F2564" i="1"/>
  <c r="F2565" i="1" a="1"/>
  <c r="F2565" i="1"/>
  <c r="F2566" i="1" a="1"/>
  <c r="F2566" i="1"/>
  <c r="F2567" i="1" a="1"/>
  <c r="F2567" i="1"/>
  <c r="F2568" i="1" a="1"/>
  <c r="F2568" i="1"/>
  <c r="F2569" i="1" a="1"/>
  <c r="F2569" i="1"/>
  <c r="F2570" i="1" a="1"/>
  <c r="F2570" i="1"/>
  <c r="F2571" i="1" a="1"/>
  <c r="F2571" i="1"/>
  <c r="F2572" i="1" a="1"/>
  <c r="F2572" i="1"/>
  <c r="F2573" i="1" a="1"/>
  <c r="F2573" i="1"/>
  <c r="F2574" i="1" a="1"/>
  <c r="F2574" i="1"/>
  <c r="F2575" i="1" a="1"/>
  <c r="F2575" i="1"/>
  <c r="F2576" i="1" a="1"/>
  <c r="F2576" i="1"/>
  <c r="F2577" i="1" a="1"/>
  <c r="F2577" i="1"/>
  <c r="F2578" i="1" a="1"/>
  <c r="F2578" i="1"/>
  <c r="F2579" i="1" a="1"/>
  <c r="F2579" i="1"/>
  <c r="F2580" i="1" a="1"/>
  <c r="F2580" i="1"/>
  <c r="F2581" i="1" a="1"/>
  <c r="F2581" i="1"/>
  <c r="F2582" i="1" a="1"/>
  <c r="F2582" i="1"/>
  <c r="F2583" i="1" a="1"/>
  <c r="F2583" i="1"/>
  <c r="F2584" i="1" a="1"/>
  <c r="F2584" i="1"/>
  <c r="F2585" i="1" a="1"/>
  <c r="F2585" i="1"/>
  <c r="F2586" i="1" a="1"/>
  <c r="F2586" i="1"/>
  <c r="F2587" i="1" a="1"/>
  <c r="F2587" i="1"/>
  <c r="F2588" i="1" a="1"/>
  <c r="F2588" i="1"/>
  <c r="F2589" i="1" a="1"/>
  <c r="F2589" i="1"/>
  <c r="F2590" i="1" a="1"/>
  <c r="F2590" i="1"/>
  <c r="F2591" i="1" a="1"/>
  <c r="F2591" i="1"/>
  <c r="F2592" i="1" a="1"/>
  <c r="F2592" i="1"/>
  <c r="F2593" i="1" a="1"/>
  <c r="F2593" i="1"/>
  <c r="F2594" i="1" a="1"/>
  <c r="F2594" i="1"/>
  <c r="F2595" i="1" a="1"/>
  <c r="F2595" i="1"/>
  <c r="F2596" i="1" a="1"/>
  <c r="F2596" i="1"/>
  <c r="F2597" i="1" a="1"/>
  <c r="F2597" i="1"/>
  <c r="F2598" i="1" a="1"/>
  <c r="F2598" i="1"/>
  <c r="F2599" i="1" a="1"/>
  <c r="F2599" i="1"/>
  <c r="F2600" i="1" a="1"/>
  <c r="F2600" i="1"/>
  <c r="F2601" i="1" a="1"/>
  <c r="F2601" i="1"/>
  <c r="F2602" i="1" a="1"/>
  <c r="F2602" i="1"/>
  <c r="F2603" i="1" a="1"/>
  <c r="F2603" i="1"/>
  <c r="F2604" i="1" a="1"/>
  <c r="F2604" i="1"/>
  <c r="F2605" i="1" a="1"/>
  <c r="F2605" i="1"/>
  <c r="F2606" i="1" a="1"/>
  <c r="F2606" i="1"/>
  <c r="F2607" i="1" a="1"/>
  <c r="F2607" i="1"/>
  <c r="F2608" i="1" a="1"/>
  <c r="F2608" i="1"/>
  <c r="F2609" i="1" a="1"/>
  <c r="F2609" i="1"/>
  <c r="F2610" i="1" a="1"/>
  <c r="F2610" i="1"/>
  <c r="F2611" i="1" a="1"/>
  <c r="F2611" i="1"/>
  <c r="F2612" i="1" a="1"/>
  <c r="F2612" i="1"/>
  <c r="F2613" i="1" a="1"/>
  <c r="F2613" i="1"/>
  <c r="F2614" i="1" a="1"/>
  <c r="F2614" i="1"/>
  <c r="F2615" i="1" a="1"/>
  <c r="F2615" i="1"/>
  <c r="F2616" i="1" a="1"/>
  <c r="F2616" i="1"/>
  <c r="F2617" i="1" a="1"/>
  <c r="F2617" i="1"/>
  <c r="F2618" i="1" a="1"/>
  <c r="F2618" i="1"/>
  <c r="F2619" i="1" a="1"/>
  <c r="F2619" i="1"/>
  <c r="F2620" i="1" a="1"/>
  <c r="F2620" i="1"/>
  <c r="F2621" i="1" a="1"/>
  <c r="F2621" i="1"/>
  <c r="F2622" i="1" a="1"/>
  <c r="F2622" i="1"/>
  <c r="F2623" i="1" a="1"/>
  <c r="F2623" i="1"/>
  <c r="F2624" i="1" a="1"/>
  <c r="F2624" i="1"/>
  <c r="F2625" i="1" a="1"/>
  <c r="F2625" i="1"/>
  <c r="F2626" i="1" a="1"/>
  <c r="F2626" i="1"/>
  <c r="F2627" i="1" a="1"/>
  <c r="F2627" i="1"/>
  <c r="F2628" i="1" a="1"/>
  <c r="F2628" i="1"/>
  <c r="F2629" i="1" a="1"/>
  <c r="F2629" i="1"/>
  <c r="F2630" i="1" a="1"/>
  <c r="F2630" i="1"/>
  <c r="F2631" i="1" a="1"/>
  <c r="F2631" i="1"/>
  <c r="F2632" i="1" a="1"/>
  <c r="F2632" i="1"/>
  <c r="F2633" i="1" a="1"/>
  <c r="F2633" i="1"/>
  <c r="F2634" i="1" a="1"/>
  <c r="F2634" i="1"/>
  <c r="F2635" i="1" a="1"/>
  <c r="F2635" i="1"/>
  <c r="F2636" i="1" a="1"/>
  <c r="F2636" i="1"/>
  <c r="F2637" i="1" a="1"/>
  <c r="F2637" i="1"/>
  <c r="F2638" i="1" a="1"/>
  <c r="F2638" i="1"/>
  <c r="F2639" i="1" a="1"/>
  <c r="F2639" i="1"/>
  <c r="F2640" i="1" a="1"/>
  <c r="F2640" i="1"/>
  <c r="F2641" i="1" a="1"/>
  <c r="F2641" i="1"/>
  <c r="F2642" i="1" a="1"/>
  <c r="F2642" i="1"/>
  <c r="F2643" i="1" a="1"/>
  <c r="F2643" i="1"/>
  <c r="F2644" i="1" a="1"/>
  <c r="F2644" i="1"/>
  <c r="F2645" i="1" a="1"/>
  <c r="F2645" i="1"/>
  <c r="F2646" i="1" a="1"/>
  <c r="F2646" i="1"/>
  <c r="F2647" i="1" a="1"/>
  <c r="F2647" i="1"/>
  <c r="F2648" i="1" a="1"/>
  <c r="F2648" i="1"/>
  <c r="F2649" i="1" a="1"/>
  <c r="F2649" i="1"/>
  <c r="F2650" i="1" a="1"/>
  <c r="F2650" i="1"/>
  <c r="F2651" i="1" a="1"/>
  <c r="F2651" i="1"/>
  <c r="F2652" i="1" a="1"/>
  <c r="F2652" i="1"/>
  <c r="F2653" i="1" a="1"/>
  <c r="F2653" i="1"/>
  <c r="F2654" i="1" a="1"/>
  <c r="F2654" i="1"/>
  <c r="F2655" i="1" a="1"/>
  <c r="F2655" i="1"/>
  <c r="F2656" i="1" a="1"/>
  <c r="F2656" i="1"/>
  <c r="F2657" i="1" a="1"/>
  <c r="F2657" i="1"/>
  <c r="F2658" i="1" a="1"/>
  <c r="F2658" i="1"/>
  <c r="F2659" i="1" a="1"/>
  <c r="F2659" i="1"/>
  <c r="F2660" i="1" a="1"/>
  <c r="F2660" i="1"/>
  <c r="F2661" i="1" a="1"/>
  <c r="F2661" i="1"/>
  <c r="F2662" i="1" a="1"/>
  <c r="F2662" i="1"/>
  <c r="F2663" i="1" a="1"/>
  <c r="F2663" i="1"/>
  <c r="F2664" i="1" a="1"/>
  <c r="F2664" i="1"/>
  <c r="F2665" i="1" a="1"/>
  <c r="F2665" i="1"/>
  <c r="F2666" i="1" a="1"/>
  <c r="F2666" i="1"/>
  <c r="F2667" i="1" a="1"/>
  <c r="F2667" i="1"/>
  <c r="F2668" i="1" a="1"/>
  <c r="F2668" i="1"/>
  <c r="F2669" i="1" a="1"/>
  <c r="F2669" i="1"/>
  <c r="F2670" i="1" a="1"/>
  <c r="F2670" i="1"/>
  <c r="F2671" i="1" a="1"/>
  <c r="F2671" i="1"/>
  <c r="F2672" i="1" a="1"/>
  <c r="F2672" i="1"/>
  <c r="F2673" i="1" a="1"/>
  <c r="F2673" i="1"/>
  <c r="F2674" i="1" a="1"/>
  <c r="F2674" i="1"/>
  <c r="F2675" i="1" a="1"/>
  <c r="F2675" i="1"/>
  <c r="F2676" i="1" a="1"/>
  <c r="F2676" i="1"/>
  <c r="F2677" i="1" a="1"/>
  <c r="F2677" i="1"/>
  <c r="F2678" i="1" a="1"/>
  <c r="F2678" i="1"/>
  <c r="F2679" i="1" a="1"/>
  <c r="F2679" i="1"/>
  <c r="F2680" i="1" a="1"/>
  <c r="F2680" i="1"/>
  <c r="F2681" i="1" a="1"/>
  <c r="F2681" i="1"/>
  <c r="F2682" i="1" a="1"/>
  <c r="F2682" i="1"/>
  <c r="F2683" i="1" a="1"/>
  <c r="F2683" i="1"/>
  <c r="F2684" i="1" a="1"/>
  <c r="F2684" i="1"/>
  <c r="F2685" i="1" a="1"/>
  <c r="F2685" i="1"/>
  <c r="F2686" i="1" a="1"/>
  <c r="F2686" i="1"/>
  <c r="F2687" i="1" a="1"/>
  <c r="F2687" i="1"/>
  <c r="F2688" i="1" a="1"/>
  <c r="F2688" i="1"/>
  <c r="F2689" i="1" a="1"/>
  <c r="F2689" i="1"/>
  <c r="F2690" i="1" a="1"/>
  <c r="F2690" i="1"/>
  <c r="F2691" i="1" a="1"/>
  <c r="F2691" i="1"/>
  <c r="F2692" i="1" a="1"/>
  <c r="F2692" i="1"/>
  <c r="F2693" i="1" a="1"/>
  <c r="F2693" i="1"/>
  <c r="F2694" i="1" a="1"/>
  <c r="F2694" i="1"/>
  <c r="F2695" i="1" a="1"/>
  <c r="F2695" i="1"/>
  <c r="F2696" i="1" a="1"/>
  <c r="F2696" i="1"/>
  <c r="F2697" i="1" a="1"/>
  <c r="F2697" i="1"/>
  <c r="F2698" i="1" a="1"/>
  <c r="F2698" i="1"/>
  <c r="F2699" i="1" a="1"/>
  <c r="F2699" i="1"/>
  <c r="F2700" i="1" a="1"/>
  <c r="F2700" i="1"/>
  <c r="F2701" i="1" a="1"/>
  <c r="F2701" i="1"/>
  <c r="F2702" i="1" a="1"/>
  <c r="F2702" i="1"/>
  <c r="F2703" i="1" a="1"/>
  <c r="F2703" i="1"/>
  <c r="F2704" i="1" a="1"/>
  <c r="F2704" i="1"/>
  <c r="F2705" i="1" a="1"/>
  <c r="F2705" i="1"/>
  <c r="F2706" i="1" a="1"/>
  <c r="F2706" i="1"/>
  <c r="F2707" i="1" a="1"/>
  <c r="F2707" i="1"/>
  <c r="F2708" i="1" a="1"/>
  <c r="F2708" i="1"/>
  <c r="F2709" i="1" a="1"/>
  <c r="F2709" i="1"/>
  <c r="F2710" i="1" a="1"/>
  <c r="F2710" i="1"/>
  <c r="F2711" i="1" a="1"/>
  <c r="F2711" i="1"/>
  <c r="F2712" i="1" a="1"/>
  <c r="F2712" i="1"/>
  <c r="F2713" i="1" a="1"/>
  <c r="F2713" i="1"/>
  <c r="F2714" i="1" a="1"/>
  <c r="F2714" i="1"/>
  <c r="F2715" i="1" a="1"/>
  <c r="F2715" i="1"/>
  <c r="F2716" i="1" a="1"/>
  <c r="F2716" i="1"/>
  <c r="F2717" i="1" a="1"/>
  <c r="F2717" i="1"/>
  <c r="F2718" i="1" a="1"/>
  <c r="F2718" i="1"/>
  <c r="F2719" i="1" a="1"/>
  <c r="F2719" i="1"/>
  <c r="F2720" i="1" a="1"/>
  <c r="F2720" i="1"/>
  <c r="F2721" i="1" a="1"/>
  <c r="F2721" i="1"/>
  <c r="F2722" i="1" a="1"/>
  <c r="F2722" i="1"/>
  <c r="F2723" i="1" a="1"/>
  <c r="F2723" i="1"/>
  <c r="F2724" i="1" a="1"/>
  <c r="F2724" i="1"/>
  <c r="F2725" i="1" a="1"/>
  <c r="F2725" i="1"/>
  <c r="F2726" i="1" a="1"/>
  <c r="F2726" i="1"/>
  <c r="F2727" i="1" a="1"/>
  <c r="F2727" i="1"/>
  <c r="F2728" i="1" a="1"/>
  <c r="F2728" i="1"/>
  <c r="F2729" i="1" a="1"/>
  <c r="F2729" i="1"/>
  <c r="F2730" i="1" a="1"/>
  <c r="F2730" i="1"/>
  <c r="F2731" i="1" a="1"/>
  <c r="F2731" i="1"/>
  <c r="F2732" i="1" a="1"/>
  <c r="F2732" i="1"/>
  <c r="F2733" i="1" a="1"/>
  <c r="F2733" i="1"/>
  <c r="F2734" i="1" a="1"/>
  <c r="F2734" i="1"/>
  <c r="F2735" i="1" a="1"/>
  <c r="F2735" i="1"/>
  <c r="F2736" i="1" a="1"/>
  <c r="F2736" i="1"/>
  <c r="F2737" i="1" a="1"/>
  <c r="F2737" i="1"/>
  <c r="F2738" i="1" a="1"/>
  <c r="F2738" i="1"/>
  <c r="F2739" i="1" a="1"/>
  <c r="F2739" i="1"/>
  <c r="F2740" i="1" a="1"/>
  <c r="F2740" i="1"/>
  <c r="F2741" i="1" a="1"/>
  <c r="F2741" i="1"/>
  <c r="F2742" i="1" a="1"/>
  <c r="F2742" i="1"/>
  <c r="F2743" i="1" a="1"/>
  <c r="F2743" i="1"/>
  <c r="F2744" i="1" a="1"/>
  <c r="F2744" i="1"/>
  <c r="F2745" i="1" a="1"/>
  <c r="F2745" i="1"/>
  <c r="F2746" i="1" a="1"/>
  <c r="F2746" i="1"/>
  <c r="F2747" i="1" a="1"/>
  <c r="F2747" i="1"/>
  <c r="F2748" i="1" a="1"/>
  <c r="F2748" i="1"/>
  <c r="F2749" i="1" a="1"/>
  <c r="F2749" i="1"/>
  <c r="F2750" i="1" a="1"/>
  <c r="F2750" i="1"/>
  <c r="F2751" i="1" a="1"/>
  <c r="F2751" i="1"/>
  <c r="F2752" i="1" a="1"/>
  <c r="F2752" i="1"/>
  <c r="F2753" i="1" a="1"/>
  <c r="F2753" i="1"/>
  <c r="F2754" i="1" a="1"/>
  <c r="F2754" i="1"/>
  <c r="F2755" i="1" a="1"/>
  <c r="F2755" i="1"/>
  <c r="F2756" i="1" a="1"/>
  <c r="F2756" i="1"/>
  <c r="F2757" i="1" a="1"/>
  <c r="F2757" i="1"/>
  <c r="F2758" i="1" a="1"/>
  <c r="F2758" i="1"/>
  <c r="F2759" i="1" a="1"/>
  <c r="F2759" i="1"/>
  <c r="F2760" i="1" a="1"/>
  <c r="F2760" i="1"/>
  <c r="F2761" i="1" a="1"/>
  <c r="F2761" i="1"/>
  <c r="F2762" i="1" a="1"/>
  <c r="F2762" i="1"/>
  <c r="F2763" i="1" a="1"/>
  <c r="F2763" i="1"/>
  <c r="F2764" i="1" a="1"/>
  <c r="F2764" i="1"/>
  <c r="F2765" i="1" a="1"/>
  <c r="F2765" i="1"/>
  <c r="F2766" i="1" a="1"/>
  <c r="F2766" i="1"/>
  <c r="F2767" i="1" a="1"/>
  <c r="F2767" i="1"/>
  <c r="F2768" i="1" a="1"/>
  <c r="F2768" i="1"/>
  <c r="F2769" i="1" a="1"/>
  <c r="F2769" i="1"/>
  <c r="F2770" i="1" a="1"/>
  <c r="F2770" i="1"/>
  <c r="F2771" i="1" a="1"/>
  <c r="F2771" i="1"/>
  <c r="F2772" i="1" a="1"/>
  <c r="F2772" i="1"/>
  <c r="F2773" i="1" a="1"/>
  <c r="F2773" i="1"/>
  <c r="F2774" i="1" a="1"/>
  <c r="F2774" i="1"/>
  <c r="F2775" i="1" a="1"/>
  <c r="F2775" i="1"/>
  <c r="F2776" i="1" a="1"/>
  <c r="F2776" i="1"/>
  <c r="F2777" i="1" a="1"/>
  <c r="F2777" i="1"/>
  <c r="F2778" i="1" a="1"/>
  <c r="F2778" i="1"/>
  <c r="F2779" i="1" a="1"/>
  <c r="F2779" i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 s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 s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/>
  <c r="F2838" i="1" a="1"/>
  <c r="F2838" i="1"/>
  <c r="F2839" i="1" a="1"/>
  <c r="F2839" i="1"/>
  <c r="F2840" i="1" a="1"/>
  <c r="F2840" i="1"/>
  <c r="F2841" i="1" a="1"/>
  <c r="F2841" i="1"/>
  <c r="F2842" i="1" a="1"/>
  <c r="F2842" i="1"/>
  <c r="F2843" i="1" a="1"/>
  <c r="F2843" i="1"/>
  <c r="F2844" i="1" a="1"/>
  <c r="F2844" i="1"/>
  <c r="F2845" i="1" a="1"/>
  <c r="F2845" i="1"/>
  <c r="F2846" i="1" a="1"/>
  <c r="F2846" i="1"/>
  <c r="F2847" i="1" a="1"/>
  <c r="F2847" i="1"/>
  <c r="F2848" i="1" a="1"/>
  <c r="F2848" i="1"/>
  <c r="F2849" i="1" a="1"/>
  <c r="F2849" i="1"/>
  <c r="F2850" i="1" a="1"/>
  <c r="F2850" i="1"/>
  <c r="F2851" i="1" a="1"/>
  <c r="F2851" i="1"/>
  <c r="F2852" i="1" a="1"/>
  <c r="F2852" i="1"/>
  <c r="F2853" i="1" a="1"/>
  <c r="F2853" i="1"/>
  <c r="F2854" i="1" a="1"/>
  <c r="F2854" i="1"/>
  <c r="F2855" i="1" a="1"/>
  <c r="F2855" i="1"/>
  <c r="F2856" i="1" a="1"/>
  <c r="F2856" i="1"/>
  <c r="F2857" i="1" a="1"/>
  <c r="F2857" i="1"/>
  <c r="F2858" i="1" a="1"/>
  <c r="F2858" i="1"/>
  <c r="F2859" i="1" a="1"/>
  <c r="F2859" i="1"/>
  <c r="F2860" i="1" a="1"/>
  <c r="F2860" i="1"/>
  <c r="F2861" i="1" a="1"/>
  <c r="F2861" i="1"/>
  <c r="F2862" i="1" a="1"/>
  <c r="F2862" i="1"/>
  <c r="F2863" i="1" a="1"/>
  <c r="F2863" i="1"/>
  <c r="F2864" i="1" a="1"/>
  <c r="F2864" i="1"/>
  <c r="F2865" i="1" a="1"/>
  <c r="F2865" i="1"/>
  <c r="F2866" i="1" a="1"/>
  <c r="F2866" i="1"/>
  <c r="F2867" i="1" a="1"/>
  <c r="F2867" i="1"/>
  <c r="F2868" i="1" a="1"/>
  <c r="F2868" i="1"/>
  <c r="F2869" i="1" a="1"/>
  <c r="F2869" i="1"/>
  <c r="F2870" i="1" a="1"/>
  <c r="F2870" i="1"/>
  <c r="F2871" i="1" a="1"/>
  <c r="F2871" i="1"/>
  <c r="F2872" i="1" a="1"/>
  <c r="F2872" i="1"/>
  <c r="F2873" i="1" a="1"/>
  <c r="F2873" i="1"/>
  <c r="F2874" i="1" a="1"/>
  <c r="F2874" i="1"/>
  <c r="F2875" i="1" a="1"/>
  <c r="F2875" i="1"/>
  <c r="F2876" i="1" a="1"/>
  <c r="F2876" i="1"/>
  <c r="F2877" i="1" a="1"/>
  <c r="F2877" i="1"/>
  <c r="F2878" i="1" a="1"/>
  <c r="F2878" i="1"/>
  <c r="F2879" i="1" a="1"/>
  <c r="F2879" i="1"/>
  <c r="F2880" i="1" a="1"/>
  <c r="F2880" i="1"/>
  <c r="F2881" i="1" a="1"/>
  <c r="F2881" i="1"/>
  <c r="F2882" i="1" a="1"/>
  <c r="F2882" i="1"/>
  <c r="F2883" i="1" a="1"/>
  <c r="F2883" i="1"/>
  <c r="F2884" i="1" a="1"/>
  <c r="F2884" i="1"/>
  <c r="F2885" i="1" a="1"/>
  <c r="F2885" i="1"/>
  <c r="F2886" i="1" a="1"/>
  <c r="F2886" i="1"/>
  <c r="F2887" i="1" a="1"/>
  <c r="F2887" i="1"/>
  <c r="F2888" i="1" a="1"/>
  <c r="F2888" i="1"/>
  <c r="F2889" i="1" a="1"/>
  <c r="F2889" i="1"/>
  <c r="F2890" i="1" a="1"/>
  <c r="F2890" i="1"/>
  <c r="F2891" i="1" a="1"/>
  <c r="F2891" i="1"/>
  <c r="F2892" i="1" a="1"/>
  <c r="F2892" i="1"/>
  <c r="F2893" i="1" a="1"/>
  <c r="F2893" i="1"/>
  <c r="F2894" i="1" a="1"/>
  <c r="F2894" i="1"/>
  <c r="F2895" i="1" a="1"/>
  <c r="F2895" i="1"/>
  <c r="F2896" i="1" a="1"/>
  <c r="F2896" i="1"/>
  <c r="F2897" i="1" a="1"/>
  <c r="F2897" i="1"/>
  <c r="F2898" i="1" a="1"/>
  <c r="F2898" i="1"/>
  <c r="F2899" i="1" a="1"/>
  <c r="F2899" i="1"/>
  <c r="F2900" i="1" a="1"/>
  <c r="F2900" i="1"/>
  <c r="F2901" i="1" a="1"/>
  <c r="F2901" i="1"/>
  <c r="F2902" i="1" a="1"/>
  <c r="F2902" i="1"/>
  <c r="F2903" i="1" a="1"/>
  <c r="F2903" i="1"/>
  <c r="F2904" i="1" a="1"/>
  <c r="F2904" i="1"/>
  <c r="F2905" i="1" a="1"/>
  <c r="F2905" i="1"/>
  <c r="F2906" i="1" a="1"/>
  <c r="F2906" i="1"/>
  <c r="F2907" i="1" a="1"/>
  <c r="F2907" i="1"/>
  <c r="F2908" i="1" a="1"/>
  <c r="F2908" i="1"/>
  <c r="F2909" i="1" a="1"/>
  <c r="F2909" i="1"/>
  <c r="F2910" i="1" a="1"/>
  <c r="F2910" i="1"/>
  <c r="F2911" i="1" a="1"/>
  <c r="F2911" i="1"/>
  <c r="F2912" i="1" a="1"/>
  <c r="F2912" i="1"/>
  <c r="F2913" i="1" a="1"/>
  <c r="F2913" i="1"/>
  <c r="F2914" i="1" a="1"/>
  <c r="F2914" i="1"/>
  <c r="F2915" i="1" a="1"/>
  <c r="F2915" i="1"/>
  <c r="F2916" i="1" a="1"/>
  <c r="F2916" i="1"/>
  <c r="F2917" i="1" a="1"/>
  <c r="F2917" i="1"/>
  <c r="F2918" i="1" a="1"/>
  <c r="F2918" i="1"/>
  <c r="F2919" i="1" a="1"/>
  <c r="F2919" i="1"/>
  <c r="F2920" i="1" a="1"/>
  <c r="F2920" i="1"/>
  <c r="F2921" i="1" a="1"/>
  <c r="F2921" i="1"/>
  <c r="F2922" i="1" a="1"/>
  <c r="F2922" i="1"/>
  <c r="F2923" i="1" a="1"/>
  <c r="F2923" i="1"/>
  <c r="F2924" i="1" a="1"/>
  <c r="F2924" i="1"/>
  <c r="F2925" i="1" a="1"/>
  <c r="F2925" i="1"/>
  <c r="F2926" i="1" a="1"/>
  <c r="F2926" i="1"/>
  <c r="F2927" i="1" a="1"/>
  <c r="F2927" i="1"/>
  <c r="F2928" i="1" a="1"/>
  <c r="F2928" i="1"/>
  <c r="F2929" i="1" a="1"/>
  <c r="F2929" i="1"/>
  <c r="F2930" i="1" a="1"/>
  <c r="F2930" i="1"/>
  <c r="F2931" i="1" a="1"/>
  <c r="F2931" i="1"/>
  <c r="F2932" i="1" a="1"/>
  <c r="F2932" i="1"/>
  <c r="F2933" i="1" a="1"/>
  <c r="F2933" i="1"/>
  <c r="F2934" i="1" a="1"/>
  <c r="F2934" i="1"/>
  <c r="F2935" i="1" a="1"/>
  <c r="F2935" i="1"/>
  <c r="F2936" i="1" a="1"/>
  <c r="F2936" i="1"/>
  <c r="F2937" i="1" a="1"/>
  <c r="F2937" i="1"/>
  <c r="F2938" i="1" a="1"/>
  <c r="F2938" i="1"/>
  <c r="F2939" i="1" a="1"/>
  <c r="F2939" i="1"/>
  <c r="F2940" i="1" a="1"/>
  <c r="F2940" i="1"/>
  <c r="F2941" i="1" a="1"/>
  <c r="F2941" i="1"/>
  <c r="F2942" i="1" a="1"/>
  <c r="F2942" i="1"/>
  <c r="F2943" i="1" a="1"/>
  <c r="F2943" i="1"/>
  <c r="F2944" i="1" a="1"/>
  <c r="F2944" i="1"/>
  <c r="F2945" i="1" a="1"/>
  <c r="F2945" i="1"/>
  <c r="F2946" i="1" a="1"/>
  <c r="F2946" i="1"/>
  <c r="F2947" i="1" a="1"/>
  <c r="F2947" i="1"/>
  <c r="F2948" i="1" a="1"/>
  <c r="F2948" i="1"/>
  <c r="F2949" i="1" a="1"/>
  <c r="F2949" i="1"/>
  <c r="F2950" i="1" a="1"/>
  <c r="F2950" i="1"/>
  <c r="F2951" i="1" a="1"/>
  <c r="F2951" i="1"/>
  <c r="F2952" i="1" a="1"/>
  <c r="F2952" i="1"/>
  <c r="F2953" i="1" a="1"/>
  <c r="F2953" i="1"/>
  <c r="F2954" i="1" a="1"/>
  <c r="F2954" i="1"/>
  <c r="F2955" i="1" a="1"/>
  <c r="F2955" i="1"/>
  <c r="F2956" i="1" a="1"/>
  <c r="F2956" i="1"/>
  <c r="F2957" i="1" a="1"/>
  <c r="F2957" i="1"/>
  <c r="F2958" i="1" a="1"/>
  <c r="F2958" i="1"/>
  <c r="F2959" i="1" a="1"/>
  <c r="F2959" i="1"/>
  <c r="F2960" i="1" a="1"/>
  <c r="F2960" i="1"/>
  <c r="F2961" i="1" a="1"/>
  <c r="F2961" i="1"/>
  <c r="F2962" i="1" a="1"/>
  <c r="F2962" i="1"/>
  <c r="F2963" i="1" a="1"/>
  <c r="F2963" i="1"/>
  <c r="F2964" i="1" a="1"/>
  <c r="F2964" i="1"/>
  <c r="F2965" i="1" a="1"/>
  <c r="F2965" i="1"/>
  <c r="F2966" i="1" a="1"/>
  <c r="F2966" i="1"/>
  <c r="F2967" i="1" a="1"/>
  <c r="F2967" i="1"/>
  <c r="F2968" i="1" a="1"/>
  <c r="F2968" i="1"/>
  <c r="F2969" i="1" a="1"/>
  <c r="F2969" i="1"/>
  <c r="F2970" i="1" a="1"/>
  <c r="F2970" i="1"/>
  <c r="F2971" i="1" a="1"/>
  <c r="F2971" i="1"/>
  <c r="F2972" i="1" a="1"/>
  <c r="F2972" i="1"/>
  <c r="F2973" i="1" a="1"/>
  <c r="F2973" i="1"/>
  <c r="F2974" i="1" a="1"/>
  <c r="F2974" i="1"/>
  <c r="F2975" i="1" a="1"/>
  <c r="F2975" i="1"/>
  <c r="F2976" i="1" a="1"/>
  <c r="F2976" i="1"/>
  <c r="F2977" i="1" a="1"/>
  <c r="F2977" i="1"/>
  <c r="F2978" i="1" a="1"/>
  <c r="F2978" i="1"/>
  <c r="F2979" i="1" a="1"/>
  <c r="F2979" i="1"/>
  <c r="F2980" i="1" a="1"/>
  <c r="F2980" i="1"/>
  <c r="F2981" i="1" a="1"/>
  <c r="F2981" i="1"/>
  <c r="F2982" i="1" a="1"/>
  <c r="F2982" i="1"/>
  <c r="F2983" i="1" a="1"/>
  <c r="F2983" i="1"/>
  <c r="F2984" i="1" a="1"/>
  <c r="F2984" i="1"/>
  <c r="F2985" i="1" a="1"/>
  <c r="F2985" i="1"/>
  <c r="F2986" i="1" a="1"/>
  <c r="F2986" i="1"/>
  <c r="F2987" i="1" a="1"/>
  <c r="F2987" i="1"/>
  <c r="F2988" i="1" a="1"/>
  <c r="F2988" i="1"/>
  <c r="F2989" i="1" a="1"/>
  <c r="F2989" i="1"/>
  <c r="F2990" i="1" a="1"/>
  <c r="F2990" i="1"/>
  <c r="F2991" i="1" a="1"/>
  <c r="F2991" i="1"/>
  <c r="F2992" i="1" a="1"/>
  <c r="F2992" i="1"/>
  <c r="F2993" i="1" a="1"/>
  <c r="F2993" i="1"/>
  <c r="F2994" i="1" a="1"/>
  <c r="F2994" i="1"/>
  <c r="F2995" i="1" a="1"/>
  <c r="F2995" i="1"/>
  <c r="F2996" i="1" a="1"/>
  <c r="F2996" i="1"/>
  <c r="F2997" i="1" a="1"/>
  <c r="F2997" i="1"/>
  <c r="F2998" i="1" a="1"/>
  <c r="F2998" i="1"/>
  <c r="F2999" i="1" a="1"/>
  <c r="F2999" i="1"/>
  <c r="F3000" i="1" a="1"/>
  <c r="F3000" i="1"/>
  <c r="F3001" i="1" a="1"/>
  <c r="F3001" i="1"/>
  <c r="F3002" i="1" a="1"/>
  <c r="F3002" i="1"/>
  <c r="F3003" i="1" a="1"/>
  <c r="F3003" i="1"/>
  <c r="F3004" i="1" a="1"/>
  <c r="F3004" i="1"/>
  <c r="F3005" i="1" a="1"/>
  <c r="F3005" i="1"/>
  <c r="F3006" i="1" a="1"/>
  <c r="F3006" i="1"/>
  <c r="F3007" i="1" a="1"/>
  <c r="F3007" i="1"/>
  <c r="F3008" i="1" a="1"/>
  <c r="F3008" i="1"/>
  <c r="F3009" i="1" a="1"/>
  <c r="F3009" i="1"/>
  <c r="F3010" i="1" a="1"/>
  <c r="F3010" i="1"/>
  <c r="F3011" i="1" a="1"/>
  <c r="F3011" i="1"/>
  <c r="F3012" i="1" a="1"/>
  <c r="F3012" i="1"/>
  <c r="F3013" i="1" a="1"/>
  <c r="F3013" i="1"/>
  <c r="F3014" i="1" a="1"/>
  <c r="F3014" i="1"/>
  <c r="F3015" i="1" a="1"/>
  <c r="F3015" i="1"/>
  <c r="F3016" i="1" a="1"/>
  <c r="F3016" i="1"/>
  <c r="F3017" i="1" a="1"/>
  <c r="F3017" i="1"/>
  <c r="F3018" i="1" a="1"/>
  <c r="F3018" i="1"/>
  <c r="F3019" i="1" a="1"/>
  <c r="F3019" i="1"/>
  <c r="F3020" i="1" a="1"/>
  <c r="F3020" i="1"/>
  <c r="F3021" i="1" a="1"/>
  <c r="F3021" i="1"/>
  <c r="F3022" i="1" a="1"/>
  <c r="F3022" i="1"/>
  <c r="F3023" i="1" a="1"/>
  <c r="F3023" i="1"/>
  <c r="F3024" i="1" a="1"/>
  <c r="F30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<sst xmlns="http://schemas.openxmlformats.org/spreadsheetml/2006/main" count="27316" uniqueCount="7421">
  <si>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</si>
  <si>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</si>
  <si>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</si>
  <si>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</si>
  <si>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</si>
  <si>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</si>
  <si>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</si>
  <si>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</si>
  <si>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</si>
  <si>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</si>
  <si>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</si>
  <si>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</si>
  <si>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</si>
  <si>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</si>
  <si>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</si>
  <si>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</si>
  <si>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</si>
  <si>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</si>
  <si>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</si>
  <si>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</si>
  <si>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</si>
  <si>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</si>
  <si>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</si>
  <si>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</si>
  <si>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</si>
  <si>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</si>
  <si>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</si>
  <si>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</si>
  <si>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</si>
  <si>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</si>
  <si>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</si>
  <si>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</si>
  <si>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</si>
  <si>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</si>
  <si>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</si>
  <si>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</si>
  <si>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</si>
  <si>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</si>
  <si>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</si>
  <si>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</si>
  <si>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</si>
  <si>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</si>
  <si>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</si>
  <si>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</si>
  <si>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</si>
  <si>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</si>
  <si>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</si>
  <si>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</si>
  <si>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</si>
  <si>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</si>
  <si>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</si>
  <si>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</si>
  <si>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</si>
  <si>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</si>
  <si>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</si>
  <si>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</si>
  <si>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</si>
  <si>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</si>
  <si>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</si>
  <si>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</si>
  <si>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</si>
  <si>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</si>
  <si>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</si>
  <si>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</si>
  <si>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</si>
  <si>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</si>
  <si>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</si>
  <si>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</si>
  <si>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</si>
  <si>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</si>
  <si>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</si>
  <si>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</si>
  <si>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</si>
  <si>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</si>
  <si>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</si>
  <si>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</si>
  <si>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</si>
  <si>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</si>
  <si>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</si>
  <si>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</si>
  <si>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</si>
  <si>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</si>
  <si>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</si>
  <si>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</si>
  <si>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</si>
  <si>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</si>
  <si>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</si>
  <si>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</si>
  <si>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</si>
  <si>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</si>
  <si>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</si>
  <si>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</si>
  <si>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</si>
  <si>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</si>
  <si>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</si>
  <si>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</si>
  <si>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</si>
  <si>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</si>
  <si>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</si>
  <si>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</si>
  <si>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</si>
  <si>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</si>
  <si>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</si>
  <si>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</si>
  <si>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</si>
  <si>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</si>
  <si>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</si>
  <si>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</si>
  <si>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</si>
  <si>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</si>
  <si>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</si>
  <si>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</si>
  <si>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</si>
  <si>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</si>
  <si>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</si>
  <si>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</si>
  <si>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</si>
  <si>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</si>
  <si>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</si>
  <si>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</si>
  <si>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</si>
  <si>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</si>
  <si>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</si>
  <si>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</si>
  <si>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</si>
  <si>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</si>
  <si>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</si>
  <si>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</si>
  <si>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</si>
  <si>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</si>
  <si>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</si>
  <si>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</si>
  <si>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</si>
  <si>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</si>
  <si>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</si>
  <si>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</si>
  <si>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</si>
  <si>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</si>
  <si>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</si>
  <si>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</si>
  <si>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</si>
  <si>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</si>
  <si>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</si>
  <si>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</si>
  <si>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</si>
  <si>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</si>
  <si>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</si>
  <si>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</si>
  <si>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</si>
  <si>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</si>
  <si>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</si>
  <si>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</si>
  <si>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</si>
  <si>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</si>
  <si>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</si>
  <si>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</si>
  <si>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</si>
  <si>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</si>
  <si>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</si>
  <si>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</si>
  <si>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</si>
  <si>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</si>
  <si>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</si>
  <si>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</si>
  <si>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</si>
  <si>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</si>
  <si>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</si>
  <si>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</si>
  <si>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</si>
  <si>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</si>
  <si>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</si>
  <si>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</si>
  <si>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</si>
  <si>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</si>
  <si>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</si>
  <si>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</si>
  <si>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</si>
  <si>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</si>
  <si>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</si>
  <si>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</si>
  <si>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</si>
  <si>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</si>
  <si>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</si>
  <si>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</si>
  <si>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</si>
  <si>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</si>
  <si>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</si>
  <si>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</si>
  <si>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</si>
  <si>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</si>
  <si>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</si>
  <si>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</si>
  <si>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</si>
  <si>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</si>
  <si>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</si>
  <si>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</si>
  <si>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</si>
  <si>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</si>
  <si>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</si>
  <si>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</si>
  <si>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</si>
  <si>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</si>
  <si>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</si>
  <si>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</si>
  <si>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</si>
  <si>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</si>
  <si>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</si>
  <si>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</si>
  <si>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</si>
  <si>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</si>
  <si>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</si>
  <si>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</si>
  <si>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</si>
  <si>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</si>
  <si>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</si>
  <si>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</si>
  <si>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</si>
  <si>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</si>
  <si>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</si>
  <si>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</si>
  <si>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</si>
  <si>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</si>
  <si>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</si>
  <si>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</si>
  <si>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</si>
  <si>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</si>
  <si>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</si>
  <si>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</si>
  <si>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</si>
  <si>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</si>
  <si>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</si>
  <si>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</si>
  <si>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</si>
  <si>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</si>
  <si>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</si>
  <si>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</si>
  <si>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</si>
  <si>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</si>
  <si>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</si>
  <si>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</si>
  <si>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</si>
  <si>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</si>
  <si>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</si>
  <si>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</si>
  <si>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</si>
  <si>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</si>
  <si>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</si>
  <si>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</si>
  <si>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</si>
  <si>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</si>
  <si>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</si>
  <si>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</si>
  <si>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</si>
  <si>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</si>
  <si>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</si>
  <si>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</si>
  <si>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</si>
  <si>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</si>
  <si>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</si>
  <si>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</si>
  <si>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</si>
  <si>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</si>
  <si>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</si>
  <si>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</si>
  <si>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</si>
  <si>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</si>
  <si>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</si>
  <si>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</si>
  <si>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</si>
  <si>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</si>
  <si>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</si>
  <si>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</si>
  <si>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</si>
  <si>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</si>
  <si>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</si>
  <si>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</si>
  <si>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</si>
  <si>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</si>
  <si>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</si>
  <si>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</si>
  <si>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</si>
  <si>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</si>
  <si>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</si>
  <si>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</si>
  <si>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</si>
  <si>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</si>
  <si>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</si>
  <si>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</si>
  <si>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</si>
  <si>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</si>
  <si>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</si>
  <si>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</si>
  <si>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</si>
  <si>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</si>
  <si>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</si>
  <si>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</si>
  <si>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</si>
  <si>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</si>
  <si>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</si>
  <si>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</si>
  <si>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</si>
  <si>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</si>
  <si>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</si>
  <si>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</si>
  <si>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</si>
  <si>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</si>
  <si>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</si>
  <si>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</si>
  <si>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</si>
  <si>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</si>
  <si>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</si>
  <si>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</si>
  <si>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</si>
  <si>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</si>
  <si>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</si>
  <si>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</si>
  <si>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</si>
  <si>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</si>
  <si>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</si>
  <si>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</si>
  <si>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</si>
  <si>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</si>
  <si>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</si>
  <si>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</si>
  <si>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</si>
  <si>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</si>
  <si>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</si>
  <si>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</si>
  <si>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</si>
  <si>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</si>
  <si>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</si>
  <si>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</si>
  <si>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</si>
  <si>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</si>
  <si>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</si>
  <si>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</si>
  <si>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</si>
  <si>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</si>
  <si>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</si>
  <si>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</si>
  <si>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</si>
  <si>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</si>
  <si>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</si>
  <si>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</si>
  <si>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</si>
  <si>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</si>
  <si>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</si>
  <si>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</si>
  <si>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</si>
  <si>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</si>
  <si>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</si>
  <si>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</si>
  <si>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</si>
  <si>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</si>
  <si>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</si>
  <si>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</si>
  <si>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</si>
  <si>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</si>
  <si>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</si>
  <si>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</si>
  <si>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</si>
  <si>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</si>
  <si>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</si>
  <si>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</si>
  <si>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</si>
  <si>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</si>
  <si>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</si>
  <si>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</si>
  <si>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</si>
  <si>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</si>
  <si>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</si>
  <si>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</si>
  <si>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</si>
  <si>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</si>
  <si>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</si>
  <si>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</si>
  <si>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</si>
  <si>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</si>
  <si>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</si>
  <si>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</si>
  <si>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</si>
  <si>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</si>
  <si>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</si>
  <si>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</si>
  <si>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</si>
  <si>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</si>
  <si>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</si>
  <si>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</si>
  <si>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</si>
  <si>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</si>
  <si>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</si>
  <si>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</si>
  <si>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</si>
  <si>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</si>
  <si>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</si>
  <si>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</si>
  <si>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</si>
  <si>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</si>
  <si>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</si>
  <si>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</si>
  <si>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</si>
  <si>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</si>
  <si>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</si>
  <si>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</si>
  <si>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</si>
  <si>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</si>
  <si>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</si>
  <si>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</si>
  <si>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</si>
  <si>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</si>
  <si>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</si>
  <si>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</si>
  <si>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</si>
  <si>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</si>
  <si>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</si>
  <si>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</si>
  <si>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</si>
  <si>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</si>
  <si>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</si>
  <si>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</si>
  <si>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</si>
  <si>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</si>
  <si>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</si>
  <si>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</si>
  <si>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</si>
  <si>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</si>
  <si>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</si>
  <si>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</si>
  <si>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</si>
  <si>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</si>
  <si>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</si>
  <si>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</si>
  <si>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</si>
  <si>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</si>
  <si>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</si>
  <si>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</si>
  <si>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</si>
  <si>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</si>
  <si>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</si>
  <si>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</si>
  <si>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</si>
  <si>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</si>
  <si>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</si>
  <si>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</si>
  <si>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</si>
  <si>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</si>
  <si>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</si>
  <si>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</si>
  <si>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</si>
  <si>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</si>
  <si>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</si>
  <si>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</si>
  <si>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</si>
  <si>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</si>
  <si>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</si>
  <si>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</si>
  <si>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</si>
  <si>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</si>
  <si>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</si>
  <si>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</si>
  <si>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</si>
  <si>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</si>
  <si>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</si>
  <si>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</si>
  <si>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</si>
  <si>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</si>
  <si>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</si>
  <si>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</si>
  <si>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</si>
  <si>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</si>
  <si>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</si>
  <si>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</si>
  <si>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</si>
  <si>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</si>
  <si>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</si>
  <si>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</si>
  <si>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</si>
  <si>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</si>
  <si>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</si>
  <si>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</si>
  <si>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</si>
  <si>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</si>
  <si>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</si>
  <si>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</si>
  <si>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</si>
  <si>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</si>
  <si>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</si>
  <si>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</si>
  <si>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</si>
  <si>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</si>
  <si>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</si>
  <si>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</si>
  <si>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</si>
  <si>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</si>
  <si>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</si>
  <si>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</si>
  <si>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</si>
  <si>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</si>
  <si>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</si>
  <si>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</si>
  <si>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</si>
  <si>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</si>
  <si>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</si>
  <si>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</si>
  <si>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</si>
  <si>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</si>
  <si>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</si>
  <si>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</si>
  <si>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</si>
  <si>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</si>
  <si>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</si>
  <si>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</si>
  <si>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</si>
  <si>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</si>
  <si>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</si>
  <si>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</si>
  <si>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</si>
  <si>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</si>
  <si>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</si>
  <si>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</si>
  <si>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</si>
  <si>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</si>
  <si>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</si>
  <si>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</si>
  <si>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</si>
  <si>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</si>
  <si>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</si>
  <si>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</si>
  <si>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</si>
  <si>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</si>
  <si>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</si>
  <si>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</si>
  <si>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</si>
  <si>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</si>
  <si>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</si>
  <si>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</si>
  <si>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</si>
  <si>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</si>
  <si>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</si>
  <si>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</si>
  <si>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</si>
  <si>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</si>
  <si>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</si>
  <si>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</si>
  <si>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</si>
  <si>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</si>
  <si>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</si>
  <si>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</si>
  <si>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</si>
  <si>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</si>
  <si>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</si>
  <si>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</si>
  <si>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</si>
  <si>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</si>
  <si>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</si>
  <si>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</si>
  <si>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</si>
  <si>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</si>
  <si>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</si>
  <si>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</si>
  <si>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</si>
  <si>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</si>
  <si>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</si>
  <si>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</si>
  <si>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</si>
  <si>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</si>
  <si>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</si>
  <si>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</si>
  <si>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</si>
  <si>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</si>
  <si>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</si>
  <si>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</si>
  <si>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</si>
  <si>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</si>
  <si>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</si>
  <si>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</si>
  <si>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</si>
  <si>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</si>
  <si>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</si>
  <si>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</si>
  <si>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</si>
  <si>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</si>
  <si>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</si>
  <si>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</si>
  <si>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</si>
  <si>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</si>
  <si>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</si>
  <si>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</si>
  <si>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</si>
  <si>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</si>
  <si>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</si>
  <si>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</si>
  <si>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</si>
  <si>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</si>
  <si>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</si>
  <si>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</si>
  <si>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</si>
  <si>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</si>
  <si>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</si>
  <si>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</si>
  <si>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</si>
  <si>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</si>
  <si>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</si>
  <si>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</si>
  <si>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</si>
  <si>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</si>
  <si>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</si>
  <si>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</si>
  <si>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</si>
  <si>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</si>
  <si>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</si>
  <si>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</si>
  <si>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</si>
  <si>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</si>
  <si>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</si>
  <si>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</si>
  <si>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</si>
  <si>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</si>
  <si>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</si>
  <si>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</si>
  <si>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</si>
  <si>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</si>
  <si>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</si>
  <si>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</si>
  <si>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</si>
  <si>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</si>
  <si>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</si>
  <si>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</si>
  <si>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</si>
  <si>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</si>
  <si>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</si>
  <si>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</si>
  <si>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</si>
  <si>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</si>
  <si>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</si>
  <si>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</si>
  <si>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</si>
  <si>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</si>
  <si>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</si>
  <si>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</si>
  <si>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</si>
  <si>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</si>
  <si>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</si>
  <si>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</si>
  <si>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</si>
  <si>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</si>
  <si>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</si>
  <si>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</si>
  <si>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</si>
  <si>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</si>
  <si>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</si>
  <si>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</si>
  <si>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</si>
  <si>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</si>
  <si>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</si>
  <si>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</si>
  <si>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</si>
  <si>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</si>
  <si>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</si>
  <si>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</si>
  <si>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</si>
  <si>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</si>
  <si>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</si>
  <si>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</si>
  <si>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</si>
  <si>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</si>
  <si>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</si>
  <si>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</si>
  <si>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</si>
  <si>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</si>
  <si>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</si>
  <si>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</si>
  <si>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</si>
  <si>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</si>
  <si>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</si>
  <si>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</si>
  <si>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</si>
  <si>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</si>
  <si>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</si>
  <si>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</si>
  <si>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</si>
  <si>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</si>
  <si>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</si>
  <si>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</si>
  <si>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</si>
  <si>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</si>
  <si>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</si>
  <si>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</si>
  <si>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</si>
  <si>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</si>
  <si>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</si>
  <si>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</si>
  <si>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</si>
  <si>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</si>
  <si>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</si>
  <si>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</si>
  <si>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</si>
  <si>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</si>
  <si>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</si>
  <si>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</si>
  <si>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</si>
  <si>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</si>
  <si>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</si>
  <si>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</si>
  <si>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</si>
  <si>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</si>
  <si>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</si>
  <si>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</si>
  <si>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</si>
  <si>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</si>
  <si>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</si>
  <si>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</si>
  <si>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</si>
  <si>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</si>
  <si>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</si>
  <si>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</si>
  <si>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</si>
  <si>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</si>
  <si>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</si>
  <si>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</si>
  <si>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</si>
  <si>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</si>
  <si>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</si>
  <si>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</si>
  <si>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</si>
  <si>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</si>
  <si>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</si>
  <si>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</si>
  <si>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</si>
  <si>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</si>
  <si>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</si>
  <si>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</si>
  <si>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</si>
  <si>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</si>
  <si>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</si>
  <si>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</si>
  <si>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</si>
  <si>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</si>
  <si>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</si>
  <si>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</si>
  <si>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</si>
  <si>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</si>
  <si>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</si>
  <si>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</si>
  <si>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</si>
  <si>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</si>
  <si>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</si>
  <si>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</si>
  <si>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</si>
  <si>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</si>
  <si>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</si>
  <si>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</si>
  <si>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</si>
  <si>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</si>
  <si>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</si>
  <si>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</si>
  <si>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</si>
  <si>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</si>
  <si>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</si>
  <si>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</si>
  <si>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</si>
  <si>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</si>
  <si>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</si>
  <si>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</si>
  <si>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</si>
  <si>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</si>
  <si>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</si>
  <si>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</si>
  <si>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</si>
  <si>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</si>
  <si>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</si>
  <si>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</si>
  <si>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</si>
  <si>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</si>
  <si>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</si>
  <si>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</si>
  <si>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</si>
  <si>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</si>
  <si>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</si>
  <si>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</si>
  <si>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</si>
  <si>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</si>
  <si>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</si>
  <si>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</si>
  <si>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</si>
  <si>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</si>
  <si>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</si>
  <si>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</si>
  <si>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</si>
  <si>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</si>
  <si>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</si>
  <si>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</si>
  <si>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</si>
  <si>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</si>
  <si>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</si>
  <si>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</si>
  <si>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</si>
  <si>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</si>
  <si>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</si>
  <si>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</si>
  <si>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</si>
  <si>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</si>
  <si>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</si>
  <si>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</si>
  <si>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</si>
  <si>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</si>
  <si>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</si>
  <si>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</si>
  <si>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</si>
  <si>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</si>
  <si>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</si>
  <si>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</si>
  <si>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</si>
  <si>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</si>
  <si>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</si>
  <si>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</si>
  <si>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</si>
  <si>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</si>
  <si>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</si>
  <si>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</si>
  <si>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</si>
  <si>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</si>
  <si>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</si>
  <si>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</si>
  <si>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</si>
  <si>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</si>
  <si>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</si>
  <si>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</si>
  <si>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</si>
  <si>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</si>
  <si>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</si>
  <si>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</si>
  <si>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</si>
  <si>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</si>
  <si>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</si>
  <si>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</si>
  <si>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</si>
  <si>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</si>
  <si>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</si>
  <si>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</si>
  <si>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</si>
  <si>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</si>
  <si>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</si>
  <si>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</si>
  <si>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</si>
  <si>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</si>
  <si>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</si>
  <si>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</si>
  <si>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</si>
  <si>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</si>
  <si>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</si>
  <si>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</si>
  <si>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</si>
  <si>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</si>
  <si>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</si>
  <si>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</si>
  <si>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</si>
  <si>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</si>
  <si>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</si>
  <si>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</si>
  <si>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</si>
  <si>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</si>
  <si>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</si>
  <si>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</si>
  <si>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</si>
  <si>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</si>
  <si>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</si>
  <si>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</si>
  <si>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</si>
  <si>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</si>
  <si>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</si>
  <si>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</si>
  <si>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</si>
  <si>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</si>
  <si>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</si>
  <si>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</si>
  <si>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</si>
  <si>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</si>
  <si>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</si>
  <si>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</si>
  <si>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</si>
  <si>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</si>
  <si>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</si>
  <si>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</si>
  <si>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</si>
  <si>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</si>
  <si>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</si>
  <si>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</si>
  <si>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</si>
  <si>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</si>
  <si>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</si>
  <si>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</si>
  <si>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</si>
  <si>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</si>
  <si>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</si>
  <si>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</si>
  <si>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</si>
  <si>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</si>
  <si>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</si>
  <si>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</si>
  <si>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</si>
  <si>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</si>
  <si>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</si>
  <si>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</si>
  <si>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</si>
  <si>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</si>
  <si>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</si>
  <si>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</si>
  <si>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</si>
  <si>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</si>
  <si>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</si>
  <si>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</si>
  <si>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</si>
  <si>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</si>
  <si>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</si>
  <si>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</si>
  <si>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</si>
  <si>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</si>
  <si>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</si>
  <si>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</si>
  <si>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</si>
  <si>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</si>
  <si>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</si>
  <si>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</si>
  <si>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</si>
  <si>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</si>
  <si>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</si>
  <si>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</si>
  <si>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</si>
  <si>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</si>
  <si>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</si>
  <si>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</si>
  <si>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</si>
  <si>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</si>
  <si>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</si>
  <si>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</si>
  <si>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</si>
  <si>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</si>
  <si>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</si>
  <si>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</si>
  <si>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</si>
  <si>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</si>
  <si>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</si>
  <si>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</si>
  <si>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</si>
  <si>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</si>
  <si>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</si>
  <si>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</si>
  <si>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</si>
  <si>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</si>
  <si>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</si>
  <si>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</si>
  <si>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</si>
  <si>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</si>
  <si>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</si>
  <si>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</si>
  <si>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</si>
  <si>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</si>
  <si>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</si>
  <si>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</si>
  <si>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</si>
  <si>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</si>
  <si>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</si>
  <si>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</si>
  <si>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</si>
  <si>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</si>
  <si>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</si>
  <si>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</si>
  <si>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</si>
  <si>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</si>
  <si>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</si>
  <si>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</si>
  <si>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</si>
  <si>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</si>
  <si>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</si>
  <si>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</si>
  <si>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</si>
  <si>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</si>
  <si>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</si>
  <si>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</si>
  <si>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</si>
  <si>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</si>
  <si>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</si>
  <si>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</si>
  <si>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</si>
  <si>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</si>
  <si>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</si>
  <si>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</si>
  <si>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</si>
  <si>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</si>
  <si>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</si>
  <si>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</si>
  <si>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</si>
  <si>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</si>
  <si>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</si>
  <si>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</si>
  <si>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</si>
  <si>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</si>
  <si>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</si>
  <si>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</si>
  <si>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</si>
  <si>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</si>
  <si>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</si>
  <si>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</si>
  <si>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</si>
  <si>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</si>
  <si>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</si>
  <si>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</si>
  <si>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</si>
  <si>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</si>
  <si>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</si>
  <si>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</si>
  <si>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</si>
  <si>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</si>
  <si>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</si>
  <si>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</si>
  <si>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</si>
  <si>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</si>
  <si>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</si>
  <si>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</si>
  <si>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</si>
  <si>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</si>
  <si>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</si>
  <si>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</si>
  <si>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</si>
  <si>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</si>
  <si>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</si>
  <si>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</si>
  <si>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</si>
  <si>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</si>
  <si>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</si>
  <si>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</si>
  <si>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</si>
  <si>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</si>
  <si>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</si>
  <si>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</si>
  <si>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</si>
  <si>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</si>
  <si>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</si>
  <si>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</si>
  <si>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</si>
  <si>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</si>
  <si>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</si>
  <si>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</si>
  <si>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</si>
  <si>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</si>
  <si>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</si>
  <si>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</si>
  <si>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</si>
  <si>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</si>
  <si>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</si>
  <si>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</si>
  <si>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</si>
  <si>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</si>
  <si>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</si>
  <si>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</si>
  <si>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</si>
  <si>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</si>
  <si>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</si>
  <si>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</si>
  <si>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</si>
  <si>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</si>
  <si>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</si>
  <si>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</si>
  <si>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</si>
  <si>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</si>
  <si>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</si>
  <si>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</si>
  <si>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</si>
  <si>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</si>
  <si>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</si>
  <si>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</si>
  <si>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</si>
  <si>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</si>
  <si>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</si>
  <si>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</si>
  <si>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</si>
  <si>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</si>
  <si>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</si>
  <si>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</si>
  <si>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</si>
  <si>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</si>
  <si>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</si>
  <si>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</si>
  <si>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</si>
  <si>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</si>
  <si>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</si>
  <si>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</si>
  <si>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</si>
  <si>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</si>
  <si>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</si>
  <si>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</si>
  <si>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</si>
  <si>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</si>
  <si>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</si>
  <si>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</si>
  <si>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</si>
  <si>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</si>
  <si>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</si>
  <si>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</si>
  <si>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</si>
  <si>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</si>
  <si>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</si>
  <si>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</si>
  <si>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</si>
  <si>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</si>
  <si>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</si>
  <si>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</si>
  <si>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</si>
  <si>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</si>
  <si>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</si>
  <si>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</si>
  <si>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</si>
  <si>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</si>
  <si>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</si>
  <si>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</si>
  <si>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</si>
  <si>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</si>
  <si>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</si>
  <si>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</si>
  <si>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</si>
  <si>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</si>
  <si>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</si>
  <si>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</si>
  <si>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</si>
  <si>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</si>
  <si>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</si>
  <si>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</si>
  <si>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</si>
  <si>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</si>
  <si>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</si>
  <si>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</si>
  <si>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</si>
  <si>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</si>
  <si>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</si>
  <si>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</si>
  <si>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</si>
  <si>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</si>
  <si>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</si>
  <si>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</si>
  <si>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</si>
  <si>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</si>
  <si>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</si>
  <si>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</si>
  <si>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</si>
  <si>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</si>
  <si>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</si>
  <si>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</si>
  <si>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</si>
  <si>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</si>
  <si>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</si>
  <si>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</si>
  <si>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</si>
  <si>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</si>
  <si>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</si>
  <si>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</si>
  <si>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</si>
  <si>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</si>
  <si>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</si>
  <si>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</si>
  <si>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</si>
  <si>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</si>
  <si>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</si>
  <si>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</si>
  <si>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</si>
  <si>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</si>
  <si>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</si>
  <si>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</si>
  <si>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</si>
  <si>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</si>
  <si>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</si>
  <si>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</si>
  <si>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</si>
  <si>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</si>
  <si>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</si>
  <si>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</si>
  <si>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</si>
  <si>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</si>
  <si>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</si>
  <si>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</si>
  <si>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</si>
  <si>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</si>
  <si>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</si>
  <si>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</si>
  <si>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</si>
  <si>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</si>
  <si>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</si>
  <si>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</si>
  <si>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</si>
  <si>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</si>
  <si>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</si>
  <si>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</si>
  <si>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</si>
  <si>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</si>
  <si>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</si>
  <si>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</si>
  <si>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</si>
  <si>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</si>
  <si>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</si>
  <si>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</si>
  <si>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</si>
  <si>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</si>
  <si>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</si>
  <si>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</si>
  <si>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</si>
  <si>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</si>
  <si>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</si>
  <si>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</si>
  <si>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</si>
  <si>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</si>
  <si>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</si>
  <si>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</si>
  <si>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</si>
  <si>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</si>
  <si>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</si>
  <si>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</si>
  <si>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</si>
  <si>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</si>
  <si>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</si>
  <si>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</si>
  <si>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</si>
  <si>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</si>
  <si>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</si>
  <si>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</si>
  <si>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</si>
  <si>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</si>
  <si>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</si>
  <si>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</si>
  <si>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</si>
  <si>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</si>
  <si>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</si>
  <si>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</si>
  <si>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</si>
  <si>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</si>
  <si>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</si>
  <si>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</si>
  <si>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</si>
  <si>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</si>
  <si>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</si>
  <si>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</si>
  <si>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</si>
  <si>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</si>
  <si>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</si>
  <si>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</si>
  <si>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</si>
  <si>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</si>
  <si>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</si>
  <si>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</si>
  <si>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</si>
  <si>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</si>
  <si>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</si>
  <si>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</si>
  <si>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</si>
  <si>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</si>
  <si>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</si>
  <si>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</si>
  <si>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</si>
  <si>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</si>
  <si>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</si>
  <si>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</si>
  <si>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</si>
  <si>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</si>
  <si>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</si>
  <si>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</si>
  <si>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</si>
  <si>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</si>
  <si>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</si>
  <si>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</si>
  <si>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</si>
  <si>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</si>
  <si>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</si>
  <si>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</si>
  <si>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</si>
  <si>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</si>
  <si>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</si>
  <si>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</si>
  <si>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</si>
  <si>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</si>
  <si>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</si>
  <si>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</si>
  <si>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</si>
  <si>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</si>
  <si>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</si>
  <si>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</si>
  <si>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</si>
  <si>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</si>
  <si>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</si>
  <si>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</si>
  <si>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</si>
  <si>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</si>
  <si>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</si>
  <si>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</si>
  <si>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</si>
  <si>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</si>
  <si>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</si>
  <si>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</si>
  <si>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</si>
  <si>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</si>
  <si>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</si>
  <si>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</si>
  <si>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</si>
  <si>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</si>
  <si>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</si>
  <si>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</si>
  <si>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</si>
  <si>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</si>
  <si>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</si>
  <si>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</si>
  <si>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</si>
  <si>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</si>
  <si>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</si>
  <si>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</si>
  <si>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</si>
  <si>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</si>
  <si>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</si>
  <si>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</si>
  <si>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</si>
  <si>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</si>
  <si>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</si>
  <si>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</si>
  <si>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</si>
  <si>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</si>
  <si>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</si>
  <si>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</si>
  <si>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</si>
  <si>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</si>
  <si>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</si>
  <si>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</si>
  <si>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</si>
  <si>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</si>
  <si>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</si>
  <si>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</si>
  <si>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</si>
  <si>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</si>
  <si>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</si>
  <si>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</si>
  <si>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</si>
  <si>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</si>
  <si>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</si>
  <si>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</si>
  <si>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</si>
  <si>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</si>
  <si>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</si>
  <si>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</si>
  <si>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</si>
  <si>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</si>
  <si>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</si>
  <si>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</si>
  <si>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</si>
  <si>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</si>
  <si>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</si>
  <si>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</si>
  <si>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</si>
  <si>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</si>
  <si>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</si>
  <si>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</si>
  <si>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</si>
  <si>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</si>
  <si>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</si>
  <si>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</si>
  <si>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</si>
  <si>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</si>
  <si>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</si>
  <si>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</si>
  <si>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</si>
  <si>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</si>
  <si>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</si>
  <si>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</si>
  <si>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</si>
  <si>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</si>
  <si>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</si>
  <si>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</si>
  <si>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</si>
  <si>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</si>
  <si>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</si>
  <si>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</si>
  <si>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</si>
  <si>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</si>
  <si>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</si>
  <si>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</si>
  <si>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</si>
  <si>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</si>
  <si>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</si>
  <si>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</si>
  <si>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</si>
  <si>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</si>
  <si>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</si>
  <si>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</si>
  <si>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</si>
  <si>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</si>
  <si>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</si>
  <si>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</si>
  <si>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</si>
  <si>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</si>
  <si>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</si>
  <si>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</si>
  <si>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</si>
  <si>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</si>
  <si>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</si>
  <si>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</si>
  <si>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</si>
  <si>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</si>
  <si>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</si>
  <si>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</si>
  <si>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</si>
  <si>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</si>
  <si>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</si>
  <si>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</si>
  <si>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</si>
  <si>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</si>
  <si>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</si>
  <si>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</si>
  <si>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</si>
  <si>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</si>
  <si>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</si>
  <si>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</si>
  <si>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</si>
  <si>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</si>
  <si>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</si>
  <si>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</si>
  <si>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</si>
  <si>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</si>
  <si>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</si>
  <si>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</si>
  <si>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</si>
  <si>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</si>
  <si>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</si>
  <si>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</si>
  <si>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</si>
  <si>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</si>
  <si>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</si>
  <si>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</si>
  <si>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</si>
  <si>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</si>
  <si>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</si>
  <si>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</si>
  <si>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</si>
  <si>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</si>
  <si>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</si>
  <si>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</si>
  <si>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</si>
  <si>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</si>
  <si>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</si>
  <si>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</si>
  <si>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</si>
  <si>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</si>
  <si>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</si>
  <si>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</si>
  <si>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</si>
  <si>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</si>
  <si>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</si>
  <si>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</si>
  <si>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</si>
  <si>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</si>
  <si>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</si>
  <si>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</si>
  <si>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</si>
  <si>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</si>
  <si>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</si>
  <si>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</si>
  <si>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</si>
  <si>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</si>
  <si>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</si>
  <si>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</si>
  <si>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</si>
  <si>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</si>
  <si>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</si>
  <si>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</si>
  <si>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</si>
  <si>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</si>
  <si>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</si>
  <si>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</si>
  <si>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</si>
  <si>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</si>
  <si>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</si>
  <si>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</si>
  <si>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</si>
  <si>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</si>
  <si>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</si>
  <si>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</si>
  <si>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</si>
  <si>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</si>
  <si>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</si>
  <si>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</si>
  <si>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</si>
  <si>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</si>
  <si>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</si>
  <si>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</si>
  <si>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</si>
  <si>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</si>
  <si>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</si>
  <si>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</si>
  <si>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</si>
  <si>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</si>
  <si>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</si>
  <si>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</si>
  <si>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</si>
  <si>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</si>
  <si>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</si>
  <si>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</si>
  <si>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</si>
  <si>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</si>
  <si>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</si>
  <si>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</si>
  <si>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</si>
  <si>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</si>
  <si>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</si>
  <si>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</si>
  <si>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</si>
  <si>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</si>
  <si>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</si>
  <si>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</si>
  <si>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</si>
  <si>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</si>
  <si>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</si>
  <si>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</si>
  <si>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</si>
  <si>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</si>
  <si>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</si>
  <si>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</si>
  <si>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</si>
  <si>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</si>
  <si>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</si>
  <si>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</si>
  <si>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</si>
  <si>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</si>
  <si>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</si>
  <si>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</si>
  <si>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</si>
  <si>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</si>
  <si>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</si>
  <si>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</si>
  <si>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</si>
  <si>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</si>
  <si>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</si>
  <si>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</si>
  <si>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</si>
  <si>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</si>
  <si>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</si>
  <si>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</si>
  <si>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</si>
  <si>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</si>
  <si>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</si>
  <si>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</si>
  <si>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</si>
  <si>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</si>
  <si>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</si>
  <si>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</si>
  <si>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</si>
  <si>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</si>
  <si>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</si>
  <si>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</si>
  <si>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</si>
  <si>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</si>
  <si>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</si>
  <si>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</si>
  <si>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</si>
  <si>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</si>
  <si>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</si>
  <si>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</si>
  <si>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</si>
  <si>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</si>
  <si>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</si>
  <si>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</si>
  <si>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</si>
  <si>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</si>
  <si>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</si>
  <si>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</si>
  <si>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</si>
  <si>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</si>
  <si>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</si>
  <si>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</si>
  <si>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</si>
  <si>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</si>
  <si>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</si>
  <si>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</si>
  <si>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</si>
  <si>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</si>
  <si>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</si>
  <si>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</si>
  <si>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</si>
  <si>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</si>
  <si>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</si>
  <si>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</si>
  <si>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</si>
  <si>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</si>
  <si>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</si>
  <si>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</si>
  <si>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</si>
  <si>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</si>
  <si>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</si>
  <si>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</si>
  <si>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</si>
  <si>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</si>
  <si>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</si>
  <si>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</si>
  <si>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</si>
  <si>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</si>
  <si>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</si>
  <si>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</si>
  <si>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</si>
  <si>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</si>
  <si>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</si>
  <si>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</si>
  <si>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</si>
  <si>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</si>
  <si>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</si>
  <si>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</si>
  <si>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</si>
  <si>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</si>
  <si>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</si>
  <si>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</si>
  <si>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</si>
  <si>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</si>
  <si>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</si>
  <si>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</si>
  <si>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</si>
  <si>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</si>
  <si>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</si>
  <si>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</si>
  <si>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</si>
  <si>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</si>
  <si>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</si>
  <si>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</si>
  <si>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</si>
  <si>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</si>
  <si>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</si>
  <si>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</si>
  <si>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</si>
  <si>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</si>
  <si>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</si>
  <si>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</si>
  <si>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</si>
  <si>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</si>
  <si>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</si>
  <si>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</si>
  <si>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</si>
  <si>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</si>
  <si>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</si>
  <si>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</si>
  <si>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</si>
  <si>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</si>
  <si>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</si>
  <si>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</si>
  <si>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</si>
  <si>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</si>
  <si>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</si>
  <si>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</si>
  <si>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</si>
  <si>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</si>
  <si>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</si>
  <si>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</si>
  <si>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</si>
  <si>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</si>
  <si>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</si>
  <si>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</si>
  <si>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</si>
  <si>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</si>
  <si>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</si>
  <si>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</si>
  <si>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</si>
  <si>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</si>
  <si>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</si>
  <si>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</si>
  <si>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</si>
  <si>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</si>
  <si>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</si>
  <si>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</si>
  <si>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</si>
  <si>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</si>
  <si>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</si>
  <si>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</si>
  <si>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</si>
  <si>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</si>
  <si>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</si>
  <si>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</si>
  <si>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</si>
  <si>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</si>
  <si>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</si>
  <si>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</si>
  <si>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</si>
  <si>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</si>
  <si>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</si>
  <si>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</si>
  <si>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</si>
  <si>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</si>
  <si>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</si>
  <si>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</si>
  <si>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</si>
  <si>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</si>
  <si>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</si>
  <si>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</si>
  <si>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</si>
  <si>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</si>
  <si>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</si>
  <si>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</si>
  <si>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</si>
  <si>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</si>
  <si>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</si>
  <si>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</si>
  <si>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</si>
  <si>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</si>
  <si>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</si>
  <si>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</si>
  <si>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</si>
  <si>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</si>
  <si>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</si>
  <si>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</si>
  <si>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</si>
  <si>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</si>
  <si>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</si>
  <si>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</si>
  <si>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</si>
  <si>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</si>
  <si>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</si>
  <si>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</si>
  <si>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</si>
  <si>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</si>
  <si>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</si>
  <si>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</si>
  <si>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</si>
  <si>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</si>
  <si>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</si>
  <si>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</si>
  <si>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</si>
  <si>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</si>
  <si>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</si>
  <si>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</si>
  <si>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</si>
  <si>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</si>
  <si>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</si>
  <si>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</si>
  <si>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</si>
  <si>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</si>
  <si>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</si>
  <si>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</si>
  <si>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</si>
  <si>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</si>
  <si>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</si>
  <si>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</si>
  <si>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</si>
  <si>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</si>
  <si>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</si>
  <si>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</si>
  <si>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</si>
  <si>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</si>
  <si>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</si>
  <si>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</si>
  <si>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</si>
  <si>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</si>
  <si>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</si>
  <si>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</si>
  <si>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</si>
  <si>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</si>
  <si>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</si>
  <si>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</si>
  <si>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</si>
  <si>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</si>
  <si>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</si>
  <si>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</si>
  <si>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</si>
  <si>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</si>
  <si>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</si>
  <si>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</si>
  <si>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</si>
  <si>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</si>
  <si>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</si>
  <si>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</si>
  <si>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</si>
  <si>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</si>
  <si>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</si>
  <si>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</si>
  <si>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</si>
  <si>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</si>
  <si>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</si>
  <si>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</si>
  <si>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</si>
  <si>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</si>
  <si>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</si>
  <si>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</si>
  <si>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</si>
  <si>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</si>
  <si>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</si>
  <si>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</si>
  <si>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</si>
  <si>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</si>
  <si>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</si>
  <si>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</si>
  <si>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</si>
  <si>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</si>
  <si>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</si>
  <si>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</si>
  <si>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</si>
  <si>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</si>
  <si>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</si>
  <si>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</si>
  <si>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</si>
  <si>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</si>
  <si>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</si>
  <si>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</si>
  <si>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</si>
  <si>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</si>
  <si>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</si>
  <si>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</si>
  <si>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</si>
  <si>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</si>
  <si>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</si>
  <si>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</si>
  <si>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</si>
  <si>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</si>
  <si>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</si>
  <si>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</si>
  <si>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</si>
  <si>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</si>
  <si>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</si>
  <si>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</si>
  <si>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</si>
  <si>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</si>
  <si>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</si>
  <si>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</si>
  <si>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</si>
  <si>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</si>
  <si>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</si>
  <si>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</si>
  <si>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</si>
  <si>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</si>
  <si>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</si>
  <si>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</si>
  <si>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</si>
  <si>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</si>
  <si>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</si>
  <si>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</si>
  <si>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</si>
  <si>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</si>
  <si>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</si>
  <si>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</si>
  <si>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</si>
  <si>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</si>
  <si>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</si>
  <si>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</si>
  <si>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</si>
  <si>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</si>
  <si>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</si>
  <si>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</si>
  <si>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</si>
  <si>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</si>
  <si>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</si>
  <si>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</si>
  <si>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</si>
  <si>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</si>
  <si>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</si>
  <si>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</si>
  <si>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</si>
  <si>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</si>
  <si>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</si>
  <si>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</si>
  <si>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</si>
  <si>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</si>
  <si>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</si>
  <si>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</si>
  <si>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</si>
  <si>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</si>
  <si>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</si>
  <si>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</si>
  <si>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</si>
  <si>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</si>
  <si>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</si>
  <si>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</si>
  <si>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</si>
  <si>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</si>
  <si>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</si>
  <si>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</si>
  <si>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</si>
  <si>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</si>
  <si>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</si>
  <si>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</si>
  <si>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</si>
  <si>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</si>
  <si>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</si>
  <si>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</si>
  <si>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</si>
  <si>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</si>
  <si>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</si>
  <si>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</si>
  <si>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</si>
  <si>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</si>
  <si>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</si>
  <si>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</si>
  <si>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</si>
  <si>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</si>
  <si>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</si>
  <si>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</si>
  <si>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</si>
  <si>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</si>
  <si>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</si>
  <si>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</si>
  <si>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</si>
  <si>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</si>
  <si>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</si>
  <si>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</si>
  <si>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</si>
  <si>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</si>
  <si>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</si>
  <si>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</si>
  <si>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</si>
  <si>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</si>
  <si>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</si>
  <si>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</si>
  <si>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</si>
  <si>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</si>
  <si>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</si>
  <si>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</si>
  <si>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</si>
  <si>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</si>
  <si>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</si>
  <si>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</si>
  <si>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</si>
  <si>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</si>
  <si>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</si>
  <si>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</si>
  <si>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</si>
  <si>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</si>
  <si>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</si>
  <si>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</si>
  <si>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</si>
  <si>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</si>
  <si>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</si>
  <si>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</si>
  <si>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</si>
  <si>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</si>
  <si>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</si>
  <si>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</si>
  <si>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</si>
  <si>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</si>
  <si>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</si>
  <si>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</si>
  <si>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</si>
  <si>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</si>
  <si>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</si>
  <si>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</si>
  <si>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</si>
  <si>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</si>
  <si>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</si>
  <si>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</si>
  <si>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</si>
  <si>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</si>
  <si>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</si>
  <si>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</si>
  <si>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</si>
  <si>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</si>
  <si>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</si>
  <si>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</si>
  <si>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</si>
  <si>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</si>
  <si>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</si>
  <si>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</si>
  <si>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</si>
  <si>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</si>
  <si>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</si>
  <si>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</si>
  <si>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</si>
  <si>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</si>
  <si>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</si>
  <si>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</si>
  <si>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</si>
  <si>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</si>
  <si>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</si>
  <si>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</si>
  <si>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</si>
  <si>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</si>
  <si>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</si>
  <si>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</si>
  <si>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</si>
  <si>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</si>
  <si>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</si>
  <si>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</si>
  <si>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</si>
  <si>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</si>
  <si>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</si>
  <si>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</si>
  <si>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</si>
  <si>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</si>
  <si>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</si>
  <si>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</si>
  <si>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</si>
  <si>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</si>
  <si>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</si>
  <si>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</si>
  <si>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</si>
  <si>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</si>
  <si>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</si>
  <si>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</si>
  <si>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</si>
  <si>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</si>
  <si>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</si>
  <si>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</si>
  <si>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</si>
  <si>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</si>
  <si>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</si>
  <si>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</si>
  <si>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</si>
  <si>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</si>
  <si>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</si>
  <si>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</si>
  <si>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</si>
  <si>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</si>
  <si>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</si>
  <si>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</si>
  <si>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</si>
  <si>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</si>
  <si>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</si>
  <si>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</si>
  <si>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</si>
  <si>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</si>
  <si>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</si>
  <si>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</si>
  <si>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</si>
  <si>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</si>
  <si>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</si>
  <si>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</si>
  <si>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</si>
  <si>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</si>
  <si>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</si>
  <si>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</si>
  <si>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</si>
  <si>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</si>
  <si>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</si>
  <si>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</si>
  <si>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</si>
  <si>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</si>
  <si>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</si>
  <si>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</si>
  <si>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</si>
  <si>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</si>
  <si>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</si>
  <si>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</si>
  <si>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</si>
  <si>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</si>
  <si>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</si>
  <si>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</si>
  <si>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</si>
  <si>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</si>
  <si>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</si>
  <si>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</si>
  <si>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</si>
  <si>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</si>
  <si>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</si>
  <si>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</si>
  <si>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</si>
  <si>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</si>
  <si>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</si>
  <si>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</si>
  <si>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</si>
  <si>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</si>
  <si>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</si>
  <si>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</si>
  <si>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</si>
  <si>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</si>
  <si>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</si>
  <si>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</si>
  <si>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</si>
  <si>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</si>
  <si>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</si>
  <si>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</si>
  <si>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</si>
  <si>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</si>
  <si>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</si>
  <si>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</si>
  <si>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</si>
  <si>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</si>
  <si>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</si>
  <si>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</si>
  <si>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</si>
  <si>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</si>
  <si>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</si>
  <si>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</si>
  <si>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</si>
  <si>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</si>
  <si>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</si>
  <si>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</si>
  <si>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</si>
  <si>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</si>
  <si>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</si>
  <si>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</si>
  <si>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</si>
  <si>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</si>
  <si>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</si>
  <si>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</si>
  <si>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</si>
  <si>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</si>
  <si>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</si>
  <si>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</si>
  <si>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</si>
  <si>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</si>
  <si>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</si>
  <si>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</si>
  <si>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</si>
  <si>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</si>
  <si>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</si>
  <si>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</si>
  <si>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</si>
  <si>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</si>
  <si>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</si>
  <si>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</si>
  <si>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</si>
  <si>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</si>
  <si>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</si>
  <si>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</si>
  <si>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</si>
  <si>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</si>
  <si>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</si>
  <si>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</si>
  <si>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</si>
  <si>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</si>
  <si>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</si>
  <si>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</si>
  <si>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</si>
  <si>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</si>
  <si>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</si>
  <si>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</si>
  <si>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</si>
  <si>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</si>
  <si>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</si>
  <si>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</si>
  <si>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</si>
  <si>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</si>
  <si>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</si>
  <si>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</si>
  <si>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</si>
  <si>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</si>
  <si>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</si>
  <si>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</si>
  <si>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</si>
  <si>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</si>
  <si>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</si>
  <si>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</si>
  <si>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</si>
  <si>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</si>
  <si>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</si>
  <si>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</si>
  <si>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</si>
  <si>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</si>
  <si>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</si>
  <si>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</si>
  <si>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</si>
  <si>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</si>
  <si>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</si>
  <si>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</si>
  <si>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</si>
  <si>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</si>
  <si>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</si>
  <si>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</si>
  <si>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</si>
  <si>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</si>
  <si>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</si>
  <si>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</si>
  <si>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</si>
  <si>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</si>
  <si>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</si>
  <si>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</si>
  <si>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</si>
  <si>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</si>
  <si>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</si>
  <si>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</si>
  <si>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</si>
  <si>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</si>
  <si>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</si>
  <si>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</si>
  <si>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</si>
  <si>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</si>
  <si>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</si>
  <si>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</si>
  <si>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</si>
  <si>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</si>
  <si>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</si>
  <si>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</si>
  <si>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</si>
  <si>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</si>
  <si>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</si>
  <si>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</si>
  <si>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</si>
  <si>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</si>
  <si>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</si>
  <si>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</si>
  <si>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</si>
  <si>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</si>
  <si>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</si>
  <si>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</si>
  <si>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</si>
  <si>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</si>
  <si>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</si>
  <si>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</si>
  <si>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</si>
  <si>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</si>
  <si>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</si>
  <si>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</si>
  <si>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</si>
  <si>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</si>
  <si>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</si>
  <si>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</si>
  <si>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</si>
  <si>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</si>
  <si>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</si>
  <si>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</si>
  <si>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</si>
  <si>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</si>
  <si>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</si>
  <si>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</si>
  <si>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</si>
  <si>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</si>
  <si>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</si>
  <si>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</si>
  <si>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</si>
  <si>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</si>
  <si>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</si>
  <si>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</si>
  <si>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</si>
  <si>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</si>
  <si>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</si>
  <si>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</si>
  <si>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</si>
  <si>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</si>
  <si>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</si>
  <si>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</si>
  <si>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</si>
  <si>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</si>
  <si>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</si>
  <si>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</si>
  <si>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</si>
  <si>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</si>
  <si>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</si>
  <si>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</si>
  <si>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</si>
  <si>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</si>
  <si>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</si>
  <si>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</si>
  <si>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</si>
  <si>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</si>
  <si>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</si>
  <si>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</si>
  <si>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</si>
  <si>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</si>
  <si>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</si>
  <si>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</si>
  <si>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</si>
  <si>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</si>
  <si>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</si>
  <si>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</si>
  <si>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</si>
  <si>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</si>
  <si>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</si>
  <si>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</si>
  <si>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</si>
  <si>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</si>
  <si>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</si>
  <si>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</si>
  <si>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</si>
  <si>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</si>
  <si>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</si>
  <si>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</si>
  <si>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</si>
  <si>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</si>
  <si>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</si>
  <si>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</si>
  <si>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</si>
  <si>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</si>
  <si>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</si>
  <si>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</si>
  <si>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</si>
  <si>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</si>
  <si>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</si>
  <si>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</si>
  <si>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</si>
  <si>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</si>
  <si>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</si>
  <si>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</si>
  <si>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</si>
  <si>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</si>
  <si>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</si>
  <si>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</si>
  <si>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</si>
  <si>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</si>
  <si>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</si>
  <si>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</si>
  <si>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</si>
  <si>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</si>
  <si>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</si>
  <si>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</si>
  <si>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</si>
  <si>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</si>
  <si>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</si>
  <si>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</si>
  <si>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</si>
  <si>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</si>
  <si>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</si>
  <si>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</si>
  <si>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</si>
  <si>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</si>
  <si>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</si>
  <si>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</si>
  <si>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</si>
  <si>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</si>
  <si>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</si>
  <si>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</si>
  <si>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</si>
  <si>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</si>
  <si>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</si>
  <si>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</si>
  <si>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</si>
  <si>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</si>
  <si>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</si>
  <si>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</si>
  <si>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</si>
  <si>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</si>
  <si>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</si>
  <si>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</si>
  <si>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</si>
  <si>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</si>
  <si>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</si>
  <si>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</si>
  <si>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</si>
  <si>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</si>
  <si>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</si>
  <si>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</si>
  <si>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</si>
  <si>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</si>
  <si>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</si>
  <si>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</si>
  <si>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</si>
  <si>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</si>
  <si>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</si>
  <si>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</si>
  <si>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</si>
  <si>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</si>
  <si>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</si>
  <si>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</si>
  <si>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</si>
  <si>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</si>
  <si>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</si>
  <si>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</si>
  <si>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</si>
  <si>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</si>
  <si>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</si>
  <si>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</si>
  <si>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</si>
  <si>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</si>
  <si>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</si>
  <si>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</si>
  <si>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</si>
  <si>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</si>
  <si>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</si>
  <si>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</si>
  <si>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</si>
  <si>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</si>
  <si>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</si>
  <si>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</si>
  <si>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</si>
  <si>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</si>
  <si>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</si>
  <si>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</si>
  <si>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</si>
  <si>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</si>
  <si>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</si>
  <si>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</si>
  <si>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</si>
  <si>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</si>
  <si>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</si>
  <si>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</si>
  <si>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</si>
  <si>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</si>
  <si>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</si>
  <si>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</si>
  <si>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</si>
  <si>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</si>
  <si>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</si>
  <si>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</si>
  <si>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</si>
  <si>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</si>
  <si>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</si>
  <si>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</si>
  <si>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</si>
  <si>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</si>
  <si>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</si>
  <si>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</si>
  <si>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</si>
  <si>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</si>
  <si>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</si>
  <si>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</si>
  <si>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</si>
  <si>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</si>
  <si>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</si>
  <si>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</si>
  <si>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</si>
  <si>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</si>
  <si>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</si>
  <si>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</si>
  <si>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</si>
  <si>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</si>
  <si>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</si>
  <si>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</si>
  <si>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</si>
  <si>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</si>
  <si>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</si>
  <si>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</si>
  <si>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</si>
  <si>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</si>
  <si>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</si>
  <si>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</si>
  <si>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</si>
  <si>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</si>
  <si>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</si>
  <si>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</si>
  <si>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</si>
  <si>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</si>
  <si>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</si>
  <si>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</si>
  <si>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</si>
  <si>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</si>
  <si>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</si>
  <si>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</si>
  <si>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</si>
  <si>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</si>
  <si>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</si>
  <si>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</si>
  <si>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</si>
  <si>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</si>
  <si>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</si>
  <si>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</si>
  <si>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</si>
  <si>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</si>
  <si>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</si>
  <si>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</si>
  <si>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</si>
  <si>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</si>
  <si>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</si>
  <si>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</si>
  <si>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</si>
  <si>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</si>
  <si>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</si>
  <si>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</si>
  <si>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</si>
  <si>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</si>
  <si>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</si>
  <si>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</si>
  <si>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</si>
  <si>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</si>
  <si>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</si>
  <si>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</si>
  <si>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</si>
  <si>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</si>
  <si>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</si>
  <si>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</si>
  <si>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</si>
  <si>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</si>
  <si>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</si>
  <si>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</si>
  <si>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</si>
  <si>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</si>
  <si>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</si>
  <si>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</si>
  <si>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</si>
  <si>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</si>
  <si>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</si>
  <si>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</si>
  <si>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</si>
  <si>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</si>
  <si>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</si>
  <si>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</si>
  <si>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</si>
  <si>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</si>
  <si>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</si>
  <si>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</si>
  <si>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</si>
  <si>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</si>
  <si>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</si>
  <si>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</si>
  <si>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</si>
  <si>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</si>
  <si>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</si>
  <si>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</si>
  <si>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</si>
  <si>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</si>
  <si>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</si>
  <si>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</si>
  <si>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</si>
  <si>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</si>
  <si>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</si>
  <si>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</si>
  <si>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</si>
  <si>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</si>
  <si>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</si>
  <si>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</si>
  <si>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</si>
  <si>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</si>
  <si>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</si>
  <si>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</si>
  <si>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</si>
  <si>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</si>
  <si>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</si>
  <si>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</si>
  <si>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</si>
  <si>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</si>
  <si>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</si>
  <si>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</si>
  <si>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</si>
  <si>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</si>
  <si>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</si>
  <si>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</si>
  <si>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</si>
  <si>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</si>
  <si>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</si>
  <si>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</si>
  <si>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</si>
  <si>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</si>
  <si>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</si>
  <si>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</si>
  <si>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</si>
  <si>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</si>
  <si>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</si>
  <si>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</si>
  <si>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</si>
  <si>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</si>
  <si>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</si>
  <si>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</si>
  <si>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</si>
  <si>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</si>
  <si>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</si>
  <si>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</si>
  <si>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</si>
  <si>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</si>
  <si>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</si>
  <si>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</si>
  <si>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</si>
  <si>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</si>
  <si>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</si>
  <si>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</si>
  <si>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</si>
  <si>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</si>
  <si>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</si>
  <si>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</si>
  <si>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</si>
  <si>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</si>
  <si>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</si>
  <si>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</si>
  <si>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</si>
  <si>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</si>
  <si>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</si>
  <si>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</si>
  <si>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</si>
  <si>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</si>
  <si>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</si>
  <si>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</si>
  <si>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</si>
  <si>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</si>
  <si>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</si>
  <si>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</si>
  <si>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</si>
  <si>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</si>
  <si>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</si>
  <si>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</si>
  <si>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</si>
  <si>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</si>
  <si>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</si>
  <si>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</si>
  <si>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</si>
  <si>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</si>
  <si>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</si>
  <si>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</si>
  <si>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</si>
  <si>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</si>
  <si>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</si>
  <si>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</si>
  <si>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</si>
  <si>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</si>
  <si>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</si>
  <si>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</si>
  <si>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</si>
  <si>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</si>
  <si>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</si>
  <si>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</si>
  <si>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</si>
  <si>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</si>
  <si>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</si>
  <si>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</si>
  <si>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</si>
  <si>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</si>
  <si>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</si>
  <si>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</si>
  <si>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</si>
  <si>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</si>
  <si>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</si>
  <si>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</si>
  <si>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</si>
  <si>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</si>
  <si>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</si>
  <si>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</si>
  <si>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</si>
  <si>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</si>
  <si>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</si>
  <si>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</si>
  <si>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</si>
  <si>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</si>
  <si>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</si>
  <si>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</si>
  <si>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</si>
  <si>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</si>
  <si>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</si>
  <si>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</si>
  <si>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</si>
  <si>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</si>
  <si>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</si>
  <si>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</si>
  <si>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</si>
  <si>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</si>
  <si>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</si>
  <si>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</si>
  <si>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</si>
  <si>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</si>
  <si>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</si>
  <si>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</si>
  <si>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</si>
  <si>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</si>
  <si>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</si>
  <si>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</si>
  <si>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</si>
  <si>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</si>
  <si>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</si>
  <si>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</si>
  <si>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</si>
  <si>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</si>
  <si>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</si>
  <si>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</si>
  <si>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</si>
  <si>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</si>
  <si>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</si>
  <si>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</si>
  <si>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</si>
  <si>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</si>
  <si>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</si>
  <si>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</si>
  <si>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</si>
  <si>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</si>
  <si>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</si>
  <si>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</si>
  <si>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</si>
  <si>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</si>
  <si>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</si>
  <si>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</si>
  <si>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</si>
  <si>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</si>
  <si>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</si>
  <si>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</si>
  <si>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</si>
  <si>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</si>
  <si>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</si>
  <si>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</si>
  <si>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</si>
  <si>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</si>
  <si>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</si>
  <si>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</si>
  <si>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</si>
  <si>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</si>
  <si>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</si>
  <si>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</si>
  <si>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</si>
  <si>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</si>
  <si>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</si>
  <si>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</si>
  <si>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</si>
  <si>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</si>
  <si>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</si>
  <si>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</si>
  <si>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</si>
  <si>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</si>
  <si>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</si>
  <si>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</si>
  <si>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</si>
  <si>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</si>
  <si>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</si>
  <si>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</si>
  <si>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</si>
  <si>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</si>
  <si>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</si>
  <si>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</si>
  <si>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</si>
  <si>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</si>
  <si>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</si>
  <si>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</si>
  <si>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</si>
  <si>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</si>
  <si>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</si>
  <si>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</si>
  <si>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</si>
  <si>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</si>
  <si>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</si>
  <si>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</si>
  <si>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</si>
  <si>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</si>
  <si>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</si>
  <si>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</si>
  <si>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</si>
  <si>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</si>
  <si>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</si>
  <si>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</si>
  <si>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</si>
  <si>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</si>
  <si>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</si>
  <si>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</si>
  <si>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</si>
  <si>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</si>
  <si>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</si>
  <si>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</si>
  <si>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</si>
  <si>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</si>
  <si>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</si>
  <si>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</si>
  <si>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</si>
  <si>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</si>
  <si>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</si>
  <si>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</si>
  <si>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</si>
  <si>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</si>
  <si>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</si>
  <si>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</si>
  <si>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</si>
  <si>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</si>
  <si>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</si>
  <si>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</si>
  <si>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</si>
  <si>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</si>
  <si>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</si>
  <si>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</si>
  <si>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</si>
  <si>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</si>
  <si>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</si>
  <si>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</si>
  <si>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</si>
  <si>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</si>
  <si>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</si>
  <si>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</si>
  <si>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</si>
  <si>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</si>
  <si>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</si>
  <si>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</si>
  <si>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</si>
  <si>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</si>
  <si>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</si>
  <si>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</si>
  <si>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</si>
  <si>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</si>
  <si>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</si>
  <si>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</si>
  <si>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</si>
  <si>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</si>
  <si>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</si>
  <si>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</si>
  <si>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</si>
  <si>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</si>
  <si>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</si>
  <si>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</si>
  <si>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</si>
  <si>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</si>
  <si>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</si>
  <si>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</si>
  <si>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</si>
  <si>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</si>
  <si>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</si>
  <si>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</si>
  <si>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</si>
  <si>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</si>
  <si>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</si>
  <si>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</si>
  <si>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</si>
  <si>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</si>
  <si>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</si>
  <si>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</si>
  <si>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</si>
  <si>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</si>
  <si>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</si>
  <si>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</si>
  <si>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</si>
  <si>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</si>
  <si>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</si>
  <si>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</si>
  <si>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</si>
  <si>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</si>
  <si>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</si>
  <si>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</si>
  <si>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</si>
  <si>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</si>
  <si>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</si>
  <si>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</si>
  <si>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</si>
  <si>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</si>
  <si>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</si>
  <si>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</si>
  <si>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</si>
  <si>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</si>
  <si>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</si>
  <si>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</si>
  <si>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</si>
  <si>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</si>
  <si>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</si>
  <si>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</si>
  <si>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</si>
  <si>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</si>
  <si>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</si>
  <si>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</si>
  <si>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</si>
  <si>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</si>
  <si>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</si>
  <si>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</si>
  <si>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</si>
  <si>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</si>
  <si>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</si>
  <si>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</si>
  <si>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</si>
  <si>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</si>
  <si>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</si>
  <si>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</si>
  <si>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</si>
  <si>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</si>
  <si>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</si>
  <si>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</si>
  <si>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</si>
  <si>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</si>
  <si>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</si>
  <si>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</si>
  <si>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</si>
  <si>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</si>
  <si>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</si>
  <si>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</si>
  <si>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</si>
  <si>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</si>
  <si>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</si>
  <si>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</si>
  <si>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</si>
  <si>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</si>
  <si>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</si>
  <si>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</si>
  <si>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</si>
  <si>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</si>
  <si>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</si>
  <si>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</si>
  <si>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</si>
  <si>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</si>
  <si>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</si>
  <si>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</si>
  <si>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</si>
  <si>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</si>
  <si>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</si>
  <si>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</si>
  <si>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</si>
  <si>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</si>
  <si>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</si>
  <si>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</si>
  <si>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</si>
  <si>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</si>
  <si>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</si>
  <si>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</si>
  <si>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</si>
  <si>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</si>
  <si>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</si>
  <si>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</si>
  <si>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</si>
  <si>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</si>
  <si>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</si>
  <si>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</si>
  <si>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</si>
  <si>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</si>
  <si>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</si>
  <si>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</si>
  <si>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</si>
  <si>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</si>
  <si>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</si>
  <si>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</si>
  <si>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</si>
  <si>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</si>
  <si>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</si>
  <si>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</si>
  <si>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</si>
  <si>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</si>
  <si>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</si>
  <si>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</si>
  <si>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</si>
  <si>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</si>
  <si>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</si>
  <si>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</si>
  <si>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</si>
  <si>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</si>
  <si>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</si>
  <si>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</si>
  <si>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</si>
  <si>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</si>
  <si>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</si>
  <si>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</si>
  <si>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</si>
  <si>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</si>
  <si>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</si>
  <si>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</si>
  <si>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</si>
  <si>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</si>
  <si>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</si>
  <si>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</si>
  <si>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</si>
  <si>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</si>
  <si>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</si>
  <si>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</si>
  <si>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</si>
  <si>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</si>
  <si>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</si>
  <si>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</si>
  <si>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</si>
  <si>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</si>
  <si>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</si>
  <si>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</si>
  <si>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</si>
  <si>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</si>
  <si>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</si>
  <si>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</si>
  <si>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</si>
  <si>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</si>
  <si>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</si>
  <si>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</si>
  <si>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</si>
  <si>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</si>
  <si>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</si>
  <si>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</si>
  <si>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</si>
  <si>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</si>
  <si>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</si>
  <si>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</si>
  <si>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</si>
  <si>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</si>
  <si>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</si>
  <si>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</si>
  <si>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</si>
  <si>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</si>
  <si>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</si>
  <si>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</si>
  <si>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</si>
  <si>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</si>
  <si>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</si>
  <si>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</si>
  <si>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</si>
  <si>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</si>
  <si>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</si>
  <si>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</si>
  <si>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</si>
  <si>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</si>
  <si>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</si>
  <si>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</si>
  <si>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</si>
  <si>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</si>
  <si>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</si>
  <si>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</si>
  <si>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</si>
  <si>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</si>
  <si>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</si>
  <si>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</si>
  <si>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</si>
  <si>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</si>
  <si>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</si>
  <si>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</si>
  <si>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</si>
  <si>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</si>
  <si>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</si>
  <si>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</si>
  <si>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</si>
  <si>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</si>
  <si>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</si>
  <si>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</si>
  <si>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</si>
  <si>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</si>
  <si>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</si>
  <si>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</si>
  <si>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</si>
  <si>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</si>
  <si>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</si>
  <si>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</si>
  <si>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</si>
  <si>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</si>
  <si>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</si>
  <si>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</si>
  <si>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</si>
  <si>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</si>
  <si>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</si>
  <si>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</si>
  <si>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</si>
  <si>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</si>
  <si>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</si>
  <si>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</si>
  <si>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</si>
  <si>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</si>
  <si>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</si>
  <si>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</si>
  <si>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</si>
  <si>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</si>
  <si>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</si>
  <si>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</si>
  <si>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</si>
  <si>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</si>
  <si>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</si>
  <si>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</si>
  <si>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</si>
  <si>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</si>
  <si>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</si>
  <si>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</si>
  <si>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</si>
  <si>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</si>
  <si>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</si>
  <si>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</si>
  <si>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</si>
  <si>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</si>
  <si>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</si>
  <si>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</si>
  <si>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</si>
  <si>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</si>
  <si>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</si>
  <si>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</si>
  <si>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</si>
  <si>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</si>
  <si>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</si>
  <si>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</si>
  <si>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</si>
  <si>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</si>
  <si>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</si>
  <si>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</si>
  <si>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</si>
  <si>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</si>
  <si>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</si>
  <si>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</si>
  <si>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</si>
  <si>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</si>
  <si>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</si>
  <si>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</si>
  <si>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</si>
  <si>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</si>
  <si>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</si>
  <si>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</si>
  <si>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</si>
  <si>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</si>
  <si>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</si>
  <si>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</si>
  <si>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</si>
  <si>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</si>
  <si>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</si>
  <si>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</si>
  <si>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</si>
  <si>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</si>
  <si>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</si>
  <si>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</si>
  <si>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</si>
  <si>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</si>
  <si>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</si>
  <si>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</si>
  <si>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</si>
  <si>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</si>
  <si>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</si>
  <si>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</si>
  <si>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</si>
  <si>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</si>
  <si>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</si>
  <si>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</si>
  <si>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</si>
  <si>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</si>
  <si>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</si>
  <si>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</si>
  <si>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</si>
  <si>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</si>
  <si>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</si>
  <si>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</si>
  <si>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</si>
  <si>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</si>
  <si>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</si>
  <si>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</si>
  <si>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</si>
  <si>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</si>
  <si>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</si>
  <si>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</si>
  <si>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</si>
  <si>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</si>
  <si>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</si>
  <si>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</si>
  <si>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</si>
  <si>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</si>
  <si>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</si>
  <si>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</si>
  <si>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</si>
  <si>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</si>
  <si>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</si>
  <si>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</si>
  <si>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</si>
  <si>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</si>
  <si>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</si>
  <si>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</si>
  <si>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</si>
  <si>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</si>
  <si>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</si>
  <si>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</si>
  <si>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</si>
  <si>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</si>
  <si>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</si>
  <si>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</si>
  <si>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</si>
  <si>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</si>
  <si>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</si>
  <si>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</si>
  <si>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</si>
  <si>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</si>
  <si>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</si>
  <si>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</si>
  <si>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</si>
  <si>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</si>
  <si>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</si>
  <si>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</si>
  <si>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</si>
  <si>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</si>
  <si>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</si>
  <si>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</si>
  <si>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</si>
  <si>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</si>
  <si>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</si>
  <si>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</si>
  <si>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</si>
  <si>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</si>
  <si>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</si>
  <si>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</si>
  <si>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</si>
  <si>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</si>
  <si>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</si>
  <si>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</si>
  <si>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</si>
  <si>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</si>
  <si>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</si>
  <si>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</si>
  <si>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</si>
  <si>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</si>
  <si>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</si>
  <si>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</si>
  <si>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</si>
  <si>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</si>
  <si>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</si>
  <si>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</si>
  <si>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</si>
  <si>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</si>
  <si>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</si>
  <si>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</si>
  <si>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</si>
  <si>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</si>
  <si>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</si>
  <si>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</si>
  <si>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</si>
  <si>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</si>
  <si>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</si>
  <si>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</si>
  <si>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</si>
  <si>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</si>
  <si>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</si>
  <si>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</si>
  <si>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</si>
  <si>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</si>
  <si>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</si>
  <si>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</si>
  <si>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</si>
  <si>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</si>
  <si>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</si>
  <si>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</si>
  <si>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</si>
  <si>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</si>
  <si>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</si>
  <si>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</si>
  <si>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</si>
  <si>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</si>
  <si>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</si>
  <si>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</si>
  <si>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</si>
  <si>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</si>
  <si>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</si>
  <si>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</si>
  <si>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</si>
  <si>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</si>
  <si>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</si>
  <si>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</si>
  <si>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</si>
  <si>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</si>
  <si>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</si>
  <si>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</si>
  <si>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</si>
  <si>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</si>
  <si>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</si>
  <si>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</si>
  <si>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</si>
  <si>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</si>
  <si>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</si>
  <si>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</si>
  <si>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</si>
  <si>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</si>
  <si>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</si>
  <si>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</si>
  <si>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</si>
  <si>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</si>
  <si>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</si>
  <si>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</si>
  <si>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</si>
  <si>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</si>
  <si>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</si>
  <si>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</si>
  <si>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</si>
  <si>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</si>
  <si>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</si>
  <si>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</si>
  <si>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</si>
  <si>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</si>
  <si>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</si>
  <si>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</si>
  <si>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</si>
  <si>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</si>
  <si>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</si>
  <si>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</si>
  <si>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</si>
  <si>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</si>
  <si>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</si>
  <si>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</si>
  <si>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</si>
  <si>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</si>
  <si>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</si>
  <si>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</si>
  <si>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</si>
  <si>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</si>
  <si>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</si>
  <si>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</si>
  <si>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</si>
  <si>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</si>
  <si>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</si>
  <si>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</si>
  <si>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</si>
  <si>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</si>
  <si>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</si>
  <si>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</si>
  <si>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</si>
  <si>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</si>
  <si>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</si>
  <si>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</si>
  <si>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</si>
  <si>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</si>
  <si>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</si>
  <si>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</si>
  <si>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</si>
  <si>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</si>
  <si>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</si>
  <si>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</si>
  <si>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</si>
  <si>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</si>
  <si>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</si>
  <si>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</si>
  <si>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</si>
  <si>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</si>
  <si>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</si>
  <si>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</si>
  <si>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</si>
  <si>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</si>
  <si>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</si>
  <si>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</si>
  <si>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</si>
  <si>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</si>
  <si>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</si>
  <si>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</si>
  <si>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</si>
  <si>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</si>
  <si>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</si>
  <si>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</si>
  <si>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</si>
  <si>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</si>
  <si>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</si>
  <si>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</si>
  <si>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</si>
  <si>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</si>
  <si>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</si>
  <si>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</si>
  <si>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</si>
  <si>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</si>
  <si>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</si>
  <si>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</si>
  <si>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</si>
  <si>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</si>
  <si>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</si>
  <si>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</si>
  <si>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</si>
  <si>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</si>
  <si>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</si>
  <si>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</si>
  <si>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</si>
  <si>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</si>
  <si>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</si>
  <si>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</si>
  <si>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</si>
  <si>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</si>
  <si>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</si>
  <si>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</si>
  <si>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</si>
  <si>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</si>
  <si>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</si>
  <si>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</si>
  <si>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</si>
  <si>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</si>
  <si>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</si>
  <si>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</si>
  <si>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</si>
  <si>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</si>
  <si>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</si>
  <si>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</si>
  <si>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</si>
  <si>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</si>
  <si>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</si>
  <si>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</si>
  <si>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</si>
  <si>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</si>
  <si>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</si>
  <si>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</si>
  <si>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</si>
  <si>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</si>
  <si>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</si>
  <si>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</si>
  <si>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</si>
  <si>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</si>
  <si>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</si>
  <si>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</si>
  <si>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</si>
  <si>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</si>
  <si>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</si>
  <si>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</si>
  <si>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</si>
  <si>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</si>
  <si>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</si>
  <si>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</si>
  <si>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</si>
  <si>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</si>
  <si>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</si>
  <si>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</si>
  <si>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</si>
  <si>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</si>
  <si>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</si>
  <si>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</si>
  <si>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</si>
  <si>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</si>
  <si>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</si>
  <si>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</si>
  <si>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</si>
  <si>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</si>
  <si>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</si>
  <si>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</si>
  <si>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</si>
  <si>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</si>
  <si>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</si>
  <si>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</si>
  <si>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</si>
  <si>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</si>
  <si>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</si>
  <si>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</si>
  <si>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</si>
  <si>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</si>
  <si>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</si>
  <si>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</si>
  <si>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</si>
  <si>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</si>
  <si>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</si>
  <si>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</si>
  <si>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</si>
  <si>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</si>
  <si>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</si>
  <si>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</si>
  <si>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</si>
  <si>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</si>
  <si>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</si>
  <si>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</si>
  <si>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</si>
  <si>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</si>
  <si>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</si>
  <si>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</si>
  <si>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</si>
  <si>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</si>
  <si>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</si>
  <si>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</si>
  <si>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</si>
  <si>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</si>
  <si>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</si>
  <si>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</si>
  <si>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</si>
  <si>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</si>
  <si>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</si>
  <si>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</si>
  <si>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</si>
  <si>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</si>
  <si>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</si>
  <si>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</si>
  <si>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</si>
  <si>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</si>
  <si>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</si>
  <si>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</si>
  <si>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</si>
  <si>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</si>
  <si>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</si>
  <si>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</si>
  <si>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</si>
  <si>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</si>
  <si>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</si>
  <si>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</si>
  <si>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</si>
  <si>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</si>
  <si>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</si>
  <si>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</si>
  <si>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</si>
  <si>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</si>
  <si>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</si>
  <si>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</si>
  <si>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</si>
  <si>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</si>
  <si>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</si>
  <si>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</si>
  <si>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</si>
  <si>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</si>
  <si>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</si>
  <si>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</si>
  <si>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</si>
  <si>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</si>
  <si>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</si>
  <si>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</si>
  <si>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</si>
  <si>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</si>
  <si>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</si>
  <si>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</si>
  <si>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</si>
  <si>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</si>
  <si>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</si>
  <si>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</si>
  <si>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</si>
  <si>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</si>
  <si>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</si>
  <si>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</si>
  <si>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</si>
  <si>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</si>
  <si>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</si>
  <si>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</si>
  <si>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</si>
  <si>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</si>
  <si>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</si>
  <si>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</si>
  <si>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</si>
  <si>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</si>
  <si>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</si>
  <si>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</si>
  <si>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</si>
  <si>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</si>
  <si>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</si>
  <si>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</si>
  <si>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</si>
  <si>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</si>
  <si>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</si>
  <si>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</si>
  <si>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</si>
  <si>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</si>
  <si>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</si>
  <si>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</si>
  <si>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</si>
  <si>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</si>
  <si>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</si>
  <si>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</si>
  <si>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</si>
  <si>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</si>
  <si>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</si>
  <si>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</si>
  <si>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</si>
  <si>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</si>
  <si>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</si>
  <si>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</si>
  <si>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</si>
  <si>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</si>
  <si>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</si>
  <si>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</si>
  <si>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</si>
  <si>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</si>
  <si>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</si>
  <si>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</si>
  <si>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</si>
  <si>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</si>
  <si>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</si>
  <si>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</si>
  <si>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</si>
  <si>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</si>
  <si>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</si>
  <si>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</si>
  <si>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</si>
  <si>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</si>
  <si>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</si>
  <si>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</si>
  <si>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</si>
  <si>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</si>
  <si>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</si>
  <si>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</si>
  <si>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</si>
  <si>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</si>
  <si>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</si>
  <si>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</si>
  <si>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</si>
  <si>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</si>
  <si>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</si>
  <si>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</si>
  <si>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</si>
  <si>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</si>
  <si>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</si>
  <si>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</si>
  <si>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</si>
  <si>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</si>
  <si>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</si>
  <si>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</si>
  <si>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</si>
  <si>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</si>
  <si>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</si>
  <si>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</si>
  <si>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</si>
  <si>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</si>
  <si>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</si>
  <si>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</si>
  <si>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</si>
  <si>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</si>
  <si>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</si>
  <si>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</si>
  <si>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</si>
  <si>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</si>
  <si>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</si>
  <si>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</si>
  <si>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</si>
  <si>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</si>
  <si>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</si>
  <si>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</si>
  <si>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</si>
  <si>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</si>
  <si>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</si>
  <si>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</si>
  <si>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</si>
  <si>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</si>
  <si>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</si>
  <si>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</si>
  <si>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</si>
  <si>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</si>
  <si>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</si>
  <si>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</si>
  <si>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</si>
  <si>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</si>
  <si>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</si>
  <si>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</si>
  <si>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</si>
  <si>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</si>
  <si>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</si>
  <si>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</si>
  <si>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</si>
  <si>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</si>
  <si>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</si>
  <si>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</si>
  <si>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</si>
  <si>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</si>
  <si>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</si>
  <si>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</si>
  <si>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</si>
  <si>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</si>
  <si>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</si>
  <si>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</si>
  <si>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</si>
  <si>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</si>
  <si>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</si>
  <si>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</si>
  <si>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</si>
  <si>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</si>
  <si>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</si>
  <si>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</si>
  <si>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</si>
  <si>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</si>
  <si>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</si>
  <si>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</si>
  <si>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</si>
  <si>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</si>
  <si>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</si>
  <si>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</si>
  <si>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</si>
  <si>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</si>
  <si>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</si>
  <si>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</si>
  <si>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</si>
  <si>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</si>
  <si>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</si>
  <si>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</si>
  <si>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</si>
  <si>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</si>
  <si>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</si>
  <si>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</si>
  <si>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</si>
  <si>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</si>
  <si>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</si>
  <si>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</si>
  <si>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</si>
  <si>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</si>
  <si>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</si>
  <si>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</si>
  <si>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</si>
  <si>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</si>
  <si>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</si>
  <si>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</si>
  <si>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</si>
  <si>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</si>
  <si>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</si>
  <si>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</si>
  <si>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</si>
  <si>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</si>
  <si>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</si>
  <si>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</si>
  <si>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</si>
  <si>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</si>
  <si>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</si>
  <si>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</si>
  <si>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</si>
  <si>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</si>
  <si>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</si>
  <si>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</si>
  <si>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</si>
  <si>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</si>
  <si>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</si>
  <si>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</si>
  <si>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</si>
  <si>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</si>
  <si>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</si>
  <si>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</si>
  <si>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</si>
  <si>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</si>
  <si>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</si>
  <si>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</si>
  <si>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</si>
  <si>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</si>
  <si>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</si>
  <si>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</si>
  <si>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</si>
  <si>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</si>
  <si>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</si>
  <si>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</si>
  <si>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</si>
  <si>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</si>
  <si>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</si>
  <si>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</si>
  <si>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</si>
  <si>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</si>
  <si>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</si>
  <si>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</si>
  <si>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</si>
  <si>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</si>
  <si>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</si>
  <si>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</si>
  <si>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</si>
  <si>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</si>
  <si>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</si>
  <si>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</si>
  <si>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</si>
  <si>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</si>
  <si>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</si>
  <si>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</si>
  <si>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</si>
  <si>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</si>
  <si>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</si>
  <si>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</si>
  <si>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</si>
  <si>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</si>
  <si>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</si>
  <si>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</si>
  <si>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</si>
  <si>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</si>
  <si>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</si>
  <si>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</si>
  <si>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</si>
  <si>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</si>
  <si>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</si>
  <si>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</si>
  <si>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</si>
  <si>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</si>
  <si>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</si>
  <si>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</si>
  <si>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</si>
  <si>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</si>
  <si>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</si>
  <si>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</si>
  <si>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</si>
  <si>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</si>
  <si>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</si>
  <si>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</si>
  <si>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</si>
  <si>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</si>
  <si>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</si>
  <si>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</si>
  <si>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</si>
  <si>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</si>
  <si>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</si>
  <si>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</si>
  <si>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</si>
  <si>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</si>
  <si>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</si>
  <si>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</si>
  <si>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</si>
  <si>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</si>
  <si>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</si>
  <si>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</si>
  <si>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</si>
  <si>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</si>
  <si>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</si>
  <si>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</si>
  <si>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</si>
  <si>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</si>
  <si>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</si>
  <si>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</si>
  <si>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</si>
  <si>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</si>
  <si>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</si>
  <si>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</si>
  <si>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</si>
  <si>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</si>
  <si>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</si>
  <si>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</si>
  <si>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</si>
  <si>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</si>
  <si>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</si>
  <si>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</si>
  <si>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</si>
  <si>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</si>
  <si>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</si>
  <si>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</si>
  <si>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</si>
  <si>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</si>
  <si>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</si>
  <si>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</si>
  <si>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</si>
  <si>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</si>
  <si>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</si>
  <si>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</si>
  <si>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</si>
  <si>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</si>
  <si>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</si>
  <si>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</si>
  <si>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</si>
  <si>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</si>
  <si>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</si>
  <si>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</si>
  <si>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</si>
  <si>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</si>
  <si>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</si>
  <si>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</si>
  <si>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</si>
  <si>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</si>
  <si>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</si>
  <si>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</si>
  <si>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</si>
  <si>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</si>
  <si>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</si>
  <si>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</si>
  <si>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</si>
  <si>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</si>
  <si>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</si>
  <si>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</si>
  <si>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</si>
  <si>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</si>
  <si>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</si>
  <si>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</si>
  <si>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</si>
  <si>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</si>
  <si>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</si>
  <si>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</si>
  <si>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</si>
  <si>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</si>
  <si>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</si>
  <si>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</si>
  <si>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</si>
  <si>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</si>
  <si>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</si>
  <si>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</si>
  <si>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</si>
  <si>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</si>
  <si>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</si>
  <si>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</si>
  <si>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</si>
  <si>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</si>
  <si>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</si>
  <si>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</si>
  <si>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</si>
  <si>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</si>
  <si>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</si>
  <si>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</si>
  <si>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</si>
  <si>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</si>
  <si>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</si>
  <si>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</si>
  <si>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</si>
  <si>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</si>
  <si>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</si>
  <si>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</si>
  <si>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</si>
  <si>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</si>
  <si>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</si>
  <si>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</si>
  <si>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</si>
  <si>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</si>
  <si>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</si>
  <si>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</si>
  <si>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</si>
  <si>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</si>
  <si>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</si>
  <si>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</si>
  <si>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</si>
  <si>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</si>
  <si>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</si>
  <si>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</si>
  <si>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</si>
  <si>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</si>
  <si>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</si>
  <si>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</si>
  <si>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</si>
  <si>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</si>
  <si>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</si>
  <si>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</si>
  <si>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</si>
  <si>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</si>
  <si>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</si>
  <si>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</si>
  <si>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</si>
  <si>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</si>
  <si>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</si>
  <si>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</si>
  <si>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</si>
  <si>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</si>
  <si>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</si>
  <si>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</si>
  <si>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</si>
  <si>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</si>
  <si>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</si>
  <si>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</si>
  <si>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</si>
  <si>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</si>
  <si>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</si>
  <si>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</si>
  <si>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</si>
  <si>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</si>
  <si>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</si>
  <si>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</si>
  <si>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</si>
  <si>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</si>
  <si>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</si>
  <si>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</si>
  <si>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</si>
  <si>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</si>
  <si>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</si>
  <si>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</si>
  <si>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</si>
  <si>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</si>
  <si>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</si>
  <si>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</si>
  <si>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</si>
  <si>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</si>
  <si>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</si>
  <si>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</si>
  <si>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</si>
  <si>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</si>
  <si>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</si>
  <si>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</si>
  <si>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</si>
  <si>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</si>
  <si>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</si>
  <si>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</si>
  <si>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</si>
  <si>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</si>
  <si>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</si>
  <si>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</si>
  <si>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</si>
  <si>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</si>
  <si>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</si>
  <si>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</si>
  <si>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</si>
  <si>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</si>
  <si>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</si>
  <si>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</si>
  <si>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</si>
  <si>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</si>
  <si>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</si>
  <si>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</si>
  <si>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</si>
  <si>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</si>
  <si>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</si>
  <si>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</si>
  <si>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</si>
  <si>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</si>
  <si>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</si>
  <si>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</si>
  <si>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</si>
  <si>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</si>
  <si>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</si>
  <si>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</si>
  <si>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</si>
  <si>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</si>
  <si>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</si>
  <si>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</si>
  <si>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</si>
  <si>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</si>
  <si>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</si>
  <si>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</si>
  <si>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</si>
  <si>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</si>
  <si>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</si>
  <si>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</si>
  <si>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</si>
  <si>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</si>
  <si>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</si>
  <si>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</si>
  <si>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</si>
  <si>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</si>
  <si>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</si>
  <si>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</si>
  <si>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</si>
  <si>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</si>
  <si>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</si>
  <si>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</si>
  <si>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</si>
  <si>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</si>
  <si>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</si>
  <si>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</si>
  <si>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</si>
  <si>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</si>
  <si>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</si>
  <si>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</si>
  <si>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</si>
  <si>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</si>
  <si>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</si>
  <si>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</si>
  <si>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</si>
  <si>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</si>
  <si>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</si>
  <si>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</si>
  <si>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</si>
  <si>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</si>
  <si>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</si>
  <si>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</si>
  <si>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</si>
  <si>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</si>
  <si>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</si>
  <si>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</si>
  <si>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</si>
  <si>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</si>
  <si>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</si>
  <si>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</si>
  <si>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</si>
  <si>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</si>
  <si>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</si>
  <si>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</si>
  <si>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</si>
  <si>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</si>
  <si>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</si>
  <si>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</si>
  <si>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</si>
  <si>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</si>
  <si>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</si>
  <si>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</si>
  <si>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</si>
  <si>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</si>
  <si>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</si>
  <si>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</si>
  <si>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</si>
  <si>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</si>
  <si>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</si>
  <si>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</si>
  <si>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</si>
  <si>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</si>
  <si>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</si>
  <si>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</si>
  <si>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</si>
  <si>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</si>
  <si>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</si>
  <si>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</si>
  <si>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</si>
  <si>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</si>
  <si>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</si>
  <si>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</si>
  <si>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</si>
  <si>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</si>
  <si>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</si>
  <si>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</si>
  <si>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</si>
  <si>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</si>
  <si>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</si>
  <si>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</si>
  <si>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</si>
  <si>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</si>
  <si>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</si>
  <si>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</si>
  <si>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</si>
  <si>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</si>
  <si>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</si>
  <si>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</si>
  <si>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</si>
  <si>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</si>
  <si>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</si>
  <si>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</si>
  <si>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</si>
  <si>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</si>
  <si>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</si>
  <si>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</si>
  <si>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</si>
  <si>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</si>
  <si>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</si>
  <si>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</si>
  <si>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</si>
  <si>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</si>
  <si>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</si>
  <si>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</si>
  <si>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</si>
  <si>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</si>
  <si>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</si>
  <si>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</si>
  <si>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</si>
  <si>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</si>
  <si>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</si>
  <si>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</si>
  <si>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</si>
  <si>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</si>
  <si>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</si>
  <si>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</si>
  <si>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</si>
  <si>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</si>
  <si>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</si>
  <si>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</si>
  <si>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</si>
  <si>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</si>
  <si>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</si>
  <si>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</si>
  <si>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</si>
  <si>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</si>
  <si>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</si>
  <si>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</si>
  <si>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</si>
  <si>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</si>
  <si>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</si>
  <si>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</si>
  <si>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</si>
  <si>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</si>
  <si>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</si>
  <si>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</si>
  <si>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</si>
  <si>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</si>
  <si>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</si>
  <si>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</si>
  <si>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</si>
  <si>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</si>
  <si>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</si>
  <si>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</si>
  <si>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</si>
  <si>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</si>
  <si>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</si>
  <si>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</si>
  <si>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</si>
  <si>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</si>
  <si>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</si>
  <si>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</si>
  <si>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</si>
  <si>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</si>
  <si>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</si>
  <si>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</si>
  <si>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</si>
  <si>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</si>
  <si>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</si>
  <si>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</si>
  <si>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</si>
  <si>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</si>
  <si>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</si>
  <si>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</si>
  <si>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</si>
  <si>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</si>
  <si>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</si>
  <si>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</si>
  <si>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</si>
  <si>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</si>
  <si>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</si>
  <si>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</si>
  <si>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</si>
  <si>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</si>
  <si>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</si>
  <si>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</si>
  <si>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</si>
  <si>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</si>
  <si>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</si>
  <si>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</si>
  <si>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</si>
  <si>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</si>
  <si>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</si>
  <si>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</si>
  <si>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</si>
  <si>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</si>
  <si>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</si>
  <si>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</si>
  <si>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</si>
  <si>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</si>
  <si>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</si>
  <si>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</si>
  <si>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</si>
  <si>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</si>
  <si>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</si>
  <si>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</si>
  <si>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</si>
  <si>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</si>
  <si>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</si>
  <si>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</si>
  <si>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</si>
  <si>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</si>
  <si>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</si>
  <si>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</si>
  <si>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</si>
  <si>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</si>
  <si>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</si>
  <si>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</si>
  <si>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</si>
  <si>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</si>
  <si>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</si>
  <si>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</si>
  <si>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</si>
  <si>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</si>
  <si>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</si>
  <si>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</si>
  <si>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</si>
  <si>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</si>
  <si>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</si>
  <si>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</si>
  <si>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</si>
  <si>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</si>
  <si>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</si>
  <si>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</si>
  <si>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</si>
  <si>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</si>
  <si>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</si>
  <si>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</si>
  <si>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</si>
  <si>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</si>
  <si>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</si>
  <si>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</si>
  <si>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</si>
  <si>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</si>
  <si>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</si>
  <si>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</si>
  <si>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</si>
  <si>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</si>
  <si>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</si>
  <si>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</si>
  <si>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</si>
  <si>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</si>
  <si>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</si>
  <si>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</si>
  <si>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</si>
  <si>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</si>
  <si>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</si>
  <si>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</si>
  <si>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</si>
  <si>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</si>
  <si>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</si>
  <si>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</si>
  <si>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</si>
  <si>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</si>
  <si>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</si>
  <si>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</si>
  <si>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</si>
  <si>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</si>
  <si>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</si>
  <si>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</si>
  <si>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</si>
  <si>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</si>
  <si>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</si>
  <si>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</si>
  <si>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</si>
  <si>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</si>
  <si>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</si>
  <si>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</si>
  <si>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</si>
  <si>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</si>
  <si>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</si>
  <si>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</si>
  <si>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</si>
  <si>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</si>
  <si>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</si>
  <si>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</si>
  <si>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</si>
  <si>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</si>
  <si>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</si>
  <si>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</si>
  <si>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</si>
  <si>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</si>
  <si>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</si>
  <si>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</si>
  <si>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</si>
  <si>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</si>
  <si>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</si>
  <si>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</si>
  <si>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</si>
  <si>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</si>
  <si>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</si>
  <si>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</si>
  <si>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</si>
  <si>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</si>
  <si>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</si>
  <si>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</si>
  <si>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</si>
  <si>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</si>
  <si>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</si>
  <si>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</si>
  <si>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</si>
  <si>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</si>
  <si>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</si>
  <si>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</si>
  <si>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</si>
  <si>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</si>
  <si>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</si>
  <si>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</si>
  <si>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</si>
  <si>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</si>
  <si>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</si>
  <si>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</si>
  <si>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</si>
  <si>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</si>
  <si>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</si>
  <si>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</si>
  <si>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</si>
  <si>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</si>
  <si>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</si>
  <si>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</si>
  <si>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</si>
  <si>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</si>
  <si>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</si>
  <si>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</si>
  <si>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</si>
  <si>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</si>
  <si>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</si>
  <si>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</si>
  <si>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</si>
  <si>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</si>
  <si>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</si>
  <si>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</si>
  <si>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</si>
  <si>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</si>
  <si>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</si>
  <si>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</si>
  <si>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</si>
  <si>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</si>
  <si>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</si>
  <si>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</si>
  <si>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</si>
  <si>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</si>
  <si>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</si>
  <si>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</si>
  <si>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</si>
  <si>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</si>
  <si>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</si>
  <si>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</si>
  <si>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</si>
  <si>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</si>
  <si>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</si>
  <si>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</si>
  <si>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</si>
  <si>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</si>
  <si>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</si>
  <si>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</si>
  <si>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</si>
  <si>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</si>
  <si>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</si>
  <si>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</si>
  <si>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</si>
  <si>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</si>
  <si>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</si>
  <si>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</si>
  <si>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</si>
  <si>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</si>
  <si>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</si>
  <si>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</si>
  <si>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</si>
  <si>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</si>
  <si>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</si>
  <si>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</si>
  <si>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</si>
  <si>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</si>
  <si>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</si>
  <si>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</si>
  <si>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</si>
  <si>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</si>
  <si>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</si>
  <si>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</si>
  <si>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</si>
  <si>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</si>
  <si>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</si>
  <si>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</si>
  <si>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</si>
  <si>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</si>
  <si>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</si>
  <si>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</si>
  <si>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</si>
  <si>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</si>
  <si>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</si>
  <si>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</si>
  <si>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</si>
  <si>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</si>
  <si>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</si>
  <si>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</si>
  <si>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</si>
  <si>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</si>
  <si>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</si>
  <si>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</si>
  <si>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</si>
  <si>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</si>
  <si>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</si>
  <si>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</si>
  <si>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</si>
  <si>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</si>
  <si>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</si>
  <si>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</si>
  <si>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</si>
  <si>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</si>
  <si>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</si>
  <si>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</si>
  <si>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</si>
  <si>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</si>
  <si>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</si>
  <si>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</si>
  <si>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</si>
  <si>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</si>
  <si>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</si>
  <si>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</si>
  <si>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</si>
  <si>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</si>
  <si>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</si>
  <si>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</si>
  <si>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</si>
  <si>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</si>
  <si>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</si>
  <si>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</si>
  <si>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</si>
  <si>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</si>
  <si>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</si>
  <si>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</si>
  <si>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</si>
  <si>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</si>
  <si>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</si>
  <si>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</si>
  <si>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</si>
  <si>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</si>
  <si>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</si>
  <si>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</si>
  <si>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</si>
  <si>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</si>
  <si>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</si>
  <si>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</si>
  <si>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</si>
  <si>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</si>
  <si>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</si>
  <si>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</si>
  <si>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</si>
  <si>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</si>
  <si>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</si>
  <si>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</si>
  <si>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</si>
  <si>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</si>
  <si>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</si>
  <si>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</si>
  <si>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</si>
  <si>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</si>
  <si>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</si>
  <si>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</si>
  <si>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</si>
  <si>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</si>
  <si>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</si>
  <si>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</si>
  <si>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</si>
  <si>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</si>
  <si>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</si>
  <si>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</si>
  <si>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</si>
  <si>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</si>
  <si>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</si>
  <si>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</si>
  <si>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</si>
  <si>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</si>
  <si>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</si>
  <si>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</si>
  <si>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</si>
  <si>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</si>
  <si>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</si>
  <si>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</si>
  <si>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</si>
  <si>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</si>
  <si>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</si>
  <si>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</si>
  <si>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</si>
  <si>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</si>
  <si>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</si>
  <si>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</si>
  <si>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</si>
  <si>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</si>
  <si>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</si>
  <si>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</si>
  <si>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</si>
  <si>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</si>
  <si>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</si>
  <si>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</si>
  <si>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</si>
  <si>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</si>
  <si>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</si>
  <si>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</si>
  <si>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</si>
  <si>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</si>
  <si>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</si>
  <si>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</si>
  <si>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</si>
  <si>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</si>
  <si>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</si>
  <si>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</si>
  <si>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</si>
  <si>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</si>
  <si>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</si>
  <si>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</si>
  <si>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</si>
  <si>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</si>
  <si>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</si>
  <si>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</si>
  <si>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</si>
  <si>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</si>
  <si>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</si>
  <si>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</si>
  <si>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</si>
  <si>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</si>
  <si>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</si>
  <si>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</si>
  <si>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</si>
  <si>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</si>
  <si>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</si>
  <si>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</si>
  <si>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</si>
  <si>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</si>
  <si>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</si>
  <si>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</si>
  <si>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</si>
  <si>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</si>
  <si>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</si>
  <si>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</si>
  <si>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</si>
  <si>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</si>
  <si>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</si>
  <si>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</si>
  <si>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</si>
  <si>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</si>
  <si>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</si>
  <si>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</si>
  <si>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</si>
  <si>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</si>
  <si>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</si>
  <si>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</si>
  <si>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</si>
  <si>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</si>
  <si>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</si>
  <si>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</si>
  <si>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</si>
  <si>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</si>
  <si>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</si>
  <si>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</si>
  <si>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</si>
  <si>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</si>
  <si>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</si>
  <si>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</si>
  <si>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</si>
  <si>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</si>
  <si>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</si>
  <si>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</si>
  <si>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</si>
  <si>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</si>
  <si>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</si>
  <si>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</si>
  <si>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</si>
  <si>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</si>
  <si>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</si>
  <si>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</si>
  <si>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</si>
  <si>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</si>
  <si>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</si>
  <si>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</si>
  <si>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</si>
  <si>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</si>
  <si>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</si>
  <si>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</si>
  <si>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</si>
  <si>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</si>
  <si>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</si>
  <si>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</si>
  <si>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</si>
  <si>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</si>
  <si>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</si>
  <si>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</si>
  <si>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</si>
  <si>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</si>
  <si>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</si>
  <si>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</si>
  <si>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</si>
  <si>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</si>
  <si>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</si>
  <si>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</si>
  <si>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</si>
  <si>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</si>
  <si>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</si>
  <si>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</si>
  <si>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</si>
  <si>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</si>
  <si>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</si>
  <si>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</si>
  <si>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</si>
  <si>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</si>
  <si>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</si>
  <si>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</si>
  <si>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</si>
  <si>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</si>
  <si>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</si>
  <si>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</si>
  <si>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</si>
  <si>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</si>
  <si>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</si>
  <si>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</si>
  <si>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</si>
  <si>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</si>
  <si>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</si>
  <si>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</si>
  <si>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</si>
  <si>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</si>
  <si>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</si>
  <si>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</si>
  <si>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</si>
  <si>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</si>
  <si>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</si>
  <si>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</si>
  <si>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</si>
  <si>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</si>
  <si>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</si>
  <si>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</si>
  <si>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</si>
  <si>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</si>
  <si>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</si>
  <si>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</si>
  <si>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</si>
  <si>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</si>
  <si>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</si>
  <si>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</si>
  <si>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</si>
  <si>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</si>
  <si>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</si>
  <si>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</si>
  <si>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</si>
  <si>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</si>
  <si>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</si>
  <si>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</si>
  <si>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</si>
  <si>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</si>
  <si>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</si>
  <si>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</si>
  <si>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</si>
  <si>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</si>
  <si>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</si>
  <si>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</si>
  <si>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</si>
  <si>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</si>
  <si>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</si>
  <si>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</si>
  <si>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</si>
  <si>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</si>
  <si>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</si>
  <si>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</si>
  <si>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</si>
  <si>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</si>
  <si>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</si>
  <si>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</si>
  <si>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</si>
  <si>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</si>
  <si>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</si>
  <si>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</si>
  <si>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</si>
  <si>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</si>
  <si>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</si>
  <si>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</si>
  <si>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</si>
  <si>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</si>
  <si>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</si>
  <si>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</si>
  <si>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</si>
  <si>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</si>
  <si>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</si>
  <si>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</si>
  <si>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</si>
  <si>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</si>
  <si>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</si>
  <si>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</si>
  <si>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</si>
  <si>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</si>
  <si>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</si>
  <si>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</si>
  <si>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</si>
  <si>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</si>
  <si>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</si>
  <si>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</si>
  <si>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</si>
  <si>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</si>
  <si>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</si>
  <si>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</si>
  <si>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</si>
  <si>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</si>
  <si>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</si>
  <si>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</si>
  <si>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</si>
  <si>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</si>
  <si>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</si>
  <si>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</si>
  <si>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</si>
  <si>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</si>
  <si>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</si>
  <si>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</si>
  <si>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</si>
  <si>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</si>
  <si>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</si>
  <si>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</si>
  <si>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</si>
  <si>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</si>
  <si>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</si>
  <si>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</si>
  <si>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</si>
  <si>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</si>
  <si>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</si>
  <si>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</si>
  <si>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</si>
  <si>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</si>
  <si>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</si>
  <si>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</si>
  <si>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</si>
  <si>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</si>
  <si>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</si>
  <si>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</si>
  <si>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</si>
  <si>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</si>
  <si>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</si>
  <si>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</si>
  <si>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</si>
  <si>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</si>
  <si>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</si>
  <si>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</si>
  <si>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</si>
  <si>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</si>
  <si>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</si>
  <si>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</si>
  <si>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</si>
  <si>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</si>
  <si>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</si>
  <si>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</si>
  <si>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</si>
  <si>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</si>
  <si>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</si>
  <si>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</si>
  <si>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</si>
  <si>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</si>
  <si>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</si>
  <si>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</si>
  <si>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</si>
  <si>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</si>
  <si>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</si>
  <si>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</si>
  <si>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</si>
  <si>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</si>
  <si>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</si>
  <si>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</si>
  <si>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</si>
  <si>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</si>
  <si>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</si>
  <si>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</si>
  <si>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</si>
  <si>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</si>
  <si>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</si>
  <si>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</si>
  <si>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</si>
  <si>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</si>
  <si>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</si>
  <si>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</si>
  <si>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</si>
  <si>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</si>
  <si>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</si>
  <si>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</si>
  <si>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</si>
  <si>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</si>
  <si>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</si>
  <si>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</si>
  <si>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</si>
  <si>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</si>
  <si>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</si>
  <si>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</si>
  <si>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</si>
  <si>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</si>
  <si>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</si>
  <si>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</si>
  <si>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</si>
  <si>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</si>
  <si>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</si>
  <si>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</si>
  <si>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</si>
  <si>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</si>
  <si>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</si>
  <si>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</si>
  <si>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</si>
  <si>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</si>
  <si>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</si>
  <si>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</si>
  <si>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</si>
  <si>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</si>
  <si>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</si>
  <si>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</si>
  <si>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</si>
  <si>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</si>
  <si>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</si>
  <si>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</si>
  <si>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</si>
  <si>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</si>
  <si>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</si>
  <si>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</si>
  <si>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</si>
  <si>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</si>
  <si>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</si>
  <si>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</si>
  <si>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</si>
  <si>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</si>
  <si>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</si>
  <si>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</si>
  <si>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</si>
  <si>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</si>
  <si>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</si>
  <si>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</si>
  <si>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</si>
  <si>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</si>
  <si>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</si>
  <si>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</si>
  <si>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</si>
  <si>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</si>
  <si>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</si>
  <si>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</si>
  <si>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</si>
  <si>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</si>
  <si>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</si>
  <si>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</si>
  <si>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</si>
  <si>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</si>
  <si>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</si>
  <si>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</si>
  <si>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</si>
  <si>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</si>
  <si>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</si>
  <si>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</si>
  <si>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</si>
  <si>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</si>
  <si>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</si>
  <si>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</si>
  <si>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</si>
  <si>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</si>
  <si>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</si>
  <si>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</si>
  <si>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</si>
  <si>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</si>
  <si>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</si>
  <si>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</si>
  <si>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</si>
  <si>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</si>
  <si>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</si>
  <si>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</si>
  <si>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</si>
  <si>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</si>
  <si>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</si>
  <si>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</si>
  <si>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</si>
  <si>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</si>
  <si>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</si>
  <si>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</si>
  <si>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</si>
  <si>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</si>
  <si>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</si>
  <si>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</si>
  <si>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</si>
  <si>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</si>
  <si>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</si>
  <si>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</si>
  <si>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</si>
  <si>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</si>
  <si>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</si>
  <si>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</si>
  <si>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</si>
  <si>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</si>
  <si>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</si>
  <si>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</si>
  <si>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</si>
  <si>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</si>
  <si>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</si>
  <si>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</si>
  <si>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</si>
  <si>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</si>
  <si>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</si>
  <si>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</si>
  <si>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</si>
  <si>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</si>
  <si>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</si>
  <si>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</si>
  <si>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</si>
  <si>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</si>
  <si>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</si>
  <si>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</si>
  <si>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</si>
  <si>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</si>
  <si>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</si>
  <si>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</si>
  <si>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</si>
  <si>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</si>
  <si>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</si>
  <si>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</si>
  <si>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</si>
  <si>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</si>
  <si>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</si>
  <si>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</si>
  <si>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</si>
  <si>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</si>
  <si>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</si>
  <si>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</si>
  <si>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</si>
  <si>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</si>
  <si>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</si>
  <si>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</si>
  <si>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</si>
  <si>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</si>
  <si>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</si>
  <si>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</si>
  <si>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</si>
  <si>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</si>
  <si>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</si>
  <si>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</si>
  <si>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</si>
  <si>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</si>
  <si>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</si>
  <si>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</si>
  <si>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</si>
  <si>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</si>
  <si>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</si>
  <si>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</si>
  <si>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</si>
  <si>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</si>
  <si>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</si>
  <si>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</si>
  <si>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</si>
  <si>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</si>
  <si>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</si>
  <si>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</si>
  <si>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</si>
  <si>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</si>
  <si>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</si>
  <si>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</si>
  <si>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</si>
  <si>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</si>
  <si>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</si>
  <si>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</si>
  <si>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</si>
  <si>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</si>
  <si>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</si>
  <si>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</si>
  <si>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</si>
  <si>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</si>
  <si>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</si>
  <si>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</si>
  <si>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</si>
  <si>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</si>
  <si>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</si>
  <si>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</si>
  <si>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</si>
  <si>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</si>
  <si>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</si>
  <si>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</si>
  <si>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</si>
  <si>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</si>
  <si>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</si>
  <si>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</si>
  <si>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</si>
  <si>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</si>
  <si>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</si>
  <si>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</si>
  <si>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</si>
  <si>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</si>
  <si>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</si>
  <si>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</si>
  <si>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</si>
  <si>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</si>
  <si>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</si>
  <si>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</si>
  <si>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</si>
  <si>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</si>
  <si>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</si>
  <si>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</si>
  <si>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</si>
  <si>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</si>
  <si>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</si>
  <si>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</si>
  <si>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</si>
  <si>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</si>
  <si>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</si>
  <si>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</si>
  <si>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</si>
  <si>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</si>
  <si>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</si>
  <si>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</si>
  <si>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</si>
  <si>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</si>
  <si>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</si>
  <si>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</si>
  <si>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</si>
  <si>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</si>
  <si>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</si>
  <si>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</si>
  <si>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</si>
  <si>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</si>
  <si>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</si>
  <si>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</si>
  <si>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</si>
  <si>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</si>
  <si>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</si>
  <si>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</si>
  <si>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</si>
  <si>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</si>
  <si>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</si>
  <si>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</si>
  <si>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</si>
  <si>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</si>
  <si>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</si>
  <si>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</si>
  <si>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</si>
  <si>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</si>
  <si>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</si>
  <si>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</si>
  <si>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</si>
  <si>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</si>
  <si>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</si>
  <si>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</si>
  <si>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</si>
  <si>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</si>
  <si>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</si>
  <si>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</si>
  <si>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</si>
  <si>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</si>
  <si>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</si>
  <si>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</si>
  <si>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</si>
  <si>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</si>
  <si>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</si>
  <si>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</si>
  <si>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</si>
  <si>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</si>
  <si>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</si>
  <si>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</si>
  <si>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</si>
  <si>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</si>
  <si>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</si>
  <si>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</si>
  <si>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</si>
  <si>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</si>
  <si>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</si>
  <si>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</si>
  <si>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</si>
  <si>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</si>
  <si>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</si>
  <si>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</si>
  <si>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</si>
  <si>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</si>
  <si>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</si>
  <si>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</si>
  <si>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</si>
  <si>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</si>
  <si>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</si>
  <si>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</si>
  <si>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</si>
  <si>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</si>
  <si>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</si>
  <si>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</si>
  <si>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</si>
  <si>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</si>
  <si>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</si>
  <si>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</si>
  <si>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</si>
  <si>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</si>
  <si>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</si>
  <si>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</si>
  <si>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</si>
  <si>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</si>
  <si>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</si>
  <si>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</si>
  <si>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</si>
  <si>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</si>
  <si>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</si>
  <si>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</si>
  <si>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</si>
  <si>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</si>
  <si>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</si>
  <si>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</si>
  <si>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</si>
  <si>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</si>
  <si>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</si>
  <si>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</si>
  <si>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</si>
  <si>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</si>
  <si>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</si>
  <si>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</si>
  <si>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</si>
  <si>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</si>
  <si>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</si>
  <si>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</si>
  <si>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</si>
  <si>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</si>
  <si>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</si>
  <si>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</si>
  <si>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</si>
  <si>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</si>
  <si>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</si>
  <si>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</si>
  <si>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</si>
  <si>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</si>
  <si>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</si>
  <si>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</si>
  <si>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</si>
  <si>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</si>
  <si>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</si>
  <si>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</si>
  <si>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</si>
  <si>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</si>
  <si>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</si>
  <si>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</si>
  <si>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</si>
  <si>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</si>
  <si>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</si>
  <si>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</si>
  <si>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</si>
  <si>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</si>
  <si>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</si>
  <si>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</si>
  <si>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</si>
  <si>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</si>
  <si>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</si>
  <si>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</si>
  <si>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</si>
  <si>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</si>
  <si>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</si>
  <si>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</si>
  <si>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</si>
  <si>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</si>
  <si>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</si>
  <si>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</si>
  <si>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</si>
  <si>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</si>
  <si>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</si>
  <si>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</si>
  <si>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</si>
  <si>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</si>
  <si>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</si>
  <si>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</si>
  <si>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</si>
  <si>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</si>
  <si>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</si>
  <si>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</si>
  <si>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</si>
  <si>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</si>
  <si>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</si>
  <si>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</si>
  <si>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</si>
  <si>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</si>
  <si>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</si>
  <si>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</si>
  <si>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</si>
  <si>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</si>
  <si>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</si>
  <si>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</si>
  <si>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</si>
  <si>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</si>
  <si>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</si>
  <si>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</si>
  <si>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</si>
  <si>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</si>
  <si>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</si>
  <si>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</si>
  <si>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</si>
  <si>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</si>
  <si>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</si>
  <si>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</si>
  <si>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</si>
  <si>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</si>
  <si>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</si>
  <si>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</si>
  <si>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</si>
  <si>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</si>
  <si>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</si>
  <si>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</si>
  <si>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</si>
  <si>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</si>
  <si>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</si>
  <si>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</si>
  <si>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</si>
  <si>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</si>
  <si>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</si>
  <si>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</si>
  <si>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</si>
  <si>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</si>
  <si>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</si>
  <si>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</si>
  <si>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</si>
  <si>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</si>
  <si>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</si>
  <si>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</si>
  <si>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</si>
  <si>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</si>
  <si>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</si>
  <si>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</si>
  <si>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</si>
  <si>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</si>
  <si>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</si>
  <si>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</si>
  <si>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</si>
  <si>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</si>
  <si>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</si>
  <si>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</si>
  <si>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</si>
  <si>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</si>
  <si>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</si>
  <si>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</si>
  <si>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</si>
  <si>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</si>
  <si>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</si>
  <si>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</si>
  <si>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</si>
  <si>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</si>
  <si>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</si>
  <si>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</si>
  <si>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</si>
  <si>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</si>
  <si>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</si>
  <si>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</si>
  <si>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</si>
  <si>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</si>
  <si>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</si>
  <si>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</si>
  <si>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</si>
  <si>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</si>
  <si>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</si>
  <si>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</si>
  <si>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</si>
  <si>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</si>
  <si>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</si>
  <si>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</si>
  <si>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</si>
  <si>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</si>
  <si>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</si>
  <si>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</si>
  <si>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</si>
  <si>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</si>
  <si>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</si>
  <si>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</si>
  <si>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</si>
  <si>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</si>
  <si>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</si>
  <si>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</si>
  <si>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</si>
  <si>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</si>
  <si>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</si>
  <si>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</si>
  <si>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</si>
  <si>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</si>
  <si>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</si>
  <si>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</si>
  <si>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</si>
  <si>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</si>
  <si>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</si>
  <si>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</si>
  <si>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</si>
  <si>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</si>
  <si>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</si>
  <si>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</si>
  <si>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</si>
  <si>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</si>
  <si>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</si>
  <si>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</si>
  <si>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</si>
  <si>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</si>
  <si>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</si>
  <si>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</si>
  <si>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</si>
  <si>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</si>
  <si>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</si>
  <si>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</si>
  <si>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</si>
  <si>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</si>
  <si>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</si>
  <si>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</si>
  <si>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</si>
  <si>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</si>
  <si>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</si>
  <si>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</si>
  <si>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</si>
  <si>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</si>
  <si>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</si>
  <si>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</si>
  <si>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</si>
  <si>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</si>
  <si>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</si>
  <si>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</si>
  <si>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</si>
  <si>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</si>
  <si>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</si>
  <si>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</si>
  <si>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</si>
  <si>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</si>
  <si>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</si>
  <si>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</si>
  <si>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</si>
  <si>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</si>
  <si>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</si>
  <si>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</si>
  <si>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</si>
  <si>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</si>
  <si>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</si>
  <si>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</si>
  <si>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</si>
  <si>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</si>
  <si>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</si>
  <si>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</si>
  <si>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</si>
  <si>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</si>
  <si>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</si>
  <si>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</si>
  <si>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</si>
  <si>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</si>
  <si>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</si>
  <si>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</si>
  <si>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</si>
  <si>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</si>
  <si>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</si>
  <si>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</si>
  <si>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</si>
  <si>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</si>
  <si>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</si>
  <si>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</si>
  <si>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</si>
  <si>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</si>
  <si>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</si>
  <si>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</si>
  <si>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</si>
  <si>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</si>
  <si>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</si>
  <si>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</si>
  <si>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</si>
  <si>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</si>
  <si>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</si>
  <si>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</si>
  <si>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</si>
  <si>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</si>
  <si>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</si>
  <si>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</si>
  <si>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</si>
  <si>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</si>
  <si>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</si>
  <si>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</si>
  <si>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</si>
  <si>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</si>
  <si>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</si>
  <si>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</si>
  <si>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</si>
  <si>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</si>
  <si>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</si>
  <si>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</si>
  <si>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</si>
  <si>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</si>
  <si>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</si>
  <si>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</si>
  <si>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</si>
  <si>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</si>
  <si>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</si>
  <si>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</si>
  <si>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</si>
  <si>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</si>
  <si>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</si>
  <si>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</si>
  <si>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</si>
  <si>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</si>
  <si>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</si>
  <si>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</si>
  <si>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</si>
  <si>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</si>
  <si>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</si>
  <si>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</si>
  <si>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</si>
  <si>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</si>
  <si>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</si>
  <si>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</si>
  <si>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</si>
  <si>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</si>
  <si>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</si>
  <si>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</si>
  <si>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</si>
  <si>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</si>
  <si>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</si>
  <si>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</si>
  <si>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</si>
  <si>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</si>
  <si>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</si>
  <si>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</si>
  <si>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</si>
  <si>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</si>
  <si>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</si>
  <si>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</si>
  <si>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</si>
  <si>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</si>
  <si>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</si>
  <si>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</si>
  <si>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</si>
  <si>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</si>
  <si>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</si>
  <si>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</si>
  <si>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</si>
  <si>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</si>
  <si>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</si>
  <si>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</si>
  <si>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</si>
  <si>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</si>
  <si>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</si>
  <si>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</si>
  <si>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</si>
  <si>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</si>
  <si>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</si>
  <si>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</si>
  <si>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</si>
  <si>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</si>
  <si>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</si>
  <si>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</si>
  <si>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</si>
  <si>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</si>
  <si>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</si>
  <si>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</si>
  <si>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</si>
  <si>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</si>
  <si>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</si>
  <si>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</si>
  <si>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</si>
  <si>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</si>
  <si>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</si>
  <si>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</si>
  <si>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</si>
  <si>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</si>
  <si>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</si>
  <si>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</si>
  <si>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</si>
  <si>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</si>
  <si>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</si>
  <si>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</si>
  <si>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</si>
  <si>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</si>
  <si>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</si>
  <si>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</si>
  <si>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</si>
  <si>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</si>
  <si>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</si>
  <si>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</si>
  <si>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</si>
  <si>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</si>
  <si>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</si>
  <si>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</si>
  <si>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</si>
  <si>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</si>
  <si>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</si>
  <si>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</si>
  <si>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</si>
  <si>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</si>
  <si>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</si>
  <si>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</si>
  <si>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</si>
  <si>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</si>
  <si>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</si>
  <si>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</si>
  <si>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</si>
  <si>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</si>
  <si>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</si>
  <si>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</si>
  <si>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</si>
  <si>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</si>
  <si>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</si>
  <si>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</si>
  <si>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</si>
  <si>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</si>
  <si>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</si>
  <si>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</si>
  <si>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</si>
  <si>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</si>
  <si>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</si>
  <si>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</si>
  <si>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</si>
  <si>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</si>
  <si>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</si>
  <si>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</si>
  <si>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</si>
  <si>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</si>
  <si>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</si>
  <si>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</si>
  <si>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</si>
  <si>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</si>
  <si>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</si>
  <si>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</si>
  <si>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</si>
  <si>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</si>
  <si>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</si>
  <si>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</si>
  <si>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</si>
  <si>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</si>
  <si>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</si>
  <si>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</si>
  <si>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</si>
  <si>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</si>
  <si>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</si>
  <si>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</si>
  <si>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</si>
  <si>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</si>
  <si>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</si>
  <si>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</si>
  <si>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</si>
  <si>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</si>
  <si>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</si>
  <si>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</si>
  <si>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</si>
  <si>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</si>
  <si>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</si>
  <si>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</si>
  <si>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</si>
  <si>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</si>
  <si>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</si>
  <si>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</si>
  <si>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</si>
  <si>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</si>
  <si>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</si>
  <si>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</si>
  <si>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</si>
  <si>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</si>
  <si>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</si>
  <si>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</si>
  <si>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</si>
  <si>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</si>
  <si>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</si>
  <si>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</si>
  <si>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</si>
  <si>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</si>
  <si>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</si>
  <si>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</si>
  <si>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</si>
  <si>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</si>
  <si>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</si>
  <si>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</si>
  <si>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</si>
  <si>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</si>
  <si>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</si>
  <si>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</si>
  <si>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</si>
  <si>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</si>
  <si>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</si>
  <si>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</si>
  <si>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</si>
  <si>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</si>
  <si>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</si>
  <si>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</si>
  <si>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</si>
  <si>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</si>
  <si>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</si>
  <si>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</si>
  <si>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</si>
  <si>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</si>
  <si>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</si>
  <si>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</si>
  <si>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</si>
  <si>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</si>
  <si>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</si>
  <si>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</si>
  <si>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</si>
  <si>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</si>
  <si>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</si>
  <si>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</si>
  <si>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</si>
  <si>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</si>
  <si>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</si>
  <si>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</si>
  <si>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</si>
  <si>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</si>
  <si>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</si>
  <si>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</si>
  <si>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</si>
  <si>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</si>
  <si>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</si>
  <si>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</si>
  <si>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</si>
  <si>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</si>
  <si>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</si>
  <si>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</si>
  <si>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</si>
  <si>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</si>
  <si>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</si>
  <si>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</si>
  <si>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</si>
  <si>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</si>
  <si>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</si>
  <si>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</si>
  <si>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</si>
  <si>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</si>
  <si>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</si>
  <si>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</si>
  <si>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</si>
  <si>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</si>
  <si>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</si>
  <si>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</si>
  <si>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</si>
  <si>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</si>
  <si>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</si>
  <si>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</si>
  <si>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</si>
  <si>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</si>
  <si>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</si>
  <si>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</si>
  <si>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</si>
  <si>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</si>
  <si>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</si>
  <si>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</si>
  <si>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</si>
  <si>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</si>
  <si>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</si>
  <si>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</si>
  <si>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</si>
  <si>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</si>
  <si>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</si>
  <si>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</si>
  <si>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</si>
  <si>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</si>
  <si>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</si>
  <si>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</si>
  <si>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</si>
  <si>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</si>
  <si>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</si>
  <si>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</si>
  <si>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</si>
  <si>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</si>
  <si>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</si>
  <si>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</si>
  <si>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</si>
  <si>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</si>
  <si>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</si>
  <si>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</si>
  <si>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</si>
  <si>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</si>
  <si>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</si>
  <si>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</si>
  <si>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</si>
  <si>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</si>
  <si>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</si>
  <si>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</si>
  <si>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</si>
  <si>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</si>
  <si>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</si>
  <si>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</si>
  <si>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</si>
  <si>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</si>
  <si>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</si>
  <si>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</si>
  <si>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</si>
  <si>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</si>
  <si>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</si>
  <si>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</si>
  <si>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</si>
  <si>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</si>
  <si>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</si>
  <si>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</si>
  <si>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</si>
  <si>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</si>
  <si>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</si>
  <si>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</si>
  <si>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</si>
  <si>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</si>
  <si>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</si>
  <si>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</si>
  <si>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</si>
  <si>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</si>
  <si>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</si>
  <si>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</si>
  <si>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</si>
  <si>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</si>
  <si>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</si>
  <si>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</si>
  <si>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</si>
  <si>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</si>
  <si>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</si>
  <si>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</si>
  <si>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</si>
  <si>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</si>
  <si>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</si>
  <si>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</si>
  <si>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</si>
  <si>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</si>
  <si>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</si>
  <si>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</si>
  <si>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</si>
  <si>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</si>
  <si>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</si>
  <si>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</si>
  <si>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</si>
  <si>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</si>
  <si>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</si>
  <si>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</si>
  <si>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</si>
  <si>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</si>
  <si>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</si>
  <si>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</si>
  <si>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</si>
  <si>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</si>
  <si>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</si>
  <si>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</si>
  <si>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</si>
  <si>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</si>
  <si>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</si>
  <si>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</si>
  <si>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</si>
  <si>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</si>
  <si>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</si>
  <si>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</si>
  <si>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</si>
  <si>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</si>
  <si>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</si>
  <si>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</si>
  <si>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</si>
  <si>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</si>
  <si>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</si>
  <si>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</si>
  <si>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</si>
  <si>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</si>
  <si>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</si>
  <si>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</si>
  <si>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</si>
  <si>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</si>
  <si>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</si>
  <si>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</si>
  <si>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</si>
  <si>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</si>
  <si>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</si>
  <si>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</si>
  <si>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</si>
  <si>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</si>
  <si>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</si>
  <si>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</si>
  <si>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</si>
  <si>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</si>
  <si>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</si>
  <si>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</si>
  <si>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</si>
  <si>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</si>
  <si>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</si>
  <si>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</si>
  <si>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</si>
  <si>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</si>
  <si>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</si>
  <si>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</si>
  <si>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</si>
  <si>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</si>
  <si>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</si>
  <si>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</si>
  <si>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</si>
  <si>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</si>
  <si>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</si>
  <si>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</si>
  <si>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</si>
  <si>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</si>
  <si>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</si>
  <si>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</si>
  <si>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</si>
  <si>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</si>
  <si>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</si>
  <si>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</si>
  <si>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</si>
  <si>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</si>
  <si>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</si>
  <si>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</si>
  <si>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</si>
  <si>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</si>
  <si>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</si>
  <si>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</si>
  <si>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</si>
  <si>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</si>
  <si>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</si>
  <si>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</si>
  <si>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</si>
  <si>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</si>
  <si>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</si>
  <si>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</si>
  <si>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</si>
  <si>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</si>
  <si>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</si>
  <si>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</si>
  <si>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</si>
  <si>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</si>
  <si>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</si>
  <si>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</si>
  <si>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</si>
  <si>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</si>
  <si>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</si>
  <si>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</si>
  <si>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</si>
  <si>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</si>
  <si>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</si>
  <si>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</si>
  <si>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</si>
  <si>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</si>
  <si>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</si>
  <si>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</si>
  <si>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</si>
  <si>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</si>
  <si>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</si>
  <si>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</si>
  <si>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</si>
  <si>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</si>
  <si>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</si>
  <si>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</si>
  <si>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</si>
  <si>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</si>
  <si>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</si>
  <si>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</si>
  <si>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</si>
  <si>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</si>
  <si>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</si>
  <si>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</si>
  <si>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</si>
  <si>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</si>
  <si>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</si>
  <si>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</si>
  <si>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</si>
  <si>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</si>
  <si>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</si>
  <si>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</si>
  <si>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</si>
  <si>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</si>
  <si>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</si>
  <si>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</si>
  <si>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</si>
  <si>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</si>
  <si>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</si>
  <si>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</si>
  <si>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</si>
  <si>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</si>
  <si>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</si>
  <si>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</si>
  <si>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</si>
  <si>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</si>
  <si>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</si>
  <si>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</si>
  <si>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</si>
  <si>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</si>
  <si>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</si>
  <si>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</si>
  <si>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</si>
  <si>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</si>
  <si>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</si>
  <si>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</si>
  <si>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</si>
  <si>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</si>
  <si>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</si>
  <si>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</si>
  <si>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</si>
  <si>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</si>
  <si>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</si>
  <si>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</si>
  <si>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</si>
  <si>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</si>
  <si>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</si>
  <si>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</si>
  <si>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</si>
  <si>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</si>
  <si>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</si>
  <si>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</si>
  <si>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</si>
  <si>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</si>
  <si>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</si>
  <si>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</si>
  <si>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</si>
  <si>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</si>
  <si>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</si>
  <si>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</si>
  <si>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</si>
  <si>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</si>
  <si>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</si>
  <si>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</si>
  <si>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</si>
  <si>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</si>
  <si>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</si>
  <si>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</si>
  <si>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</si>
  <si>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</si>
  <si>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</si>
  <si>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</si>
  <si>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</si>
  <si>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</si>
  <si>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</si>
  <si>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</si>
  <si>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</si>
  <si>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</si>
  <si>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</si>
  <si>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</si>
  <si>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</si>
  <si>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</si>
  <si>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</si>
  <si>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</si>
  <si>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</si>
  <si>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</si>
  <si>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</si>
  <si>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</si>
  <si>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</si>
  <si>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</si>
  <si>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</si>
  <si>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</si>
  <si>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</si>
  <si>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</si>
  <si>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</si>
  <si>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</si>
  <si>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</si>
  <si>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</si>
  <si>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</si>
  <si>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</si>
  <si>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</si>
  <si>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</si>
  <si>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</si>
  <si>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</si>
  <si>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</si>
  <si>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</si>
  <si>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</si>
  <si>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</si>
  <si>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</si>
  <si>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</si>
  <si>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</si>
  <si>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</si>
  <si>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</si>
  <si>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</si>
  <si>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</si>
  <si>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</si>
  <si>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</si>
  <si>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</si>
  <si>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</si>
  <si>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</si>
  <si>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</si>
  <si>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</si>
  <si>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</si>
  <si>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</si>
  <si>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</si>
  <si>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</si>
  <si>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</si>
  <si>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</si>
  <si>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</si>
  <si>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</si>
  <si>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</si>
  <si>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</si>
  <si>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</si>
  <si>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</si>
  <si>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</si>
  <si>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</si>
  <si>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</si>
  <si>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</si>
  <si>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</si>
  <si>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</si>
  <si>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</si>
  <si>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</si>
  <si>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</si>
  <si>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</si>
  <si>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</si>
  <si>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</si>
  <si>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</si>
  <si>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</si>
  <si>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</si>
  <si>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</si>
  <si>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</si>
  <si>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</si>
  <si>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</si>
  <si>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</si>
  <si>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</si>
  <si>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</si>
  <si>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</si>
  <si>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</si>
  <si>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</si>
  <si>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</si>
  <si>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</si>
  <si>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</si>
  <si>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</si>
  <si>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</si>
  <si>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</si>
  <si>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</si>
  <si>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</si>
  <si>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</si>
  <si>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</si>
  <si>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</si>
  <si>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</si>
  <si>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</si>
  <si>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</si>
  <si>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</si>
  <si>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</si>
  <si>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</si>
  <si>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</si>
  <si>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</si>
  <si>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</si>
  <si>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</si>
  <si>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</si>
  <si>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</si>
  <si>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</si>
  <si>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</si>
  <si>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</si>
  <si>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</si>
  <si>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</si>
  <si>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</si>
  <si>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</si>
  <si>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</si>
  <si>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</si>
  <si>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</si>
  <si>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</si>
  <si>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</si>
  <si>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</si>
  <si>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</si>
  <si>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</si>
  <si>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</si>
  <si>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</si>
  <si>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</si>
  <si>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</si>
  <si>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</si>
  <si>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</si>
  <si>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</si>
  <si>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</si>
  <si>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</si>
  <si>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</si>
  <si>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</si>
  <si>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</si>
  <si>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</si>
  <si>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</si>
  <si>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</si>
  <si>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</si>
  <si>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</si>
  <si>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</si>
  <si>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</si>
  <si>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</si>
  <si>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</si>
  <si>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</si>
  <si>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</si>
  <si>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</si>
  <si>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</si>
  <si>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</si>
  <si>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</si>
  <si>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</si>
  <si>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</si>
  <si>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</si>
  <si>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</si>
  <si>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</si>
  <si>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</si>
  <si>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</si>
  <si>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</si>
  <si>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</si>
  <si>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</si>
  <si>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</si>
  <si>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</si>
  <si>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</si>
  <si>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</si>
  <si>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</si>
  <si>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</si>
  <si>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</si>
  <si>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</si>
  <si>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</si>
  <si>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</si>
  <si>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</si>
  <si>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</si>
  <si>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</si>
  <si>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</si>
  <si>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</si>
  <si>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</si>
  <si>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</si>
  <si>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</si>
  <si>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</si>
  <si>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</si>
  <si>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</si>
  <si>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</si>
  <si>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</si>
  <si>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</si>
  <si>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</si>
  <si>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</si>
  <si>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</si>
  <si>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</si>
  <si>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</si>
  <si>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</si>
  <si>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</si>
  <si>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</si>
  <si>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</si>
  <si>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</si>
  <si>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</si>
  <si>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</si>
  <si>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</si>
  <si>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</si>
  <si>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</si>
  <si>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</si>
  <si>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</si>
  <si>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</si>
  <si>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</si>
  <si>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</si>
  <si>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</si>
  <si>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</si>
  <si>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</si>
  <si>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</si>
  <si>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</si>
  <si>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</si>
  <si>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</si>
  <si>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</si>
  <si>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</si>
  <si>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</si>
  <si>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</si>
  <si>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</si>
  <si>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</si>
  <si>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</si>
  <si>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</si>
  <si>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</si>
  <si>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</si>
  <si>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</si>
  <si>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</si>
  <si>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</si>
  <si>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</si>
  <si>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</si>
  <si>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</si>
  <si>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</si>
  <si>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</si>
  <si>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</si>
  <si>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</si>
  <si>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</si>
  <si>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</si>
  <si>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</si>
  <si>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</si>
  <si>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</si>
  <si>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</si>
  <si>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</si>
  <si>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</si>
  <si>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</si>
  <si>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</si>
  <si>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</si>
  <si>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</si>
  <si>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</si>
  <si>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</si>
  <si>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</si>
  <si>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</si>
  <si>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</si>
  <si>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</si>
  <si>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</si>
  <si>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</si>
  <si>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</si>
  <si>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</si>
  <si>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</si>
  <si>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</si>
  <si>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</si>
  <si>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</si>
  <si>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</si>
  <si>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</si>
  <si>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</si>
  <si>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</si>
  <si>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</si>
  <si>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</si>
  <si>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</si>
  <si>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</si>
  <si>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</si>
  <si>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</si>
  <si>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</si>
  <si>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</si>
  <si>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</si>
  <si>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</si>
  <si>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</si>
  <si>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</si>
  <si>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</si>
  <si>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</si>
  <si>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</si>
  <si>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</si>
  <si>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</si>
  <si>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</si>
  <si>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</si>
  <si>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</si>
  <si>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</si>
  <si>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</si>
  <si>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</si>
  <si>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</si>
  <si>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</si>
  <si>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</si>
  <si>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</si>
  <si>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</si>
  <si>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</si>
  <si>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</si>
  <si>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</si>
  <si>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</si>
  <si>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</si>
  <si>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</si>
  <si>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</si>
  <si>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</si>
  <si>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</si>
  <si>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</si>
  <si>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</si>
  <si>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</si>
  <si>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</si>
  <si>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</si>
  <si>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</si>
  <si>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</si>
  <si>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</si>
  <si>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</si>
  <si>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</si>
  <si>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</si>
  <si>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</si>
  <si>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</si>
  <si>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</si>
  <si>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</si>
  <si>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</si>
  <si>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</si>
  <si>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</si>
  <si>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</si>
  <si>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</si>
  <si>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</si>
  <si>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</si>
  <si>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</si>
  <si>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</si>
  <si>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</si>
  <si>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</si>
  <si>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</si>
  <si>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</si>
  <si>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</si>
  <si>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</si>
  <si>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</si>
  <si>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</si>
  <si>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</si>
  <si>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</si>
  <si>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</si>
  <si>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</si>
  <si>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</si>
  <si>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</si>
  <si>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</si>
  <si>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</si>
  <si>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</si>
  <si>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</si>
  <si>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</si>
  <si>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</si>
  <si>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</si>
  <si>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</si>
  <si>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</si>
  <si>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</si>
  <si>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</si>
  <si>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</si>
  <si>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</si>
  <si>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</si>
  <si>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</si>
  <si>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</si>
  <si>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</si>
  <si>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</si>
  <si>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</si>
  <si>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</si>
  <si>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</si>
  <si>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</si>
  <si>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</si>
  <si>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</si>
  <si>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</si>
  <si>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</si>
  <si>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</si>
  <si>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</si>
  <si>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</si>
  <si>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</si>
  <si>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</si>
  <si>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</si>
  <si>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</si>
  <si>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</si>
  <si>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</si>
  <si>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</si>
  <si>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</si>
  <si>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</si>
  <si>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</si>
  <si>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</si>
  <si>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</si>
  <si>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</si>
  <si>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</si>
  <si>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</si>
  <si>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</si>
  <si>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</si>
  <si>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</si>
  <si>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</si>
  <si>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</si>
  <si>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</si>
  <si>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</si>
  <si>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</si>
  <si>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</si>
  <si>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</si>
  <si>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</si>
  <si>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</si>
  <si>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</si>
  <si>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</si>
  <si>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</si>
  <si>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</si>
  <si>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</si>
  <si>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</si>
  <si>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</si>
  <si>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</si>
  <si>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</si>
  <si>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</si>
  <si>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</si>
  <si>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</si>
  <si>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</si>
  <si>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</si>
  <si>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</si>
  <si>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</si>
  <si>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</si>
  <si>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</si>
  <si>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</si>
  <si>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</si>
  <si>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</si>
  <si>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</si>
  <si>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</si>
  <si>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</si>
  <si>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</si>
  <si>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</si>
  <si>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</si>
  <si>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</si>
  <si>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</si>
  <si>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</si>
  <si>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</si>
  <si>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</si>
  <si>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</si>
  <si>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</si>
  <si>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</si>
  <si>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</si>
  <si>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</si>
  <si>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</si>
  <si>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</si>
  <si>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</si>
  <si>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</si>
  <si>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</si>
  <si>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</si>
  <si>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</si>
  <si>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</si>
  <si>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</si>
  <si>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</si>
  <si>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</si>
  <si>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</si>
  <si>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</si>
  <si>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</si>
  <si>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</si>
  <si>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</si>
  <si>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</si>
  <si>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</si>
  <si>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</si>
  <si>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</si>
  <si>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</si>
  <si>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</si>
  <si>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</si>
  <si>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</si>
  <si>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</si>
  <si>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</si>
  <si>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</si>
  <si>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</si>
  <si>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</si>
  <si>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</si>
  <si>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</si>
  <si>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</si>
  <si>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</si>
  <si>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</si>
  <si>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</si>
  <si>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</si>
  <si>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</si>
  <si>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</si>
  <si>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</si>
  <si>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</si>
  <si>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</si>
  <si>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</si>
  <si>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</si>
  <si>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</si>
  <si>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</si>
  <si>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</si>
  <si>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</si>
  <si>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</si>
  <si>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</si>
  <si>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</si>
  <si>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</si>
  <si>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</si>
  <si>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</si>
  <si>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</si>
  <si>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</si>
  <si>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</si>
  <si>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</si>
  <si>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</si>
  <si>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</si>
  <si>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</si>
  <si>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</si>
  <si>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</si>
  <si>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</si>
  <si>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</si>
  <si>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</si>
  <si>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</si>
  <si>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</si>
  <si>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</si>
  <si>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</si>
  <si>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</si>
  <si>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</si>
  <si>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</si>
  <si>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</si>
  <si>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</si>
  <si>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</si>
  <si>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</si>
  <si>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</si>
  <si>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</si>
  <si>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</si>
  <si>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</si>
  <si>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</si>
  <si>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</si>
  <si>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</si>
  <si>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</si>
  <si>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</si>
  <si>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</si>
  <si>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</si>
  <si>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</si>
  <si>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</si>
  <si>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</si>
  <si>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</si>
  <si>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</si>
  <si>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</si>
  <si>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</si>
  <si>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</si>
  <si>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</si>
  <si>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</si>
  <si>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</si>
  <si>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</si>
  <si>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</si>
  <si>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</si>
  <si>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</si>
  <si>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</si>
  <si>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</si>
  <si>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</si>
  <si>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</si>
  <si>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</si>
  <si>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</si>
  <si>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</si>
  <si>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</si>
  <si>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</si>
  <si>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</si>
  <si>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</si>
  <si>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</si>
  <si>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</si>
  <si>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</si>
  <si>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</si>
  <si>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</si>
  <si>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</si>
  <si>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</si>
  <si>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</si>
  <si>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</si>
  <si>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</si>
  <si>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</si>
  <si>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</si>
  <si>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</si>
  <si>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</si>
  <si>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</si>
  <si>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</si>
  <si>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</si>
  <si>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</si>
  <si>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</si>
  <si>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</si>
  <si>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</si>
  <si>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</si>
  <si>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</si>
  <si>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</si>
  <si>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</si>
  <si>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</si>
  <si>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</si>
  <si>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</si>
  <si>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</si>
  <si>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</si>
  <si>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</si>
  <si>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</si>
  <si>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</si>
  <si>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</si>
  <si>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</si>
  <si>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</si>
  <si>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</si>
  <si>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</si>
  <si>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</si>
  <si>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</si>
  <si>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</si>
  <si>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</si>
  <si>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</si>
  <si>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</si>
  <si>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</si>
  <si>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</si>
  <si>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</si>
  <si>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</si>
  <si>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</si>
  <si>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</si>
  <si>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</si>
  <si>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</si>
  <si>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</si>
  <si>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</si>
  <si>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</si>
  <si>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</si>
  <si>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</si>
  <si>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</si>
  <si>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</si>
  <si>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</si>
  <si>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</si>
  <si>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</si>
  <si>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</si>
  <si>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</si>
  <si>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</si>
  <si>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</si>
  <si>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</si>
  <si>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</si>
  <si>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</si>
  <si>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</si>
  <si>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</si>
  <si>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</si>
  <si>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</si>
  <si>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</si>
  <si>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</si>
  <si>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</si>
  <si>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</si>
  <si>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</si>
  <si>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</si>
  <si>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</si>
  <si>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</si>
  <si>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</si>
  <si>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</si>
  <si>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</si>
  <si>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</si>
  <si>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</si>
  <si>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</si>
  <si>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</si>
  <si>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</si>
  <si>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</si>
  <si>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</si>
  <si>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</si>
  <si>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</si>
  <si>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</si>
  <si>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</si>
  <si>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</si>
  <si>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</si>
  <si>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</si>
  <si>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</si>
  <si>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</si>
  <si>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</si>
  <si>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</si>
  <si>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</si>
  <si>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</si>
  <si>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</si>
  <si>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</si>
  <si>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</si>
  <si>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</si>
  <si>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</si>
  <si>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</si>
  <si>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</si>
  <si>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</si>
  <si>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</si>
  <si>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</si>
  <si>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</si>
  <si>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</si>
  <si>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</si>
  <si>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</si>
  <si>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</si>
  <si>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</si>
  <si>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</si>
  <si>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</si>
  <si>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</si>
  <si>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</si>
  <si>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</si>
  <si>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</si>
  <si>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</si>
  <si>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</si>
  <si>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</si>
  <si>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</si>
  <si>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</si>
  <si>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</si>
  <si>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</si>
  <si>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</si>
  <si>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</si>
  <si>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</si>
  <si>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</si>
  <si>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</si>
  <si>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</si>
  <si>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</si>
  <si>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</si>
  <si>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</si>
  <si>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</si>
  <si>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</si>
  <si>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</si>
  <si>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</si>
  <si>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</si>
  <si>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</si>
  <si>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</si>
  <si>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</si>
  <si>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</si>
  <si>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</si>
  <si>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</si>
  <si>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</si>
  <si>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</si>
  <si>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</si>
  <si>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</si>
  <si>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</si>
  <si>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</si>
  <si>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</si>
  <si>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</si>
  <si>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</si>
  <si>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</si>
  <si>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</si>
  <si>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</si>
  <si>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</si>
  <si>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</si>
  <si>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</si>
  <si>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</si>
  <si>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</si>
  <si>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</si>
  <si>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</si>
  <si>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</si>
  <si>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</si>
  <si>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</si>
  <si>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</si>
  <si>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</si>
  <si>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</si>
  <si>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</si>
  <si>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</si>
  <si>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</si>
  <si>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</si>
  <si>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</si>
  <si>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</si>
  <si>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</si>
  <si>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</si>
  <si>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</si>
  <si>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</si>
  <si>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</si>
  <si>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</si>
  <si>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</si>
  <si>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</si>
  <si>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</si>
  <si>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</si>
  <si>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</si>
  <si>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</si>
  <si>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</si>
  <si>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</si>
  <si>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</si>
  <si>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</si>
  <si>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</si>
  <si>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</si>
  <si>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</si>
  <si>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</si>
  <si>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</si>
  <si>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</si>
  <si>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</si>
  <si>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</si>
  <si>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</si>
  <si>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</si>
  <si>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</si>
  <si>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</si>
  <si>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</si>
  <si>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</si>
  <si>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</si>
  <si>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</si>
  <si>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</si>
  <si>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</si>
  <si>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</si>
  <si>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</si>
  <si>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</si>
  <si>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</si>
  <si>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</si>
  <si>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</si>
  <si>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</si>
  <si>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</si>
  <si>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</si>
  <si>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</si>
  <si>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</si>
  <si>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</si>
  <si>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</si>
  <si>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</si>
  <si>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</si>
  <si>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</si>
  <si>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</si>
  <si>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</si>
  <si>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</si>
  <si>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</si>
  <si>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</si>
  <si>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</si>
  <si>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</si>
  <si>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</si>
  <si>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</si>
  <si>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</si>
  <si>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</si>
  <si>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</si>
  <si>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</si>
  <si>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</si>
  <si>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</si>
  <si>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</si>
  <si>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</si>
  <si>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</si>
  <si>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</si>
  <si>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</si>
  <si>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</si>
  <si>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</si>
  <si>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</si>
  <si>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</si>
  <si>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</si>
  <si>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</si>
  <si>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</si>
  <si>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</si>
  <si>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</si>
  <si>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</si>
  <si>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</si>
  <si>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</si>
  <si>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</si>
  <si>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</si>
  <si>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</si>
  <si>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</si>
  <si>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</si>
  <si>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</si>
  <si>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</si>
  <si>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</si>
  <si>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</si>
  <si>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</si>
  <si>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</si>
  <si>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</si>
  <si>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</si>
  <si>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</si>
  <si>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</si>
  <si>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</si>
  <si>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</si>
  <si>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</si>
  <si>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</si>
  <si>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</si>
  <si>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</si>
  <si>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</si>
  <si>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</si>
  <si>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</si>
  <si>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</si>
  <si>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</si>
  <si>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</si>
  <si>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</si>
  <si>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</si>
  <si>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</si>
  <si>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</si>
  <si>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</si>
  <si>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</si>
  <si>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</si>
  <si>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</si>
  <si>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</si>
  <si>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</si>
  <si>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</si>
  <si>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</si>
  <si>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</si>
  <si>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</si>
  <si>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</si>
  <si>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</si>
  <si>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</si>
  <si>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</si>
  <si>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</si>
  <si>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</si>
  <si>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</si>
  <si>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</si>
  <si>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</si>
  <si>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</si>
  <si>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</si>
  <si>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</si>
  <si>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</si>
  <si>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</si>
  <si>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</si>
  <si>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</si>
  <si>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</si>
  <si>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</si>
  <si>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</si>
  <si>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</si>
  <si>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</si>
  <si>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</si>
  <si>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</si>
  <si>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</si>
  <si>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</si>
  <si>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</si>
  <si>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</si>
  <si>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</si>
  <si>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</si>
  <si>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</si>
  <si>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</si>
  <si>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</si>
  <si>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</si>
  <si>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</si>
  <si>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</si>
  <si>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</si>
  <si>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</si>
  <si>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</si>
  <si>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</si>
  <si>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</si>
  <si>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</si>
  <si>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</si>
  <si>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</si>
  <si>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</si>
  <si>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</si>
  <si>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</si>
  <si>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</si>
  <si>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</si>
  <si>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</si>
  <si>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</si>
  <si>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</si>
  <si>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</si>
  <si>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</si>
  <si>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</si>
  <si>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</si>
  <si>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</si>
  <si>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</si>
  <si>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</si>
  <si>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</si>
  <si>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</si>
  <si>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</si>
  <si>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</si>
  <si>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</si>
  <si>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</si>
  <si>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</si>
  <si>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</si>
  <si>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</si>
  <si>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</si>
  <si>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</si>
  <si>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</si>
  <si>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</si>
  <si>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</si>
  <si>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</si>
  <si>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</si>
  <si>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</si>
  <si>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</si>
  <si>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</si>
  <si>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</si>
  <si>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</si>
  <si>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</si>
  <si>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</si>
  <si>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</si>
  <si>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</si>
  <si>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</si>
  <si>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</si>
  <si>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</si>
  <si>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</si>
  <si>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</si>
  <si>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</si>
  <si>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</si>
  <si>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</si>
  <si>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</si>
  <si>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</si>
  <si>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</si>
  <si>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</si>
  <si>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</si>
  <si>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</si>
  <si>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</si>
  <si>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</si>
  <si>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</si>
  <si>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</si>
  <si>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</si>
  <si>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</si>
  <si>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</si>
  <si>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</si>
  <si>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</si>
  <si>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</si>
  <si>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</si>
  <si>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</si>
  <si>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</si>
  <si>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</si>
  <si>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</si>
  <si>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</si>
  <si>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</si>
  <si>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</si>
  <si>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</si>
  <si>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</si>
  <si>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</si>
  <si>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</si>
  <si>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</si>
  <si>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</si>
  <si>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</si>
  <si>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</si>
  <si>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</si>
  <si>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</si>
  <si>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</si>
  <si>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</si>
  <si>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</si>
  <si>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</si>
  <si>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</si>
  <si>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</si>
  <si>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</si>
  <si>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</si>
  <si>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</si>
  <si>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</si>
  <si>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</si>
  <si>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</si>
  <si>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</si>
  <si>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</si>
  <si>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</si>
  <si>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</si>
  <si>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</si>
  <si>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</si>
  <si>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</si>
  <si>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</si>
  <si>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</si>
  <si>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</si>
  <si>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</si>
  <si>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</si>
  <si>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</si>
  <si>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</si>
  <si>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</si>
  <si>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</si>
  <si>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</si>
  <si>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</si>
  <si>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</si>
  <si>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</si>
  <si>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</si>
  <si>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</si>
  <si>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</si>
  <si>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</si>
  <si>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</si>
  <si>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</si>
  <si>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</si>
  <si>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</si>
  <si>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</si>
  <si>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</si>
  <si>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</si>
  <si>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</si>
  <si>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</si>
  <si>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</si>
  <si>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</si>
  <si>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</si>
  <si>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</si>
  <si>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</si>
  <si>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</si>
  <si>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</si>
  <si>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</si>
  <si>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</si>
  <si>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</si>
  <si>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</si>
  <si>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</si>
  <si>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</si>
  <si>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</si>
  <si>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</si>
  <si>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</si>
  <si>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</si>
  <si>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</si>
  <si>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</si>
  <si>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</si>
  <si>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</si>
  <si>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</si>
  <si>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</si>
  <si>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</si>
  <si>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</si>
  <si>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</si>
  <si>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</si>
  <si>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</si>
  <si>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</si>
  <si>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</si>
  <si>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</si>
  <si>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</si>
  <si>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</si>
  <si>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</si>
  <si>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</si>
  <si>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</si>
  <si>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</si>
  <si>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</si>
  <si>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</si>
  <si>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</si>
  <si>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</si>
  <si>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</si>
  <si>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</si>
  <si>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</si>
  <si>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</si>
  <si>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</si>
  <si>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</si>
  <si>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</si>
  <si>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</si>
  <si>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</si>
  <si>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</si>
  <si>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</si>
  <si>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</si>
  <si>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</si>
  <si>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</si>
  <si>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</si>
  <si>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</si>
  <si>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</si>
  <si>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</si>
  <si>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</si>
  <si>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</si>
  <si>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</si>
  <si>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</si>
  <si>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</si>
  <si>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</si>
  <si>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</si>
  <si>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</si>
  <si>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</si>
  <si>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</si>
  <si>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</si>
  <si>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</si>
  <si>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</si>
  <si>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</si>
  <si>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</si>
  <si>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</si>
  <si>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</si>
  <si>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</si>
  <si>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</si>
  <si>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</si>
  <si>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</si>
  <si>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</si>
  <si>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</si>
  <si>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</si>
  <si>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</si>
  <si>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</si>
  <si>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</si>
  <si>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</si>
  <si>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</si>
  <si>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</si>
  <si>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</si>
  <si>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</si>
  <si>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</si>
  <si>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</si>
  <si>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</si>
  <si>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</si>
  <si>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</si>
  <si>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</si>
  <si>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</si>
  <si>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</si>
  <si>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</si>
  <si>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</si>
  <si>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</si>
  <si>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</si>
  <si>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</si>
  <si>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</si>
  <si>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</si>
  <si>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</si>
  <si>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</si>
  <si>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</si>
  <si>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</si>
  <si>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</si>
  <si>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</si>
  <si>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</si>
  <si>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</si>
  <si>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</si>
  <si>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</si>
  <si>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</si>
  <si>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</si>
  <si>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</si>
  <si>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</si>
  <si>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</si>
  <si>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</si>
  <si>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</si>
  <si>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</si>
  <si>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</si>
  <si>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</si>
  <si>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</si>
  <si>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</si>
  <si>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</si>
  <si>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</si>
  <si>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</si>
  <si>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</si>
  <si>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</si>
  <si>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</si>
  <si>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</si>
  <si>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</si>
  <si>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</si>
  <si>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</si>
  <si>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</si>
  <si>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</si>
  <si>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</si>
  <si>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</si>
  <si>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</si>
  <si>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</si>
  <si>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</si>
  <si>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</si>
  <si>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</si>
  <si>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</si>
  <si>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</si>
  <si>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</si>
  <si>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</si>
  <si>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</si>
  <si>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</si>
  <si>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</si>
  <si>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</si>
  <si>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</si>
  <si>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</si>
  <si>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</si>
  <si>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</si>
  <si>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</si>
  <si>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</si>
  <si>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</si>
  <si>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</si>
  <si>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</si>
  <si>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</si>
  <si>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</si>
  <si>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</si>
  <si>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</si>
  <si>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</si>
  <si>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</si>
  <si>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</si>
  <si>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</si>
  <si>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</si>
  <si>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</si>
  <si>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</si>
  <si>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</si>
  <si>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</si>
  <si>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</si>
  <si>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</si>
  <si>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</si>
  <si>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</si>
  <si>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</si>
  <si>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</si>
  <si>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</si>
  <si>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</si>
  <si>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</si>
  <si>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</si>
  <si>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</si>
  <si>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</si>
  <si>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</si>
  <si>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</si>
  <si>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</si>
  <si>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</si>
  <si>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</si>
  <si>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</si>
  <si>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</si>
  <si>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</si>
  <si>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</si>
  <si>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</si>
  <si>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</si>
  <si>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</si>
  <si>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</si>
  <si>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</si>
  <si>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</si>
  <si>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</si>
  <si>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</si>
  <si>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</si>
  <si>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</si>
  <si>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</si>
  <si>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</si>
  <si>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</si>
  <si>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</si>
  <si>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</si>
  <si>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</si>
  <si>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</si>
  <si>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</si>
  <si>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</si>
  <si>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</si>
  <si>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</si>
  <si>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</si>
  <si>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</si>
  <si>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</si>
  <si>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</si>
  <si>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</si>
  <si>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</si>
  <si>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</si>
  <si>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</si>
  <si>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</si>
  <si>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</si>
  <si>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</si>
  <si>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</si>
  <si>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</si>
  <si>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</si>
  <si>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</si>
  <si>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</si>
  <si>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</si>
  <si>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</si>
  <si>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</si>
  <si>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</si>
  <si>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</si>
  <si>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</si>
  <si>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</si>
  <si>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</si>
  <si>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</si>
  <si>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</si>
  <si>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</si>
  <si>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</si>
  <si>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</si>
  <si>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</si>
  <si>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</si>
  <si>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</si>
  <si>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</si>
  <si>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</si>
  <si>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</si>
  <si>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</si>
  <si>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</si>
  <si>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</si>
  <si>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</si>
  <si>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</si>
  <si>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</si>
  <si>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</si>
  <si>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</si>
  <si>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</si>
  <si>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</si>
  <si>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</si>
  <si>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</si>
  <si>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</si>
  <si>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</si>
  <si>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</si>
  <si>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</si>
  <si>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</si>
  <si>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</si>
  <si>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</si>
  <si>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</si>
  <si>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</si>
  <si>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</si>
  <si>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</si>
  <si>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</si>
  <si>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</si>
  <si>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</si>
  <si>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</si>
  <si>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</si>
  <si>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</si>
  <si>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</si>
  <si>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</si>
  <si>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</si>
  <si>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</si>
  <si>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</si>
  <si>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</si>
  <si>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</si>
  <si>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</si>
  <si>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</si>
  <si>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</si>
  <si>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</si>
  <si>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</si>
  <si>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</si>
  <si>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</si>
  <si>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</si>
  <si>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</si>
  <si>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</si>
  <si>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</si>
  <si>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</si>
  <si>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</si>
  <si>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</si>
  <si>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</si>
  <si>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</si>
  <si>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</si>
  <si>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</si>
  <si>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</si>
  <si>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</si>
  <si>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</si>
  <si>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</si>
  <si>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</si>
  <si>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</si>
  <si>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</si>
  <si>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</si>
  <si>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</si>
  <si>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</si>
  <si>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</si>
  <si>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</si>
  <si>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</si>
  <si>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</si>
  <si>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</si>
  <si>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</si>
  <si>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</si>
  <si>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</si>
  <si>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</si>
  <si>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</si>
  <si>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</si>
  <si>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</si>
  <si>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</si>
  <si>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</si>
  <si>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</si>
  <si>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</si>
  <si>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</si>
  <si>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</si>
  <si>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</si>
  <si>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</si>
  <si>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</si>
  <si>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</si>
  <si>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</si>
  <si>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</si>
  <si>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</si>
  <si>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</si>
  <si>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</si>
  <si>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</si>
  <si>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</si>
  <si>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</si>
  <si>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</si>
  <si>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</si>
  <si>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</si>
  <si>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</si>
  <si>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</si>
  <si>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</si>
  <si>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</si>
  <si>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</si>
  <si>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</si>
  <si>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</si>
  <si>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</si>
  <si>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</si>
  <si>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</si>
  <si>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</si>
  <si>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</si>
  <si>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</si>
  <si>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</si>
  <si>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</si>
  <si>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</si>
  <si>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</si>
  <si>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</si>
  <si>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</si>
  <si>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</si>
  <si>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</si>
  <si>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</si>
  <si>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</si>
  <si>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</si>
  <si>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</si>
  <si>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</si>
  <si>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</si>
  <si>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</si>
  <si>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</si>
  <si>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</si>
  <si>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</si>
  <si>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</si>
  <si>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</si>
  <si>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</si>
  <si>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</si>
  <si>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</si>
  <si>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</si>
  <si>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</si>
  <si>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</si>
  <si>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</si>
  <si>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</si>
  <si>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</si>
  <si>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</si>
  <si>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</si>
  <si>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</si>
  <si>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</si>
  <si>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</si>
  <si>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</si>
  <si>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</si>
  <si>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</si>
  <si>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</si>
  <si>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</si>
  <si>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</si>
  <si>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</si>
  <si>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</si>
  <si>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</si>
  <si>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</si>
  <si>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</si>
  <si>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</si>
  <si>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</si>
  <si>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</si>
  <si>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</si>
  <si>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</si>
  <si>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</si>
  <si>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</si>
  <si>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</si>
  <si>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</si>
  <si>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</si>
  <si>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</si>
  <si>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</si>
  <si>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</si>
  <si>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</si>
  <si>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</si>
  <si>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</si>
  <si>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</si>
  <si>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</si>
  <si>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</si>
  <si>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</si>
  <si>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</si>
  <si>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</si>
  <si>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</si>
  <si>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</si>
  <si>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</si>
  <si>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</si>
  <si>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</si>
  <si>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</si>
  <si>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</si>
  <si>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</si>
  <si>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</si>
  <si>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</si>
  <si>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</si>
  <si>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</si>
  <si>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</si>
  <si>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</si>
  <si>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</si>
  <si>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</si>
  <si>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</si>
  <si>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</si>
  <si>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</si>
  <si>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</si>
  <si>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</si>
  <si>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</si>
  <si>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</si>
  <si>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</si>
  <si>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</si>
  <si>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</si>
  <si>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</si>
  <si>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</si>
  <si>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</si>
  <si>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</si>
  <si>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</si>
  <si>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</si>
  <si>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</si>
  <si>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</si>
  <si>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</si>
  <si>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</si>
  <si>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</si>
  <si>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</si>
  <si>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</si>
  <si>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</si>
  <si>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</si>
  <si>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</si>
  <si>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</si>
  <si>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</si>
  <si>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</si>
  <si>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</si>
  <si>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</si>
  <si>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</si>
  <si>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</si>
  <si>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</si>
  <si>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</si>
  <si>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</si>
  <si>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</si>
  <si>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</si>
  <si>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</si>
  <si>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</si>
  <si>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</si>
  <si>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</si>
  <si>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</si>
  <si>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</si>
  <si>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</si>
  <si>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</si>
  <si>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</si>
  <si>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</si>
  <si>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</si>
  <si>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</si>
  <si>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</si>
  <si>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</si>
  <si>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</si>
  <si>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</si>
  <si>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</si>
  <si>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</si>
  <si>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</si>
  <si>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</si>
  <si>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</si>
  <si>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</si>
  <si>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</si>
  <si>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</si>
  <si>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</si>
  <si>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</si>
  <si>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</si>
  <si>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</si>
  <si>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</si>
  <si>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</si>
  <si>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</si>
  <si>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</si>
  <si>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</si>
  <si>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</si>
  <si>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</si>
  <si>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</si>
  <si>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</si>
  <si>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</si>
  <si>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</si>
  <si>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</si>
  <si>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</si>
  <si>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</si>
  <si>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</si>
  <si>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</si>
  <si>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</si>
  <si>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</si>
  <si>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</si>
  <si>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</si>
  <si>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</si>
  <si>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</si>
  <si>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</si>
  <si>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</si>
  <si>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</si>
  <si>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</si>
  <si>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</si>
  <si>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</si>
  <si>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</si>
  <si>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</si>
  <si>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</si>
  <si>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</si>
  <si>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</si>
  <si>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</si>
  <si>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</si>
  <si>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</si>
  <si>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</si>
  <si>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</si>
  <si>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</si>
  <si>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</si>
  <si>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</si>
  <si>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</si>
  <si>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</si>
  <si>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</si>
  <si>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</si>
  <si>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</si>
  <si>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</si>
  <si>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</si>
  <si>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</si>
  <si>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</si>
  <si>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</si>
  <si>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</si>
  <si>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</si>
  <si>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</si>
  <si>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</si>
  <si>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</si>
  <si>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</si>
  <si>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</si>
  <si>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</si>
  <si>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</si>
  <si>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</si>
  <si>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</si>
  <si>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</si>
  <si>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</si>
  <si>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</si>
  <si>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</si>
  <si>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</si>
  <si>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</si>
  <si>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</si>
  <si>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</si>
  <si>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</si>
  <si>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</si>
  <si>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</si>
  <si>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</si>
  <si>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</si>
  <si>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</si>
  <si>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</si>
  <si>
    <t>Near_bb_squirrel</t>
  </si>
  <si>
    <t>Threatened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</si>
</sst>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Calibri"/>
      <scheme val="minor"/>
    </font>
    <font>
      <sz val="11"/>
      <color rgb="FF222222"/>
      <name val="&quot;Courier New&quot;"/>
    </font>
    <font>
      <sz val="10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24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3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24"/>
  <sheetViews>
    <sheetView tabSelected="1" topLeftCell="V1" workbookViewId="0">
      <pane ySplit="1" topLeftCell="A2" activePane="bottomLeft" state="frozen"/>
      <selection pane="bottomLeft" activeCell="AG4" sqref="AG4"/>
    </sheetView>
  </sheetViews>
  <sheetFormatPr defaultColWidth="11" defaultRowHeight="15.6"/>
  <cols>
    <col min="1" max="1" width="12.59765625" style="8" bestFit="1" customWidth="1"/>
    <col min="2" max="2" width="18.796875" style="8" customWidth="1"/>
    <col min="3" max="3" width="20.5" style="8" customWidth="1"/>
    <col min="4" max="4" width="11" style="8"/>
    <col min="5" max="5" width="14.5" style="8" bestFit="1" customWidth="1"/>
    <col min="6" max="6" width="17.09765625" style="8" bestFit="1" customWidth="1"/>
    <col min="7" max="7" width="11" style="8"/>
    <col min="8" max="8" width="11" style="10"/>
    <col min="9" max="9" width="25.09765625" style="10" customWidth="1"/>
    <col min="10" max="10" width="11" style="8"/>
    <col min="11" max="11" width="16.59765625" style="8" customWidth="1"/>
    <col min="12" max="12" width="17.09765625" style="8" customWidth="1"/>
    <col min="13" max="13" width="20.5" style="8" customWidth="1"/>
    <col min="14" max="14" width="59.3984375" style="11" customWidth="1"/>
    <col min="15" max="15" width="16.296875" style="8" customWidth="1"/>
    <col min="16" max="16" width="12.09765625" style="8" customWidth="1"/>
    <col min="17" max="17" width="16.5" style="8" customWidth="1"/>
    <col min="18" max="18" width="12.296875" style="8" customWidth="1"/>
    <col min="19" max="19" width="11.296875" style="8" customWidth="1"/>
    <col min="20" max="22" width="11" style="8"/>
    <col min="23" max="23" width="57.19921875" style="11" customWidth="1"/>
    <col min="24" max="31" width="11" style="8"/>
    <col min="32" max="32" width="17.796875" style="11" customWidth="1"/>
    <col min="33" max="33" width="22.09765625" style="11" customWidth="1"/>
    <col min="34" max="34" width="27.296875" style="11" customWidth="1"/>
    <col min="35" max="35" width="19.296875" style="8" bestFit="1" customWidth="1"/>
    <col min="36" max="16384" width="11" style="8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9" t="s">
        <v>7419</v>
      </c>
      <c r="F1" s="9"/>
      <c r="G1" s="8" t="s">
        <v>4</v>
      </c>
      <c r="H1" s="10" t="s">
        <v>5</v>
      </c>
      <c r="I1" s="10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11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11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11" t="s">
        <v>29</v>
      </c>
      <c r="AG1" s="11" t="s">
        <v>7420</v>
      </c>
      <c r="AH1" s="11" t="s">
        <v>30</v>
      </c>
      <c r="AI1" s="8" t="s">
        <v>31</v>
      </c>
    </row>
    <row r="2" spans="1:35" ht="31.2">
      <c r="A2" s="8">
        <v>-73.956134489999997</v>
      </c>
      <c r="B2" s="8">
        <v>40.79408239</v>
      </c>
      <c r="C2" s="8" t="s">
        <v>32</v>
      </c>
      <c r="D2" s="8" t="s">
        <v>33</v>
      </c>
      <c r="E2" s="8" t="b">
        <f>OR(D2 = "05D", D2 = "07D", D2 = "06C", D2 = "06E")</f>
        <v>0</v>
      </c>
      <c r="F2" s="8" t="b" cm="1">
        <f t="array" ref="F2">_xlfn._xlws.FILTER(E2:E3200, C2:C3200= "6D-PM-1020-01", "No Squirrels Found")</f>
        <v>0</v>
      </c>
      <c r="G2" s="8" t="s">
        <v>34</v>
      </c>
      <c r="H2" s="10">
        <v>10142018</v>
      </c>
      <c r="I2" s="10">
        <v>3</v>
      </c>
      <c r="M2" s="8" t="s">
        <v>35</v>
      </c>
      <c r="R2" s="8" t="b">
        <v>0</v>
      </c>
      <c r="S2" s="8" t="b">
        <v>0</v>
      </c>
      <c r="T2" s="8" t="b">
        <v>0</v>
      </c>
      <c r="U2" s="8" t="b">
        <v>0</v>
      </c>
      <c r="V2" s="8" t="b">
        <v>0</v>
      </c>
      <c r="X2" s="8" t="b">
        <v>0</v>
      </c>
      <c r="Y2" s="8" t="b">
        <v>0</v>
      </c>
      <c r="Z2" s="8" t="b">
        <v>0</v>
      </c>
      <c r="AA2" s="8" t="b">
        <v>0</v>
      </c>
      <c r="AB2" s="8" t="b">
        <v>0</v>
      </c>
      <c r="AC2" s="8" t="b">
        <v>0</v>
      </c>
      <c r="AD2" s="8" t="b">
        <v>0</v>
      </c>
      <c r="AE2" s="8" t="b">
        <v>0</v>
      </c>
      <c r="AG2" s="11" t="b" cm="1">
        <f t="array" ref="AG2">IF(OR(Y2:AA2="TRUE", AE2="true"), "Threatened")</f>
        <v>0</v>
      </c>
      <c r="AH2" s="11" t="s">
        <v>36</v>
      </c>
      <c r="AI2" s="8" t="b">
        <v>1</v>
      </c>
    </row>
    <row r="3" spans="1:35" ht="31.2">
      <c r="A3" s="8">
        <v>-73.957043769999999</v>
      </c>
      <c r="B3" s="8">
        <v>40.794850940000003</v>
      </c>
      <c r="C3" s="8" t="s">
        <v>37</v>
      </c>
      <c r="D3" s="8" t="s">
        <v>38</v>
      </c>
      <c r="E3" s="8" t="b">
        <f t="shared" ref="E3:E66" si="0">OR(D3 = "05D", D3 = "07D", D3 = "06C", D3 = "06E")</f>
        <v>0</v>
      </c>
      <c r="F3" s="8" t="b" cm="1">
        <f t="array" ref="F3">_xlfn._xlws.FILTER(E3:E3201, C3:C3201= "6D-PM-1020-01", "No Squirrels Found")</f>
        <v>0</v>
      </c>
      <c r="G3" s="8" t="s">
        <v>34</v>
      </c>
      <c r="H3" s="10">
        <v>10062018</v>
      </c>
      <c r="I3" s="10">
        <v>3</v>
      </c>
      <c r="J3" s="8" t="s">
        <v>39</v>
      </c>
      <c r="K3" s="8" t="s">
        <v>40</v>
      </c>
      <c r="L3" s="8" t="s">
        <v>41</v>
      </c>
      <c r="M3" s="8" t="s">
        <v>42</v>
      </c>
      <c r="O3" s="8" t="s">
        <v>43</v>
      </c>
      <c r="P3" s="8" t="b">
        <v>0</v>
      </c>
      <c r="R3" s="8" t="b">
        <v>1</v>
      </c>
      <c r="S3" s="8" t="b">
        <v>0</v>
      </c>
      <c r="T3" s="8" t="b">
        <v>0</v>
      </c>
      <c r="U3" s="8" t="b">
        <v>0</v>
      </c>
      <c r="V3" s="8" t="b">
        <v>0</v>
      </c>
      <c r="X3" s="8" t="b">
        <v>0</v>
      </c>
      <c r="Y3" s="8" t="b">
        <v>0</v>
      </c>
      <c r="Z3" s="8" t="b">
        <v>0</v>
      </c>
      <c r="AA3" s="8" t="b">
        <v>0</v>
      </c>
      <c r="AB3" s="8" t="b">
        <v>0</v>
      </c>
      <c r="AC3" s="8" t="b">
        <v>0</v>
      </c>
      <c r="AD3" s="8" t="b">
        <v>0</v>
      </c>
      <c r="AE3" s="8" t="b">
        <v>1</v>
      </c>
      <c r="AF3" s="11" t="s">
        <v>44</v>
      </c>
      <c r="AG3" s="11" t="b" cm="1">
        <f t="array" ref="AG3">IF(OR(Y3:AA3="TRUE", AE3="true"), "Threatened")</f>
        <v>0</v>
      </c>
      <c r="AH3" s="11" t="s">
        <v>45</v>
      </c>
      <c r="AI3" s="8" t="b">
        <v>1</v>
      </c>
    </row>
    <row r="4" spans="1:35" ht="31.2">
      <c r="A4" s="8">
        <v>-73.976831180000005</v>
      </c>
      <c r="B4" s="8">
        <v>40.766717810000003</v>
      </c>
      <c r="C4" s="8" t="s">
        <v>46</v>
      </c>
      <c r="D4" s="8" t="s">
        <v>47</v>
      </c>
      <c r="E4" s="8" t="b">
        <f t="shared" si="0"/>
        <v>0</v>
      </c>
      <c r="F4" s="8" t="b" cm="1">
        <f t="array" ref="F4">_xlfn._xlws.FILTER(E4:E3202, C4:C3202= "6D-PM-1020-01", "No Squirrels Found")</f>
        <v>0</v>
      </c>
      <c r="G4" s="8" t="s">
        <v>48</v>
      </c>
      <c r="H4" s="10">
        <v>10102018</v>
      </c>
      <c r="I4" s="10">
        <v>3</v>
      </c>
      <c r="J4" s="8" t="s">
        <v>39</v>
      </c>
      <c r="K4" s="8" t="s">
        <v>41</v>
      </c>
      <c r="M4" s="8" t="s">
        <v>49</v>
      </c>
      <c r="O4" s="8" t="s">
        <v>50</v>
      </c>
      <c r="P4" s="8">
        <v>4</v>
      </c>
      <c r="R4" s="8" t="b">
        <v>0</v>
      </c>
      <c r="S4" s="8" t="b">
        <v>0</v>
      </c>
      <c r="T4" s="8" t="b">
        <v>1</v>
      </c>
      <c r="U4" s="8" t="b">
        <v>0</v>
      </c>
      <c r="V4" s="8" t="b">
        <v>0</v>
      </c>
      <c r="X4" s="8" t="b">
        <v>0</v>
      </c>
      <c r="Y4" s="8" t="b">
        <v>0</v>
      </c>
      <c r="Z4" s="8" t="b">
        <v>0</v>
      </c>
      <c r="AA4" s="8" t="b">
        <v>0</v>
      </c>
      <c r="AB4" s="8" t="b">
        <v>0</v>
      </c>
      <c r="AC4" s="8" t="b">
        <v>0</v>
      </c>
      <c r="AD4" s="8" t="b">
        <v>1</v>
      </c>
      <c r="AE4" s="8" t="b">
        <v>0</v>
      </c>
      <c r="AG4" s="11" t="b" cm="1">
        <f t="array" ref="AG4">IF(OR(Y4:AA4="TRUE", AE4="true"), "Threatened")</f>
        <v>0</v>
      </c>
      <c r="AH4" s="11" t="s">
        <v>51</v>
      </c>
      <c r="AI4" s="8" t="b">
        <v>1</v>
      </c>
    </row>
    <row r="5" spans="1:35" ht="31.2">
      <c r="A5" s="8">
        <v>-73.975724979999995</v>
      </c>
      <c r="B5" s="8">
        <v>40.76970326</v>
      </c>
      <c r="C5" s="8" t="s">
        <v>52</v>
      </c>
      <c r="D5" s="8" t="s">
        <v>53</v>
      </c>
      <c r="E5" s="8" t="b">
        <f t="shared" si="0"/>
        <v>1</v>
      </c>
      <c r="F5" s="8" t="b" cm="1">
        <f t="array" ref="F5">_xlfn._xlws.FILTER(E5:E3203, C5:C3203= "6D-PM-1020-01", "No Squirrels Found")</f>
        <v>0</v>
      </c>
      <c r="G5" s="8" t="s">
        <v>34</v>
      </c>
      <c r="H5" s="10">
        <v>10182018</v>
      </c>
      <c r="I5" s="10">
        <v>5</v>
      </c>
      <c r="J5" s="8" t="s">
        <v>54</v>
      </c>
      <c r="K5" s="8" t="s">
        <v>40</v>
      </c>
      <c r="M5" s="8" t="s">
        <v>55</v>
      </c>
      <c r="O5" s="8" t="s">
        <v>50</v>
      </c>
      <c r="P5" s="8">
        <v>3</v>
      </c>
      <c r="R5" s="8" t="b">
        <v>0</v>
      </c>
      <c r="S5" s="8" t="b">
        <v>0</v>
      </c>
      <c r="T5" s="8" t="b">
        <v>1</v>
      </c>
      <c r="U5" s="8" t="b">
        <v>0</v>
      </c>
      <c r="V5" s="8" t="b">
        <v>0</v>
      </c>
      <c r="X5" s="8" t="b">
        <v>0</v>
      </c>
      <c r="Y5" s="8" t="b">
        <v>0</v>
      </c>
      <c r="Z5" s="8" t="b">
        <v>0</v>
      </c>
      <c r="AA5" s="8" t="b">
        <v>0</v>
      </c>
      <c r="AB5" s="8" t="b">
        <v>0</v>
      </c>
      <c r="AC5" s="8" t="b">
        <v>0</v>
      </c>
      <c r="AD5" s="8" t="b">
        <v>0</v>
      </c>
      <c r="AE5" s="8" t="b">
        <v>1</v>
      </c>
      <c r="AG5" s="11" t="b" cm="1">
        <f t="array" ref="AG5">IF(OR(Y5:AA5="TRUE", AE5="true"), "Threatened")</f>
        <v>0</v>
      </c>
      <c r="AH5" s="11" t="s">
        <v>56</v>
      </c>
      <c r="AI5" s="8" t="b">
        <v>1</v>
      </c>
    </row>
    <row r="6" spans="1:35" ht="31.2">
      <c r="A6" s="8">
        <v>-73.959312670000003</v>
      </c>
      <c r="B6" s="8">
        <v>40.797533369999996</v>
      </c>
      <c r="C6" s="8" t="s">
        <v>57</v>
      </c>
      <c r="D6" s="8" t="s">
        <v>58</v>
      </c>
      <c r="E6" s="8" t="b">
        <f t="shared" si="0"/>
        <v>0</v>
      </c>
      <c r="F6" s="8" t="b" cm="1">
        <f t="array" ref="F6">_xlfn._xlws.FILTER(E6:E3204, C6:C3204= "6D-PM-1020-01", "No Squirrels Found")</f>
        <v>0</v>
      </c>
      <c r="G6" s="8" t="s">
        <v>48</v>
      </c>
      <c r="H6" s="10">
        <v>10182018</v>
      </c>
      <c r="I6" s="10">
        <v>1</v>
      </c>
      <c r="M6" s="8" t="s">
        <v>35</v>
      </c>
      <c r="O6" s="8" t="s">
        <v>50</v>
      </c>
      <c r="R6" s="8" t="b">
        <v>0</v>
      </c>
      <c r="S6" s="8" t="b">
        <v>0</v>
      </c>
      <c r="T6" s="8" t="b">
        <v>0</v>
      </c>
      <c r="U6" s="8" t="b">
        <v>0</v>
      </c>
      <c r="V6" s="8" t="b">
        <v>0</v>
      </c>
      <c r="W6" s="11" t="s">
        <v>59</v>
      </c>
      <c r="X6" s="8" t="b">
        <v>1</v>
      </c>
      <c r="Y6" s="8" t="b">
        <v>0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0</v>
      </c>
      <c r="AG6" s="11" t="b" cm="1">
        <f t="array" ref="AG6">IF(OR(Y6:AA6="TRUE", AE6="true"), "Threatened")</f>
        <v>0</v>
      </c>
      <c r="AH6" s="11" t="s">
        <v>60</v>
      </c>
      <c r="AI6" s="8" t="b">
        <v>0</v>
      </c>
    </row>
    <row r="7" spans="1:35" ht="31.2">
      <c r="A7" s="8">
        <v>-73.956570040000003</v>
      </c>
      <c r="B7" s="8">
        <v>40.790256100000001</v>
      </c>
      <c r="C7" s="8" t="s">
        <v>61</v>
      </c>
      <c r="D7" s="8" t="s">
        <v>62</v>
      </c>
      <c r="E7" s="8" t="b">
        <f t="shared" si="0"/>
        <v>0</v>
      </c>
      <c r="F7" s="8" t="b" cm="1">
        <f t="array" ref="F7">_xlfn._xlws.FILTER(E7:E3205, C7:C3205= "6D-PM-1020-01", "No Squirrels Found")</f>
        <v>0</v>
      </c>
      <c r="G7" s="8" t="s">
        <v>48</v>
      </c>
      <c r="H7" s="10">
        <v>10192018</v>
      </c>
      <c r="I7" s="10">
        <v>2</v>
      </c>
      <c r="J7" s="8" t="s">
        <v>54</v>
      </c>
      <c r="K7" s="8" t="s">
        <v>40</v>
      </c>
      <c r="L7" s="8" t="s">
        <v>41</v>
      </c>
      <c r="M7" s="8" t="s">
        <v>42</v>
      </c>
      <c r="O7" s="8" t="s">
        <v>43</v>
      </c>
      <c r="P7" s="8" t="b">
        <v>0</v>
      </c>
      <c r="R7" s="8" t="b">
        <v>0</v>
      </c>
      <c r="S7" s="8" t="b">
        <v>0</v>
      </c>
      <c r="T7" s="8" t="b">
        <v>0</v>
      </c>
      <c r="U7" s="8" t="b">
        <v>0</v>
      </c>
      <c r="V7" s="8" t="b">
        <v>0</v>
      </c>
      <c r="W7" s="11" t="s">
        <v>63</v>
      </c>
      <c r="X7" s="8" t="b">
        <v>0</v>
      </c>
      <c r="Y7" s="8" t="b">
        <v>0</v>
      </c>
      <c r="Z7" s="8" t="b">
        <v>0</v>
      </c>
      <c r="AA7" s="8" t="b">
        <v>0</v>
      </c>
      <c r="AB7" s="8" t="b">
        <v>0</v>
      </c>
      <c r="AC7" s="8" t="b">
        <v>0</v>
      </c>
      <c r="AD7" s="8" t="b">
        <v>0</v>
      </c>
      <c r="AE7" s="8" t="b">
        <v>0</v>
      </c>
      <c r="AG7" s="11" t="b" cm="1">
        <f t="array" ref="AG7">IF(OR(Y7:AA7="TRUE", AE7="true"), "Threatened")</f>
        <v>0</v>
      </c>
      <c r="AH7" s="11" t="s">
        <v>64</v>
      </c>
      <c r="AI7" s="8" t="b">
        <v>0</v>
      </c>
    </row>
    <row r="8" spans="1:35" ht="31.2">
      <c r="A8" s="8">
        <v>-73.971973559999995</v>
      </c>
      <c r="B8" s="8">
        <v>40.769304509999998</v>
      </c>
      <c r="C8" s="8" t="s">
        <v>65</v>
      </c>
      <c r="D8" s="8" t="s">
        <v>66</v>
      </c>
      <c r="E8" s="8" t="b">
        <f t="shared" si="0"/>
        <v>0</v>
      </c>
      <c r="F8" s="8" t="b" cm="1">
        <f t="array" ref="F8">_xlfn._xlws.FILTER(E8:E3206, C8:C3206= "6D-PM-1020-01", "No Squirrels Found")</f>
        <v>0</v>
      </c>
      <c r="G8" s="8" t="s">
        <v>34</v>
      </c>
      <c r="H8" s="10">
        <v>10202018</v>
      </c>
      <c r="I8" s="10">
        <v>2</v>
      </c>
      <c r="J8" s="8" t="s">
        <v>39</v>
      </c>
      <c r="K8" s="8" t="s">
        <v>40</v>
      </c>
      <c r="M8" s="8" t="s">
        <v>55</v>
      </c>
      <c r="O8" s="8" t="s">
        <v>43</v>
      </c>
      <c r="P8" s="8" t="b">
        <v>0</v>
      </c>
      <c r="R8" s="8" t="b">
        <v>1</v>
      </c>
      <c r="S8" s="8" t="b">
        <v>1</v>
      </c>
      <c r="T8" s="8" t="b">
        <v>0</v>
      </c>
      <c r="U8" s="8" t="b">
        <v>0</v>
      </c>
      <c r="V8" s="8" t="b">
        <v>0</v>
      </c>
      <c r="X8" s="8" t="b">
        <v>0</v>
      </c>
      <c r="Y8" s="8" t="b">
        <v>0</v>
      </c>
      <c r="Z8" s="8" t="b">
        <v>0</v>
      </c>
      <c r="AA8" s="8" t="b">
        <v>0</v>
      </c>
      <c r="AB8" s="8" t="b">
        <v>0</v>
      </c>
      <c r="AC8" s="8" t="b">
        <v>0</v>
      </c>
      <c r="AD8" s="8" t="b">
        <v>1</v>
      </c>
      <c r="AE8" s="8" t="b">
        <v>0</v>
      </c>
      <c r="AG8" s="11" t="b" cm="1">
        <f t="array" ref="AG8">IF(OR(Y8:AA8="TRUE", AE8="true"), "Threatened")</f>
        <v>0</v>
      </c>
      <c r="AH8" s="11" t="s">
        <v>67</v>
      </c>
      <c r="AI8" s="8" t="b">
        <v>1</v>
      </c>
    </row>
    <row r="9" spans="1:35" ht="31.2">
      <c r="A9" s="8">
        <v>-73.960260989999995</v>
      </c>
      <c r="B9" s="8">
        <v>40.794288299999998</v>
      </c>
      <c r="C9" s="8" t="s">
        <v>68</v>
      </c>
      <c r="D9" s="8" t="s">
        <v>69</v>
      </c>
      <c r="E9" s="8" t="b">
        <f t="shared" si="0"/>
        <v>0</v>
      </c>
      <c r="F9" s="8" t="b" cm="1">
        <f t="array" ref="F9">_xlfn._xlws.FILTER(E9:E3207, C9:C3207= "6D-PM-1020-01", "No Squirrels Found")</f>
        <v>0</v>
      </c>
      <c r="G9" s="8" t="s">
        <v>34</v>
      </c>
      <c r="H9" s="10">
        <v>10132018</v>
      </c>
      <c r="I9" s="10">
        <v>3</v>
      </c>
      <c r="K9" s="8" t="s">
        <v>40</v>
      </c>
      <c r="L9" s="8" t="s">
        <v>41</v>
      </c>
      <c r="M9" s="8" t="s">
        <v>42</v>
      </c>
      <c r="O9" s="8" t="s">
        <v>43</v>
      </c>
      <c r="P9" s="8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1</v>
      </c>
      <c r="X9" s="8" t="b">
        <v>0</v>
      </c>
      <c r="Y9" s="8" t="b">
        <v>0</v>
      </c>
      <c r="Z9" s="8" t="b">
        <v>0</v>
      </c>
      <c r="AA9" s="8" t="b">
        <v>0</v>
      </c>
      <c r="AB9" s="8" t="b">
        <v>0</v>
      </c>
      <c r="AC9" s="8" t="b">
        <v>0</v>
      </c>
      <c r="AD9" s="8" t="b">
        <v>0</v>
      </c>
      <c r="AE9" s="8" t="b">
        <v>1</v>
      </c>
      <c r="AG9" s="11" t="b" cm="1">
        <f t="array" ref="AG9">IF(OR(Y9:AA9="TRUE", AE9="true"), "Threatened")</f>
        <v>0</v>
      </c>
      <c r="AH9" s="11" t="s">
        <v>70</v>
      </c>
      <c r="AI9" s="8" t="b">
        <v>1</v>
      </c>
    </row>
    <row r="10" spans="1:35" ht="31.2">
      <c r="A10" s="8">
        <v>-73.977071859999995</v>
      </c>
      <c r="B10" s="8">
        <v>40.772975240000001</v>
      </c>
      <c r="C10" s="8" t="s">
        <v>71</v>
      </c>
      <c r="D10" s="8" t="s">
        <v>72</v>
      </c>
      <c r="E10" s="8" t="b">
        <f t="shared" si="0"/>
        <v>0</v>
      </c>
      <c r="F10" s="8" t="b" cm="1">
        <f t="array" ref="F10">_xlfn._xlws.FILTER(E10:E3208, C10:C3208= "6D-PM-1020-01", "No Squirrels Found")</f>
        <v>0</v>
      </c>
      <c r="G10" s="8" t="s">
        <v>48</v>
      </c>
      <c r="H10" s="10">
        <v>10082018</v>
      </c>
      <c r="I10" s="10">
        <v>9</v>
      </c>
      <c r="J10" s="8" t="s">
        <v>39</v>
      </c>
      <c r="K10" s="8" t="s">
        <v>40</v>
      </c>
      <c r="M10" s="8" t="s">
        <v>55</v>
      </c>
      <c r="O10" s="8" t="s">
        <v>43</v>
      </c>
      <c r="P10" s="8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1</v>
      </c>
      <c r="X10" s="8" t="b">
        <v>0</v>
      </c>
      <c r="Y10" s="8" t="b">
        <v>0</v>
      </c>
      <c r="Z10" s="8" t="b">
        <v>0</v>
      </c>
      <c r="AA10" s="8" t="b">
        <v>0</v>
      </c>
      <c r="AB10" s="8" t="b">
        <v>0</v>
      </c>
      <c r="AC10" s="8" t="b">
        <v>0</v>
      </c>
      <c r="AD10" s="8" t="b">
        <v>1</v>
      </c>
      <c r="AE10" s="8" t="b">
        <v>0</v>
      </c>
      <c r="AG10" s="11" t="b" cm="1">
        <f t="array" ref="AG10">IF(OR(Y10:AA10="TRUE", AE10="true"), "Threatened")</f>
        <v>0</v>
      </c>
      <c r="AH10" s="11" t="s">
        <v>73</v>
      </c>
      <c r="AI10" s="8" t="b">
        <v>1</v>
      </c>
    </row>
    <row r="11" spans="1:35" ht="31.2">
      <c r="A11" s="8">
        <v>-73.959641390000002</v>
      </c>
      <c r="B11" s="8">
        <v>40.790312890000003</v>
      </c>
      <c r="C11" s="8" t="s">
        <v>74</v>
      </c>
      <c r="D11" s="8" t="s">
        <v>75</v>
      </c>
      <c r="E11" s="8" t="b">
        <f t="shared" si="0"/>
        <v>0</v>
      </c>
      <c r="F11" s="8" t="b" cm="1">
        <f t="array" ref="F11">_xlfn._xlws.FILTER(E11:E3209, C11:C3209= "6D-PM-1020-01", "No Squirrels Found")</f>
        <v>0</v>
      </c>
      <c r="G11" s="8" t="s">
        <v>34</v>
      </c>
      <c r="H11" s="10">
        <v>10172018</v>
      </c>
      <c r="I11" s="10">
        <v>14</v>
      </c>
      <c r="J11" s="8" t="s">
        <v>39</v>
      </c>
      <c r="K11" s="8" t="s">
        <v>40</v>
      </c>
      <c r="M11" s="8" t="s">
        <v>55</v>
      </c>
      <c r="N11" s="11" t="s">
        <v>76</v>
      </c>
      <c r="R11" s="8" t="b">
        <v>0</v>
      </c>
      <c r="S11" s="8" t="b">
        <v>0</v>
      </c>
      <c r="T11" s="8" t="b">
        <v>0</v>
      </c>
      <c r="U11" s="8" t="b">
        <v>1</v>
      </c>
      <c r="V11" s="8" t="b">
        <v>1</v>
      </c>
      <c r="X11" s="8" t="b">
        <v>0</v>
      </c>
      <c r="Y11" s="8" t="b">
        <v>0</v>
      </c>
      <c r="Z11" s="8" t="b">
        <v>0</v>
      </c>
      <c r="AA11" s="8" t="b">
        <v>0</v>
      </c>
      <c r="AB11" s="8" t="b">
        <v>0</v>
      </c>
      <c r="AC11" s="8" t="b">
        <v>0</v>
      </c>
      <c r="AD11" s="8" t="b">
        <v>0</v>
      </c>
      <c r="AE11" s="8" t="b">
        <v>1</v>
      </c>
      <c r="AG11" s="11" t="b" cm="1">
        <f t="array" ref="AG11">IF(OR(Y11:AA11="TRUE", AE11="true"), "Threatened")</f>
        <v>0</v>
      </c>
      <c r="AH11" s="11" t="s">
        <v>77</v>
      </c>
      <c r="AI11" s="8" t="b">
        <v>1</v>
      </c>
    </row>
    <row r="12" spans="1:35" ht="31.2">
      <c r="A12" s="8">
        <v>-73.970267649999997</v>
      </c>
      <c r="B12" s="8">
        <v>40.776212690000001</v>
      </c>
      <c r="C12" s="8" t="s">
        <v>78</v>
      </c>
      <c r="D12" s="8" t="s">
        <v>79</v>
      </c>
      <c r="E12" s="8" t="b">
        <f t="shared" si="0"/>
        <v>0</v>
      </c>
      <c r="F12" s="8" t="b" cm="1">
        <f t="array" ref="F12">_xlfn._xlws.FILTER(E12:E3210, C12:C3210= "6D-PM-1020-01", "No Squirrels Found")</f>
        <v>0</v>
      </c>
      <c r="G12" s="8" t="s">
        <v>48</v>
      </c>
      <c r="H12" s="10">
        <v>10172018</v>
      </c>
      <c r="I12" s="10">
        <v>5</v>
      </c>
      <c r="J12" s="8" t="s">
        <v>39</v>
      </c>
      <c r="K12" s="8" t="s">
        <v>40</v>
      </c>
      <c r="L12" s="8" t="s">
        <v>41</v>
      </c>
      <c r="M12" s="8" t="s">
        <v>42</v>
      </c>
      <c r="O12" s="8" t="s">
        <v>50</v>
      </c>
      <c r="Q12" s="8" t="s">
        <v>80</v>
      </c>
      <c r="R12" s="8" t="b">
        <v>0</v>
      </c>
      <c r="S12" s="8" t="b">
        <v>0</v>
      </c>
      <c r="T12" s="8" t="b">
        <v>0</v>
      </c>
      <c r="U12" s="8" t="b">
        <v>0</v>
      </c>
      <c r="V12" s="8" t="b">
        <v>1</v>
      </c>
      <c r="X12" s="8" t="b">
        <v>0</v>
      </c>
      <c r="Y12" s="8" t="b">
        <v>0</v>
      </c>
      <c r="Z12" s="8" t="b">
        <v>0</v>
      </c>
      <c r="AA12" s="8" t="b">
        <v>0</v>
      </c>
      <c r="AB12" s="8" t="b">
        <v>0</v>
      </c>
      <c r="AC12" s="8" t="b">
        <v>0</v>
      </c>
      <c r="AD12" s="8" t="b">
        <v>0</v>
      </c>
      <c r="AE12" s="8" t="b">
        <v>0</v>
      </c>
      <c r="AG12" s="11" t="b" cm="1">
        <f t="array" ref="AG12">IF(OR(Y12:AA12="TRUE", AE12="true"), "Threatened")</f>
        <v>0</v>
      </c>
      <c r="AH12" s="11" t="s">
        <v>81</v>
      </c>
      <c r="AI12" s="8" t="b">
        <v>1</v>
      </c>
    </row>
    <row r="13" spans="1:35" ht="31.2">
      <c r="A13" s="8">
        <v>-73.968361349999995</v>
      </c>
      <c r="B13" s="8">
        <v>40.772590880000003</v>
      </c>
      <c r="C13" s="8" t="s">
        <v>82</v>
      </c>
      <c r="D13" s="8" t="s">
        <v>83</v>
      </c>
      <c r="E13" s="8" t="b">
        <f t="shared" si="0"/>
        <v>0</v>
      </c>
      <c r="F13" s="8" t="b" cm="1">
        <f t="array" ref="F13">_xlfn._xlws.FILTER(E13:E3211, C13:C3211= "6D-PM-1020-01", "No Squirrels Found")</f>
        <v>0</v>
      </c>
      <c r="G13" s="8" t="s">
        <v>48</v>
      </c>
      <c r="H13" s="10">
        <v>10102018</v>
      </c>
      <c r="I13" s="10">
        <v>3</v>
      </c>
      <c r="J13" s="8" t="s">
        <v>39</v>
      </c>
      <c r="K13" s="8" t="s">
        <v>41</v>
      </c>
      <c r="L13" s="8" t="s">
        <v>84</v>
      </c>
      <c r="M13" s="8" t="s">
        <v>85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1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1</v>
      </c>
      <c r="AC13" s="8" t="b">
        <v>0</v>
      </c>
      <c r="AD13" s="8" t="b">
        <v>1</v>
      </c>
      <c r="AE13" s="8" t="b">
        <v>0</v>
      </c>
      <c r="AG13" s="11" t="b" cm="1">
        <f t="array" ref="AG13">IF(OR(Y13:AA13="TRUE", AE13="true"), "Threatened")</f>
        <v>0</v>
      </c>
      <c r="AH13" s="11" t="s">
        <v>86</v>
      </c>
      <c r="AI13" s="8" t="b">
        <v>1</v>
      </c>
    </row>
    <row r="14" spans="1:35" ht="31.2">
      <c r="A14" s="8">
        <v>-73.954120180000004</v>
      </c>
      <c r="B14" s="8">
        <v>40.793181169999997</v>
      </c>
      <c r="C14" s="8" t="s">
        <v>87</v>
      </c>
      <c r="D14" s="8" t="s">
        <v>88</v>
      </c>
      <c r="E14" s="8" t="b">
        <f t="shared" si="0"/>
        <v>0</v>
      </c>
      <c r="F14" s="8" t="b" cm="1">
        <f t="array" ref="F14">_xlfn._xlws.FILTER(E14:E3212, C14:C3212= "6D-PM-1020-01", "No Squirrels Found")</f>
        <v>0</v>
      </c>
      <c r="G14" s="8" t="s">
        <v>48</v>
      </c>
      <c r="H14" s="10">
        <v>10102018</v>
      </c>
      <c r="I14" s="10">
        <v>2</v>
      </c>
      <c r="J14" s="8" t="s">
        <v>39</v>
      </c>
      <c r="K14" s="8" t="s">
        <v>40</v>
      </c>
      <c r="M14" s="8" t="s">
        <v>55</v>
      </c>
      <c r="N14" s="11" t="s">
        <v>89</v>
      </c>
      <c r="O14" s="8" t="s">
        <v>43</v>
      </c>
      <c r="P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1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0</v>
      </c>
      <c r="AE14" s="8" t="b">
        <v>0</v>
      </c>
      <c r="AG14" s="11" t="b" cm="1">
        <f t="array" ref="AG14">IF(OR(Y14:AA14="TRUE", AE14="true"), "Threatened")</f>
        <v>0</v>
      </c>
      <c r="AH14" s="11" t="s">
        <v>90</v>
      </c>
      <c r="AI14" s="8" t="b">
        <v>1</v>
      </c>
    </row>
    <row r="15" spans="1:35" ht="31.2">
      <c r="A15" s="8">
        <v>-73.958269430000001</v>
      </c>
      <c r="B15" s="8">
        <v>40.791736780000001</v>
      </c>
      <c r="C15" s="8" t="s">
        <v>91</v>
      </c>
      <c r="D15" s="8" t="s">
        <v>92</v>
      </c>
      <c r="E15" s="8" t="b">
        <f t="shared" si="0"/>
        <v>0</v>
      </c>
      <c r="F15" s="8" t="b" cm="1">
        <f t="array" ref="F15">_xlfn._xlws.FILTER(E15:E3213, C15:C3213= "6D-PM-1020-01", "No Squirrels Found")</f>
        <v>0</v>
      </c>
      <c r="G15" s="8" t="s">
        <v>48</v>
      </c>
      <c r="H15" s="10">
        <v>10082018</v>
      </c>
      <c r="I15" s="10">
        <v>2</v>
      </c>
      <c r="J15" s="8" t="s">
        <v>39</v>
      </c>
      <c r="K15" s="8" t="s">
        <v>40</v>
      </c>
      <c r="M15" s="8" t="s">
        <v>55</v>
      </c>
      <c r="O15" s="8" t="s">
        <v>43</v>
      </c>
      <c r="P15" s="8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1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1</v>
      </c>
      <c r="AE15" s="8" t="b">
        <v>0</v>
      </c>
      <c r="AG15" s="11" t="b" cm="1">
        <f t="array" ref="AG15">IF(OR(Y15:AA15="TRUE", AE15="true"), "Threatened")</f>
        <v>0</v>
      </c>
      <c r="AH15" s="11" t="s">
        <v>93</v>
      </c>
      <c r="AI15" s="8" t="b">
        <v>1</v>
      </c>
    </row>
    <row r="16" spans="1:35" ht="31.2">
      <c r="A16" s="8">
        <v>-73.967428600000005</v>
      </c>
      <c r="B16" s="8">
        <v>40.782972389999998</v>
      </c>
      <c r="C16" s="8" t="s">
        <v>94</v>
      </c>
      <c r="D16" s="8" t="s">
        <v>95</v>
      </c>
      <c r="E16" s="8" t="b">
        <f t="shared" si="0"/>
        <v>0</v>
      </c>
      <c r="F16" s="8" t="b" cm="1">
        <f t="array" ref="F16">_xlfn._xlws.FILTER(E16:E3214, C16:C3214= "6D-PM-1020-01", "No Squirrels Found")</f>
        <v>0</v>
      </c>
      <c r="G16" s="8" t="s">
        <v>34</v>
      </c>
      <c r="H16" s="10">
        <v>10062018</v>
      </c>
      <c r="I16" s="10">
        <v>1</v>
      </c>
      <c r="J16" s="8" t="s">
        <v>39</v>
      </c>
      <c r="K16" s="8" t="s">
        <v>40</v>
      </c>
      <c r="M16" s="8" t="s">
        <v>55</v>
      </c>
      <c r="O16" s="8" t="s">
        <v>43</v>
      </c>
      <c r="P16" s="8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X16" s="8" t="b">
        <v>0</v>
      </c>
      <c r="Y16" s="8" t="b">
        <v>0</v>
      </c>
      <c r="Z16" s="8" t="b">
        <v>0</v>
      </c>
      <c r="AA16" s="8" t="b">
        <v>1</v>
      </c>
      <c r="AB16" s="8" t="b">
        <v>1</v>
      </c>
      <c r="AC16" s="8" t="b">
        <v>0</v>
      </c>
      <c r="AD16" s="8" t="b">
        <v>0</v>
      </c>
      <c r="AE16" s="8" t="b">
        <v>0</v>
      </c>
      <c r="AG16" s="11" t="b" cm="1">
        <f t="array" ref="AG16">IF(OR(Y16:AA16="TRUE", AE16="true"), "Threatened")</f>
        <v>0</v>
      </c>
      <c r="AH16" s="11" t="s">
        <v>96</v>
      </c>
      <c r="AI16" s="8" t="b">
        <v>1</v>
      </c>
    </row>
    <row r="17" spans="1:35" ht="31.2">
      <c r="A17" s="8">
        <v>-73.972250020000004</v>
      </c>
      <c r="B17" s="8">
        <v>40.774287960000002</v>
      </c>
      <c r="C17" s="8" t="s">
        <v>97</v>
      </c>
      <c r="D17" s="8" t="s">
        <v>98</v>
      </c>
      <c r="E17" s="8" t="b">
        <f t="shared" si="0"/>
        <v>0</v>
      </c>
      <c r="F17" s="8" t="b" cm="1">
        <f t="array" ref="F17">_xlfn._xlws.FILTER(E17:E3215, C17:C3215= "6D-PM-1020-01", "No Squirrels Found")</f>
        <v>0</v>
      </c>
      <c r="G17" s="8" t="s">
        <v>48</v>
      </c>
      <c r="H17" s="10">
        <v>10102018</v>
      </c>
      <c r="I17" s="10">
        <v>3</v>
      </c>
      <c r="J17" s="8" t="s">
        <v>39</v>
      </c>
      <c r="K17" s="8" t="s">
        <v>40</v>
      </c>
      <c r="L17" s="8" t="s">
        <v>41</v>
      </c>
      <c r="M17" s="8" t="s">
        <v>42</v>
      </c>
      <c r="O17" s="8" t="s">
        <v>50</v>
      </c>
      <c r="P17" s="8">
        <v>30</v>
      </c>
      <c r="R17" s="8" t="b">
        <v>0</v>
      </c>
      <c r="S17" s="8" t="b">
        <v>0</v>
      </c>
      <c r="T17" s="8" t="b">
        <v>1</v>
      </c>
      <c r="U17" s="8" t="b">
        <v>0</v>
      </c>
      <c r="V17" s="8" t="b">
        <v>0</v>
      </c>
      <c r="W17" s="11" t="s">
        <v>99</v>
      </c>
      <c r="X17" s="8" t="b">
        <v>0</v>
      </c>
      <c r="Y17" s="8" t="b">
        <v>0</v>
      </c>
      <c r="Z17" s="8" t="b">
        <v>0</v>
      </c>
      <c r="AA17" s="8" t="b">
        <v>0</v>
      </c>
      <c r="AB17" s="8" t="b">
        <v>0</v>
      </c>
      <c r="AC17" s="8" t="b">
        <v>0</v>
      </c>
      <c r="AD17" s="8" t="b">
        <v>1</v>
      </c>
      <c r="AE17" s="8" t="b">
        <v>0</v>
      </c>
      <c r="AG17" s="11" t="b" cm="1">
        <f t="array" ref="AG17">IF(OR(Y17:AA17="TRUE", AE17="true"), "Threatened")</f>
        <v>0</v>
      </c>
      <c r="AH17" s="11" t="s">
        <v>100</v>
      </c>
      <c r="AI17" s="8" t="b">
        <v>0</v>
      </c>
    </row>
    <row r="18" spans="1:35" ht="31.2">
      <c r="A18" s="8">
        <v>-73.969506350000003</v>
      </c>
      <c r="B18" s="8">
        <v>40.782350770000001</v>
      </c>
      <c r="C18" s="8" t="s">
        <v>101</v>
      </c>
      <c r="D18" s="8" t="s">
        <v>102</v>
      </c>
      <c r="E18" s="8" t="b">
        <f t="shared" si="0"/>
        <v>0</v>
      </c>
      <c r="F18" s="8" t="b" cm="1">
        <f t="array" ref="F18">_xlfn._xlws.FILTER(E18:E3216, C18:C3216= "6D-PM-1020-01", "No Squirrels Found")</f>
        <v>0</v>
      </c>
      <c r="G18" s="8" t="s">
        <v>34</v>
      </c>
      <c r="H18" s="10">
        <v>10132018</v>
      </c>
      <c r="I18" s="10">
        <v>5</v>
      </c>
      <c r="J18" s="8" t="s">
        <v>39</v>
      </c>
      <c r="K18" s="8" t="s">
        <v>40</v>
      </c>
      <c r="L18" s="8" t="s">
        <v>84</v>
      </c>
      <c r="M18" s="8" t="s">
        <v>103</v>
      </c>
      <c r="O18" s="8" t="s">
        <v>43</v>
      </c>
      <c r="P18" s="8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1</v>
      </c>
      <c r="X18" s="8" t="b">
        <v>0</v>
      </c>
      <c r="Y18" s="8" t="b">
        <v>0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1</v>
      </c>
      <c r="AE18" s="8" t="b">
        <v>0</v>
      </c>
      <c r="AG18" s="11" t="b" cm="1">
        <f t="array" ref="AG18">IF(OR(Y18:AA18="TRUE", AE18="true"), "Threatened")</f>
        <v>0</v>
      </c>
      <c r="AH18" s="11" t="s">
        <v>104</v>
      </c>
      <c r="AI18" s="8" t="b">
        <v>1</v>
      </c>
    </row>
    <row r="19" spans="1:35" ht="31.2">
      <c r="A19" s="8">
        <v>-73.953217050000006</v>
      </c>
      <c r="B19" s="8">
        <v>40.791966969999997</v>
      </c>
      <c r="C19" s="8" t="s">
        <v>105</v>
      </c>
      <c r="D19" s="8" t="s">
        <v>106</v>
      </c>
      <c r="E19" s="8" t="b">
        <f t="shared" si="0"/>
        <v>0</v>
      </c>
      <c r="F19" s="8" t="b" cm="1">
        <f t="array" ref="F19">_xlfn._xlws.FILTER(E19:E3217, C19:C3217= "6D-PM-1020-01", "No Squirrels Found")</f>
        <v>0</v>
      </c>
      <c r="G19" s="8" t="s">
        <v>34</v>
      </c>
      <c r="H19" s="10">
        <v>10072018</v>
      </c>
      <c r="I19" s="10">
        <v>1</v>
      </c>
      <c r="J19" s="8" t="s">
        <v>39</v>
      </c>
      <c r="K19" s="8" t="s">
        <v>40</v>
      </c>
      <c r="L19" s="8" t="s">
        <v>41</v>
      </c>
      <c r="M19" s="8" t="s">
        <v>42</v>
      </c>
      <c r="O19" s="8" t="s">
        <v>43</v>
      </c>
      <c r="P19" s="8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1</v>
      </c>
      <c r="X19" s="8" t="b">
        <v>0</v>
      </c>
      <c r="Y19" s="8" t="b">
        <v>0</v>
      </c>
      <c r="Z19" s="8" t="b">
        <v>0</v>
      </c>
      <c r="AA19" s="8" t="b">
        <v>0</v>
      </c>
      <c r="AB19" s="8" t="b">
        <v>0</v>
      </c>
      <c r="AC19" s="8" t="b">
        <v>0</v>
      </c>
      <c r="AD19" s="8" t="b">
        <v>1</v>
      </c>
      <c r="AE19" s="8" t="b">
        <v>0</v>
      </c>
      <c r="AG19" s="11" t="b" cm="1">
        <f t="array" ref="AG19">IF(OR(Y19:AA19="TRUE", AE19="true"), "Threatened")</f>
        <v>0</v>
      </c>
      <c r="AH19" s="11" t="s">
        <v>107</v>
      </c>
      <c r="AI19" s="8" t="b">
        <v>1</v>
      </c>
    </row>
    <row r="20" spans="1:35" ht="31.2">
      <c r="A20" s="8">
        <v>-73.976860360000003</v>
      </c>
      <c r="B20" s="8">
        <v>40.770279590000001</v>
      </c>
      <c r="C20" s="8" t="s">
        <v>108</v>
      </c>
      <c r="D20" s="8" t="s">
        <v>109</v>
      </c>
      <c r="E20" s="8" t="b">
        <f t="shared" si="0"/>
        <v>0</v>
      </c>
      <c r="F20" s="8" t="b" cm="1">
        <f t="array" ref="F20">_xlfn._xlws.FILTER(E20:E3218, C20:C3218= "6D-PM-1020-01", "No Squirrels Found")</f>
        <v>0</v>
      </c>
      <c r="G20" s="8" t="s">
        <v>34</v>
      </c>
      <c r="H20" s="10">
        <v>10102018</v>
      </c>
      <c r="I20" s="10">
        <v>9</v>
      </c>
      <c r="J20" s="8" t="s">
        <v>39</v>
      </c>
      <c r="K20" s="8" t="s">
        <v>41</v>
      </c>
      <c r="L20" s="8" t="s">
        <v>40</v>
      </c>
      <c r="M20" s="8" t="s">
        <v>110</v>
      </c>
      <c r="O20" s="8" t="s">
        <v>43</v>
      </c>
      <c r="P20" s="8" t="b">
        <v>0</v>
      </c>
      <c r="R20" s="8" t="b">
        <v>1</v>
      </c>
      <c r="S20" s="8" t="b">
        <v>0</v>
      </c>
      <c r="T20" s="8" t="b">
        <v>0</v>
      </c>
      <c r="U20" s="8" t="b">
        <v>0</v>
      </c>
      <c r="V20" s="8" t="b">
        <v>0</v>
      </c>
      <c r="X20" s="8" t="b">
        <v>0</v>
      </c>
      <c r="Y20" s="8" t="b">
        <v>0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G20" s="11" t="b" cm="1">
        <f t="array" ref="AG20">IF(OR(Y20:AA20="TRUE", AE20="true"), "Threatened")</f>
        <v>0</v>
      </c>
      <c r="AH20" s="11" t="s">
        <v>111</v>
      </c>
      <c r="AI20" s="8" t="b">
        <v>1</v>
      </c>
    </row>
    <row r="21" spans="1:35" ht="31.2">
      <c r="A21" s="8">
        <v>-73.970610590000007</v>
      </c>
      <c r="B21" s="8">
        <v>40.769812479999999</v>
      </c>
      <c r="C21" s="8" t="s">
        <v>112</v>
      </c>
      <c r="D21" s="8" t="s">
        <v>113</v>
      </c>
      <c r="E21" s="8" t="b">
        <f t="shared" si="0"/>
        <v>0</v>
      </c>
      <c r="F21" s="8" t="b" cm="1">
        <f t="array" ref="F21">_xlfn._xlws.FILTER(E21:E3219, C21:C3219= "6D-PM-1020-01", "No Squirrels Found")</f>
        <v>0</v>
      </c>
      <c r="G21" s="8" t="s">
        <v>48</v>
      </c>
      <c r="H21" s="10">
        <v>10062018</v>
      </c>
      <c r="I21" s="10">
        <v>5</v>
      </c>
      <c r="J21" s="8" t="s">
        <v>39</v>
      </c>
      <c r="K21" s="8" t="s">
        <v>40</v>
      </c>
      <c r="L21" s="8" t="s">
        <v>41</v>
      </c>
      <c r="M21" s="8" t="s">
        <v>42</v>
      </c>
      <c r="O21" s="8" t="s">
        <v>50</v>
      </c>
      <c r="P21" s="8">
        <v>10</v>
      </c>
      <c r="R21" s="8" t="b">
        <v>0</v>
      </c>
      <c r="S21" s="8" t="b">
        <v>1</v>
      </c>
      <c r="T21" s="8" t="b">
        <v>0</v>
      </c>
      <c r="U21" s="8" t="b">
        <v>0</v>
      </c>
      <c r="V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1</v>
      </c>
      <c r="AE21" s="8" t="b">
        <v>0</v>
      </c>
      <c r="AG21" s="11" t="b" cm="1">
        <f t="array" ref="AG21">IF(OR(Y21:AA21="TRUE", AE21="true"), "Threatened")</f>
        <v>0</v>
      </c>
      <c r="AH21" s="11" t="s">
        <v>114</v>
      </c>
      <c r="AI21" s="8" t="b">
        <v>1</v>
      </c>
    </row>
    <row r="22" spans="1:35" ht="31.2">
      <c r="A22" s="8">
        <v>-73.970378170000004</v>
      </c>
      <c r="B22" s="8">
        <v>40.778752609999998</v>
      </c>
      <c r="C22" s="8" t="s">
        <v>115</v>
      </c>
      <c r="D22" s="8" t="s">
        <v>116</v>
      </c>
      <c r="E22" s="8" t="b">
        <f t="shared" si="0"/>
        <v>0</v>
      </c>
      <c r="F22" s="8" t="b" cm="1">
        <f t="array" ref="F22">_xlfn._xlws.FILTER(E22:E3220, C22:C3220= "6D-PM-1020-01", "No Squirrels Found")</f>
        <v>0</v>
      </c>
      <c r="G22" s="8" t="s">
        <v>34</v>
      </c>
      <c r="H22" s="10">
        <v>10182018</v>
      </c>
      <c r="I22" s="10">
        <v>3</v>
      </c>
      <c r="J22" s="8" t="s">
        <v>39</v>
      </c>
      <c r="K22" s="8" t="s">
        <v>40</v>
      </c>
      <c r="L22" s="8" t="s">
        <v>117</v>
      </c>
      <c r="M22" s="8" t="s">
        <v>118</v>
      </c>
      <c r="O22" s="8" t="s">
        <v>50</v>
      </c>
      <c r="P22" s="8">
        <v>6</v>
      </c>
      <c r="R22" s="8" t="b">
        <v>1</v>
      </c>
      <c r="S22" s="8" t="b">
        <v>0</v>
      </c>
      <c r="T22" s="8" t="b">
        <v>0</v>
      </c>
      <c r="U22" s="8" t="b">
        <v>1</v>
      </c>
      <c r="V22" s="8" t="b">
        <v>1</v>
      </c>
      <c r="X22" s="8" t="b">
        <v>0</v>
      </c>
      <c r="Y22" s="8" t="b">
        <v>0</v>
      </c>
      <c r="Z22" s="8" t="b">
        <v>0</v>
      </c>
      <c r="AA22" s="8" t="b">
        <v>0</v>
      </c>
      <c r="AB22" s="8" t="b">
        <v>0</v>
      </c>
      <c r="AC22" s="8" t="b">
        <v>0</v>
      </c>
      <c r="AD22" s="8" t="b">
        <v>1</v>
      </c>
      <c r="AE22" s="8" t="b">
        <v>0</v>
      </c>
      <c r="AG22" s="11" t="b" cm="1">
        <f t="array" ref="AG22">IF(OR(Y22:AA22="TRUE", AE22="true"), "Threatened")</f>
        <v>0</v>
      </c>
      <c r="AH22" s="11" t="s">
        <v>119</v>
      </c>
      <c r="AI22" s="8" t="b">
        <v>1</v>
      </c>
    </row>
    <row r="23" spans="1:35" ht="31.2">
      <c r="A23" s="8">
        <v>-73.970392520000004</v>
      </c>
      <c r="B23" s="8">
        <v>40.776503200000001</v>
      </c>
      <c r="C23" s="8" t="s">
        <v>120</v>
      </c>
      <c r="D23" s="8" t="s">
        <v>121</v>
      </c>
      <c r="E23" s="8" t="b">
        <f t="shared" si="0"/>
        <v>0</v>
      </c>
      <c r="F23" s="8" t="b" cm="1">
        <f t="array" ref="F23">_xlfn._xlws.FILTER(E23:E3221, C23:C3221= "6D-PM-1020-01", "No Squirrels Found")</f>
        <v>0</v>
      </c>
      <c r="G23" s="8" t="s">
        <v>48</v>
      </c>
      <c r="H23" s="10">
        <v>10082018</v>
      </c>
      <c r="I23" s="10">
        <v>23</v>
      </c>
      <c r="J23" s="8" t="s">
        <v>39</v>
      </c>
      <c r="K23" s="8" t="s">
        <v>40</v>
      </c>
      <c r="M23" s="8" t="s">
        <v>55</v>
      </c>
      <c r="O23" s="8" t="s">
        <v>43</v>
      </c>
      <c r="P23" s="8" t="b">
        <v>0</v>
      </c>
      <c r="R23" s="8" t="b">
        <v>0</v>
      </c>
      <c r="S23" s="8" t="b">
        <v>0</v>
      </c>
      <c r="T23" s="8" t="b">
        <v>0</v>
      </c>
      <c r="U23" s="8" t="b">
        <v>0</v>
      </c>
      <c r="V23" s="8" t="b">
        <v>1</v>
      </c>
      <c r="W23" s="11" t="s">
        <v>122</v>
      </c>
      <c r="X23" s="8" t="b">
        <v>0</v>
      </c>
      <c r="Y23" s="8" t="b">
        <v>0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1</v>
      </c>
      <c r="AE23" s="8" t="b">
        <v>0</v>
      </c>
      <c r="AG23" s="11" t="b" cm="1">
        <f t="array" ref="AG23">IF(OR(Y23:AA23="TRUE", AE23="true"), "Threatened")</f>
        <v>0</v>
      </c>
      <c r="AH23" s="11" t="s">
        <v>123</v>
      </c>
      <c r="AI23" s="8" t="b">
        <v>0</v>
      </c>
    </row>
    <row r="24" spans="1:35" ht="31.2">
      <c r="A24" s="8">
        <v>-73.963817939999998</v>
      </c>
      <c r="B24" s="8">
        <v>40.792417329999999</v>
      </c>
      <c r="C24" s="8" t="s">
        <v>124</v>
      </c>
      <c r="D24" s="8" t="s">
        <v>125</v>
      </c>
      <c r="E24" s="8" t="b">
        <f t="shared" si="0"/>
        <v>0</v>
      </c>
      <c r="F24" s="8" t="b" cm="1">
        <f t="array" ref="F24">_xlfn._xlws.FILTER(E24:E3222, C24:C3222= "6D-PM-1020-01", "No Squirrels Found")</f>
        <v>0</v>
      </c>
      <c r="G24" s="8" t="s">
        <v>34</v>
      </c>
      <c r="H24" s="10">
        <v>10132018</v>
      </c>
      <c r="I24" s="10">
        <v>3</v>
      </c>
      <c r="J24" s="8" t="s">
        <v>54</v>
      </c>
      <c r="K24" s="8" t="s">
        <v>40</v>
      </c>
      <c r="L24" s="8" t="s">
        <v>41</v>
      </c>
      <c r="M24" s="8" t="s">
        <v>42</v>
      </c>
      <c r="O24" s="8" t="s">
        <v>43</v>
      </c>
      <c r="P24" s="8" t="b">
        <v>0</v>
      </c>
      <c r="R24" s="8" t="b">
        <v>0</v>
      </c>
      <c r="S24" s="8" t="b">
        <v>0</v>
      </c>
      <c r="T24" s="8" t="b">
        <v>0</v>
      </c>
      <c r="U24" s="8" t="b">
        <v>1</v>
      </c>
      <c r="V24" s="8" t="b">
        <v>0</v>
      </c>
      <c r="X24" s="8" t="b">
        <v>0</v>
      </c>
      <c r="Y24" s="8" t="b">
        <v>0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1</v>
      </c>
      <c r="AE24" s="8" t="b">
        <v>0</v>
      </c>
      <c r="AG24" s="11" t="b" cm="1">
        <f t="array" ref="AG24">IF(OR(Y24:AA24="TRUE", AE24="true"), "Threatened")</f>
        <v>0</v>
      </c>
      <c r="AH24" s="11" t="s">
        <v>126</v>
      </c>
      <c r="AI24" s="8" t="b">
        <v>1</v>
      </c>
    </row>
    <row r="25" spans="1:35" ht="31.2">
      <c r="A25" s="8">
        <v>-73.958407100000002</v>
      </c>
      <c r="B25" s="8">
        <v>40.791381250000001</v>
      </c>
      <c r="C25" s="8" t="s">
        <v>127</v>
      </c>
      <c r="D25" s="8" t="s">
        <v>92</v>
      </c>
      <c r="E25" s="8" t="b">
        <f t="shared" si="0"/>
        <v>0</v>
      </c>
      <c r="F25" s="8" t="b" cm="1">
        <f t="array" ref="F25">_xlfn._xlws.FILTER(E25:E3223, C25:C3223= "6D-PM-1020-01", "No Squirrels Found")</f>
        <v>0</v>
      </c>
      <c r="G25" s="8" t="s">
        <v>48</v>
      </c>
      <c r="H25" s="10">
        <v>10082018</v>
      </c>
      <c r="I25" s="10">
        <v>1</v>
      </c>
      <c r="J25" s="8" t="s">
        <v>39</v>
      </c>
      <c r="K25" s="8" t="s">
        <v>40</v>
      </c>
      <c r="M25" s="8" t="s">
        <v>55</v>
      </c>
      <c r="O25" s="8" t="s">
        <v>43</v>
      </c>
      <c r="P25" s="8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8" t="b">
        <v>0</v>
      </c>
      <c r="W25" s="11" t="s">
        <v>128</v>
      </c>
      <c r="X25" s="8" t="b">
        <v>0</v>
      </c>
      <c r="Y25" s="8" t="b">
        <v>0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1</v>
      </c>
      <c r="AE25" s="8" t="b">
        <v>0</v>
      </c>
      <c r="AG25" s="11" t="b" cm="1">
        <f t="array" ref="AG25">IF(OR(Y25:AA25="TRUE", AE25="true"), "Threatened")</f>
        <v>0</v>
      </c>
      <c r="AH25" s="11" t="s">
        <v>129</v>
      </c>
      <c r="AI25" s="8" t="b">
        <v>0</v>
      </c>
    </row>
    <row r="26" spans="1:35" ht="31.2">
      <c r="A26" s="8">
        <v>-73.967113069999996</v>
      </c>
      <c r="B26" s="8">
        <v>40.778485969999998</v>
      </c>
      <c r="C26" s="8" t="s">
        <v>130</v>
      </c>
      <c r="D26" s="8" t="s">
        <v>131</v>
      </c>
      <c r="E26" s="8" t="b">
        <f t="shared" si="0"/>
        <v>0</v>
      </c>
      <c r="F26" s="8" t="b" cm="1">
        <f t="array" ref="F26">_xlfn._xlws.FILTER(E26:E3224, C26:C3224= "6D-PM-1020-01", "No Squirrels Found")</f>
        <v>0</v>
      </c>
      <c r="G26" s="8" t="s">
        <v>48</v>
      </c>
      <c r="H26" s="10">
        <v>10072018</v>
      </c>
      <c r="I26" s="10">
        <v>7</v>
      </c>
      <c r="J26" s="8" t="s">
        <v>39</v>
      </c>
      <c r="K26" s="8" t="s">
        <v>40</v>
      </c>
      <c r="L26" s="8" t="s">
        <v>84</v>
      </c>
      <c r="M26" s="8" t="s">
        <v>103</v>
      </c>
      <c r="O26" s="8" t="s">
        <v>50</v>
      </c>
      <c r="P26" s="8">
        <v>24</v>
      </c>
      <c r="R26" s="8" t="b">
        <v>1</v>
      </c>
      <c r="S26" s="8" t="b">
        <v>0</v>
      </c>
      <c r="T26" s="8" t="b">
        <v>0</v>
      </c>
      <c r="U26" s="8" t="b">
        <v>0</v>
      </c>
      <c r="V26" s="8" t="b">
        <v>0</v>
      </c>
      <c r="X26" s="8" t="b">
        <v>0</v>
      </c>
      <c r="Y26" s="8" t="b">
        <v>0</v>
      </c>
      <c r="Z26" s="8" t="b">
        <v>0</v>
      </c>
      <c r="AA26" s="8" t="b">
        <v>1</v>
      </c>
      <c r="AB26" s="8" t="b">
        <v>0</v>
      </c>
      <c r="AC26" s="8" t="b">
        <v>0</v>
      </c>
      <c r="AD26" s="8" t="b">
        <v>1</v>
      </c>
      <c r="AE26" s="8" t="b">
        <v>0</v>
      </c>
      <c r="AG26" s="11" t="b" cm="1">
        <f t="array" ref="AG26">IF(OR(Y26:AA26="TRUE", AE26="true"), "Threatened")</f>
        <v>0</v>
      </c>
      <c r="AH26" s="11" t="s">
        <v>132</v>
      </c>
      <c r="AI26" s="8" t="b">
        <v>1</v>
      </c>
    </row>
    <row r="27" spans="1:35" ht="31.2">
      <c r="A27" s="8">
        <v>-73.964986600000003</v>
      </c>
      <c r="B27" s="8">
        <v>40.77649297</v>
      </c>
      <c r="C27" s="8" t="s">
        <v>133</v>
      </c>
      <c r="D27" s="8" t="s">
        <v>134</v>
      </c>
      <c r="E27" s="8" t="b">
        <f t="shared" si="0"/>
        <v>0</v>
      </c>
      <c r="F27" s="8" t="b" cm="1">
        <f t="array" ref="F27">_xlfn._xlws.FILTER(E27:E3225, C27:C3225= "6D-PM-1020-01", "No Squirrels Found")</f>
        <v>0</v>
      </c>
      <c r="G27" s="8" t="s">
        <v>48</v>
      </c>
      <c r="H27" s="10">
        <v>10082018</v>
      </c>
      <c r="I27" s="10">
        <v>1</v>
      </c>
      <c r="J27" s="8" t="s">
        <v>39</v>
      </c>
      <c r="K27" s="8" t="s">
        <v>41</v>
      </c>
      <c r="L27" s="8" t="s">
        <v>135</v>
      </c>
      <c r="M27" s="8" t="s">
        <v>136</v>
      </c>
      <c r="O27" s="8" t="s">
        <v>43</v>
      </c>
      <c r="P27" s="8" t="b">
        <v>0</v>
      </c>
      <c r="R27" s="8" t="b">
        <v>0</v>
      </c>
      <c r="S27" s="8" t="b">
        <v>0</v>
      </c>
      <c r="T27" s="8" t="b">
        <v>0</v>
      </c>
      <c r="U27" s="8" t="b">
        <v>0</v>
      </c>
      <c r="V27" s="8" t="b">
        <v>1</v>
      </c>
      <c r="X27" s="8" t="b">
        <v>0</v>
      </c>
      <c r="Y27" s="8" t="b">
        <v>0</v>
      </c>
      <c r="Z27" s="8" t="b">
        <v>0</v>
      </c>
      <c r="AA27" s="8" t="b">
        <v>0</v>
      </c>
      <c r="AB27" s="8" t="b">
        <v>1</v>
      </c>
      <c r="AC27" s="8" t="b">
        <v>0</v>
      </c>
      <c r="AD27" s="8" t="b">
        <v>1</v>
      </c>
      <c r="AE27" s="8" t="b">
        <v>0</v>
      </c>
      <c r="AG27" s="11" t="b" cm="1">
        <f t="array" ref="AG27">IF(OR(Y27:AA27="TRUE", AE27="true"), "Threatened")</f>
        <v>0</v>
      </c>
      <c r="AH27" s="11" t="s">
        <v>137</v>
      </c>
      <c r="AI27" s="8" t="b">
        <v>1</v>
      </c>
    </row>
    <row r="28" spans="1:35" ht="31.2">
      <c r="A28" s="8">
        <v>-73.967062859999999</v>
      </c>
      <c r="B28" s="8">
        <v>40.773499139999998</v>
      </c>
      <c r="C28" s="8" t="s">
        <v>138</v>
      </c>
      <c r="D28" s="8" t="s">
        <v>139</v>
      </c>
      <c r="E28" s="8" t="b">
        <f t="shared" si="0"/>
        <v>0</v>
      </c>
      <c r="F28" s="8" t="b" cm="1">
        <f t="array" ref="F28">_xlfn._xlws.FILTER(E28:E3226, C28:C3226= "6D-PM-1020-01", "No Squirrels Found")</f>
        <v>0</v>
      </c>
      <c r="G28" s="8" t="s">
        <v>48</v>
      </c>
      <c r="H28" s="10">
        <v>10132018</v>
      </c>
      <c r="I28" s="10">
        <v>1</v>
      </c>
      <c r="J28" s="8" t="s">
        <v>39</v>
      </c>
      <c r="K28" s="8" t="s">
        <v>41</v>
      </c>
      <c r="L28" s="8" t="s">
        <v>84</v>
      </c>
      <c r="M28" s="8" t="s">
        <v>85</v>
      </c>
      <c r="O28" s="8" t="s">
        <v>43</v>
      </c>
      <c r="P28" s="8" t="b">
        <v>0</v>
      </c>
      <c r="Q28" s="8" t="s">
        <v>140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11" t="s">
        <v>141</v>
      </c>
      <c r="X28" s="8" t="b">
        <v>0</v>
      </c>
      <c r="Y28" s="8" t="b">
        <v>0</v>
      </c>
      <c r="Z28" s="8" t="b">
        <v>0</v>
      </c>
      <c r="AA28" s="8" t="b">
        <v>0</v>
      </c>
      <c r="AB28" s="8" t="b">
        <v>1</v>
      </c>
      <c r="AC28" s="8" t="b">
        <v>0</v>
      </c>
      <c r="AD28" s="8" t="b">
        <v>0</v>
      </c>
      <c r="AE28" s="8" t="b">
        <v>1</v>
      </c>
      <c r="AG28" s="11" t="b" cm="1">
        <f t="array" ref="AG28">IF(OR(Y28:AA28="TRUE", AE28="true"), "Threatened")</f>
        <v>0</v>
      </c>
      <c r="AH28" s="11" t="s">
        <v>142</v>
      </c>
      <c r="AI28" s="8" t="b">
        <v>0</v>
      </c>
    </row>
    <row r="29" spans="1:35" ht="31.2">
      <c r="A29" s="8">
        <v>-73.958736590000001</v>
      </c>
      <c r="B29" s="8">
        <v>40.790852440000002</v>
      </c>
      <c r="C29" s="8" t="s">
        <v>143</v>
      </c>
      <c r="D29" s="8" t="s">
        <v>144</v>
      </c>
      <c r="E29" s="8" t="b">
        <f t="shared" si="0"/>
        <v>0</v>
      </c>
      <c r="F29" s="8" t="b" cm="1">
        <f t="array" ref="F29">_xlfn._xlws.FILTER(E29:E3227, C29:C3227= "6D-PM-1020-01", "No Squirrels Found")</f>
        <v>0</v>
      </c>
      <c r="G29" s="8" t="s">
        <v>34</v>
      </c>
      <c r="H29" s="10">
        <v>10082018</v>
      </c>
      <c r="I29" s="10">
        <v>7</v>
      </c>
      <c r="J29" s="8" t="s">
        <v>39</v>
      </c>
      <c r="K29" s="8" t="s">
        <v>40</v>
      </c>
      <c r="M29" s="8" t="s">
        <v>55</v>
      </c>
      <c r="O29" s="8" t="s">
        <v>43</v>
      </c>
      <c r="P29" s="8" t="b">
        <v>0</v>
      </c>
      <c r="R29" s="8" t="b">
        <v>1</v>
      </c>
      <c r="S29" s="8" t="b">
        <v>1</v>
      </c>
      <c r="T29" s="8" t="b">
        <v>0</v>
      </c>
      <c r="U29" s="8" t="b">
        <v>0</v>
      </c>
      <c r="V29" s="8" t="b">
        <v>1</v>
      </c>
      <c r="X29" s="8" t="b">
        <v>0</v>
      </c>
      <c r="Y29" s="8" t="b">
        <v>0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1</v>
      </c>
      <c r="AE29" s="8" t="b">
        <v>0</v>
      </c>
      <c r="AG29" s="11" t="b" cm="1">
        <f t="array" ref="AG29">IF(OR(Y29:AA29="TRUE", AE29="true"), "Threatened")</f>
        <v>0</v>
      </c>
      <c r="AH29" s="11" t="s">
        <v>145</v>
      </c>
      <c r="AI29" s="8" t="b">
        <v>1</v>
      </c>
    </row>
    <row r="30" spans="1:35" ht="31.2">
      <c r="A30" s="8">
        <v>-73.967178669999996</v>
      </c>
      <c r="B30" s="8">
        <v>40.786735280000002</v>
      </c>
      <c r="C30" s="8" t="s">
        <v>146</v>
      </c>
      <c r="D30" s="8" t="s">
        <v>147</v>
      </c>
      <c r="E30" s="8" t="b">
        <f t="shared" si="0"/>
        <v>0</v>
      </c>
      <c r="F30" s="8" t="b" cm="1">
        <f t="array" ref="F30">_xlfn._xlws.FILTER(E30:E3228, C30:C3228= "6D-PM-1020-01", "No Squirrels Found")</f>
        <v>0</v>
      </c>
      <c r="G30" s="8" t="s">
        <v>48</v>
      </c>
      <c r="H30" s="10">
        <v>10132018</v>
      </c>
      <c r="I30" s="10">
        <v>4</v>
      </c>
      <c r="K30" s="8" t="s">
        <v>40</v>
      </c>
      <c r="L30" s="8" t="s">
        <v>84</v>
      </c>
      <c r="M30" s="8" t="s">
        <v>103</v>
      </c>
      <c r="O30" s="8" t="s">
        <v>43</v>
      </c>
      <c r="P30" s="8" t="b">
        <v>0</v>
      </c>
      <c r="R30" s="8" t="b">
        <v>0</v>
      </c>
      <c r="S30" s="8" t="b">
        <v>0</v>
      </c>
      <c r="T30" s="8" t="b">
        <v>0</v>
      </c>
      <c r="U30" s="8" t="b">
        <v>0</v>
      </c>
      <c r="V30" s="8" t="b">
        <v>1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0</v>
      </c>
      <c r="AE30" s="8" t="b">
        <v>1</v>
      </c>
      <c r="AG30" s="11" t="b" cm="1">
        <f t="array" ref="AG30">IF(OR(Y30:AA30="TRUE", AE30="true"), "Threatened")</f>
        <v>0</v>
      </c>
      <c r="AH30" s="11" t="s">
        <v>148</v>
      </c>
      <c r="AI30" s="8" t="b">
        <v>1</v>
      </c>
    </row>
    <row r="31" spans="1:35" ht="31.2">
      <c r="A31" s="8">
        <v>-73.969294329999997</v>
      </c>
      <c r="B31" s="8">
        <v>40.77695361</v>
      </c>
      <c r="C31" s="8" t="s">
        <v>149</v>
      </c>
      <c r="D31" s="8" t="s">
        <v>150</v>
      </c>
      <c r="E31" s="8" t="b">
        <f t="shared" si="0"/>
        <v>0</v>
      </c>
      <c r="F31" s="8" t="b" cm="1">
        <f t="array" ref="F31">_xlfn._xlws.FILTER(E31:E3229, C31:C3229= "6D-PM-1020-01", "No Squirrels Found")</f>
        <v>0</v>
      </c>
      <c r="G31" s="8" t="s">
        <v>48</v>
      </c>
      <c r="H31" s="10">
        <v>10132018</v>
      </c>
      <c r="I31" s="10">
        <v>1</v>
      </c>
      <c r="J31" s="8" t="s">
        <v>39</v>
      </c>
      <c r="K31" s="8" t="s">
        <v>40</v>
      </c>
      <c r="L31" s="8" t="s">
        <v>84</v>
      </c>
      <c r="M31" s="8" t="s">
        <v>103</v>
      </c>
      <c r="O31" s="8" t="s">
        <v>43</v>
      </c>
      <c r="P31" s="8" t="b">
        <v>0</v>
      </c>
      <c r="R31" s="8" t="b">
        <v>1</v>
      </c>
      <c r="S31" s="8" t="b">
        <v>0</v>
      </c>
      <c r="T31" s="8" t="b">
        <v>0</v>
      </c>
      <c r="U31" s="8" t="b">
        <v>0</v>
      </c>
      <c r="V31" s="8" t="b">
        <v>1</v>
      </c>
      <c r="X31" s="8" t="b">
        <v>0</v>
      </c>
      <c r="Y31" s="8" t="b">
        <v>0</v>
      </c>
      <c r="Z31" s="8" t="b">
        <v>0</v>
      </c>
      <c r="AA31" s="8" t="b">
        <v>0</v>
      </c>
      <c r="AB31" s="8" t="b">
        <v>0</v>
      </c>
      <c r="AC31" s="8" t="b">
        <v>0</v>
      </c>
      <c r="AD31" s="8" t="b">
        <v>0</v>
      </c>
      <c r="AE31" s="8" t="b">
        <v>0</v>
      </c>
      <c r="AG31" s="11" t="b" cm="1">
        <f t="array" ref="AG31">IF(OR(Y31:AA31="TRUE", AE31="true"), "Threatened")</f>
        <v>0</v>
      </c>
      <c r="AH31" s="11" t="s">
        <v>151</v>
      </c>
      <c r="AI31" s="8" t="b">
        <v>1</v>
      </c>
    </row>
    <row r="32" spans="1:35" ht="31.2">
      <c r="A32" s="8">
        <v>-73.954005409999994</v>
      </c>
      <c r="B32" s="8">
        <v>40.795244599999997</v>
      </c>
      <c r="C32" s="8" t="s">
        <v>152</v>
      </c>
      <c r="D32" s="8" t="s">
        <v>153</v>
      </c>
      <c r="E32" s="8" t="b">
        <f t="shared" si="0"/>
        <v>0</v>
      </c>
      <c r="F32" s="8" t="b" cm="1">
        <f t="array" ref="F32">_xlfn._xlws.FILTER(E32:E3230, C32:C3230= "6D-PM-1020-01", "No Squirrels Found")</f>
        <v>0</v>
      </c>
      <c r="G32" s="8" t="s">
        <v>34</v>
      </c>
      <c r="H32" s="10">
        <v>10132018</v>
      </c>
      <c r="I32" s="10">
        <v>6</v>
      </c>
      <c r="J32" s="8" t="s">
        <v>39</v>
      </c>
      <c r="K32" s="8" t="s">
        <v>40</v>
      </c>
      <c r="L32" s="8" t="s">
        <v>41</v>
      </c>
      <c r="M32" s="8" t="s">
        <v>42</v>
      </c>
      <c r="O32" s="8" t="s">
        <v>43</v>
      </c>
      <c r="P32" s="8" t="b">
        <v>0</v>
      </c>
      <c r="R32" s="8" t="b">
        <v>1</v>
      </c>
      <c r="S32" s="8" t="b">
        <v>0</v>
      </c>
      <c r="T32" s="8" t="b">
        <v>0</v>
      </c>
      <c r="U32" s="8" t="b">
        <v>0</v>
      </c>
      <c r="V32" s="8" t="b">
        <v>0</v>
      </c>
      <c r="X32" s="8" t="b">
        <v>0</v>
      </c>
      <c r="Y32" s="8" t="b">
        <v>0</v>
      </c>
      <c r="Z32" s="8" t="b">
        <v>0</v>
      </c>
      <c r="AA32" s="8" t="b">
        <v>0</v>
      </c>
      <c r="AB32" s="8" t="b">
        <v>0</v>
      </c>
      <c r="AC32" s="8" t="b">
        <v>0</v>
      </c>
      <c r="AD32" s="8" t="b">
        <v>0</v>
      </c>
      <c r="AE32" s="8" t="b">
        <v>0</v>
      </c>
      <c r="AG32" s="11" t="b" cm="1">
        <f t="array" ref="AG32">IF(OR(Y32:AA32="TRUE", AE32="true"), "Threatened")</f>
        <v>0</v>
      </c>
      <c r="AH32" s="11" t="s">
        <v>154</v>
      </c>
      <c r="AI32" s="8" t="b">
        <v>1</v>
      </c>
    </row>
    <row r="33" spans="1:35" ht="31.2">
      <c r="A33" s="8">
        <v>-73.957653019999995</v>
      </c>
      <c r="B33" s="8">
        <v>40.786865949999999</v>
      </c>
      <c r="C33" s="8" t="s">
        <v>155</v>
      </c>
      <c r="D33" s="8" t="s">
        <v>156</v>
      </c>
      <c r="E33" s="8" t="b">
        <f t="shared" si="0"/>
        <v>0</v>
      </c>
      <c r="F33" s="8" t="b" cm="1">
        <f t="array" ref="F33">_xlfn._xlws.FILTER(E33:E3231, C33:C3231= "6D-PM-1020-01", "No Squirrels Found")</f>
        <v>0</v>
      </c>
      <c r="G33" s="8" t="s">
        <v>34</v>
      </c>
      <c r="H33" s="10">
        <v>10072018</v>
      </c>
      <c r="I33" s="10">
        <v>1</v>
      </c>
      <c r="K33" s="8" t="s">
        <v>40</v>
      </c>
      <c r="L33" s="8" t="s">
        <v>41</v>
      </c>
      <c r="M33" s="8" t="s">
        <v>42</v>
      </c>
      <c r="O33" s="8" t="s">
        <v>43</v>
      </c>
      <c r="P33" s="8" t="b">
        <v>0</v>
      </c>
      <c r="R33" s="8" t="b">
        <v>0</v>
      </c>
      <c r="S33" s="8" t="b">
        <v>0</v>
      </c>
      <c r="T33" s="8" t="b">
        <v>0</v>
      </c>
      <c r="U33" s="8" t="b">
        <v>1</v>
      </c>
      <c r="V33" s="8" t="b">
        <v>1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0</v>
      </c>
      <c r="AE33" s="8" t="b">
        <v>0</v>
      </c>
      <c r="AG33" s="11" t="b" cm="1">
        <f t="array" ref="AG33">IF(OR(Y33:AA33="TRUE", AE33="true"), "Threatened")</f>
        <v>0</v>
      </c>
      <c r="AH33" s="11" t="s">
        <v>157</v>
      </c>
      <c r="AI33" s="8" t="b">
        <v>1</v>
      </c>
    </row>
    <row r="34" spans="1:35" ht="31.2">
      <c r="A34" s="8">
        <v>-73.973803329999996</v>
      </c>
      <c r="B34" s="8">
        <v>40.771184689999998</v>
      </c>
      <c r="C34" s="8" t="s">
        <v>158</v>
      </c>
      <c r="D34" s="8" t="s">
        <v>159</v>
      </c>
      <c r="E34" s="8" t="b">
        <f t="shared" si="0"/>
        <v>0</v>
      </c>
      <c r="F34" s="8" t="b" cm="1">
        <f t="array" ref="F34">_xlfn._xlws.FILTER(E34:E3232, C34:C3232= "6D-PM-1020-01", "No Squirrels Found")</f>
        <v>0</v>
      </c>
      <c r="G34" s="8" t="s">
        <v>48</v>
      </c>
      <c r="H34" s="10">
        <v>10062018</v>
      </c>
      <c r="I34" s="10">
        <v>2</v>
      </c>
      <c r="J34" s="8" t="s">
        <v>39</v>
      </c>
      <c r="K34" s="8" t="s">
        <v>40</v>
      </c>
      <c r="M34" s="8" t="s">
        <v>55</v>
      </c>
      <c r="O34" s="8" t="s">
        <v>43</v>
      </c>
      <c r="P34" s="8" t="b">
        <v>0</v>
      </c>
      <c r="Q34" s="8" t="s">
        <v>160</v>
      </c>
      <c r="R34" s="8" t="b">
        <v>0</v>
      </c>
      <c r="S34" s="8" t="b">
        <v>0</v>
      </c>
      <c r="T34" s="8" t="b">
        <v>0</v>
      </c>
      <c r="U34" s="8" t="b">
        <v>1</v>
      </c>
      <c r="V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b">
        <v>0</v>
      </c>
      <c r="AG34" s="11" t="b" cm="1">
        <f t="array" ref="AG34">IF(OR(Y34:AA34="TRUE", AE34="true"), "Threatened")</f>
        <v>0</v>
      </c>
      <c r="AH34" s="11" t="s">
        <v>161</v>
      </c>
      <c r="AI34" s="8" t="b">
        <v>1</v>
      </c>
    </row>
    <row r="35" spans="1:35" ht="31.2">
      <c r="A35" s="8">
        <v>-73.970440269999997</v>
      </c>
      <c r="B35" s="8">
        <v>40.779896559999997</v>
      </c>
      <c r="C35" s="8" t="s">
        <v>162</v>
      </c>
      <c r="D35" s="8" t="s">
        <v>163</v>
      </c>
      <c r="E35" s="8" t="b">
        <f t="shared" si="0"/>
        <v>0</v>
      </c>
      <c r="F35" s="8" t="b" cm="1">
        <f t="array" ref="F35">_xlfn._xlws.FILTER(E35:E3233, C35:C3233= "6D-PM-1020-01", "No Squirrels Found")</f>
        <v>0</v>
      </c>
      <c r="G35" s="8" t="s">
        <v>34</v>
      </c>
      <c r="H35" s="10">
        <v>10132018</v>
      </c>
      <c r="I35" s="10">
        <v>5</v>
      </c>
      <c r="J35" s="8" t="s">
        <v>39</v>
      </c>
      <c r="K35" s="8" t="s">
        <v>40</v>
      </c>
      <c r="M35" s="8" t="s">
        <v>55</v>
      </c>
      <c r="O35" s="8" t="s">
        <v>43</v>
      </c>
      <c r="P35" s="8" t="b">
        <v>0</v>
      </c>
      <c r="R35" s="8" t="b">
        <v>0</v>
      </c>
      <c r="S35" s="8" t="b">
        <v>0</v>
      </c>
      <c r="T35" s="8" t="b">
        <v>0</v>
      </c>
      <c r="U35" s="8" t="b">
        <v>1</v>
      </c>
      <c r="V35" s="8" t="b">
        <v>0</v>
      </c>
      <c r="W35" s="11" t="s">
        <v>164</v>
      </c>
      <c r="X35" s="8" t="b">
        <v>0</v>
      </c>
      <c r="Y35" s="8" t="b">
        <v>0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1</v>
      </c>
      <c r="AE35" s="8" t="b">
        <v>0</v>
      </c>
      <c r="AG35" s="11" t="b" cm="1">
        <f t="array" ref="AG35">IF(OR(Y35:AA35="TRUE", AE35="true"), "Threatened")</f>
        <v>0</v>
      </c>
      <c r="AH35" s="11" t="s">
        <v>165</v>
      </c>
      <c r="AI35" s="8" t="b">
        <v>0</v>
      </c>
    </row>
    <row r="36" spans="1:35" ht="31.2">
      <c r="A36" s="8">
        <v>-73.975697609999997</v>
      </c>
      <c r="B36" s="8">
        <v>40.775389730000001</v>
      </c>
      <c r="C36" s="8" t="s">
        <v>166</v>
      </c>
      <c r="D36" s="8" t="s">
        <v>167</v>
      </c>
      <c r="E36" s="8" t="b">
        <f t="shared" si="0"/>
        <v>0</v>
      </c>
      <c r="F36" s="8" t="b" cm="1">
        <f t="array" ref="F36">_xlfn._xlws.FILTER(E36:E3234, C36:C3234= "6D-PM-1020-01", "No Squirrels Found")</f>
        <v>0</v>
      </c>
      <c r="G36" s="8" t="s">
        <v>34</v>
      </c>
      <c r="H36" s="10">
        <v>10142018</v>
      </c>
      <c r="I36" s="10">
        <v>1</v>
      </c>
      <c r="J36" s="8" t="s">
        <v>39</v>
      </c>
      <c r="K36" s="8" t="s">
        <v>40</v>
      </c>
      <c r="L36" s="8" t="s">
        <v>168</v>
      </c>
      <c r="M36" s="8" t="s">
        <v>169</v>
      </c>
      <c r="N36" s="11" t="s">
        <v>170</v>
      </c>
      <c r="O36" s="8" t="s">
        <v>43</v>
      </c>
      <c r="P36" s="8" t="b">
        <v>0</v>
      </c>
      <c r="Q36" s="8" t="s">
        <v>171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1</v>
      </c>
      <c r="X36" s="8" t="b">
        <v>0</v>
      </c>
      <c r="Y36" s="8" t="b">
        <v>0</v>
      </c>
      <c r="Z36" s="8" t="b">
        <v>0</v>
      </c>
      <c r="AA36" s="8" t="b">
        <v>0</v>
      </c>
      <c r="AB36" s="8" t="b">
        <v>1</v>
      </c>
      <c r="AC36" s="8" t="b">
        <v>0</v>
      </c>
      <c r="AD36" s="8" t="b">
        <v>1</v>
      </c>
      <c r="AE36" s="8" t="b">
        <v>0</v>
      </c>
      <c r="AG36" s="11" t="b" cm="1">
        <f t="array" ref="AG36">IF(OR(Y36:AA36="TRUE", AE36="true"), "Threatened")</f>
        <v>0</v>
      </c>
      <c r="AH36" s="11" t="s">
        <v>172</v>
      </c>
      <c r="AI36" s="8" t="b">
        <v>1</v>
      </c>
    </row>
    <row r="37" spans="1:35" ht="31.2">
      <c r="A37" s="8">
        <v>-73.966243899999995</v>
      </c>
      <c r="B37" s="8">
        <v>40.789038179999999</v>
      </c>
      <c r="C37" s="8" t="s">
        <v>173</v>
      </c>
      <c r="D37" s="8" t="s">
        <v>174</v>
      </c>
      <c r="E37" s="8" t="b">
        <f t="shared" si="0"/>
        <v>0</v>
      </c>
      <c r="F37" s="8" t="b" cm="1">
        <f t="array" ref="F37">_xlfn._xlws.FILTER(E37:E3235, C37:C3235= "6D-PM-1020-01", "No Squirrels Found")</f>
        <v>0</v>
      </c>
      <c r="G37" s="8" t="s">
        <v>34</v>
      </c>
      <c r="H37" s="10">
        <v>10072018</v>
      </c>
      <c r="I37" s="10">
        <v>5</v>
      </c>
      <c r="J37" s="8" t="s">
        <v>39</v>
      </c>
      <c r="K37" s="8" t="s">
        <v>41</v>
      </c>
      <c r="M37" s="8" t="s">
        <v>49</v>
      </c>
      <c r="O37" s="8" t="s">
        <v>43</v>
      </c>
      <c r="P37" s="8" t="b">
        <v>0</v>
      </c>
      <c r="R37" s="8" t="b">
        <v>1</v>
      </c>
      <c r="S37" s="8" t="b">
        <v>0</v>
      </c>
      <c r="T37" s="8" t="b">
        <v>0</v>
      </c>
      <c r="U37" s="8" t="b">
        <v>0</v>
      </c>
      <c r="V37" s="8" t="b">
        <v>1</v>
      </c>
      <c r="X37" s="8" t="b">
        <v>0</v>
      </c>
      <c r="Y37" s="8" t="b">
        <v>0</v>
      </c>
      <c r="Z37" s="8" t="b">
        <v>0</v>
      </c>
      <c r="AA37" s="8" t="b">
        <v>0</v>
      </c>
      <c r="AB37" s="8" t="b">
        <v>1</v>
      </c>
      <c r="AC37" s="8" t="b">
        <v>0</v>
      </c>
      <c r="AD37" s="8" t="b">
        <v>0</v>
      </c>
      <c r="AE37" s="8" t="b">
        <v>1</v>
      </c>
      <c r="AG37" s="11" t="b" cm="1">
        <f t="array" ref="AG37">IF(OR(Y37:AA37="TRUE", AE37="true"), "Threatened")</f>
        <v>0</v>
      </c>
      <c r="AH37" s="11" t="s">
        <v>175</v>
      </c>
      <c r="AI37" s="8" t="b">
        <v>1</v>
      </c>
    </row>
    <row r="38" spans="1:35" ht="31.2">
      <c r="A38" s="8">
        <v>-73.964315389999996</v>
      </c>
      <c r="B38" s="8">
        <v>40.782081849999997</v>
      </c>
      <c r="C38" s="8" t="s">
        <v>176</v>
      </c>
      <c r="D38" s="8" t="s">
        <v>177</v>
      </c>
      <c r="E38" s="8" t="b">
        <f t="shared" si="0"/>
        <v>0</v>
      </c>
      <c r="F38" s="8" t="b" cm="1">
        <f t="array" ref="F38">_xlfn._xlws.FILTER(E38:E3236, C38:C3236= "6D-PM-1020-01", "No Squirrels Found")</f>
        <v>0</v>
      </c>
      <c r="G38" s="8" t="s">
        <v>34</v>
      </c>
      <c r="H38" s="10">
        <v>10142018</v>
      </c>
      <c r="I38" s="10">
        <v>5</v>
      </c>
      <c r="J38" s="8" t="s">
        <v>39</v>
      </c>
      <c r="K38" s="8" t="s">
        <v>40</v>
      </c>
      <c r="L38" s="8" t="s">
        <v>41</v>
      </c>
      <c r="M38" s="8" t="s">
        <v>42</v>
      </c>
      <c r="O38" s="8" t="s">
        <v>43</v>
      </c>
      <c r="P38" s="8" t="b">
        <v>0</v>
      </c>
      <c r="R38" s="8" t="b">
        <v>0</v>
      </c>
      <c r="S38" s="8" t="b">
        <v>0</v>
      </c>
      <c r="T38" s="8" t="b">
        <v>0</v>
      </c>
      <c r="U38" s="8" t="b">
        <v>0</v>
      </c>
      <c r="V38" s="8" t="b">
        <v>0</v>
      </c>
      <c r="X38" s="8" t="b">
        <v>0</v>
      </c>
      <c r="Y38" s="8" t="b">
        <v>0</v>
      </c>
      <c r="Z38" s="8" t="b">
        <v>0</v>
      </c>
      <c r="AA38" s="8" t="b">
        <v>0</v>
      </c>
      <c r="AB38" s="8" t="b">
        <v>0</v>
      </c>
      <c r="AC38" s="8" t="b">
        <v>0</v>
      </c>
      <c r="AD38" s="8" t="b">
        <v>0</v>
      </c>
      <c r="AE38" s="8" t="b">
        <v>0</v>
      </c>
      <c r="AG38" s="11" t="b" cm="1">
        <f t="array" ref="AG38">IF(OR(Y38:AA38="TRUE", AE38="true"), "Threatened")</f>
        <v>0</v>
      </c>
      <c r="AH38" s="11" t="s">
        <v>178</v>
      </c>
      <c r="AI38" s="8" t="b">
        <v>1</v>
      </c>
    </row>
    <row r="39" spans="1:35" ht="31.2">
      <c r="A39" s="8">
        <v>-73.97420735</v>
      </c>
      <c r="B39" s="8">
        <v>40.77579574</v>
      </c>
      <c r="C39" s="8" t="s">
        <v>179</v>
      </c>
      <c r="D39" s="8" t="s">
        <v>180</v>
      </c>
      <c r="E39" s="8" t="b">
        <f t="shared" si="0"/>
        <v>0</v>
      </c>
      <c r="F39" s="8" t="b" cm="1">
        <f t="array" ref="F39">_xlfn._xlws.FILTER(E39:E3237, C39:C3237= "6D-PM-1020-01", "No Squirrels Found")</f>
        <v>0</v>
      </c>
      <c r="G39" s="8" t="s">
        <v>48</v>
      </c>
      <c r="H39" s="10">
        <v>10072018</v>
      </c>
      <c r="I39" s="10">
        <v>1</v>
      </c>
      <c r="J39" s="8" t="s">
        <v>39</v>
      </c>
      <c r="K39" s="8" t="s">
        <v>40</v>
      </c>
      <c r="L39" s="8" t="s">
        <v>41</v>
      </c>
      <c r="M39" s="8" t="s">
        <v>42</v>
      </c>
      <c r="O39" s="8" t="s">
        <v>43</v>
      </c>
      <c r="P39" s="8" t="b">
        <v>0</v>
      </c>
      <c r="R39" s="8" t="b">
        <v>0</v>
      </c>
      <c r="S39" s="8" t="b">
        <v>1</v>
      </c>
      <c r="T39" s="8" t="b">
        <v>0</v>
      </c>
      <c r="U39" s="8" t="b">
        <v>0</v>
      </c>
      <c r="V39" s="8" t="b">
        <v>0</v>
      </c>
      <c r="X39" s="8" t="b">
        <v>0</v>
      </c>
      <c r="Y39" s="8" t="b">
        <v>0</v>
      </c>
      <c r="Z39" s="8" t="b">
        <v>0</v>
      </c>
      <c r="AA39" s="8" t="b">
        <v>1</v>
      </c>
      <c r="AB39" s="8" t="b">
        <v>0</v>
      </c>
      <c r="AC39" s="8" t="b">
        <v>0</v>
      </c>
      <c r="AD39" s="8" t="b">
        <v>1</v>
      </c>
      <c r="AE39" s="8" t="b">
        <v>0</v>
      </c>
      <c r="AG39" s="11" t="b" cm="1">
        <f t="array" ref="AG39">IF(OR(Y39:AA39="TRUE", AE39="true"), "Threatened")</f>
        <v>0</v>
      </c>
      <c r="AH39" s="11" t="s">
        <v>181</v>
      </c>
      <c r="AI39" s="8" t="b">
        <v>1</v>
      </c>
    </row>
    <row r="40" spans="1:35" ht="31.2">
      <c r="A40" s="8">
        <v>-73.971614709999997</v>
      </c>
      <c r="B40" s="8">
        <v>40.7813911</v>
      </c>
      <c r="C40" s="8" t="s">
        <v>182</v>
      </c>
      <c r="D40" s="8" t="s">
        <v>183</v>
      </c>
      <c r="E40" s="8" t="b">
        <f t="shared" si="0"/>
        <v>0</v>
      </c>
      <c r="F40" s="8" t="b" cm="1">
        <f t="array" ref="F40">_xlfn._xlws.FILTER(E40:E3238, C40:C3238= "6D-PM-1020-01", "No Squirrels Found")</f>
        <v>0</v>
      </c>
      <c r="G40" s="8" t="s">
        <v>34</v>
      </c>
      <c r="H40" s="10">
        <v>10182018</v>
      </c>
      <c r="I40" s="10">
        <v>1</v>
      </c>
      <c r="J40" s="8" t="s">
        <v>39</v>
      </c>
      <c r="K40" s="8" t="s">
        <v>40</v>
      </c>
      <c r="M40" s="8" t="s">
        <v>55</v>
      </c>
      <c r="O40" s="8" t="s">
        <v>50</v>
      </c>
      <c r="P40" s="8">
        <v>30</v>
      </c>
      <c r="R40" s="8" t="b">
        <v>0</v>
      </c>
      <c r="S40" s="8" t="b">
        <v>0</v>
      </c>
      <c r="T40" s="8" t="b">
        <v>1</v>
      </c>
      <c r="U40" s="8" t="b">
        <v>0</v>
      </c>
      <c r="V40" s="8" t="b">
        <v>0</v>
      </c>
      <c r="X40" s="8" t="b">
        <v>0</v>
      </c>
      <c r="Y40" s="8" t="b">
        <v>0</v>
      </c>
      <c r="Z40" s="8" t="b">
        <v>0</v>
      </c>
      <c r="AA40" s="8" t="b">
        <v>0</v>
      </c>
      <c r="AB40" s="8" t="b">
        <v>0</v>
      </c>
      <c r="AC40" s="8" t="b">
        <v>0</v>
      </c>
      <c r="AD40" s="8" t="b">
        <v>0</v>
      </c>
      <c r="AE40" s="8" t="b">
        <v>0</v>
      </c>
      <c r="AG40" s="11" t="b" cm="1">
        <f t="array" ref="AG40">IF(OR(Y40:AA40="TRUE", AE40="true"), "Threatened")</f>
        <v>0</v>
      </c>
      <c r="AH40" s="11" t="s">
        <v>184</v>
      </c>
      <c r="AI40" s="8" t="b">
        <v>1</v>
      </c>
    </row>
    <row r="41" spans="1:35" ht="31.2">
      <c r="A41" s="8">
        <v>-73.95354107</v>
      </c>
      <c r="B41" s="8">
        <v>40.792871179999999</v>
      </c>
      <c r="C41" s="8" t="s">
        <v>185</v>
      </c>
      <c r="D41" s="8" t="s">
        <v>88</v>
      </c>
      <c r="E41" s="8" t="b">
        <f t="shared" si="0"/>
        <v>0</v>
      </c>
      <c r="F41" s="8" t="b" cm="1">
        <f t="array" ref="F41">_xlfn._xlws.FILTER(E41:E3239, C41:C3239= "6D-PM-1020-01", "No Squirrels Found")</f>
        <v>0</v>
      </c>
      <c r="G41" s="8" t="s">
        <v>34</v>
      </c>
      <c r="H41" s="10">
        <v>10082018</v>
      </c>
      <c r="I41" s="10">
        <v>2</v>
      </c>
      <c r="J41" s="8" t="s">
        <v>39</v>
      </c>
      <c r="K41" s="8" t="s">
        <v>40</v>
      </c>
      <c r="M41" s="8" t="s">
        <v>55</v>
      </c>
      <c r="O41" s="8" t="s">
        <v>43</v>
      </c>
      <c r="P41" s="8" t="b">
        <v>0</v>
      </c>
      <c r="R41" s="8" t="b">
        <v>0</v>
      </c>
      <c r="S41" s="8" t="b">
        <v>0</v>
      </c>
      <c r="T41" s="8" t="b">
        <v>0</v>
      </c>
      <c r="U41" s="8" t="b">
        <v>0</v>
      </c>
      <c r="V41" s="8" t="b">
        <v>1</v>
      </c>
      <c r="X41" s="8" t="b">
        <v>0</v>
      </c>
      <c r="Y41" s="8" t="b">
        <v>0</v>
      </c>
      <c r="Z41" s="8" t="b">
        <v>0</v>
      </c>
      <c r="AA41" s="8" t="b">
        <v>0</v>
      </c>
      <c r="AB41" s="8" t="b">
        <v>0</v>
      </c>
      <c r="AC41" s="8" t="b">
        <v>0</v>
      </c>
      <c r="AD41" s="8" t="b">
        <v>1</v>
      </c>
      <c r="AE41" s="8" t="b">
        <v>0</v>
      </c>
      <c r="AG41" s="11" t="b" cm="1">
        <f t="array" ref="AG41">IF(OR(Y41:AA41="TRUE", AE41="true"), "Threatened")</f>
        <v>0</v>
      </c>
      <c r="AH41" s="11" t="s">
        <v>186</v>
      </c>
      <c r="AI41" s="8" t="b">
        <v>1</v>
      </c>
    </row>
    <row r="42" spans="1:35" ht="31.2">
      <c r="A42" s="8">
        <v>-73.963915929999999</v>
      </c>
      <c r="B42" s="8">
        <v>40.789177459999998</v>
      </c>
      <c r="C42" s="8" t="s">
        <v>187</v>
      </c>
      <c r="D42" s="8" t="s">
        <v>188</v>
      </c>
      <c r="E42" s="8" t="b">
        <f t="shared" si="0"/>
        <v>0</v>
      </c>
      <c r="F42" s="8" t="b" cm="1">
        <f t="array" ref="F42">_xlfn._xlws.FILTER(E42:E3240, C42:C3240= "6D-PM-1020-01", "No Squirrels Found")</f>
        <v>0</v>
      </c>
      <c r="G42" s="8" t="s">
        <v>48</v>
      </c>
      <c r="H42" s="10">
        <v>10072018</v>
      </c>
      <c r="I42" s="10">
        <v>6</v>
      </c>
      <c r="J42" s="8" t="s">
        <v>39</v>
      </c>
      <c r="K42" s="8" t="s">
        <v>40</v>
      </c>
      <c r="L42" s="8" t="s">
        <v>41</v>
      </c>
      <c r="M42" s="8" t="s">
        <v>42</v>
      </c>
      <c r="O42" s="8" t="s">
        <v>43</v>
      </c>
      <c r="P42" s="8" t="b">
        <v>0</v>
      </c>
      <c r="R42" s="8" t="b">
        <v>1</v>
      </c>
      <c r="S42" s="8" t="b">
        <v>0</v>
      </c>
      <c r="T42" s="8" t="b">
        <v>0</v>
      </c>
      <c r="U42" s="8" t="b">
        <v>0</v>
      </c>
      <c r="V42" s="8" t="b">
        <v>0</v>
      </c>
      <c r="X42" s="8" t="b">
        <v>0</v>
      </c>
      <c r="Y42" s="8" t="b">
        <v>0</v>
      </c>
      <c r="Z42" s="8" t="b">
        <v>0</v>
      </c>
      <c r="AA42" s="8" t="b">
        <v>0</v>
      </c>
      <c r="AB42" s="8" t="b">
        <v>0</v>
      </c>
      <c r="AC42" s="8" t="b">
        <v>0</v>
      </c>
      <c r="AD42" s="8" t="b">
        <v>0</v>
      </c>
      <c r="AE42" s="8" t="b">
        <v>1</v>
      </c>
      <c r="AG42" s="11" t="b" cm="1">
        <f t="array" ref="AG42">IF(OR(Y42:AA42="TRUE", AE42="true"), "Threatened")</f>
        <v>0</v>
      </c>
      <c r="AH42" s="11" t="s">
        <v>189</v>
      </c>
      <c r="AI42" s="8" t="b">
        <v>1</v>
      </c>
    </row>
    <row r="43" spans="1:35" ht="31.2">
      <c r="A43" s="8">
        <v>-73.957956429999996</v>
      </c>
      <c r="B43" s="8">
        <v>40.795933779999999</v>
      </c>
      <c r="C43" s="8" t="s">
        <v>190</v>
      </c>
      <c r="D43" s="8" t="s">
        <v>191</v>
      </c>
      <c r="E43" s="8" t="b">
        <f t="shared" si="0"/>
        <v>0</v>
      </c>
      <c r="F43" s="8" t="b" cm="1">
        <f t="array" ref="F43">_xlfn._xlws.FILTER(E43:E3241, C43:C3241= "6D-PM-1020-01", "No Squirrels Found")</f>
        <v>0</v>
      </c>
      <c r="G43" s="8" t="s">
        <v>34</v>
      </c>
      <c r="H43" s="10">
        <v>10142018</v>
      </c>
      <c r="I43" s="10">
        <v>9</v>
      </c>
      <c r="J43" s="8" t="s">
        <v>39</v>
      </c>
      <c r="K43" s="8" t="s">
        <v>192</v>
      </c>
      <c r="M43" s="8" t="s">
        <v>193</v>
      </c>
      <c r="O43" s="8" t="s">
        <v>43</v>
      </c>
      <c r="P43" s="8" t="b">
        <v>0</v>
      </c>
      <c r="R43" s="8" t="b">
        <v>0</v>
      </c>
      <c r="S43" s="8" t="b">
        <v>0</v>
      </c>
      <c r="T43" s="8" t="b">
        <v>0</v>
      </c>
      <c r="U43" s="8" t="b">
        <v>1</v>
      </c>
      <c r="V43" s="8" t="b">
        <v>0</v>
      </c>
      <c r="X43" s="8" t="b">
        <v>0</v>
      </c>
      <c r="Y43" s="8" t="b">
        <v>0</v>
      </c>
      <c r="Z43" s="8" t="b">
        <v>0</v>
      </c>
      <c r="AA43" s="8" t="b">
        <v>0</v>
      </c>
      <c r="AB43" s="8" t="b">
        <v>0</v>
      </c>
      <c r="AC43" s="8" t="b">
        <v>1</v>
      </c>
      <c r="AD43" s="8" t="b">
        <v>0</v>
      </c>
      <c r="AE43" s="8" t="b">
        <v>0</v>
      </c>
      <c r="AG43" s="11" t="b" cm="1">
        <f t="array" ref="AG43">IF(OR(Y43:AA43="TRUE", AE43="true"), "Threatened")</f>
        <v>0</v>
      </c>
      <c r="AH43" s="11" t="s">
        <v>194</v>
      </c>
      <c r="AI43" s="8" t="b">
        <v>1</v>
      </c>
    </row>
    <row r="44" spans="1:35" ht="31.2">
      <c r="A44" s="8">
        <v>-73.957464810000005</v>
      </c>
      <c r="B44" s="8">
        <v>40.789250840000001</v>
      </c>
      <c r="C44" s="8" t="s">
        <v>195</v>
      </c>
      <c r="D44" s="8" t="s">
        <v>196</v>
      </c>
      <c r="E44" s="8" t="b">
        <f t="shared" si="0"/>
        <v>0</v>
      </c>
      <c r="F44" s="8" t="b" cm="1">
        <f t="array" ref="F44">_xlfn._xlws.FILTER(E44:E3242, C44:C3242= "6D-PM-1020-01", "No Squirrels Found")</f>
        <v>0</v>
      </c>
      <c r="G44" s="8" t="s">
        <v>34</v>
      </c>
      <c r="H44" s="10">
        <v>10082018</v>
      </c>
      <c r="I44" s="10">
        <v>2</v>
      </c>
      <c r="J44" s="8" t="s">
        <v>54</v>
      </c>
      <c r="K44" s="8" t="s">
        <v>40</v>
      </c>
      <c r="L44" s="8" t="s">
        <v>41</v>
      </c>
      <c r="M44" s="8" t="s">
        <v>42</v>
      </c>
      <c r="O44" s="8" t="s">
        <v>50</v>
      </c>
      <c r="P44" s="8">
        <v>8</v>
      </c>
      <c r="R44" s="8" t="b">
        <v>1</v>
      </c>
      <c r="S44" s="8" t="b">
        <v>0</v>
      </c>
      <c r="T44" s="8" t="b">
        <v>1</v>
      </c>
      <c r="U44" s="8" t="b">
        <v>0</v>
      </c>
      <c r="V44" s="8" t="b">
        <v>0</v>
      </c>
      <c r="X44" s="8" t="b">
        <v>0</v>
      </c>
      <c r="Y44" s="8" t="b">
        <v>0</v>
      </c>
      <c r="Z44" s="8" t="b">
        <v>0</v>
      </c>
      <c r="AA44" s="8" t="b">
        <v>0</v>
      </c>
      <c r="AB44" s="8" t="b">
        <v>1</v>
      </c>
      <c r="AC44" s="8" t="b">
        <v>0</v>
      </c>
      <c r="AD44" s="8" t="b">
        <v>1</v>
      </c>
      <c r="AE44" s="8" t="b">
        <v>0</v>
      </c>
      <c r="AG44" s="11" t="b" cm="1">
        <f t="array" ref="AG44">IF(OR(Y44:AA44="TRUE", AE44="true"), "Threatened")</f>
        <v>0</v>
      </c>
      <c r="AH44" s="11" t="s">
        <v>197</v>
      </c>
      <c r="AI44" s="8" t="b">
        <v>1</v>
      </c>
    </row>
    <row r="45" spans="1:35" ht="31.2">
      <c r="A45" s="8">
        <v>-73.970252680000002</v>
      </c>
      <c r="B45" s="8">
        <v>40.770599959999998</v>
      </c>
      <c r="C45" s="8" t="s">
        <v>198</v>
      </c>
      <c r="D45" s="8" t="s">
        <v>199</v>
      </c>
      <c r="E45" s="8" t="b">
        <f t="shared" si="0"/>
        <v>0</v>
      </c>
      <c r="F45" s="8" t="b" cm="1">
        <f t="array" ref="F45">_xlfn._xlws.FILTER(E45:E3243, C45:C3243= "6D-PM-1020-01", "No Squirrels Found")</f>
        <v>0</v>
      </c>
      <c r="G45" s="8" t="s">
        <v>48</v>
      </c>
      <c r="H45" s="10">
        <v>10172018</v>
      </c>
      <c r="I45" s="10">
        <v>6</v>
      </c>
      <c r="J45" s="8" t="s">
        <v>39</v>
      </c>
      <c r="K45" s="8" t="s">
        <v>40</v>
      </c>
      <c r="L45" s="8" t="s">
        <v>41</v>
      </c>
      <c r="M45" s="8" t="s">
        <v>42</v>
      </c>
      <c r="O45" s="8" t="s">
        <v>50</v>
      </c>
      <c r="P45" s="8">
        <v>6</v>
      </c>
      <c r="R45" s="8" t="b">
        <v>0</v>
      </c>
      <c r="S45" s="8" t="b">
        <v>1</v>
      </c>
      <c r="T45" s="8" t="b">
        <v>0</v>
      </c>
      <c r="U45" s="8" t="b">
        <v>1</v>
      </c>
      <c r="V45" s="8" t="b">
        <v>0</v>
      </c>
      <c r="X45" s="8" t="b">
        <v>0</v>
      </c>
      <c r="Y45" s="8" t="b">
        <v>0</v>
      </c>
      <c r="Z45" s="8" t="b">
        <v>0</v>
      </c>
      <c r="AA45" s="8" t="b">
        <v>0</v>
      </c>
      <c r="AB45" s="8" t="b">
        <v>0</v>
      </c>
      <c r="AC45" s="8" t="b">
        <v>0</v>
      </c>
      <c r="AD45" s="8" t="b">
        <v>1</v>
      </c>
      <c r="AE45" s="8" t="b">
        <v>0</v>
      </c>
      <c r="AG45" s="11" t="b" cm="1">
        <f t="array" ref="AG45">IF(OR(Y45:AA45="TRUE", AE45="true"), "Threatened")</f>
        <v>0</v>
      </c>
      <c r="AH45" s="11" t="s">
        <v>200</v>
      </c>
      <c r="AI45" s="8" t="b">
        <v>1</v>
      </c>
    </row>
    <row r="46" spans="1:35" ht="31.2">
      <c r="A46" s="8">
        <v>-73.957964590000003</v>
      </c>
      <c r="B46" s="8">
        <v>40.791861349999998</v>
      </c>
      <c r="C46" s="8" t="s">
        <v>201</v>
      </c>
      <c r="D46" s="8" t="s">
        <v>202</v>
      </c>
      <c r="E46" s="8" t="b">
        <f t="shared" si="0"/>
        <v>0</v>
      </c>
      <c r="F46" s="8" t="b" cm="1">
        <f t="array" ref="F46">_xlfn._xlws.FILTER(E46:E3244, C46:C3244= "6D-PM-1020-01", "No Squirrels Found")</f>
        <v>0</v>
      </c>
      <c r="G46" s="8" t="s">
        <v>48</v>
      </c>
      <c r="H46" s="10">
        <v>10072018</v>
      </c>
      <c r="I46" s="10">
        <v>1</v>
      </c>
      <c r="J46" s="8" t="s">
        <v>39</v>
      </c>
      <c r="K46" s="8" t="s">
        <v>40</v>
      </c>
      <c r="L46" s="8" t="s">
        <v>84</v>
      </c>
      <c r="M46" s="8" t="s">
        <v>103</v>
      </c>
      <c r="O46" s="8" t="s">
        <v>50</v>
      </c>
      <c r="P46" s="8">
        <v>25</v>
      </c>
      <c r="R46" s="8" t="b">
        <v>1</v>
      </c>
      <c r="S46" s="8" t="b">
        <v>0</v>
      </c>
      <c r="T46" s="8" t="b">
        <v>1</v>
      </c>
      <c r="U46" s="8" t="b">
        <v>0</v>
      </c>
      <c r="V46" s="8" t="b">
        <v>0</v>
      </c>
      <c r="X46" s="8" t="b">
        <v>0</v>
      </c>
      <c r="Y46" s="8" t="b">
        <v>0</v>
      </c>
      <c r="Z46" s="8" t="b">
        <v>0</v>
      </c>
      <c r="AA46" s="8" t="b">
        <v>0</v>
      </c>
      <c r="AB46" s="8" t="b">
        <v>0</v>
      </c>
      <c r="AC46" s="8" t="b">
        <v>0</v>
      </c>
      <c r="AD46" s="8" t="b">
        <v>0</v>
      </c>
      <c r="AE46" s="8" t="b">
        <v>1</v>
      </c>
      <c r="AG46" s="11" t="b" cm="1">
        <f t="array" ref="AG46">IF(OR(Y46:AA46="TRUE", AE46="true"), "Threatened")</f>
        <v>0</v>
      </c>
      <c r="AH46" s="11" t="s">
        <v>203</v>
      </c>
      <c r="AI46" s="8" t="b">
        <v>1</v>
      </c>
    </row>
    <row r="47" spans="1:35" ht="31.2">
      <c r="A47" s="8">
        <v>-73.967325340000002</v>
      </c>
      <c r="B47" s="8">
        <v>40.774950529999998</v>
      </c>
      <c r="C47" s="8" t="s">
        <v>204</v>
      </c>
      <c r="D47" s="8" t="s">
        <v>205</v>
      </c>
      <c r="E47" s="8" t="b">
        <f t="shared" si="0"/>
        <v>0</v>
      </c>
      <c r="F47" s="8" t="b" cm="1">
        <f t="array" ref="F47">_xlfn._xlws.FILTER(E47:E3245, C47:C3245= "6D-PM-1020-01", "No Squirrels Found")</f>
        <v>0</v>
      </c>
      <c r="G47" s="8" t="s">
        <v>34</v>
      </c>
      <c r="H47" s="10">
        <v>10102018</v>
      </c>
      <c r="I47" s="10">
        <v>2</v>
      </c>
      <c r="J47" s="8" t="s">
        <v>39</v>
      </c>
      <c r="K47" s="8" t="s">
        <v>40</v>
      </c>
      <c r="M47" s="8" t="s">
        <v>55</v>
      </c>
      <c r="O47" s="8" t="s">
        <v>50</v>
      </c>
      <c r="P47" s="8">
        <v>5</v>
      </c>
      <c r="Q47" s="8" t="s">
        <v>206</v>
      </c>
      <c r="R47" s="8" t="b">
        <v>0</v>
      </c>
      <c r="S47" s="8" t="b">
        <v>0</v>
      </c>
      <c r="T47" s="8" t="b">
        <v>0</v>
      </c>
      <c r="U47" s="8" t="b">
        <v>0</v>
      </c>
      <c r="V47" s="8" t="b">
        <v>1</v>
      </c>
      <c r="X47" s="8" t="b">
        <v>0</v>
      </c>
      <c r="Y47" s="8" t="b">
        <v>0</v>
      </c>
      <c r="Z47" s="8" t="b">
        <v>0</v>
      </c>
      <c r="AA47" s="8" t="b">
        <v>0</v>
      </c>
      <c r="AB47" s="8" t="b">
        <v>0</v>
      </c>
      <c r="AC47" s="8" t="b">
        <v>0</v>
      </c>
      <c r="AD47" s="8" t="b">
        <v>1</v>
      </c>
      <c r="AE47" s="8" t="b">
        <v>0</v>
      </c>
      <c r="AG47" s="11" t="b" cm="1">
        <f t="array" ref="AG47">IF(OR(Y47:AA47="TRUE", AE47="true"), "Threatened")</f>
        <v>0</v>
      </c>
      <c r="AH47" s="11" t="s">
        <v>207</v>
      </c>
      <c r="AI47" s="8" t="b">
        <v>1</v>
      </c>
    </row>
    <row r="48" spans="1:35" ht="31.2">
      <c r="A48" s="8">
        <v>-73.96400328</v>
      </c>
      <c r="B48" s="8">
        <v>40.782030980000002</v>
      </c>
      <c r="C48" s="8" t="s">
        <v>208</v>
      </c>
      <c r="D48" s="8" t="s">
        <v>177</v>
      </c>
      <c r="E48" s="8" t="b">
        <f t="shared" si="0"/>
        <v>0</v>
      </c>
      <c r="F48" s="8" t="b" cm="1">
        <f t="array" ref="F48">_xlfn._xlws.FILTER(E48:E3246, C48:C3246= "6D-PM-1020-01", "No Squirrels Found")</f>
        <v>0</v>
      </c>
      <c r="G48" s="8" t="s">
        <v>34</v>
      </c>
      <c r="H48" s="10">
        <v>10142018</v>
      </c>
      <c r="I48" s="10">
        <v>6</v>
      </c>
      <c r="J48" s="8" t="s">
        <v>39</v>
      </c>
      <c r="K48" s="8" t="s">
        <v>40</v>
      </c>
      <c r="M48" s="8" t="s">
        <v>55</v>
      </c>
      <c r="O48" s="8" t="s">
        <v>43</v>
      </c>
      <c r="P48" s="8" t="b">
        <v>0</v>
      </c>
      <c r="R48" s="8" t="b">
        <v>1</v>
      </c>
      <c r="S48" s="8" t="b">
        <v>0</v>
      </c>
      <c r="T48" s="8" t="b">
        <v>0</v>
      </c>
      <c r="U48" s="8" t="b">
        <v>0</v>
      </c>
      <c r="V48" s="8" t="b">
        <v>0</v>
      </c>
      <c r="X48" s="8" t="b">
        <v>0</v>
      </c>
      <c r="Y48" s="8" t="b">
        <v>0</v>
      </c>
      <c r="Z48" s="8" t="b">
        <v>0</v>
      </c>
      <c r="AA48" s="8" t="b">
        <v>0</v>
      </c>
      <c r="AB48" s="8" t="b">
        <v>1</v>
      </c>
      <c r="AC48" s="8" t="b">
        <v>0</v>
      </c>
      <c r="AD48" s="8" t="b">
        <v>1</v>
      </c>
      <c r="AE48" s="8" t="b">
        <v>0</v>
      </c>
      <c r="AG48" s="11" t="b" cm="1">
        <f t="array" ref="AG48">IF(OR(Y48:AA48="TRUE", AE48="true"), "Threatened")</f>
        <v>0</v>
      </c>
      <c r="AH48" s="11" t="s">
        <v>209</v>
      </c>
      <c r="AI48" s="8" t="b">
        <v>1</v>
      </c>
    </row>
    <row r="49" spans="1:35" ht="31.2">
      <c r="A49" s="8">
        <v>-73.959593319999996</v>
      </c>
      <c r="B49" s="8">
        <v>40.790584729999999</v>
      </c>
      <c r="C49" s="8" t="s">
        <v>210</v>
      </c>
      <c r="D49" s="8" t="s">
        <v>75</v>
      </c>
      <c r="E49" s="8" t="b">
        <f t="shared" si="0"/>
        <v>0</v>
      </c>
      <c r="F49" s="8" t="b" cm="1">
        <f t="array" ref="F49">_xlfn._xlws.FILTER(E49:E3247, C49:C3247= "6D-PM-1020-01", "No Squirrels Found")</f>
        <v>0</v>
      </c>
      <c r="G49" s="8" t="s">
        <v>48</v>
      </c>
      <c r="H49" s="10">
        <v>10072018</v>
      </c>
      <c r="I49" s="10">
        <v>13</v>
      </c>
      <c r="J49" s="8" t="s">
        <v>39</v>
      </c>
      <c r="K49" s="8" t="s">
        <v>40</v>
      </c>
      <c r="M49" s="8" t="s">
        <v>55</v>
      </c>
      <c r="O49" s="8" t="s">
        <v>50</v>
      </c>
      <c r="P49" s="8">
        <v>50</v>
      </c>
      <c r="R49" s="8" t="b">
        <v>0</v>
      </c>
      <c r="S49" s="8" t="b">
        <v>0</v>
      </c>
      <c r="T49" s="8" t="b">
        <v>1</v>
      </c>
      <c r="U49" s="8" t="b">
        <v>0</v>
      </c>
      <c r="V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G49" s="11" t="b" cm="1">
        <f t="array" ref="AG49">IF(OR(Y49:AA49="TRUE", AE49="true"), "Threatened")</f>
        <v>0</v>
      </c>
      <c r="AH49" s="11" t="s">
        <v>211</v>
      </c>
      <c r="AI49" s="8" t="b">
        <v>1</v>
      </c>
    </row>
    <row r="50" spans="1:35" ht="31.2">
      <c r="A50" s="8">
        <v>-73.960222209999998</v>
      </c>
      <c r="B50" s="8">
        <v>40.793779700000002</v>
      </c>
      <c r="C50" s="8" t="s">
        <v>212</v>
      </c>
      <c r="D50" s="8" t="s">
        <v>69</v>
      </c>
      <c r="E50" s="8" t="b">
        <f t="shared" si="0"/>
        <v>0</v>
      </c>
      <c r="F50" s="8" t="b" cm="1">
        <f t="array" ref="F50">_xlfn._xlws.FILTER(E50:E3248, C50:C3248= "6D-PM-1020-01", "No Squirrels Found")</f>
        <v>0</v>
      </c>
      <c r="G50" s="8" t="s">
        <v>48</v>
      </c>
      <c r="H50" s="10">
        <v>10072018</v>
      </c>
      <c r="I50" s="10">
        <v>5</v>
      </c>
      <c r="J50" s="8" t="s">
        <v>39</v>
      </c>
      <c r="K50" s="8" t="s">
        <v>40</v>
      </c>
      <c r="M50" s="8" t="s">
        <v>55</v>
      </c>
      <c r="O50" s="8" t="s">
        <v>50</v>
      </c>
      <c r="P50" s="8">
        <v>4</v>
      </c>
      <c r="R50" s="8" t="b">
        <v>0</v>
      </c>
      <c r="S50" s="8" t="b">
        <v>0</v>
      </c>
      <c r="T50" s="8" t="b">
        <v>1</v>
      </c>
      <c r="U50" s="8" t="b">
        <v>0</v>
      </c>
      <c r="V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G50" s="11" t="b" cm="1">
        <f t="array" ref="AG50">IF(OR(Y50:AA50="TRUE", AE50="true"), "Threatened")</f>
        <v>0</v>
      </c>
      <c r="AH50" s="11" t="s">
        <v>213</v>
      </c>
      <c r="AI50" s="8" t="b">
        <v>1</v>
      </c>
    </row>
    <row r="51" spans="1:35" ht="31.2">
      <c r="A51" s="8">
        <v>-73.968063509999993</v>
      </c>
      <c r="B51" s="8">
        <v>40.779249870000001</v>
      </c>
      <c r="C51" s="8" t="s">
        <v>214</v>
      </c>
      <c r="D51" s="8" t="s">
        <v>215</v>
      </c>
      <c r="E51" s="8" t="b">
        <f t="shared" si="0"/>
        <v>0</v>
      </c>
      <c r="F51" s="8" t="b" cm="1">
        <f t="array" ref="F51">_xlfn._xlws.FILTER(E51:E3249, C51:C3249= "6D-PM-1020-01", "No Squirrels Found")</f>
        <v>0</v>
      </c>
      <c r="G51" s="8" t="s">
        <v>48</v>
      </c>
      <c r="H51" s="10">
        <v>10172018</v>
      </c>
      <c r="I51" s="10">
        <v>5</v>
      </c>
      <c r="J51" s="8" t="s">
        <v>39</v>
      </c>
      <c r="K51" s="8" t="s">
        <v>192</v>
      </c>
      <c r="M51" s="8" t="s">
        <v>193</v>
      </c>
      <c r="O51" s="8" t="s">
        <v>50</v>
      </c>
      <c r="P51" s="8">
        <v>10</v>
      </c>
      <c r="Q51" s="8" t="s">
        <v>216</v>
      </c>
      <c r="R51" s="8" t="b">
        <v>0</v>
      </c>
      <c r="S51" s="8" t="b">
        <v>0</v>
      </c>
      <c r="T51" s="8" t="b">
        <v>0</v>
      </c>
      <c r="U51" s="8" t="b">
        <v>0</v>
      </c>
      <c r="V51" s="8" t="b">
        <v>1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1</v>
      </c>
      <c r="AE51" s="8" t="b">
        <v>0</v>
      </c>
      <c r="AG51" s="11" t="b" cm="1">
        <f t="array" ref="AG51">IF(OR(Y51:AA51="TRUE", AE51="true"), "Threatened")</f>
        <v>0</v>
      </c>
      <c r="AH51" s="11" t="s">
        <v>217</v>
      </c>
      <c r="AI51" s="8" t="b">
        <v>1</v>
      </c>
    </row>
    <row r="52" spans="1:35" ht="31.2">
      <c r="A52" s="8">
        <v>-73.980166639999993</v>
      </c>
      <c r="B52" s="8">
        <v>40.768690530000001</v>
      </c>
      <c r="C52" s="8" t="s">
        <v>218</v>
      </c>
      <c r="D52" s="8" t="s">
        <v>219</v>
      </c>
      <c r="E52" s="8" t="b">
        <f t="shared" si="0"/>
        <v>0</v>
      </c>
      <c r="F52" s="8" t="b" cm="1">
        <f t="array" ref="F52">_xlfn._xlws.FILTER(E52:E3250, C52:C3250= "6D-PM-1020-01", "No Squirrels Found")</f>
        <v>0</v>
      </c>
      <c r="G52" s="8" t="s">
        <v>34</v>
      </c>
      <c r="H52" s="10">
        <v>10132018</v>
      </c>
      <c r="I52" s="10">
        <v>1</v>
      </c>
      <c r="J52" s="8" t="s">
        <v>39</v>
      </c>
      <c r="K52" s="8" t="s">
        <v>40</v>
      </c>
      <c r="L52" s="8" t="s">
        <v>84</v>
      </c>
      <c r="M52" s="8" t="s">
        <v>103</v>
      </c>
      <c r="O52" s="8" t="s">
        <v>43</v>
      </c>
      <c r="P52" s="8" t="b">
        <v>0</v>
      </c>
      <c r="R52" s="8" t="b">
        <v>1</v>
      </c>
      <c r="S52" s="8" t="b">
        <v>0</v>
      </c>
      <c r="T52" s="8" t="b">
        <v>0</v>
      </c>
      <c r="U52" s="8" t="b">
        <v>0</v>
      </c>
      <c r="V52" s="8" t="b">
        <v>0</v>
      </c>
      <c r="W52" s="11" t="s">
        <v>220</v>
      </c>
      <c r="X52" s="8" t="b">
        <v>0</v>
      </c>
      <c r="Y52" s="8" t="b">
        <v>0</v>
      </c>
      <c r="Z52" s="8" t="b">
        <v>0</v>
      </c>
      <c r="AA52" s="8" t="b">
        <v>0</v>
      </c>
      <c r="AB52" s="8" t="b">
        <v>0</v>
      </c>
      <c r="AC52" s="8" t="b">
        <v>0</v>
      </c>
      <c r="AD52" s="8" t="b">
        <v>0</v>
      </c>
      <c r="AE52" s="8" t="b">
        <v>0</v>
      </c>
      <c r="AG52" s="11" t="b" cm="1">
        <f t="array" ref="AG52">IF(OR(Y52:AA52="TRUE", AE52="true"), "Threatened")</f>
        <v>0</v>
      </c>
      <c r="AH52" s="11" t="s">
        <v>221</v>
      </c>
      <c r="AI52" s="8" t="b">
        <v>0</v>
      </c>
    </row>
    <row r="53" spans="1:35" ht="31.2">
      <c r="A53" s="8">
        <v>-73.967563429999998</v>
      </c>
      <c r="B53" s="8">
        <v>40.781347740000001</v>
      </c>
      <c r="C53" s="8" t="s">
        <v>222</v>
      </c>
      <c r="D53" s="8" t="s">
        <v>223</v>
      </c>
      <c r="E53" s="8" t="b">
        <f t="shared" si="0"/>
        <v>0</v>
      </c>
      <c r="F53" s="8" t="b" cm="1">
        <f t="array" ref="F53">_xlfn._xlws.FILTER(E53:E3251, C53:C3251= "6D-PM-1020-01", "No Squirrels Found")</f>
        <v>0</v>
      </c>
      <c r="G53" s="8" t="s">
        <v>48</v>
      </c>
      <c r="H53" s="10">
        <v>10072018</v>
      </c>
      <c r="I53" s="10">
        <v>1</v>
      </c>
      <c r="J53" s="8" t="s">
        <v>54</v>
      </c>
      <c r="K53" s="8" t="s">
        <v>40</v>
      </c>
      <c r="M53" s="8" t="s">
        <v>55</v>
      </c>
      <c r="O53" s="8" t="s">
        <v>43</v>
      </c>
      <c r="P53" s="8" t="b">
        <v>0</v>
      </c>
      <c r="R53" s="8" t="b">
        <v>0</v>
      </c>
      <c r="S53" s="8" t="b">
        <v>0</v>
      </c>
      <c r="T53" s="8" t="b">
        <v>1</v>
      </c>
      <c r="U53" s="8" t="b">
        <v>1</v>
      </c>
      <c r="V53" s="8" t="b">
        <v>0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11" t="s">
        <v>224</v>
      </c>
      <c r="AG53" s="11" t="b" cm="1">
        <f t="array" ref="AG53">IF(OR(Y53:AA53="TRUE", AE53="true"), "Threatened")</f>
        <v>0</v>
      </c>
      <c r="AH53" s="11" t="s">
        <v>225</v>
      </c>
      <c r="AI53" s="8" t="b">
        <v>1</v>
      </c>
    </row>
    <row r="54" spans="1:35" ht="31.2">
      <c r="A54" s="8">
        <v>-73.958497059999999</v>
      </c>
      <c r="B54" s="8">
        <v>40.798288630000002</v>
      </c>
      <c r="C54" s="8" t="s">
        <v>226</v>
      </c>
      <c r="D54" s="8" t="s">
        <v>227</v>
      </c>
      <c r="E54" s="8" t="b">
        <f t="shared" si="0"/>
        <v>0</v>
      </c>
      <c r="F54" s="8" t="b" cm="1">
        <f t="array" ref="F54">_xlfn._xlws.FILTER(E54:E3252, C54:C3252= "6D-PM-1020-01", "No Squirrels Found")</f>
        <v>0</v>
      </c>
      <c r="G54" s="8" t="s">
        <v>48</v>
      </c>
      <c r="H54" s="10">
        <v>10192018</v>
      </c>
      <c r="I54" s="10">
        <v>3</v>
      </c>
      <c r="J54" s="8" t="s">
        <v>54</v>
      </c>
      <c r="K54" s="8" t="s">
        <v>40</v>
      </c>
      <c r="L54" s="8" t="s">
        <v>84</v>
      </c>
      <c r="M54" s="8" t="s">
        <v>103</v>
      </c>
      <c r="O54" s="8" t="s">
        <v>43</v>
      </c>
      <c r="P54" s="8" t="b">
        <v>0</v>
      </c>
      <c r="R54" s="8" t="b">
        <v>1</v>
      </c>
      <c r="S54" s="8" t="b">
        <v>1</v>
      </c>
      <c r="T54" s="8" t="b">
        <v>0</v>
      </c>
      <c r="U54" s="8" t="b">
        <v>0</v>
      </c>
      <c r="V54" s="8" t="b">
        <v>0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1</v>
      </c>
      <c r="AC54" s="8" t="b">
        <v>1</v>
      </c>
      <c r="AD54" s="8" t="b">
        <v>0</v>
      </c>
      <c r="AE54" s="8" t="b">
        <v>0</v>
      </c>
      <c r="AG54" s="11" t="b" cm="1">
        <f t="array" ref="AG54">IF(OR(Y54:AA54="TRUE", AE54="true"), "Threatened")</f>
        <v>0</v>
      </c>
      <c r="AH54" s="11" t="s">
        <v>228</v>
      </c>
      <c r="AI54" s="8" t="b">
        <v>1</v>
      </c>
    </row>
    <row r="55" spans="1:35" ht="31.2">
      <c r="A55" s="8">
        <v>-73.976029819999994</v>
      </c>
      <c r="B55" s="8">
        <v>40.76819544</v>
      </c>
      <c r="C55" s="8" t="s">
        <v>229</v>
      </c>
      <c r="D55" s="8" t="s">
        <v>230</v>
      </c>
      <c r="E55" s="8" t="b">
        <f t="shared" si="0"/>
        <v>0</v>
      </c>
      <c r="F55" s="8" t="b" cm="1">
        <f t="array" ref="F55">_xlfn._xlws.FILTER(E55:E3253, C55:C3253= "6D-PM-1020-01", "No Squirrels Found")</f>
        <v>0</v>
      </c>
      <c r="G55" s="8" t="s">
        <v>34</v>
      </c>
      <c r="H55" s="10">
        <v>10082018</v>
      </c>
      <c r="I55" s="10">
        <v>7</v>
      </c>
      <c r="J55" s="8" t="s">
        <v>39</v>
      </c>
      <c r="K55" s="8" t="s">
        <v>40</v>
      </c>
      <c r="L55" s="8" t="s">
        <v>41</v>
      </c>
      <c r="M55" s="8" t="s">
        <v>42</v>
      </c>
      <c r="O55" s="8" t="s">
        <v>43</v>
      </c>
      <c r="P55" s="8" t="b">
        <v>0</v>
      </c>
      <c r="R55" s="8" t="b">
        <v>0</v>
      </c>
      <c r="S55" s="8" t="b">
        <v>0</v>
      </c>
      <c r="T55" s="8" t="b">
        <v>0</v>
      </c>
      <c r="U55" s="8" t="b">
        <v>1</v>
      </c>
      <c r="V55" s="8" t="b">
        <v>1</v>
      </c>
      <c r="X55" s="8" t="b">
        <v>0</v>
      </c>
      <c r="Y55" s="8" t="b">
        <v>0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1</v>
      </c>
      <c r="AE55" s="8" t="b">
        <v>0</v>
      </c>
      <c r="AG55" s="11" t="b" cm="1">
        <f t="array" ref="AG55">IF(OR(Y55:AA55="TRUE", AE55="true"), "Threatened")</f>
        <v>0</v>
      </c>
      <c r="AH55" s="11" t="s">
        <v>231</v>
      </c>
      <c r="AI55" s="8" t="b">
        <v>1</v>
      </c>
    </row>
    <row r="56" spans="1:35" ht="31.2">
      <c r="A56" s="8">
        <v>-73.956880209999994</v>
      </c>
      <c r="B56" s="8">
        <v>40.797239910000002</v>
      </c>
      <c r="C56" s="8" t="s">
        <v>232</v>
      </c>
      <c r="D56" s="8" t="s">
        <v>233</v>
      </c>
      <c r="E56" s="8" t="b">
        <f t="shared" si="0"/>
        <v>0</v>
      </c>
      <c r="F56" s="8" t="b" cm="1">
        <f t="array" ref="F56">_xlfn._xlws.FILTER(E56:E3254, C56:C3254= "6D-PM-1020-01", "No Squirrels Found")</f>
        <v>0</v>
      </c>
      <c r="G56" s="8" t="s">
        <v>34</v>
      </c>
      <c r="H56" s="10">
        <v>10062018</v>
      </c>
      <c r="I56" s="10">
        <v>1</v>
      </c>
      <c r="J56" s="8" t="s">
        <v>39</v>
      </c>
      <c r="K56" s="8" t="s">
        <v>40</v>
      </c>
      <c r="M56" s="8" t="s">
        <v>55</v>
      </c>
      <c r="O56" s="8" t="s">
        <v>43</v>
      </c>
      <c r="P56" s="8" t="b">
        <v>0</v>
      </c>
      <c r="R56" s="8" t="b">
        <v>1</v>
      </c>
      <c r="S56" s="8" t="b">
        <v>0</v>
      </c>
      <c r="T56" s="8" t="b">
        <v>0</v>
      </c>
      <c r="U56" s="8" t="b">
        <v>0</v>
      </c>
      <c r="V56" s="8" t="b">
        <v>1</v>
      </c>
      <c r="X56" s="8" t="b">
        <v>0</v>
      </c>
      <c r="Y56" s="8" t="b">
        <v>0</v>
      </c>
      <c r="Z56" s="8" t="b">
        <v>0</v>
      </c>
      <c r="AA56" s="8" t="b">
        <v>0</v>
      </c>
      <c r="AB56" s="8" t="b">
        <v>0</v>
      </c>
      <c r="AC56" s="8" t="b">
        <v>0</v>
      </c>
      <c r="AD56" s="8" t="b">
        <v>1</v>
      </c>
      <c r="AE56" s="8" t="b">
        <v>0</v>
      </c>
      <c r="AG56" s="11" t="b" cm="1">
        <f t="array" ref="AG56">IF(OR(Y56:AA56="TRUE", AE56="true"), "Threatened")</f>
        <v>0</v>
      </c>
      <c r="AH56" s="11" t="s">
        <v>234</v>
      </c>
      <c r="AI56" s="8" t="b">
        <v>1</v>
      </c>
    </row>
    <row r="57" spans="1:35" ht="31.2">
      <c r="A57" s="8">
        <v>-73.972464239999994</v>
      </c>
      <c r="B57" s="8">
        <v>40.769052639999998</v>
      </c>
      <c r="C57" s="8" t="s">
        <v>235</v>
      </c>
      <c r="D57" s="8" t="s">
        <v>66</v>
      </c>
      <c r="E57" s="8" t="b">
        <f t="shared" si="0"/>
        <v>0</v>
      </c>
      <c r="F57" s="8" t="b" cm="1">
        <f t="array" ref="F57">_xlfn._xlws.FILTER(E57:E3255, C57:C3255= "6D-PM-1020-01", "No Squirrels Found")</f>
        <v>0</v>
      </c>
      <c r="G57" s="8" t="s">
        <v>48</v>
      </c>
      <c r="H57" s="10">
        <v>10082018</v>
      </c>
      <c r="I57" s="10">
        <v>2</v>
      </c>
      <c r="J57" s="8" t="s">
        <v>54</v>
      </c>
      <c r="K57" s="8" t="s">
        <v>40</v>
      </c>
      <c r="M57" s="8" t="s">
        <v>55</v>
      </c>
      <c r="O57" s="8" t="s">
        <v>43</v>
      </c>
      <c r="P57" s="8" t="b">
        <v>0</v>
      </c>
      <c r="Q57" s="8" t="s">
        <v>236</v>
      </c>
      <c r="R57" s="8" t="b">
        <v>0</v>
      </c>
      <c r="S57" s="8" t="b">
        <v>0</v>
      </c>
      <c r="T57" s="8" t="b">
        <v>0</v>
      </c>
      <c r="U57" s="8" t="b">
        <v>0</v>
      </c>
      <c r="V57" s="8" t="b">
        <v>1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1</v>
      </c>
      <c r="AE57" s="8" t="b">
        <v>0</v>
      </c>
      <c r="AG57" s="11" t="b" cm="1">
        <f t="array" ref="AG57">IF(OR(Y57:AA57="TRUE", AE57="true"), "Threatened")</f>
        <v>0</v>
      </c>
      <c r="AH57" s="11" t="s">
        <v>237</v>
      </c>
      <c r="AI57" s="8" t="b">
        <v>1</v>
      </c>
    </row>
    <row r="58" spans="1:35" ht="31.2">
      <c r="A58" s="8">
        <v>-73.969017579999999</v>
      </c>
      <c r="B58" s="8">
        <v>40.776043270000002</v>
      </c>
      <c r="C58" s="8" t="s">
        <v>238</v>
      </c>
      <c r="D58" s="8" t="s">
        <v>239</v>
      </c>
      <c r="E58" s="8" t="b">
        <f t="shared" si="0"/>
        <v>0</v>
      </c>
      <c r="F58" s="8" t="b" cm="1">
        <f t="array" ref="F58">_xlfn._xlws.FILTER(E58:E3256, C58:C3256= "6D-PM-1020-01", "No Squirrels Found")</f>
        <v>0</v>
      </c>
      <c r="G58" s="8" t="s">
        <v>48</v>
      </c>
      <c r="H58" s="10">
        <v>10072018</v>
      </c>
      <c r="I58" s="10">
        <v>5</v>
      </c>
      <c r="J58" s="8" t="s">
        <v>54</v>
      </c>
      <c r="K58" s="8" t="s">
        <v>40</v>
      </c>
      <c r="L58" s="8" t="s">
        <v>41</v>
      </c>
      <c r="M58" s="8" t="s">
        <v>42</v>
      </c>
      <c r="O58" s="8" t="s">
        <v>43</v>
      </c>
      <c r="P58" s="8" t="b">
        <v>0</v>
      </c>
      <c r="R58" s="8" t="b">
        <v>0</v>
      </c>
      <c r="S58" s="8" t="b">
        <v>0</v>
      </c>
      <c r="T58" s="8" t="b">
        <v>0</v>
      </c>
      <c r="U58" s="8" t="b">
        <v>1</v>
      </c>
      <c r="V58" s="8" t="b">
        <v>0</v>
      </c>
      <c r="X58" s="8" t="b">
        <v>0</v>
      </c>
      <c r="Y58" s="8" t="b">
        <v>0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1</v>
      </c>
      <c r="AE58" s="8" t="b">
        <v>0</v>
      </c>
      <c r="AG58" s="11" t="b" cm="1">
        <f t="array" ref="AG58">IF(OR(Y58:AA58="TRUE", AE58="true"), "Threatened")</f>
        <v>0</v>
      </c>
      <c r="AH58" s="11" t="s">
        <v>240</v>
      </c>
      <c r="AI58" s="8" t="b">
        <v>1</v>
      </c>
    </row>
    <row r="59" spans="1:35" ht="31.2">
      <c r="A59" s="8">
        <v>-73.970408280000001</v>
      </c>
      <c r="B59" s="8">
        <v>40.7690281</v>
      </c>
      <c r="C59" s="8" t="s">
        <v>241</v>
      </c>
      <c r="D59" s="8" t="s">
        <v>242</v>
      </c>
      <c r="E59" s="8" t="b">
        <f t="shared" si="0"/>
        <v>0</v>
      </c>
      <c r="F59" s="8" t="b" cm="1">
        <f t="array" ref="F59">_xlfn._xlws.FILTER(E59:E3257, C59:C3257= "6D-PM-1020-01", "No Squirrels Found")</f>
        <v>0</v>
      </c>
      <c r="G59" s="8" t="s">
        <v>34</v>
      </c>
      <c r="H59" s="10">
        <v>10132018</v>
      </c>
      <c r="I59" s="10">
        <v>6</v>
      </c>
      <c r="J59" s="8" t="s">
        <v>39</v>
      </c>
      <c r="K59" s="8" t="s">
        <v>40</v>
      </c>
      <c r="L59" s="8" t="s">
        <v>41</v>
      </c>
      <c r="M59" s="8" t="s">
        <v>42</v>
      </c>
      <c r="O59" s="8" t="s">
        <v>43</v>
      </c>
      <c r="P59" s="8" t="b">
        <v>0</v>
      </c>
      <c r="R59" s="8" t="b">
        <v>0</v>
      </c>
      <c r="S59" s="8" t="b">
        <v>0</v>
      </c>
      <c r="T59" s="8" t="b">
        <v>0</v>
      </c>
      <c r="U59" s="8" t="b">
        <v>0</v>
      </c>
      <c r="V59" s="8" t="b">
        <v>0</v>
      </c>
      <c r="W59" s="11" t="s">
        <v>243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1</v>
      </c>
      <c r="AC59" s="8" t="b">
        <v>0</v>
      </c>
      <c r="AD59" s="8" t="b">
        <v>0</v>
      </c>
      <c r="AE59" s="8" t="b">
        <v>0</v>
      </c>
      <c r="AG59" s="11" t="b" cm="1">
        <f t="array" ref="AG59">IF(OR(Y59:AA59="TRUE", AE59="true"), "Threatened")</f>
        <v>0</v>
      </c>
      <c r="AH59" s="11" t="s">
        <v>244</v>
      </c>
      <c r="AI59" s="8" t="b">
        <v>0</v>
      </c>
    </row>
    <row r="60" spans="1:35" ht="31.2">
      <c r="A60" s="8">
        <v>-73.968491069999999</v>
      </c>
      <c r="B60" s="8">
        <v>40.776881160000002</v>
      </c>
      <c r="C60" s="8" t="s">
        <v>245</v>
      </c>
      <c r="D60" s="8" t="s">
        <v>246</v>
      </c>
      <c r="E60" s="8" t="b">
        <f t="shared" si="0"/>
        <v>0</v>
      </c>
      <c r="F60" s="8" t="b" cm="1">
        <f t="array" ref="F60">_xlfn._xlws.FILTER(E60:E3258, C60:C3258= "6D-PM-1020-01", "No Squirrels Found")</f>
        <v>0</v>
      </c>
      <c r="G60" s="8" t="s">
        <v>34</v>
      </c>
      <c r="H60" s="10">
        <v>10102018</v>
      </c>
      <c r="I60" s="10">
        <v>5</v>
      </c>
      <c r="J60" s="8" t="s">
        <v>39</v>
      </c>
      <c r="K60" s="8" t="s">
        <v>40</v>
      </c>
      <c r="M60" s="8" t="s">
        <v>55</v>
      </c>
      <c r="O60" s="8" t="s">
        <v>43</v>
      </c>
      <c r="P60" s="8" t="b">
        <v>0</v>
      </c>
      <c r="R60" s="8" t="b">
        <v>0</v>
      </c>
      <c r="S60" s="8" t="b">
        <v>0</v>
      </c>
      <c r="T60" s="8" t="b">
        <v>0</v>
      </c>
      <c r="U60" s="8" t="b">
        <v>0</v>
      </c>
      <c r="V60" s="8" t="b">
        <v>1</v>
      </c>
      <c r="X60" s="8" t="b">
        <v>0</v>
      </c>
      <c r="Y60" s="8" t="b">
        <v>0</v>
      </c>
      <c r="Z60" s="8" t="b">
        <v>0</v>
      </c>
      <c r="AA60" s="8" t="b">
        <v>0</v>
      </c>
      <c r="AB60" s="8" t="b">
        <v>0</v>
      </c>
      <c r="AC60" s="8" t="b">
        <v>0</v>
      </c>
      <c r="AD60" s="8" t="b">
        <v>1</v>
      </c>
      <c r="AE60" s="8" t="b">
        <v>0</v>
      </c>
      <c r="AG60" s="11" t="b" cm="1">
        <f t="array" ref="AG60">IF(OR(Y60:AA60="TRUE", AE60="true"), "Threatened")</f>
        <v>0</v>
      </c>
      <c r="AH60" s="11" t="s">
        <v>247</v>
      </c>
      <c r="AI60" s="8" t="b">
        <v>1</v>
      </c>
    </row>
    <row r="61" spans="1:35" ht="31.2">
      <c r="A61" s="8">
        <v>-73.976867479999996</v>
      </c>
      <c r="B61" s="8">
        <v>40.773523259999997</v>
      </c>
      <c r="C61" s="8" t="s">
        <v>248</v>
      </c>
      <c r="D61" s="8" t="s">
        <v>249</v>
      </c>
      <c r="E61" s="8" t="b">
        <f t="shared" si="0"/>
        <v>0</v>
      </c>
      <c r="F61" s="8" t="b" cm="1">
        <f t="array" ref="F61">_xlfn._xlws.FILTER(E61:E3259, C61:C3259= "6D-PM-1020-01", "No Squirrels Found")</f>
        <v>0</v>
      </c>
      <c r="G61" s="8" t="s">
        <v>34</v>
      </c>
      <c r="H61" s="10">
        <v>10122018</v>
      </c>
      <c r="I61" s="10">
        <v>2</v>
      </c>
      <c r="J61" s="8" t="s">
        <v>39</v>
      </c>
      <c r="K61" s="8" t="s">
        <v>40</v>
      </c>
      <c r="L61" s="8" t="s">
        <v>117</v>
      </c>
      <c r="M61" s="8" t="s">
        <v>118</v>
      </c>
      <c r="O61" s="8" t="s">
        <v>43</v>
      </c>
      <c r="P61" s="8" t="b">
        <v>0</v>
      </c>
      <c r="Q61" s="8" t="s">
        <v>250</v>
      </c>
      <c r="R61" s="8" t="b">
        <v>0</v>
      </c>
      <c r="S61" s="8" t="b">
        <v>0</v>
      </c>
      <c r="T61" s="8" t="b">
        <v>0</v>
      </c>
      <c r="U61" s="8" t="b">
        <v>0</v>
      </c>
      <c r="V61" s="8" t="b">
        <v>1</v>
      </c>
      <c r="X61" s="8" t="b">
        <v>0</v>
      </c>
      <c r="Y61" s="8" t="b">
        <v>0</v>
      </c>
      <c r="Z61" s="8" t="b">
        <v>0</v>
      </c>
      <c r="AA61" s="8" t="b">
        <v>0</v>
      </c>
      <c r="AB61" s="8" t="b">
        <v>0</v>
      </c>
      <c r="AC61" s="8" t="b">
        <v>0</v>
      </c>
      <c r="AD61" s="8" t="b">
        <v>0</v>
      </c>
      <c r="AE61" s="8" t="b">
        <v>1</v>
      </c>
      <c r="AG61" s="11" t="b" cm="1">
        <f t="array" ref="AG61">IF(OR(Y61:AA61="TRUE", AE61="true"), "Threatened")</f>
        <v>0</v>
      </c>
      <c r="AH61" s="11" t="s">
        <v>251</v>
      </c>
      <c r="AI61" s="8" t="b">
        <v>1</v>
      </c>
    </row>
    <row r="62" spans="1:35" ht="31.2">
      <c r="A62" s="8">
        <v>-73.979708489999993</v>
      </c>
      <c r="B62" s="8">
        <v>40.769888520000002</v>
      </c>
      <c r="C62" s="8" t="s">
        <v>252</v>
      </c>
      <c r="D62" s="8" t="s">
        <v>253</v>
      </c>
      <c r="E62" s="8" t="b">
        <f t="shared" si="0"/>
        <v>0</v>
      </c>
      <c r="F62" s="8" t="b" cm="1">
        <f t="array" ref="F62">_xlfn._xlws.FILTER(E62:E3260, C62:C3260= "6D-PM-1020-01", "No Squirrels Found")</f>
        <v>0</v>
      </c>
      <c r="G62" s="8" t="s">
        <v>34</v>
      </c>
      <c r="H62" s="10">
        <v>10172018</v>
      </c>
      <c r="I62" s="10">
        <v>6</v>
      </c>
      <c r="J62" s="8" t="s">
        <v>39</v>
      </c>
      <c r="K62" s="8" t="s">
        <v>40</v>
      </c>
      <c r="L62" s="8" t="s">
        <v>41</v>
      </c>
      <c r="M62" s="8" t="s">
        <v>42</v>
      </c>
      <c r="O62" s="8" t="s">
        <v>43</v>
      </c>
      <c r="P62" s="8" t="b">
        <v>0</v>
      </c>
      <c r="R62" s="8" t="b">
        <v>0</v>
      </c>
      <c r="S62" s="8" t="b">
        <v>0</v>
      </c>
      <c r="T62" s="8" t="b">
        <v>0</v>
      </c>
      <c r="U62" s="8" t="b">
        <v>0</v>
      </c>
      <c r="V62" s="8" t="b">
        <v>1</v>
      </c>
      <c r="X62" s="8" t="b">
        <v>0</v>
      </c>
      <c r="Y62" s="8" t="b">
        <v>0</v>
      </c>
      <c r="Z62" s="8" t="b">
        <v>0</v>
      </c>
      <c r="AA62" s="8" t="b">
        <v>0</v>
      </c>
      <c r="AB62" s="8" t="b">
        <v>0</v>
      </c>
      <c r="AC62" s="8" t="b">
        <v>0</v>
      </c>
      <c r="AD62" s="8" t="b">
        <v>0</v>
      </c>
      <c r="AE62" s="8" t="b">
        <v>1</v>
      </c>
      <c r="AG62" s="11" t="b" cm="1">
        <f t="array" ref="AG62">IF(OR(Y62:AA62="TRUE", AE62="true"), "Threatened")</f>
        <v>0</v>
      </c>
      <c r="AH62" s="11" t="s">
        <v>254</v>
      </c>
      <c r="AI62" s="8" t="b">
        <v>1</v>
      </c>
    </row>
    <row r="63" spans="1:35" ht="31.2">
      <c r="A63" s="8">
        <v>-73.952819270000006</v>
      </c>
      <c r="B63" s="8">
        <v>40.792313040000003</v>
      </c>
      <c r="C63" s="8" t="s">
        <v>255</v>
      </c>
      <c r="D63" s="8" t="s">
        <v>106</v>
      </c>
      <c r="E63" s="8" t="b">
        <f t="shared" si="0"/>
        <v>0</v>
      </c>
      <c r="F63" s="8" t="b" cm="1">
        <f t="array" ref="F63">_xlfn._xlws.FILTER(E63:E3261, C63:C3261= "6D-PM-1020-01", "No Squirrels Found")</f>
        <v>0</v>
      </c>
      <c r="G63" s="8" t="s">
        <v>48</v>
      </c>
      <c r="H63" s="10">
        <v>10172018</v>
      </c>
      <c r="I63" s="10">
        <v>2</v>
      </c>
      <c r="J63" s="8" t="s">
        <v>39</v>
      </c>
      <c r="K63" s="8" t="s">
        <v>40</v>
      </c>
      <c r="L63" s="8" t="s">
        <v>41</v>
      </c>
      <c r="M63" s="8" t="s">
        <v>42</v>
      </c>
      <c r="N63" s="11" t="s">
        <v>256</v>
      </c>
      <c r="O63" s="8" t="s">
        <v>43</v>
      </c>
      <c r="P63" s="8" t="b">
        <v>0</v>
      </c>
      <c r="R63" s="8" t="b">
        <v>0</v>
      </c>
      <c r="S63" s="8" t="b">
        <v>0</v>
      </c>
      <c r="T63" s="8" t="b">
        <v>0</v>
      </c>
      <c r="U63" s="8" t="b">
        <v>0</v>
      </c>
      <c r="V63" s="8" t="b">
        <v>1</v>
      </c>
      <c r="X63" s="8" t="b">
        <v>0</v>
      </c>
      <c r="Y63" s="8" t="b">
        <v>0</v>
      </c>
      <c r="Z63" s="8" t="b">
        <v>0</v>
      </c>
      <c r="AA63" s="8" t="b">
        <v>0</v>
      </c>
      <c r="AB63" s="8" t="b">
        <v>0</v>
      </c>
      <c r="AC63" s="8" t="b">
        <v>0</v>
      </c>
      <c r="AD63" s="8" t="b">
        <v>1</v>
      </c>
      <c r="AE63" s="8" t="b">
        <v>0</v>
      </c>
      <c r="AG63" s="11" t="b" cm="1">
        <f t="array" ref="AG63">IF(OR(Y63:AA63="TRUE", AE63="true"), "Threatened")</f>
        <v>0</v>
      </c>
      <c r="AH63" s="11" t="s">
        <v>257</v>
      </c>
      <c r="AI63" s="8" t="b">
        <v>1</v>
      </c>
    </row>
    <row r="64" spans="1:35" ht="31.2">
      <c r="A64" s="8">
        <v>-73.974563000000003</v>
      </c>
      <c r="B64" s="8">
        <v>40.769260260000003</v>
      </c>
      <c r="C64" s="8" t="s">
        <v>258</v>
      </c>
      <c r="D64" s="8" t="s">
        <v>259</v>
      </c>
      <c r="E64" s="8" t="b">
        <f t="shared" si="0"/>
        <v>0</v>
      </c>
      <c r="F64" s="8" t="b" cm="1">
        <f t="array" ref="F64">_xlfn._xlws.FILTER(E64:E3262, C64:C3262= "6D-PM-1020-01", "No Squirrels Found")</f>
        <v>0</v>
      </c>
      <c r="G64" s="8" t="s">
        <v>48</v>
      </c>
      <c r="H64" s="10">
        <v>10082018</v>
      </c>
      <c r="I64" s="10">
        <v>6</v>
      </c>
      <c r="J64" s="8" t="s">
        <v>39</v>
      </c>
      <c r="K64" s="8" t="s">
        <v>41</v>
      </c>
      <c r="L64" s="8" t="s">
        <v>84</v>
      </c>
      <c r="M64" s="8" t="s">
        <v>85</v>
      </c>
      <c r="O64" s="8" t="s">
        <v>43</v>
      </c>
      <c r="P64" s="8" t="b">
        <v>0</v>
      </c>
      <c r="R64" s="8" t="b">
        <v>1</v>
      </c>
      <c r="S64" s="8" t="b">
        <v>0</v>
      </c>
      <c r="T64" s="8" t="b">
        <v>0</v>
      </c>
      <c r="U64" s="8" t="b">
        <v>0</v>
      </c>
      <c r="V64" s="8" t="b">
        <v>0</v>
      </c>
      <c r="X64" s="8" t="b">
        <v>0</v>
      </c>
      <c r="Y64" s="8" t="b">
        <v>0</v>
      </c>
      <c r="Z64" s="8" t="b">
        <v>0</v>
      </c>
      <c r="AA64" s="8" t="b">
        <v>0</v>
      </c>
      <c r="AB64" s="8" t="b">
        <v>0</v>
      </c>
      <c r="AC64" s="8" t="b">
        <v>1</v>
      </c>
      <c r="AD64" s="8" t="b">
        <v>0</v>
      </c>
      <c r="AE64" s="8" t="b">
        <v>0</v>
      </c>
      <c r="AG64" s="11" t="b" cm="1">
        <f t="array" ref="AG64">IF(OR(Y64:AA64="TRUE", AE64="true"), "Threatened")</f>
        <v>0</v>
      </c>
      <c r="AH64" s="11" t="s">
        <v>260</v>
      </c>
      <c r="AI64" s="8" t="b">
        <v>1</v>
      </c>
    </row>
    <row r="65" spans="1:35" ht="31.2">
      <c r="A65" s="8">
        <v>-73.959500230000003</v>
      </c>
      <c r="B65" s="8">
        <v>40.790336580000002</v>
      </c>
      <c r="C65" s="8" t="s">
        <v>261</v>
      </c>
      <c r="D65" s="8" t="s">
        <v>75</v>
      </c>
      <c r="E65" s="8" t="b">
        <f t="shared" si="0"/>
        <v>0</v>
      </c>
      <c r="F65" s="8" t="b" cm="1">
        <f t="array" ref="F65">_xlfn._xlws.FILTER(E65:E3263, C65:C3263= "6D-PM-1020-01", "No Squirrels Found")</f>
        <v>0</v>
      </c>
      <c r="G65" s="8" t="s">
        <v>34</v>
      </c>
      <c r="H65" s="10">
        <v>10172018</v>
      </c>
      <c r="I65" s="10">
        <v>13</v>
      </c>
      <c r="J65" s="8" t="s">
        <v>39</v>
      </c>
      <c r="K65" s="8" t="s">
        <v>40</v>
      </c>
      <c r="M65" s="8" t="s">
        <v>55</v>
      </c>
      <c r="N65" s="11" t="s">
        <v>76</v>
      </c>
      <c r="R65" s="8" t="b">
        <v>0</v>
      </c>
      <c r="S65" s="8" t="b">
        <v>0</v>
      </c>
      <c r="T65" s="8" t="b">
        <v>0</v>
      </c>
      <c r="U65" s="8" t="b">
        <v>1</v>
      </c>
      <c r="V65" s="8" t="b">
        <v>1</v>
      </c>
      <c r="X65" s="8" t="b">
        <v>0</v>
      </c>
      <c r="Y65" s="8" t="b">
        <v>0</v>
      </c>
      <c r="Z65" s="8" t="b">
        <v>0</v>
      </c>
      <c r="AA65" s="8" t="b">
        <v>0</v>
      </c>
      <c r="AB65" s="8" t="b">
        <v>0</v>
      </c>
      <c r="AC65" s="8" t="b">
        <v>0</v>
      </c>
      <c r="AD65" s="8" t="b">
        <v>1</v>
      </c>
      <c r="AE65" s="8" t="b">
        <v>0</v>
      </c>
      <c r="AG65" s="11" t="b" cm="1">
        <f t="array" ref="AG65">IF(OR(Y65:AA65="TRUE", AE65="true"), "Threatened")</f>
        <v>0</v>
      </c>
      <c r="AH65" s="11" t="s">
        <v>262</v>
      </c>
      <c r="AI65" s="8" t="b">
        <v>1</v>
      </c>
    </row>
    <row r="66" spans="1:35" ht="31.2">
      <c r="A66" s="8">
        <v>-73.974182499999998</v>
      </c>
      <c r="B66" s="8">
        <v>40.76894867</v>
      </c>
      <c r="C66" s="8" t="s">
        <v>263</v>
      </c>
      <c r="D66" s="8" t="s">
        <v>264</v>
      </c>
      <c r="E66" s="8" t="b">
        <f t="shared" si="0"/>
        <v>0</v>
      </c>
      <c r="F66" s="8" t="b" cm="1">
        <f t="array" ref="F66">_xlfn._xlws.FILTER(E66:E3264, C66:C3264= "6D-PM-1020-01", "No Squirrels Found")</f>
        <v>0</v>
      </c>
      <c r="G66" s="8" t="s">
        <v>34</v>
      </c>
      <c r="H66" s="10">
        <v>10072018</v>
      </c>
      <c r="I66" s="10">
        <v>3</v>
      </c>
      <c r="J66" s="8" t="s">
        <v>39</v>
      </c>
      <c r="K66" s="8" t="s">
        <v>40</v>
      </c>
      <c r="L66" s="8" t="s">
        <v>41</v>
      </c>
      <c r="M66" s="8" t="s">
        <v>42</v>
      </c>
      <c r="O66" s="8" t="s">
        <v>43</v>
      </c>
      <c r="P66" s="8" t="b">
        <v>0</v>
      </c>
      <c r="R66" s="8" t="b">
        <v>0</v>
      </c>
      <c r="S66" s="8" t="b">
        <v>0</v>
      </c>
      <c r="T66" s="8" t="b">
        <v>0</v>
      </c>
      <c r="U66" s="8" t="b">
        <v>0</v>
      </c>
      <c r="V66" s="8" t="b">
        <v>0</v>
      </c>
      <c r="W66" s="11" t="s">
        <v>265</v>
      </c>
      <c r="X66" s="8" t="b">
        <v>0</v>
      </c>
      <c r="Y66" s="8" t="b">
        <v>0</v>
      </c>
      <c r="Z66" s="8" t="b">
        <v>0</v>
      </c>
      <c r="AA66" s="8" t="b">
        <v>0</v>
      </c>
      <c r="AB66" s="8" t="b">
        <v>1</v>
      </c>
      <c r="AC66" s="8" t="b">
        <v>0</v>
      </c>
      <c r="AD66" s="8" t="b">
        <v>1</v>
      </c>
      <c r="AE66" s="8" t="b">
        <v>0</v>
      </c>
      <c r="AG66" s="11" t="b" cm="1">
        <f t="array" ref="AG66">IF(OR(Y66:AA66="TRUE", AE66="true"), "Threatened")</f>
        <v>0</v>
      </c>
      <c r="AH66" s="11" t="s">
        <v>266</v>
      </c>
      <c r="AI66" s="8" t="b">
        <v>0</v>
      </c>
    </row>
    <row r="67" spans="1:35" ht="31.2">
      <c r="A67" s="8">
        <v>-73.974924389999998</v>
      </c>
      <c r="B67" s="8">
        <v>40.776139360000002</v>
      </c>
      <c r="C67" s="8" t="s">
        <v>267</v>
      </c>
      <c r="D67" s="8" t="s">
        <v>268</v>
      </c>
      <c r="E67" s="8" t="b">
        <f t="shared" ref="E67:E130" si="1">OR(D67 = "05D", D67 = "07D", D67 = "06C", D67 = "06E")</f>
        <v>0</v>
      </c>
      <c r="F67" s="8" t="b" cm="1">
        <f t="array" ref="F67">_xlfn._xlws.FILTER(E67:E3265, C67:C3265= "6D-PM-1020-01", "No Squirrels Found")</f>
        <v>0</v>
      </c>
      <c r="G67" s="8" t="s">
        <v>34</v>
      </c>
      <c r="H67" s="10">
        <v>10142018</v>
      </c>
      <c r="I67" s="10">
        <v>5</v>
      </c>
      <c r="J67" s="8" t="s">
        <v>39</v>
      </c>
      <c r="K67" s="8" t="s">
        <v>40</v>
      </c>
      <c r="M67" s="8" t="s">
        <v>55</v>
      </c>
      <c r="O67" s="8" t="s">
        <v>43</v>
      </c>
      <c r="P67" s="8" t="b">
        <v>0</v>
      </c>
      <c r="R67" s="8" t="b">
        <v>0</v>
      </c>
      <c r="S67" s="8" t="b">
        <v>0</v>
      </c>
      <c r="T67" s="8" t="b">
        <v>0</v>
      </c>
      <c r="U67" s="8" t="b">
        <v>0</v>
      </c>
      <c r="V67" s="8" t="b">
        <v>1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1</v>
      </c>
      <c r="AE67" s="8" t="b">
        <v>0</v>
      </c>
      <c r="AG67" s="11" t="b" cm="1">
        <f t="array" ref="AG67">IF(OR(Y67:AA67="TRUE", AE67="true"), "Threatened")</f>
        <v>0</v>
      </c>
      <c r="AH67" s="11" t="s">
        <v>269</v>
      </c>
      <c r="AI67" s="8" t="b">
        <v>1</v>
      </c>
    </row>
    <row r="68" spans="1:35" ht="31.2">
      <c r="A68" s="8">
        <v>-73.96838133</v>
      </c>
      <c r="B68" s="8">
        <v>40.778014339999999</v>
      </c>
      <c r="C68" s="8" t="s">
        <v>270</v>
      </c>
      <c r="D68" s="8" t="s">
        <v>271</v>
      </c>
      <c r="E68" s="8" t="b">
        <f t="shared" si="1"/>
        <v>0</v>
      </c>
      <c r="F68" s="8" t="b" cm="1">
        <f t="array" ref="F68">_xlfn._xlws.FILTER(E68:E3266, C68:C3266= "6D-PM-1020-01", "No Squirrels Found")</f>
        <v>0</v>
      </c>
      <c r="G68" s="8" t="s">
        <v>34</v>
      </c>
      <c r="H68" s="10">
        <v>10182018</v>
      </c>
      <c r="I68" s="10">
        <v>6</v>
      </c>
      <c r="J68" s="8" t="s">
        <v>39</v>
      </c>
      <c r="K68" s="8" t="s">
        <v>41</v>
      </c>
      <c r="L68" s="8" t="s">
        <v>40</v>
      </c>
      <c r="M68" s="8" t="s">
        <v>110</v>
      </c>
      <c r="O68" s="8" t="s">
        <v>43</v>
      </c>
      <c r="P68" s="8" t="b">
        <v>0</v>
      </c>
      <c r="Q68" s="8" t="s">
        <v>272</v>
      </c>
      <c r="R68" s="8" t="b">
        <v>0</v>
      </c>
      <c r="S68" s="8" t="b">
        <v>0</v>
      </c>
      <c r="T68" s="8" t="b">
        <v>0</v>
      </c>
      <c r="U68" s="8" t="b">
        <v>0</v>
      </c>
      <c r="V68" s="8" t="b">
        <v>1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1</v>
      </c>
      <c r="AC68" s="8" t="b">
        <v>0</v>
      </c>
      <c r="AD68" s="8" t="b">
        <v>1</v>
      </c>
      <c r="AE68" s="8" t="b">
        <v>0</v>
      </c>
      <c r="AG68" s="11" t="b" cm="1">
        <f t="array" ref="AG68">IF(OR(Y68:AA68="TRUE", AE68="true"), "Threatened")</f>
        <v>0</v>
      </c>
      <c r="AH68" s="11" t="s">
        <v>273</v>
      </c>
      <c r="AI68" s="8" t="b">
        <v>1</v>
      </c>
    </row>
    <row r="69" spans="1:35" ht="31.2">
      <c r="A69" s="8">
        <v>-73.969424029999999</v>
      </c>
      <c r="B69" s="8">
        <v>40.77558981</v>
      </c>
      <c r="C69" s="8" t="s">
        <v>274</v>
      </c>
      <c r="D69" s="8" t="s">
        <v>275</v>
      </c>
      <c r="E69" s="8" t="b">
        <f t="shared" si="1"/>
        <v>0</v>
      </c>
      <c r="F69" s="8" t="b" cm="1">
        <f t="array" ref="F69">_xlfn._xlws.FILTER(E69:E3267, C69:C3267= "6D-PM-1020-01", "No Squirrels Found")</f>
        <v>0</v>
      </c>
      <c r="G69" s="8" t="s">
        <v>48</v>
      </c>
      <c r="H69" s="10">
        <v>10072018</v>
      </c>
      <c r="I69" s="10">
        <v>2</v>
      </c>
      <c r="J69" s="8" t="s">
        <v>39</v>
      </c>
      <c r="K69" s="8" t="s">
        <v>41</v>
      </c>
      <c r="L69" s="8" t="s">
        <v>84</v>
      </c>
      <c r="M69" s="8" t="s">
        <v>85</v>
      </c>
      <c r="R69" s="8" t="b">
        <v>0</v>
      </c>
      <c r="S69" s="8" t="b">
        <v>0</v>
      </c>
      <c r="T69" s="8" t="b">
        <v>0</v>
      </c>
      <c r="U69" s="8" t="b">
        <v>1</v>
      </c>
      <c r="V69" s="8" t="b">
        <v>1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0</v>
      </c>
      <c r="AC69" s="8" t="b">
        <v>0</v>
      </c>
      <c r="AD69" s="8" t="b">
        <v>1</v>
      </c>
      <c r="AE69" s="8" t="b">
        <v>0</v>
      </c>
      <c r="AG69" s="11" t="b" cm="1">
        <f t="array" ref="AG69">IF(OR(Y69:AA69="TRUE", AE69="true"), "Threatened")</f>
        <v>0</v>
      </c>
      <c r="AH69" s="11" t="s">
        <v>276</v>
      </c>
      <c r="AI69" s="8" t="b">
        <v>1</v>
      </c>
    </row>
    <row r="70" spans="1:35" ht="31.2">
      <c r="A70" s="8">
        <v>-73.968900099999999</v>
      </c>
      <c r="B70" s="8">
        <v>40.782836469999999</v>
      </c>
      <c r="C70" s="8" t="s">
        <v>277</v>
      </c>
      <c r="D70" s="8" t="s">
        <v>102</v>
      </c>
      <c r="E70" s="8" t="b">
        <f t="shared" si="1"/>
        <v>0</v>
      </c>
      <c r="F70" s="8" t="b" cm="1">
        <f t="array" ref="F70">_xlfn._xlws.FILTER(E70:E3268, C70:C3268= "6D-PM-1020-01", "No Squirrels Found")</f>
        <v>0</v>
      </c>
      <c r="G70" s="8" t="s">
        <v>34</v>
      </c>
      <c r="H70" s="10">
        <v>10132018</v>
      </c>
      <c r="I70" s="10">
        <v>10</v>
      </c>
      <c r="J70" s="8" t="s">
        <v>39</v>
      </c>
      <c r="K70" s="8" t="s">
        <v>40</v>
      </c>
      <c r="L70" s="8" t="s">
        <v>84</v>
      </c>
      <c r="M70" s="8" t="s">
        <v>103</v>
      </c>
      <c r="O70" s="8" t="s">
        <v>43</v>
      </c>
      <c r="P70" s="8" t="b">
        <v>0</v>
      </c>
      <c r="R70" s="8" t="b">
        <v>0</v>
      </c>
      <c r="S70" s="8" t="b">
        <v>0</v>
      </c>
      <c r="T70" s="8" t="b">
        <v>0</v>
      </c>
      <c r="U70" s="8" t="b">
        <v>0</v>
      </c>
      <c r="V70" s="8" t="b">
        <v>1</v>
      </c>
      <c r="W70" s="11" t="s">
        <v>278</v>
      </c>
      <c r="X70" s="8" t="b">
        <v>0</v>
      </c>
      <c r="Y70" s="8" t="b">
        <v>0</v>
      </c>
      <c r="Z70" s="8" t="b">
        <v>0</v>
      </c>
      <c r="AA70" s="8" t="b">
        <v>0</v>
      </c>
      <c r="AB70" s="8" t="b">
        <v>0</v>
      </c>
      <c r="AC70" s="8" t="b">
        <v>0</v>
      </c>
      <c r="AD70" s="8" t="b">
        <v>1</v>
      </c>
      <c r="AE70" s="8" t="b">
        <v>0</v>
      </c>
      <c r="AG70" s="11" t="b" cm="1">
        <f t="array" ref="AG70">IF(OR(Y70:AA70="TRUE", AE70="true"), "Threatened")</f>
        <v>0</v>
      </c>
      <c r="AH70" s="11" t="s">
        <v>279</v>
      </c>
      <c r="AI70" s="8" t="b">
        <v>0</v>
      </c>
    </row>
    <row r="71" spans="1:35" ht="31.2">
      <c r="A71" s="8">
        <v>-73.980452889999995</v>
      </c>
      <c r="B71" s="8">
        <v>40.769675370000002</v>
      </c>
      <c r="C71" s="8" t="s">
        <v>280</v>
      </c>
      <c r="D71" s="8" t="s">
        <v>253</v>
      </c>
      <c r="E71" s="8" t="b">
        <f t="shared" si="1"/>
        <v>0</v>
      </c>
      <c r="F71" s="8" t="b" cm="1">
        <f t="array" ref="F71">_xlfn._xlws.FILTER(E71:E3269, C71:C3269= "6D-PM-1020-01", "No Squirrels Found")</f>
        <v>0</v>
      </c>
      <c r="G71" s="8" t="s">
        <v>34</v>
      </c>
      <c r="H71" s="10">
        <v>10172018</v>
      </c>
      <c r="I71" s="10">
        <v>5</v>
      </c>
      <c r="J71" s="8" t="s">
        <v>39</v>
      </c>
      <c r="K71" s="8" t="s">
        <v>40</v>
      </c>
      <c r="L71" s="8" t="s">
        <v>41</v>
      </c>
      <c r="M71" s="8" t="s">
        <v>42</v>
      </c>
      <c r="O71" s="8" t="s">
        <v>43</v>
      </c>
      <c r="P71" s="8" t="b">
        <v>0</v>
      </c>
      <c r="R71" s="8" t="b">
        <v>0</v>
      </c>
      <c r="S71" s="8" t="b">
        <v>0</v>
      </c>
      <c r="T71" s="8" t="b">
        <v>0</v>
      </c>
      <c r="U71" s="8" t="b">
        <v>0</v>
      </c>
      <c r="V71" s="8" t="b">
        <v>1</v>
      </c>
      <c r="X71" s="8" t="b">
        <v>0</v>
      </c>
      <c r="Y71" s="8" t="b">
        <v>0</v>
      </c>
      <c r="Z71" s="8" t="b">
        <v>0</v>
      </c>
      <c r="AA71" s="8" t="b">
        <v>0</v>
      </c>
      <c r="AB71" s="8" t="b">
        <v>0</v>
      </c>
      <c r="AC71" s="8" t="b">
        <v>0</v>
      </c>
      <c r="AD71" s="8" t="b">
        <v>0</v>
      </c>
      <c r="AE71" s="8" t="b">
        <v>0</v>
      </c>
      <c r="AG71" s="11" t="b" cm="1">
        <f t="array" ref="AG71">IF(OR(Y71:AA71="TRUE", AE71="true"), "Threatened")</f>
        <v>0</v>
      </c>
      <c r="AH71" s="11" t="s">
        <v>281</v>
      </c>
      <c r="AI71" s="8" t="b">
        <v>1</v>
      </c>
    </row>
    <row r="72" spans="1:35" ht="31.2">
      <c r="A72" s="8">
        <v>-73.957624600000003</v>
      </c>
      <c r="B72" s="8">
        <v>40.787386249999997</v>
      </c>
      <c r="C72" s="8" t="s">
        <v>282</v>
      </c>
      <c r="D72" s="8" t="s">
        <v>283</v>
      </c>
      <c r="E72" s="8" t="b">
        <f t="shared" si="1"/>
        <v>0</v>
      </c>
      <c r="F72" s="8" t="b" cm="1">
        <f t="array" ref="F72">_xlfn._xlws.FILTER(E72:E3270, C72:C3270= "6D-PM-1020-01", "No Squirrels Found")</f>
        <v>0</v>
      </c>
      <c r="G72" s="8" t="s">
        <v>34</v>
      </c>
      <c r="H72" s="10">
        <v>10062018</v>
      </c>
      <c r="I72" s="10">
        <v>1</v>
      </c>
      <c r="J72" s="8" t="s">
        <v>39</v>
      </c>
      <c r="K72" s="8" t="s">
        <v>40</v>
      </c>
      <c r="M72" s="8" t="s">
        <v>55</v>
      </c>
      <c r="O72" s="8" t="s">
        <v>50</v>
      </c>
      <c r="P72" s="8">
        <v>50</v>
      </c>
      <c r="R72" s="8" t="b">
        <v>0</v>
      </c>
      <c r="S72" s="8" t="b">
        <v>0</v>
      </c>
      <c r="T72" s="8" t="b">
        <v>1</v>
      </c>
      <c r="U72" s="8" t="b">
        <v>0</v>
      </c>
      <c r="V72" s="8" t="b">
        <v>0</v>
      </c>
      <c r="W72" s="11" t="s">
        <v>141</v>
      </c>
      <c r="X72" s="8" t="b">
        <v>0</v>
      </c>
      <c r="Y72" s="8" t="b">
        <v>0</v>
      </c>
      <c r="Z72" s="8" t="b">
        <v>0</v>
      </c>
      <c r="AA72" s="8" t="b">
        <v>0</v>
      </c>
      <c r="AB72" s="8" t="b">
        <v>0</v>
      </c>
      <c r="AC72" s="8" t="b">
        <v>0</v>
      </c>
      <c r="AD72" s="8" t="b">
        <v>1</v>
      </c>
      <c r="AE72" s="8" t="b">
        <v>0</v>
      </c>
      <c r="AG72" s="11" t="b" cm="1">
        <f t="array" ref="AG72">IF(OR(Y72:AA72="TRUE", AE72="true"), "Threatened")</f>
        <v>0</v>
      </c>
      <c r="AH72" s="11" t="s">
        <v>284</v>
      </c>
      <c r="AI72" s="8" t="b">
        <v>0</v>
      </c>
    </row>
    <row r="73" spans="1:35" ht="31.2">
      <c r="A73" s="8">
        <v>-73.966600790000001</v>
      </c>
      <c r="B73" s="8">
        <v>40.784509810000003</v>
      </c>
      <c r="C73" s="8" t="s">
        <v>285</v>
      </c>
      <c r="D73" s="8" t="s">
        <v>286</v>
      </c>
      <c r="E73" s="8" t="b">
        <f t="shared" si="1"/>
        <v>0</v>
      </c>
      <c r="F73" s="8" t="b" cm="1">
        <f t="array" ref="F73">_xlfn._xlws.FILTER(E73:E3271, C73:C3271= "6D-PM-1020-01", "No Squirrels Found")</f>
        <v>0</v>
      </c>
      <c r="G73" s="8" t="s">
        <v>34</v>
      </c>
      <c r="H73" s="10">
        <v>10142018</v>
      </c>
      <c r="I73" s="10">
        <v>3</v>
      </c>
      <c r="J73" s="8" t="s">
        <v>39</v>
      </c>
      <c r="K73" s="8" t="s">
        <v>40</v>
      </c>
      <c r="M73" s="8" t="s">
        <v>55</v>
      </c>
      <c r="O73" s="8" t="s">
        <v>50</v>
      </c>
      <c r="P73" s="8">
        <v>8</v>
      </c>
      <c r="R73" s="8" t="b">
        <v>0</v>
      </c>
      <c r="S73" s="8" t="b">
        <v>1</v>
      </c>
      <c r="T73" s="8" t="b">
        <v>0</v>
      </c>
      <c r="U73" s="8" t="b">
        <v>0</v>
      </c>
      <c r="V73" s="8" t="b">
        <v>0</v>
      </c>
      <c r="W73" s="11" t="s">
        <v>287</v>
      </c>
      <c r="X73" s="8" t="b">
        <v>0</v>
      </c>
      <c r="Y73" s="8" t="b">
        <v>0</v>
      </c>
      <c r="Z73" s="8" t="b">
        <v>0</v>
      </c>
      <c r="AA73" s="8" t="b">
        <v>0</v>
      </c>
      <c r="AB73" s="8" t="b">
        <v>0</v>
      </c>
      <c r="AC73" s="8" t="b">
        <v>0</v>
      </c>
      <c r="AD73" s="8" t="b">
        <v>0</v>
      </c>
      <c r="AE73" s="8" t="b">
        <v>0</v>
      </c>
      <c r="AG73" s="11" t="b" cm="1">
        <f t="array" ref="AG73">IF(OR(Y73:AA73="TRUE", AE73="true"), "Threatened")</f>
        <v>0</v>
      </c>
      <c r="AH73" s="11" t="s">
        <v>288</v>
      </c>
      <c r="AI73" s="8" t="b">
        <v>0</v>
      </c>
    </row>
    <row r="74" spans="1:35" ht="31.2">
      <c r="A74" s="8">
        <v>-73.961484839999997</v>
      </c>
      <c r="B74" s="8">
        <v>40.792264549999999</v>
      </c>
      <c r="C74" s="8" t="s">
        <v>289</v>
      </c>
      <c r="D74" s="8" t="s">
        <v>290</v>
      </c>
      <c r="E74" s="8" t="b">
        <f t="shared" si="1"/>
        <v>0</v>
      </c>
      <c r="F74" s="8" t="b" cm="1">
        <f t="array" ref="F74">_xlfn._xlws.FILTER(E74:E3272, C74:C3272= "6D-PM-1020-01", "No Squirrels Found")</f>
        <v>0</v>
      </c>
      <c r="G74" s="8" t="s">
        <v>34</v>
      </c>
      <c r="H74" s="10">
        <v>10072018</v>
      </c>
      <c r="I74" s="10">
        <v>3</v>
      </c>
      <c r="J74" s="8" t="s">
        <v>39</v>
      </c>
      <c r="K74" s="8" t="s">
        <v>40</v>
      </c>
      <c r="L74" s="8" t="s">
        <v>84</v>
      </c>
      <c r="M74" s="8" t="s">
        <v>103</v>
      </c>
      <c r="O74" s="8" t="s">
        <v>43</v>
      </c>
      <c r="P74" s="8" t="b">
        <v>0</v>
      </c>
      <c r="R74" s="8" t="b">
        <v>0</v>
      </c>
      <c r="S74" s="8" t="b">
        <v>0</v>
      </c>
      <c r="T74" s="8" t="b">
        <v>0</v>
      </c>
      <c r="U74" s="8" t="b">
        <v>0</v>
      </c>
      <c r="V74" s="8" t="b">
        <v>1</v>
      </c>
      <c r="X74" s="8" t="b">
        <v>0</v>
      </c>
      <c r="Y74" s="8" t="b">
        <v>0</v>
      </c>
      <c r="Z74" s="8" t="b">
        <v>0</v>
      </c>
      <c r="AA74" s="8" t="b">
        <v>0</v>
      </c>
      <c r="AB74" s="8" t="b">
        <v>1</v>
      </c>
      <c r="AC74" s="8" t="b">
        <v>0</v>
      </c>
      <c r="AD74" s="8" t="b">
        <v>1</v>
      </c>
      <c r="AE74" s="8" t="b">
        <v>0</v>
      </c>
      <c r="AG74" s="11" t="b" cm="1">
        <f t="array" ref="AG74">IF(OR(Y74:AA74="TRUE", AE74="true"), "Threatened")</f>
        <v>0</v>
      </c>
      <c r="AH74" s="11" t="s">
        <v>291</v>
      </c>
      <c r="AI74" s="8" t="b">
        <v>1</v>
      </c>
    </row>
    <row r="75" spans="1:35" ht="31.2">
      <c r="A75" s="8">
        <v>-73.954665419999998</v>
      </c>
      <c r="B75" s="8">
        <v>40.794763920000001</v>
      </c>
      <c r="C75" s="8" t="s">
        <v>292</v>
      </c>
      <c r="D75" s="8" t="s">
        <v>293</v>
      </c>
      <c r="E75" s="8" t="b">
        <f t="shared" si="1"/>
        <v>0</v>
      </c>
      <c r="F75" s="8" t="b" cm="1">
        <f t="array" ref="F75">_xlfn._xlws.FILTER(E75:E3273, C75:C3273= "6D-PM-1020-01", "No Squirrels Found")</f>
        <v>0</v>
      </c>
      <c r="G75" s="8" t="s">
        <v>34</v>
      </c>
      <c r="H75" s="10">
        <v>10202018</v>
      </c>
      <c r="I75" s="10">
        <v>9</v>
      </c>
      <c r="J75" s="8" t="s">
        <v>39</v>
      </c>
      <c r="K75" s="8" t="s">
        <v>40</v>
      </c>
      <c r="L75" s="8" t="s">
        <v>117</v>
      </c>
      <c r="M75" s="8" t="s">
        <v>118</v>
      </c>
      <c r="O75" s="8" t="s">
        <v>43</v>
      </c>
      <c r="P75" s="8" t="b">
        <v>0</v>
      </c>
      <c r="R75" s="8" t="b">
        <v>0</v>
      </c>
      <c r="S75" s="8" t="b">
        <v>0</v>
      </c>
      <c r="T75" s="8" t="b">
        <v>0</v>
      </c>
      <c r="U75" s="8" t="b">
        <v>1</v>
      </c>
      <c r="V75" s="8" t="b">
        <v>1</v>
      </c>
      <c r="X75" s="8" t="b">
        <v>0</v>
      </c>
      <c r="Y75" s="8" t="b">
        <v>0</v>
      </c>
      <c r="Z75" s="8" t="b">
        <v>0</v>
      </c>
      <c r="AA75" s="8" t="b">
        <v>1</v>
      </c>
      <c r="AB75" s="8" t="b">
        <v>0</v>
      </c>
      <c r="AC75" s="8" t="b">
        <v>0</v>
      </c>
      <c r="AD75" s="8" t="b">
        <v>1</v>
      </c>
      <c r="AE75" s="8" t="b">
        <v>0</v>
      </c>
      <c r="AG75" s="11" t="b" cm="1">
        <f t="array" ref="AG75">IF(OR(Y75:AA75="TRUE", AE75="true"), "Threatened")</f>
        <v>0</v>
      </c>
      <c r="AH75" s="11" t="s">
        <v>294</v>
      </c>
      <c r="AI75" s="8" t="b">
        <v>1</v>
      </c>
    </row>
    <row r="76" spans="1:35" ht="31.2">
      <c r="A76" s="8">
        <v>-73.966711399999994</v>
      </c>
      <c r="B76" s="8">
        <v>40.776880470000002</v>
      </c>
      <c r="C76" s="8" t="s">
        <v>295</v>
      </c>
      <c r="D76" s="8" t="s">
        <v>296</v>
      </c>
      <c r="E76" s="8" t="b">
        <f t="shared" si="1"/>
        <v>0</v>
      </c>
      <c r="F76" s="8" t="b" cm="1">
        <f t="array" ref="F76">_xlfn._xlws.FILTER(E76:E3274, C76:C3274= "6D-PM-1020-01", "No Squirrels Found")</f>
        <v>0</v>
      </c>
      <c r="G76" s="8" t="s">
        <v>34</v>
      </c>
      <c r="H76" s="10">
        <v>10172018</v>
      </c>
      <c r="I76" s="10">
        <v>1</v>
      </c>
      <c r="J76" s="8" t="s">
        <v>39</v>
      </c>
      <c r="K76" s="8" t="s">
        <v>40</v>
      </c>
      <c r="L76" s="8" t="s">
        <v>117</v>
      </c>
      <c r="M76" s="8" t="s">
        <v>118</v>
      </c>
      <c r="O76" s="8" t="s">
        <v>43</v>
      </c>
      <c r="P76" s="8" t="b">
        <v>0</v>
      </c>
      <c r="R76" s="8" t="b">
        <v>0</v>
      </c>
      <c r="S76" s="8" t="b">
        <v>0</v>
      </c>
      <c r="T76" s="8" t="b">
        <v>0</v>
      </c>
      <c r="U76" s="8" t="b">
        <v>0</v>
      </c>
      <c r="V76" s="8" t="b">
        <v>1</v>
      </c>
      <c r="X76" s="8" t="b">
        <v>0</v>
      </c>
      <c r="Y76" s="8" t="b">
        <v>0</v>
      </c>
      <c r="Z76" s="8" t="b">
        <v>0</v>
      </c>
      <c r="AA76" s="8" t="b">
        <v>0</v>
      </c>
      <c r="AB76" s="8" t="b">
        <v>0</v>
      </c>
      <c r="AC76" s="8" t="b">
        <v>0</v>
      </c>
      <c r="AD76" s="8" t="b">
        <v>1</v>
      </c>
      <c r="AE76" s="8" t="b">
        <v>0</v>
      </c>
      <c r="AG76" s="11" t="b" cm="1">
        <f t="array" ref="AG76">IF(OR(Y76:AA76="TRUE", AE76="true"), "Threatened")</f>
        <v>0</v>
      </c>
      <c r="AH76" s="11" t="s">
        <v>297</v>
      </c>
      <c r="AI76" s="8" t="b">
        <v>1</v>
      </c>
    </row>
    <row r="77" spans="1:35" ht="31.2">
      <c r="A77" s="8">
        <v>-73.953003559999999</v>
      </c>
      <c r="B77" s="8">
        <v>40.792182250000003</v>
      </c>
      <c r="C77" s="8" t="s">
        <v>298</v>
      </c>
      <c r="D77" s="8" t="s">
        <v>106</v>
      </c>
      <c r="E77" s="8" t="b">
        <f t="shared" si="1"/>
        <v>0</v>
      </c>
      <c r="F77" s="8" t="b" cm="1">
        <f t="array" ref="F77">_xlfn._xlws.FILTER(E77:E3275, C77:C3275= "6D-PM-1020-01", "No Squirrels Found")</f>
        <v>0</v>
      </c>
      <c r="G77" s="8" t="s">
        <v>34</v>
      </c>
      <c r="H77" s="10">
        <v>10072018</v>
      </c>
      <c r="I77" s="10">
        <v>7</v>
      </c>
      <c r="J77" s="8" t="s">
        <v>39</v>
      </c>
      <c r="K77" s="8" t="s">
        <v>40</v>
      </c>
      <c r="M77" s="8" t="s">
        <v>55</v>
      </c>
      <c r="O77" s="8" t="s">
        <v>43</v>
      </c>
      <c r="P77" s="8" t="b">
        <v>0</v>
      </c>
      <c r="R77" s="8" t="b">
        <v>0</v>
      </c>
      <c r="S77" s="8" t="b">
        <v>0</v>
      </c>
      <c r="T77" s="8" t="b">
        <v>0</v>
      </c>
      <c r="U77" s="8" t="b">
        <v>0</v>
      </c>
      <c r="V77" s="8" t="b">
        <v>1</v>
      </c>
      <c r="X77" s="8" t="b">
        <v>0</v>
      </c>
      <c r="Y77" s="8" t="b">
        <v>0</v>
      </c>
      <c r="Z77" s="8" t="b">
        <v>0</v>
      </c>
      <c r="AA77" s="8" t="b">
        <v>0</v>
      </c>
      <c r="AB77" s="8" t="b">
        <v>0</v>
      </c>
      <c r="AC77" s="8" t="b">
        <v>0</v>
      </c>
      <c r="AD77" s="8" t="b">
        <v>1</v>
      </c>
      <c r="AE77" s="8" t="b">
        <v>0</v>
      </c>
      <c r="AG77" s="11" t="b" cm="1">
        <f t="array" ref="AG77">IF(OR(Y77:AA77="TRUE", AE77="true"), "Threatened")</f>
        <v>0</v>
      </c>
      <c r="AH77" s="11" t="s">
        <v>299</v>
      </c>
      <c r="AI77" s="8" t="b">
        <v>1</v>
      </c>
    </row>
    <row r="78" spans="1:35" ht="31.2">
      <c r="A78" s="8">
        <v>-73.961569659999995</v>
      </c>
      <c r="B78" s="8">
        <v>40.795127860000001</v>
      </c>
      <c r="C78" s="8" t="s">
        <v>300</v>
      </c>
      <c r="D78" s="8" t="s">
        <v>301</v>
      </c>
      <c r="E78" s="8" t="b">
        <f t="shared" si="1"/>
        <v>0</v>
      </c>
      <c r="F78" s="8" t="b" cm="1">
        <f t="array" ref="F78">_xlfn._xlws.FILTER(E78:E3276, C78:C3276= "6D-PM-1020-01", "No Squirrels Found")</f>
        <v>0</v>
      </c>
      <c r="G78" s="8" t="s">
        <v>48</v>
      </c>
      <c r="H78" s="10">
        <v>10142018</v>
      </c>
      <c r="I78" s="10">
        <v>3</v>
      </c>
      <c r="J78" s="8" t="s">
        <v>39</v>
      </c>
      <c r="K78" s="8" t="s">
        <v>40</v>
      </c>
      <c r="L78" s="8" t="s">
        <v>84</v>
      </c>
      <c r="M78" s="8" t="s">
        <v>103</v>
      </c>
      <c r="O78" s="8" t="s">
        <v>43</v>
      </c>
      <c r="P78" s="8" t="b">
        <v>0</v>
      </c>
      <c r="R78" s="8" t="b">
        <v>0</v>
      </c>
      <c r="S78" s="8" t="b">
        <v>0</v>
      </c>
      <c r="T78" s="8" t="b">
        <v>0</v>
      </c>
      <c r="U78" s="8" t="b">
        <v>0</v>
      </c>
      <c r="V78" s="8" t="b">
        <v>1</v>
      </c>
      <c r="X78" s="8" t="b">
        <v>0</v>
      </c>
      <c r="Y78" s="8" t="b">
        <v>0</v>
      </c>
      <c r="Z78" s="8" t="b">
        <v>0</v>
      </c>
      <c r="AA78" s="8" t="b">
        <v>0</v>
      </c>
      <c r="AB78" s="8" t="b">
        <v>0</v>
      </c>
      <c r="AC78" s="8" t="b">
        <v>0</v>
      </c>
      <c r="AD78" s="8" t="b">
        <v>1</v>
      </c>
      <c r="AE78" s="8" t="b">
        <v>0</v>
      </c>
      <c r="AG78" s="11" t="b" cm="1">
        <f t="array" ref="AG78">IF(OR(Y78:AA78="TRUE", AE78="true"), "Threatened")</f>
        <v>0</v>
      </c>
      <c r="AH78" s="11" t="s">
        <v>302</v>
      </c>
      <c r="AI78" s="8" t="b">
        <v>1</v>
      </c>
    </row>
    <row r="79" spans="1:35" ht="31.2">
      <c r="A79" s="8">
        <v>-73.964474839999994</v>
      </c>
      <c r="B79" s="8">
        <v>40.788384010000001</v>
      </c>
      <c r="C79" s="8" t="s">
        <v>303</v>
      </c>
      <c r="D79" s="8" t="s">
        <v>304</v>
      </c>
      <c r="E79" s="8" t="b">
        <f t="shared" si="1"/>
        <v>0</v>
      </c>
      <c r="F79" s="8" t="b" cm="1">
        <f t="array" ref="F79">_xlfn._xlws.FILTER(E79:E3277, C79:C3277= "6D-PM-1020-01", "No Squirrels Found")</f>
        <v>0</v>
      </c>
      <c r="G79" s="8" t="s">
        <v>34</v>
      </c>
      <c r="H79" s="10">
        <v>10062018</v>
      </c>
      <c r="I79" s="10">
        <v>1</v>
      </c>
      <c r="J79" s="8" t="s">
        <v>39</v>
      </c>
      <c r="K79" s="8" t="s">
        <v>40</v>
      </c>
      <c r="L79" s="8" t="s">
        <v>41</v>
      </c>
      <c r="M79" s="8" t="s">
        <v>42</v>
      </c>
      <c r="O79" s="8" t="s">
        <v>43</v>
      </c>
      <c r="P79" s="8" t="b">
        <v>0</v>
      </c>
      <c r="R79" s="8" t="b">
        <v>0</v>
      </c>
      <c r="S79" s="8" t="b">
        <v>0</v>
      </c>
      <c r="T79" s="8" t="b">
        <v>0</v>
      </c>
      <c r="U79" s="8" t="b">
        <v>0</v>
      </c>
      <c r="V79" s="8" t="b">
        <v>0</v>
      </c>
      <c r="W79" s="11" t="s">
        <v>305</v>
      </c>
      <c r="X79" s="8" t="b">
        <v>0</v>
      </c>
      <c r="Y79" s="8" t="b">
        <v>0</v>
      </c>
      <c r="Z79" s="8" t="b">
        <v>0</v>
      </c>
      <c r="AA79" s="8" t="b">
        <v>1</v>
      </c>
      <c r="AB79" s="8" t="b">
        <v>0</v>
      </c>
      <c r="AC79" s="8" t="b">
        <v>0</v>
      </c>
      <c r="AD79" s="8" t="b">
        <v>0</v>
      </c>
      <c r="AE79" s="8" t="b">
        <v>1</v>
      </c>
      <c r="AF79" s="11" t="s">
        <v>306</v>
      </c>
      <c r="AG79" s="11" t="b" cm="1">
        <f t="array" ref="AG79">IF(OR(Y79:AA79="TRUE", AE79="true"), "Threatened")</f>
        <v>0</v>
      </c>
      <c r="AH79" s="11" t="s">
        <v>307</v>
      </c>
      <c r="AI79" s="8" t="b">
        <v>0</v>
      </c>
    </row>
    <row r="80" spans="1:35" ht="31.2">
      <c r="A80" s="8">
        <v>-73.961070559999996</v>
      </c>
      <c r="B80" s="8">
        <v>40.791482969999997</v>
      </c>
      <c r="C80" s="8" t="s">
        <v>308</v>
      </c>
      <c r="D80" s="8" t="s">
        <v>309</v>
      </c>
      <c r="E80" s="8" t="b">
        <f t="shared" si="1"/>
        <v>0</v>
      </c>
      <c r="F80" s="8" t="b" cm="1">
        <f t="array" ref="F80">_xlfn._xlws.FILTER(E80:E3278, C80:C3278= "6D-PM-1020-01", "No Squirrels Found")</f>
        <v>0</v>
      </c>
      <c r="G80" s="8" t="s">
        <v>48</v>
      </c>
      <c r="H80" s="10">
        <v>10132018</v>
      </c>
      <c r="I80" s="10">
        <v>6</v>
      </c>
      <c r="J80" s="8" t="s">
        <v>39</v>
      </c>
      <c r="K80" s="8" t="s">
        <v>41</v>
      </c>
      <c r="M80" s="8" t="s">
        <v>49</v>
      </c>
      <c r="O80" s="8" t="s">
        <v>43</v>
      </c>
      <c r="P80" s="8" t="b">
        <v>0</v>
      </c>
      <c r="R80" s="8" t="b">
        <v>1</v>
      </c>
      <c r="S80" s="8" t="b">
        <v>0</v>
      </c>
      <c r="T80" s="8" t="b">
        <v>0</v>
      </c>
      <c r="U80" s="8" t="b">
        <v>1</v>
      </c>
      <c r="V80" s="8" t="b">
        <v>1</v>
      </c>
      <c r="W80" s="11" t="s">
        <v>310</v>
      </c>
      <c r="X80" s="8" t="b">
        <v>0</v>
      </c>
      <c r="Y80" s="8" t="b">
        <v>0</v>
      </c>
      <c r="Z80" s="8" t="b">
        <v>0</v>
      </c>
      <c r="AA80" s="8" t="b">
        <v>0</v>
      </c>
      <c r="AB80" s="8" t="b">
        <v>1</v>
      </c>
      <c r="AC80" s="8" t="b">
        <v>1</v>
      </c>
      <c r="AD80" s="8" t="b">
        <v>0</v>
      </c>
      <c r="AE80" s="8" t="b">
        <v>0</v>
      </c>
      <c r="AG80" s="11" t="b" cm="1">
        <f t="array" ref="AG80">IF(OR(Y80:AA80="TRUE", AE80="true"), "Threatened")</f>
        <v>0</v>
      </c>
      <c r="AH80" s="11" t="s">
        <v>311</v>
      </c>
      <c r="AI80" s="8" t="b">
        <v>0</v>
      </c>
    </row>
    <row r="81" spans="1:35" ht="31.2">
      <c r="A81" s="8">
        <v>-73.968845450000003</v>
      </c>
      <c r="B81" s="8">
        <v>40.78453013</v>
      </c>
      <c r="C81" s="8" t="s">
        <v>312</v>
      </c>
      <c r="D81" s="8" t="s">
        <v>313</v>
      </c>
      <c r="E81" s="8" t="b">
        <f t="shared" si="1"/>
        <v>0</v>
      </c>
      <c r="F81" s="8" t="b" cm="1">
        <f t="array" ref="F81">_xlfn._xlws.FILTER(E81:E3279, C81:C3279= "6D-PM-1020-01", "No Squirrels Found")</f>
        <v>0</v>
      </c>
      <c r="G81" s="8" t="s">
        <v>48</v>
      </c>
      <c r="H81" s="10">
        <v>10082018</v>
      </c>
      <c r="I81" s="10">
        <v>5</v>
      </c>
      <c r="J81" s="8" t="s">
        <v>39</v>
      </c>
      <c r="K81" s="8" t="s">
        <v>40</v>
      </c>
      <c r="L81" s="8" t="s">
        <v>84</v>
      </c>
      <c r="M81" s="8" t="s">
        <v>103</v>
      </c>
      <c r="O81" s="8" t="s">
        <v>50</v>
      </c>
      <c r="P81" s="8">
        <v>3</v>
      </c>
      <c r="Q81" s="8" t="s">
        <v>314</v>
      </c>
      <c r="R81" s="8" t="b">
        <v>0</v>
      </c>
      <c r="S81" s="8" t="b">
        <v>0</v>
      </c>
      <c r="T81" s="8" t="b">
        <v>0</v>
      </c>
      <c r="U81" s="8" t="b">
        <v>1</v>
      </c>
      <c r="V81" s="8" t="b">
        <v>0</v>
      </c>
      <c r="X81" s="8" t="b">
        <v>0</v>
      </c>
      <c r="Y81" s="8" t="b">
        <v>0</v>
      </c>
      <c r="Z81" s="8" t="b">
        <v>0</v>
      </c>
      <c r="AA81" s="8" t="b">
        <v>1</v>
      </c>
      <c r="AB81" s="8" t="b">
        <v>0</v>
      </c>
      <c r="AC81" s="8" t="b">
        <v>0</v>
      </c>
      <c r="AD81" s="8" t="b">
        <v>0</v>
      </c>
      <c r="AE81" s="8" t="b">
        <v>1</v>
      </c>
      <c r="AG81" s="11" t="b" cm="1">
        <f t="array" ref="AG81">IF(OR(Y81:AA81="TRUE", AE81="true"), "Threatened")</f>
        <v>0</v>
      </c>
      <c r="AH81" s="11" t="s">
        <v>315</v>
      </c>
      <c r="AI81" s="8" t="b">
        <v>1</v>
      </c>
    </row>
    <row r="82" spans="1:35" ht="31.2">
      <c r="A82" s="8">
        <v>-73.957823719999993</v>
      </c>
      <c r="B82" s="8">
        <v>40.798095949999997</v>
      </c>
      <c r="C82" s="8" t="s">
        <v>316</v>
      </c>
      <c r="D82" s="8" t="s">
        <v>227</v>
      </c>
      <c r="E82" s="8" t="b">
        <f t="shared" si="1"/>
        <v>0</v>
      </c>
      <c r="F82" s="8" t="b" cm="1">
        <f t="array" ref="F82">_xlfn._xlws.FILTER(E82:E3280, C82:C3280= "6D-PM-1020-01", "No Squirrels Found")</f>
        <v>0</v>
      </c>
      <c r="G82" s="8" t="s">
        <v>34</v>
      </c>
      <c r="H82" s="10">
        <v>10142018</v>
      </c>
      <c r="I82" s="10">
        <v>6</v>
      </c>
      <c r="J82" s="8" t="s">
        <v>39</v>
      </c>
      <c r="K82" s="8" t="s">
        <v>40</v>
      </c>
      <c r="L82" s="8" t="s">
        <v>41</v>
      </c>
      <c r="M82" s="8" t="s">
        <v>42</v>
      </c>
      <c r="O82" s="8" t="s">
        <v>43</v>
      </c>
      <c r="P82" s="8" t="b">
        <v>0</v>
      </c>
      <c r="R82" s="8" t="b">
        <v>1</v>
      </c>
      <c r="S82" s="8" t="b">
        <v>0</v>
      </c>
      <c r="T82" s="8" t="b">
        <v>0</v>
      </c>
      <c r="U82" s="8" t="b">
        <v>0</v>
      </c>
      <c r="V82" s="8" t="b">
        <v>0</v>
      </c>
      <c r="X82" s="8" t="b">
        <v>0</v>
      </c>
      <c r="Y82" s="8" t="b">
        <v>0</v>
      </c>
      <c r="Z82" s="8" t="b">
        <v>0</v>
      </c>
      <c r="AA82" s="8" t="b">
        <v>0</v>
      </c>
      <c r="AB82" s="8" t="b">
        <v>0</v>
      </c>
      <c r="AC82" s="8" t="b">
        <v>0</v>
      </c>
      <c r="AD82" s="8" t="b">
        <v>1</v>
      </c>
      <c r="AE82" s="8" t="b">
        <v>0</v>
      </c>
      <c r="AG82" s="11" t="b" cm="1">
        <f t="array" ref="AG82">IF(OR(Y82:AA82="TRUE", AE82="true"), "Threatened")</f>
        <v>0</v>
      </c>
      <c r="AH82" s="11" t="s">
        <v>317</v>
      </c>
      <c r="AI82" s="8" t="b">
        <v>1</v>
      </c>
    </row>
    <row r="83" spans="1:35" ht="31.2">
      <c r="A83" s="8">
        <v>-73.96882712</v>
      </c>
      <c r="B83" s="8">
        <v>40.780971940000001</v>
      </c>
      <c r="C83" s="8" t="s">
        <v>318</v>
      </c>
      <c r="D83" s="8" t="s">
        <v>319</v>
      </c>
      <c r="E83" s="8" t="b">
        <f t="shared" si="1"/>
        <v>0</v>
      </c>
      <c r="F83" s="8" t="b" cm="1">
        <f t="array" ref="F83">_xlfn._xlws.FILTER(E83:E3281, C83:C3281= "6D-PM-1020-01", "No Squirrels Found")</f>
        <v>0</v>
      </c>
      <c r="G83" s="8" t="s">
        <v>34</v>
      </c>
      <c r="H83" s="10">
        <v>10182018</v>
      </c>
      <c r="I83" s="10">
        <v>1</v>
      </c>
      <c r="J83" s="8" t="s">
        <v>39</v>
      </c>
      <c r="K83" s="8" t="s">
        <v>40</v>
      </c>
      <c r="L83" s="8" t="s">
        <v>84</v>
      </c>
      <c r="M83" s="8" t="s">
        <v>103</v>
      </c>
      <c r="O83" s="8" t="s">
        <v>43</v>
      </c>
      <c r="P83" s="8" t="b">
        <v>0</v>
      </c>
      <c r="R83" s="8" t="b">
        <v>1</v>
      </c>
      <c r="S83" s="8" t="b">
        <v>1</v>
      </c>
      <c r="T83" s="8" t="b">
        <v>0</v>
      </c>
      <c r="U83" s="8" t="b">
        <v>1</v>
      </c>
      <c r="V83" s="8" t="b">
        <v>0</v>
      </c>
      <c r="X83" s="8" t="b">
        <v>0</v>
      </c>
      <c r="Y83" s="8" t="b">
        <v>0</v>
      </c>
      <c r="Z83" s="8" t="b">
        <v>0</v>
      </c>
      <c r="AA83" s="8" t="b">
        <v>0</v>
      </c>
      <c r="AB83" s="8" t="b">
        <v>1</v>
      </c>
      <c r="AC83" s="8" t="b">
        <v>0</v>
      </c>
      <c r="AD83" s="8" t="b">
        <v>1</v>
      </c>
      <c r="AE83" s="8" t="b">
        <v>0</v>
      </c>
      <c r="AG83" s="11" t="b" cm="1">
        <f t="array" ref="AG83">IF(OR(Y83:AA83="TRUE", AE83="true"), "Threatened")</f>
        <v>0</v>
      </c>
      <c r="AH83" s="11" t="s">
        <v>320</v>
      </c>
      <c r="AI83" s="8" t="b">
        <v>1</v>
      </c>
    </row>
    <row r="84" spans="1:35" ht="31.2">
      <c r="A84" s="8">
        <v>-73.961708869999995</v>
      </c>
      <c r="B84" s="8">
        <v>40.794458509999998</v>
      </c>
      <c r="C84" s="8" t="s">
        <v>321</v>
      </c>
      <c r="D84" s="8" t="s">
        <v>301</v>
      </c>
      <c r="E84" s="8" t="b">
        <f t="shared" si="1"/>
        <v>0</v>
      </c>
      <c r="F84" s="8" t="b" cm="1">
        <f t="array" ref="F84">_xlfn._xlws.FILTER(E84:E3282, C84:C3282= "6D-PM-1020-01", "No Squirrels Found")</f>
        <v>0</v>
      </c>
      <c r="G84" s="8" t="s">
        <v>34</v>
      </c>
      <c r="H84" s="10">
        <v>10132018</v>
      </c>
      <c r="I84" s="10">
        <v>6</v>
      </c>
      <c r="J84" s="8" t="s">
        <v>39</v>
      </c>
      <c r="K84" s="8" t="s">
        <v>41</v>
      </c>
      <c r="M84" s="8" t="s">
        <v>49</v>
      </c>
      <c r="O84" s="8" t="s">
        <v>43</v>
      </c>
      <c r="P84" s="8" t="b">
        <v>0</v>
      </c>
      <c r="R84" s="8" t="b">
        <v>1</v>
      </c>
      <c r="S84" s="8" t="b">
        <v>0</v>
      </c>
      <c r="T84" s="8" t="b">
        <v>0</v>
      </c>
      <c r="U84" s="8" t="b">
        <v>0</v>
      </c>
      <c r="V84" s="8" t="b">
        <v>0</v>
      </c>
      <c r="X84" s="8" t="b">
        <v>0</v>
      </c>
      <c r="Y84" s="8" t="b">
        <v>0</v>
      </c>
      <c r="Z84" s="8" t="b">
        <v>0</v>
      </c>
      <c r="AA84" s="8" t="b">
        <v>0</v>
      </c>
      <c r="AB84" s="8" t="b">
        <v>0</v>
      </c>
      <c r="AC84" s="8" t="b">
        <v>0</v>
      </c>
      <c r="AD84" s="8" t="b">
        <v>0</v>
      </c>
      <c r="AE84" s="8" t="b">
        <v>1</v>
      </c>
      <c r="AG84" s="11" t="b" cm="1">
        <f t="array" ref="AG84">IF(OR(Y84:AA84="TRUE", AE84="true"), "Threatened")</f>
        <v>0</v>
      </c>
      <c r="AH84" s="11" t="s">
        <v>322</v>
      </c>
      <c r="AI84" s="8" t="b">
        <v>1</v>
      </c>
    </row>
    <row r="85" spans="1:35" ht="31.2">
      <c r="A85" s="8">
        <v>-73.970182480000005</v>
      </c>
      <c r="B85" s="8">
        <v>40.776653060000001</v>
      </c>
      <c r="C85" s="8" t="s">
        <v>323</v>
      </c>
      <c r="D85" s="8" t="s">
        <v>121</v>
      </c>
      <c r="E85" s="8" t="b">
        <f t="shared" si="1"/>
        <v>0</v>
      </c>
      <c r="F85" s="8" t="b" cm="1">
        <f t="array" ref="F85">_xlfn._xlws.FILTER(E85:E3283, C85:C3283= "6D-PM-1020-01", "No Squirrels Found")</f>
        <v>0</v>
      </c>
      <c r="G85" s="8" t="s">
        <v>48</v>
      </c>
      <c r="H85" s="10">
        <v>10082018</v>
      </c>
      <c r="I85" s="10">
        <v>9</v>
      </c>
      <c r="J85" s="8" t="s">
        <v>39</v>
      </c>
      <c r="K85" s="8" t="s">
        <v>40</v>
      </c>
      <c r="M85" s="8" t="s">
        <v>55</v>
      </c>
      <c r="O85" s="8" t="s">
        <v>43</v>
      </c>
      <c r="P85" s="8" t="b">
        <v>0</v>
      </c>
      <c r="R85" s="8" t="b">
        <v>1</v>
      </c>
      <c r="S85" s="8" t="b">
        <v>1</v>
      </c>
      <c r="T85" s="8" t="b">
        <v>0</v>
      </c>
      <c r="U85" s="8" t="b">
        <v>0</v>
      </c>
      <c r="V85" s="8" t="b">
        <v>0</v>
      </c>
      <c r="X85" s="8" t="b">
        <v>1</v>
      </c>
      <c r="Y85" s="8" t="b">
        <v>0</v>
      </c>
      <c r="Z85" s="8" t="b">
        <v>0</v>
      </c>
      <c r="AA85" s="8" t="b">
        <v>0</v>
      </c>
      <c r="AB85" s="8" t="b">
        <v>0</v>
      </c>
      <c r="AC85" s="8" t="b">
        <v>0</v>
      </c>
      <c r="AD85" s="8" t="b">
        <v>0</v>
      </c>
      <c r="AE85" s="8" t="b">
        <v>1</v>
      </c>
      <c r="AG85" s="11" t="b" cm="1">
        <f t="array" ref="AG85">IF(OR(Y85:AA85="TRUE", AE85="true"), "Threatened")</f>
        <v>0</v>
      </c>
      <c r="AH85" s="11" t="s">
        <v>324</v>
      </c>
      <c r="AI85" s="8" t="b">
        <v>1</v>
      </c>
    </row>
    <row r="86" spans="1:35" ht="31.2">
      <c r="A86" s="8">
        <v>-73.967641049999997</v>
      </c>
      <c r="B86" s="8">
        <v>40.776604349999999</v>
      </c>
      <c r="C86" s="8" t="s">
        <v>325</v>
      </c>
      <c r="D86" s="8" t="s">
        <v>326</v>
      </c>
      <c r="E86" s="8" t="b">
        <f t="shared" si="1"/>
        <v>0</v>
      </c>
      <c r="F86" s="8" t="b" cm="1">
        <f t="array" ref="F86">_xlfn._xlws.FILTER(E86:E3284, C86:C3284= "6D-PM-1020-01", "No Squirrels Found")</f>
        <v>0</v>
      </c>
      <c r="G86" s="8" t="s">
        <v>34</v>
      </c>
      <c r="H86" s="10">
        <v>10192018</v>
      </c>
      <c r="I86" s="10">
        <v>5</v>
      </c>
      <c r="J86" s="8" t="s">
        <v>39</v>
      </c>
      <c r="K86" s="8" t="s">
        <v>40</v>
      </c>
      <c r="L86" s="8" t="s">
        <v>41</v>
      </c>
      <c r="M86" s="8" t="s">
        <v>42</v>
      </c>
      <c r="O86" s="8" t="s">
        <v>50</v>
      </c>
      <c r="P86" s="8">
        <v>4</v>
      </c>
      <c r="R86" s="8" t="b">
        <v>0</v>
      </c>
      <c r="S86" s="8" t="b">
        <v>0</v>
      </c>
      <c r="T86" s="8" t="b">
        <v>1</v>
      </c>
      <c r="U86" s="8" t="b">
        <v>0</v>
      </c>
      <c r="V86" s="8" t="b">
        <v>0</v>
      </c>
      <c r="X86" s="8" t="b">
        <v>0</v>
      </c>
      <c r="Y86" s="8" t="b">
        <v>0</v>
      </c>
      <c r="Z86" s="8" t="b">
        <v>0</v>
      </c>
      <c r="AA86" s="8" t="b">
        <v>0</v>
      </c>
      <c r="AB86" s="8" t="b">
        <v>0</v>
      </c>
      <c r="AC86" s="8" t="b">
        <v>0</v>
      </c>
      <c r="AD86" s="8" t="b">
        <v>0</v>
      </c>
      <c r="AE86" s="8" t="b">
        <v>0</v>
      </c>
      <c r="AG86" s="11" t="b" cm="1">
        <f t="array" ref="AG86">IF(OR(Y86:AA86="TRUE", AE86="true"), "Threatened")</f>
        <v>0</v>
      </c>
      <c r="AH86" s="11" t="s">
        <v>327</v>
      </c>
      <c r="AI86" s="8" t="b">
        <v>1</v>
      </c>
    </row>
    <row r="87" spans="1:35" ht="31.2">
      <c r="A87" s="8">
        <v>-73.970872610000001</v>
      </c>
      <c r="B87" s="8">
        <v>40.772357200000002</v>
      </c>
      <c r="C87" s="8" t="s">
        <v>328</v>
      </c>
      <c r="D87" s="8" t="s">
        <v>329</v>
      </c>
      <c r="E87" s="8" t="b">
        <f t="shared" si="1"/>
        <v>0</v>
      </c>
      <c r="F87" s="8" t="b" cm="1">
        <f t="array" ref="F87">_xlfn._xlws.FILTER(E87:E3285, C87:C3285= "6D-PM-1020-01", "No Squirrels Found")</f>
        <v>0</v>
      </c>
      <c r="G87" s="8" t="s">
        <v>48</v>
      </c>
      <c r="H87" s="10">
        <v>10072018</v>
      </c>
      <c r="I87" s="10">
        <v>2</v>
      </c>
      <c r="J87" s="8" t="s">
        <v>39</v>
      </c>
      <c r="K87" s="8" t="s">
        <v>40</v>
      </c>
      <c r="M87" s="8" t="s">
        <v>55</v>
      </c>
      <c r="O87" s="8" t="s">
        <v>50</v>
      </c>
      <c r="P87" s="8">
        <v>70</v>
      </c>
      <c r="R87" s="8" t="b">
        <v>0</v>
      </c>
      <c r="S87" s="8" t="b">
        <v>0</v>
      </c>
      <c r="T87" s="8" t="b">
        <v>1</v>
      </c>
      <c r="U87" s="8" t="b">
        <v>0</v>
      </c>
      <c r="V87" s="8" t="b">
        <v>0</v>
      </c>
      <c r="X87" s="8" t="b">
        <v>0</v>
      </c>
      <c r="Y87" s="8" t="b">
        <v>0</v>
      </c>
      <c r="Z87" s="8" t="b">
        <v>0</v>
      </c>
      <c r="AA87" s="8" t="b">
        <v>0</v>
      </c>
      <c r="AB87" s="8" t="b">
        <v>0</v>
      </c>
      <c r="AC87" s="8" t="b">
        <v>0</v>
      </c>
      <c r="AD87" s="8" t="b">
        <v>0</v>
      </c>
      <c r="AE87" s="8" t="b">
        <v>0</v>
      </c>
      <c r="AG87" s="11" t="b" cm="1">
        <f t="array" ref="AG87">IF(OR(Y87:AA87="TRUE", AE87="true"), "Threatened")</f>
        <v>0</v>
      </c>
      <c r="AH87" s="11" t="s">
        <v>330</v>
      </c>
      <c r="AI87" s="8" t="b">
        <v>1</v>
      </c>
    </row>
    <row r="88" spans="1:35" ht="31.2">
      <c r="A88" s="8">
        <v>-73.954145350000005</v>
      </c>
      <c r="B88" s="8">
        <v>40.79821622</v>
      </c>
      <c r="C88" s="8" t="s">
        <v>331</v>
      </c>
      <c r="D88" s="8" t="s">
        <v>332</v>
      </c>
      <c r="E88" s="8" t="b">
        <f t="shared" si="1"/>
        <v>0</v>
      </c>
      <c r="F88" s="8" t="b" cm="1">
        <f t="array" ref="F88">_xlfn._xlws.FILTER(E88:E3286, C88:C3286= "6D-PM-1020-01", "No Squirrels Found")</f>
        <v>0</v>
      </c>
      <c r="G88" s="8" t="s">
        <v>34</v>
      </c>
      <c r="H88" s="10">
        <v>10122018</v>
      </c>
      <c r="I88" s="10">
        <v>6</v>
      </c>
      <c r="J88" s="8" t="s">
        <v>39</v>
      </c>
      <c r="K88" s="8" t="s">
        <v>41</v>
      </c>
      <c r="L88" s="8" t="s">
        <v>135</v>
      </c>
      <c r="M88" s="8" t="s">
        <v>136</v>
      </c>
      <c r="O88" s="8" t="s">
        <v>43</v>
      </c>
      <c r="P88" s="8" t="b">
        <v>0</v>
      </c>
      <c r="R88" s="8" t="b">
        <v>1</v>
      </c>
      <c r="S88" s="8" t="b">
        <v>0</v>
      </c>
      <c r="T88" s="8" t="b">
        <v>0</v>
      </c>
      <c r="U88" s="8" t="b">
        <v>0</v>
      </c>
      <c r="V88" s="8" t="b">
        <v>1</v>
      </c>
      <c r="X88" s="8" t="b">
        <v>0</v>
      </c>
      <c r="Y88" s="8" t="b">
        <v>0</v>
      </c>
      <c r="Z88" s="8" t="b">
        <v>0</v>
      </c>
      <c r="AA88" s="8" t="b">
        <v>0</v>
      </c>
      <c r="AB88" s="8" t="b">
        <v>0</v>
      </c>
      <c r="AC88" s="8" t="b">
        <v>0</v>
      </c>
      <c r="AD88" s="8" t="b">
        <v>0</v>
      </c>
      <c r="AE88" s="8" t="b">
        <v>1</v>
      </c>
      <c r="AG88" s="11" t="b" cm="1">
        <f t="array" ref="AG88">IF(OR(Y88:AA88="TRUE", AE88="true"), "Threatened")</f>
        <v>0</v>
      </c>
      <c r="AH88" s="11" t="s">
        <v>333</v>
      </c>
      <c r="AI88" s="8" t="b">
        <v>1</v>
      </c>
    </row>
    <row r="89" spans="1:35" ht="31.2">
      <c r="A89" s="8">
        <v>-73.968360829999995</v>
      </c>
      <c r="B89" s="8">
        <v>40.784292739999998</v>
      </c>
      <c r="C89" s="8" t="s">
        <v>334</v>
      </c>
      <c r="D89" s="8" t="s">
        <v>335</v>
      </c>
      <c r="E89" s="8" t="b">
        <f t="shared" si="1"/>
        <v>0</v>
      </c>
      <c r="F89" s="8" t="b" cm="1">
        <f t="array" ref="F89">_xlfn._xlws.FILTER(E89:E3287, C89:C3287= "6D-PM-1020-01", "No Squirrels Found")</f>
        <v>0</v>
      </c>
      <c r="G89" s="8" t="s">
        <v>48</v>
      </c>
      <c r="H89" s="10">
        <v>10132018</v>
      </c>
      <c r="I89" s="10">
        <v>4</v>
      </c>
      <c r="J89" s="8" t="s">
        <v>39</v>
      </c>
      <c r="K89" s="8" t="s">
        <v>41</v>
      </c>
      <c r="M89" s="8" t="s">
        <v>49</v>
      </c>
      <c r="O89" s="8" t="s">
        <v>43</v>
      </c>
      <c r="P89" s="8" t="b">
        <v>0</v>
      </c>
      <c r="Q89" s="8" t="s">
        <v>336</v>
      </c>
      <c r="R89" s="8" t="b">
        <v>0</v>
      </c>
      <c r="S89" s="8" t="b">
        <v>0</v>
      </c>
      <c r="T89" s="8" t="b">
        <v>0</v>
      </c>
      <c r="U89" s="8" t="b">
        <v>0</v>
      </c>
      <c r="V89" s="8" t="b">
        <v>1</v>
      </c>
      <c r="X89" s="8" t="b">
        <v>0</v>
      </c>
      <c r="Y89" s="8" t="b">
        <v>0</v>
      </c>
      <c r="Z89" s="8" t="b">
        <v>0</v>
      </c>
      <c r="AA89" s="8" t="b">
        <v>0</v>
      </c>
      <c r="AB89" s="8" t="b">
        <v>0</v>
      </c>
      <c r="AC89" s="8" t="b">
        <v>0</v>
      </c>
      <c r="AD89" s="8" t="b">
        <v>0</v>
      </c>
      <c r="AE89" s="8" t="b">
        <v>1</v>
      </c>
      <c r="AF89" s="11" t="s">
        <v>337</v>
      </c>
      <c r="AG89" s="11" t="b" cm="1">
        <f t="array" ref="AG89">IF(OR(Y89:AA89="TRUE", AE89="true"), "Threatened")</f>
        <v>0</v>
      </c>
      <c r="AH89" s="11" t="s">
        <v>338</v>
      </c>
      <c r="AI89" s="8" t="b">
        <v>1</v>
      </c>
    </row>
    <row r="90" spans="1:35" ht="31.2">
      <c r="A90" s="8">
        <v>-73.968052060000005</v>
      </c>
      <c r="B90" s="8">
        <v>40.777338669999999</v>
      </c>
      <c r="C90" s="8" t="s">
        <v>339</v>
      </c>
      <c r="D90" s="8" t="s">
        <v>246</v>
      </c>
      <c r="E90" s="8" t="b">
        <f t="shared" si="1"/>
        <v>0</v>
      </c>
      <c r="F90" s="8" t="b" cm="1">
        <f t="array" ref="F90">_xlfn._xlws.FILTER(E90:E3288, C90:C3288= "6D-PM-1020-01", "No Squirrels Found")</f>
        <v>0</v>
      </c>
      <c r="G90" s="8" t="s">
        <v>34</v>
      </c>
      <c r="H90" s="10">
        <v>10102018</v>
      </c>
      <c r="I90" s="10">
        <v>6</v>
      </c>
      <c r="J90" s="8" t="s">
        <v>39</v>
      </c>
      <c r="K90" s="8" t="s">
        <v>40</v>
      </c>
      <c r="M90" s="8" t="s">
        <v>55</v>
      </c>
      <c r="O90" s="8" t="s">
        <v>43</v>
      </c>
      <c r="P90" s="8" t="b">
        <v>0</v>
      </c>
      <c r="R90" s="8" t="b">
        <v>0</v>
      </c>
      <c r="S90" s="8" t="b">
        <v>0</v>
      </c>
      <c r="T90" s="8" t="b">
        <v>0</v>
      </c>
      <c r="U90" s="8" t="b">
        <v>0</v>
      </c>
      <c r="V90" s="8" t="b">
        <v>1</v>
      </c>
      <c r="X90" s="8" t="b">
        <v>0</v>
      </c>
      <c r="Y90" s="8" t="b">
        <v>0</v>
      </c>
      <c r="Z90" s="8" t="b">
        <v>0</v>
      </c>
      <c r="AA90" s="8" t="b">
        <v>0</v>
      </c>
      <c r="AB90" s="8" t="b">
        <v>0</v>
      </c>
      <c r="AC90" s="8" t="b">
        <v>0</v>
      </c>
      <c r="AD90" s="8" t="b">
        <v>1</v>
      </c>
      <c r="AE90" s="8" t="b">
        <v>0</v>
      </c>
      <c r="AG90" s="11" t="b" cm="1">
        <f t="array" ref="AG90">IF(OR(Y90:AA90="TRUE", AE90="true"), "Threatened")</f>
        <v>0</v>
      </c>
      <c r="AH90" s="11" t="s">
        <v>340</v>
      </c>
      <c r="AI90" s="8" t="b">
        <v>1</v>
      </c>
    </row>
    <row r="91" spans="1:35" ht="31.2">
      <c r="A91" s="8">
        <v>-73.978718090000001</v>
      </c>
      <c r="B91" s="8">
        <v>40.771587789999998</v>
      </c>
      <c r="C91" s="8" t="s">
        <v>341</v>
      </c>
      <c r="D91" s="8" t="s">
        <v>342</v>
      </c>
      <c r="E91" s="8" t="b">
        <f t="shared" si="1"/>
        <v>0</v>
      </c>
      <c r="F91" s="8" t="b" cm="1">
        <f t="array" ref="F91">_xlfn._xlws.FILTER(E91:E3289, C91:C3289= "6D-PM-1020-01", "No Squirrels Found")</f>
        <v>0</v>
      </c>
      <c r="G91" s="8" t="s">
        <v>48</v>
      </c>
      <c r="H91" s="10">
        <v>10062018</v>
      </c>
      <c r="I91" s="10">
        <v>5</v>
      </c>
      <c r="J91" s="8" t="s">
        <v>39</v>
      </c>
      <c r="K91" s="8" t="s">
        <v>40</v>
      </c>
      <c r="L91" s="8" t="s">
        <v>41</v>
      </c>
      <c r="M91" s="8" t="s">
        <v>42</v>
      </c>
      <c r="O91" s="8" t="s">
        <v>43</v>
      </c>
      <c r="P91" s="8" t="b">
        <v>0</v>
      </c>
      <c r="Q91" s="8" t="s">
        <v>343</v>
      </c>
      <c r="R91" s="8" t="b">
        <v>0</v>
      </c>
      <c r="S91" s="8" t="b">
        <v>0</v>
      </c>
      <c r="T91" s="8" t="b">
        <v>0</v>
      </c>
      <c r="U91" s="8" t="b">
        <v>0</v>
      </c>
      <c r="V91" s="8" t="b">
        <v>1</v>
      </c>
      <c r="X91" s="8" t="b">
        <v>0</v>
      </c>
      <c r="Y91" s="8" t="b">
        <v>0</v>
      </c>
      <c r="Z91" s="8" t="b">
        <v>0</v>
      </c>
      <c r="AA91" s="8" t="b">
        <v>1</v>
      </c>
      <c r="AB91" s="8" t="b">
        <v>0</v>
      </c>
      <c r="AC91" s="8" t="b">
        <v>0</v>
      </c>
      <c r="AD91" s="8" t="b">
        <v>0</v>
      </c>
      <c r="AE91" s="8" t="b">
        <v>1</v>
      </c>
      <c r="AG91" s="11" t="b" cm="1">
        <f t="array" ref="AG91">IF(OR(Y91:AA91="TRUE", AE91="true"), "Threatened")</f>
        <v>0</v>
      </c>
      <c r="AH91" s="11" t="s">
        <v>344</v>
      </c>
      <c r="AI91" s="8" t="b">
        <v>1</v>
      </c>
    </row>
    <row r="92" spans="1:35" ht="31.2">
      <c r="A92" s="8">
        <v>-73.956590590000005</v>
      </c>
      <c r="B92" s="8">
        <v>40.789565410000002</v>
      </c>
      <c r="C92" s="8" t="s">
        <v>345</v>
      </c>
      <c r="D92" s="8" t="s">
        <v>346</v>
      </c>
      <c r="E92" s="8" t="b">
        <f t="shared" si="1"/>
        <v>0</v>
      </c>
      <c r="F92" s="8" t="b" cm="1">
        <f t="array" ref="F92">_xlfn._xlws.FILTER(E92:E3290, C92:C3290= "6D-PM-1020-01", "No Squirrels Found")</f>
        <v>0</v>
      </c>
      <c r="G92" s="8" t="s">
        <v>34</v>
      </c>
      <c r="H92" s="10">
        <v>10062018</v>
      </c>
      <c r="I92" s="10">
        <v>1</v>
      </c>
      <c r="K92" s="8" t="s">
        <v>40</v>
      </c>
      <c r="M92" s="8" t="s">
        <v>55</v>
      </c>
      <c r="O92" s="8" t="s">
        <v>50</v>
      </c>
      <c r="Q92" s="8" t="s">
        <v>347</v>
      </c>
      <c r="R92" s="8" t="b">
        <v>0</v>
      </c>
      <c r="S92" s="8" t="b">
        <v>0</v>
      </c>
      <c r="T92" s="8" t="b">
        <v>1</v>
      </c>
      <c r="U92" s="8" t="b">
        <v>0</v>
      </c>
      <c r="V92" s="8" t="b">
        <v>0</v>
      </c>
      <c r="X92" s="8" t="b">
        <v>0</v>
      </c>
      <c r="Y92" s="8" t="b">
        <v>0</v>
      </c>
      <c r="Z92" s="8" t="b">
        <v>0</v>
      </c>
      <c r="AA92" s="8" t="b">
        <v>0</v>
      </c>
      <c r="AB92" s="8" t="b">
        <v>0</v>
      </c>
      <c r="AC92" s="8" t="b">
        <v>0</v>
      </c>
      <c r="AD92" s="8" t="b">
        <v>0</v>
      </c>
      <c r="AE92" s="8" t="b">
        <v>0</v>
      </c>
      <c r="AG92" s="11" t="b" cm="1">
        <f t="array" ref="AG92">IF(OR(Y92:AA92="TRUE", AE92="true"), "Threatened")</f>
        <v>0</v>
      </c>
      <c r="AH92" s="11" t="s">
        <v>348</v>
      </c>
      <c r="AI92" s="8" t="b">
        <v>1</v>
      </c>
    </row>
    <row r="93" spans="1:35" ht="31.2">
      <c r="A93" s="8">
        <v>-73.956575970000003</v>
      </c>
      <c r="B93" s="8">
        <v>40.799246170000004</v>
      </c>
      <c r="C93" s="8" t="s">
        <v>349</v>
      </c>
      <c r="D93" s="8" t="s">
        <v>350</v>
      </c>
      <c r="E93" s="8" t="b">
        <f t="shared" si="1"/>
        <v>0</v>
      </c>
      <c r="F93" s="8" t="b" cm="1">
        <f t="array" ref="F93">_xlfn._xlws.FILTER(E93:E3291, C93:C3291= "6D-PM-1020-01", "No Squirrels Found")</f>
        <v>0</v>
      </c>
      <c r="G93" s="8" t="s">
        <v>48</v>
      </c>
      <c r="H93" s="10">
        <v>10072018</v>
      </c>
      <c r="I93" s="10">
        <v>2</v>
      </c>
      <c r="M93" s="8" t="s">
        <v>35</v>
      </c>
      <c r="R93" s="8" t="b">
        <v>0</v>
      </c>
      <c r="S93" s="8" t="b">
        <v>0</v>
      </c>
      <c r="T93" s="8" t="b">
        <v>0</v>
      </c>
      <c r="U93" s="8" t="b">
        <v>0</v>
      </c>
      <c r="V93" s="8" t="b">
        <v>0</v>
      </c>
      <c r="X93" s="8" t="b">
        <v>0</v>
      </c>
      <c r="Y93" s="8" t="b">
        <v>1</v>
      </c>
      <c r="Z93" s="8" t="b">
        <v>0</v>
      </c>
      <c r="AA93" s="8" t="b">
        <v>0</v>
      </c>
      <c r="AB93" s="8" t="b">
        <v>0</v>
      </c>
      <c r="AC93" s="8" t="b">
        <v>0</v>
      </c>
      <c r="AD93" s="8" t="b">
        <v>0</v>
      </c>
      <c r="AE93" s="8" t="b">
        <v>0</v>
      </c>
      <c r="AG93" s="11" t="b" cm="1">
        <f t="array" ref="AG93">IF(OR(Y93:AA93="TRUE", AE93="true"), "Threatened")</f>
        <v>0</v>
      </c>
      <c r="AH93" s="11" t="s">
        <v>351</v>
      </c>
      <c r="AI93" s="8" t="b">
        <v>1</v>
      </c>
    </row>
    <row r="94" spans="1:35" ht="31.2">
      <c r="A94" s="8">
        <v>-73.955153949999996</v>
      </c>
      <c r="B94" s="8">
        <v>40.798738470000004</v>
      </c>
      <c r="C94" s="8" t="s">
        <v>352</v>
      </c>
      <c r="D94" s="8" t="s">
        <v>353</v>
      </c>
      <c r="E94" s="8" t="b">
        <f t="shared" si="1"/>
        <v>0</v>
      </c>
      <c r="F94" s="8" t="b" cm="1">
        <f t="array" ref="F94">_xlfn._xlws.FILTER(E94:E3292, C94:C3292= "6D-PM-1020-01", "No Squirrels Found")</f>
        <v>0</v>
      </c>
      <c r="G94" s="8" t="s">
        <v>48</v>
      </c>
      <c r="H94" s="10">
        <v>10142018</v>
      </c>
      <c r="I94" s="10">
        <v>1</v>
      </c>
      <c r="J94" s="8" t="s">
        <v>39</v>
      </c>
      <c r="K94" s="8" t="s">
        <v>40</v>
      </c>
      <c r="L94" s="8" t="s">
        <v>192</v>
      </c>
      <c r="M94" s="8" t="s">
        <v>354</v>
      </c>
      <c r="O94" s="8" t="s">
        <v>43</v>
      </c>
      <c r="P94" s="8" t="b">
        <v>0</v>
      </c>
      <c r="R94" s="8" t="b">
        <v>0</v>
      </c>
      <c r="S94" s="8" t="b">
        <v>0</v>
      </c>
      <c r="T94" s="8" t="b">
        <v>0</v>
      </c>
      <c r="U94" s="8" t="b">
        <v>0</v>
      </c>
      <c r="V94" s="8" t="b">
        <v>1</v>
      </c>
      <c r="W94" s="11" t="s">
        <v>355</v>
      </c>
      <c r="X94" s="8" t="b">
        <v>0</v>
      </c>
      <c r="Y94" s="8" t="b">
        <v>0</v>
      </c>
      <c r="Z94" s="8" t="b">
        <v>0</v>
      </c>
      <c r="AA94" s="8" t="b">
        <v>0</v>
      </c>
      <c r="AB94" s="8" t="b">
        <v>0</v>
      </c>
      <c r="AC94" s="8" t="b">
        <v>0</v>
      </c>
      <c r="AD94" s="8" t="b">
        <v>1</v>
      </c>
      <c r="AE94" s="8" t="b">
        <v>0</v>
      </c>
      <c r="AG94" s="11" t="b" cm="1">
        <f t="array" ref="AG94">IF(OR(Y94:AA94="TRUE", AE94="true"), "Threatened")</f>
        <v>0</v>
      </c>
      <c r="AH94" s="11" t="s">
        <v>356</v>
      </c>
      <c r="AI94" s="8" t="b">
        <v>0</v>
      </c>
    </row>
    <row r="95" spans="1:35" ht="31.2">
      <c r="A95" s="8">
        <v>-73.964197179999999</v>
      </c>
      <c r="B95" s="8">
        <v>40.781353799999998</v>
      </c>
      <c r="C95" s="8" t="s">
        <v>357</v>
      </c>
      <c r="D95" s="8" t="s">
        <v>358</v>
      </c>
      <c r="E95" s="8" t="b">
        <f t="shared" si="1"/>
        <v>0</v>
      </c>
      <c r="F95" s="8" t="b" cm="1">
        <f t="array" ref="F95">_xlfn._xlws.FILTER(E95:E3293, C95:C3293= "6D-PM-1020-01", "No Squirrels Found")</f>
        <v>0</v>
      </c>
      <c r="G95" s="8" t="s">
        <v>34</v>
      </c>
      <c r="H95" s="10">
        <v>10072018</v>
      </c>
      <c r="I95" s="10">
        <v>1</v>
      </c>
      <c r="J95" s="8" t="s">
        <v>39</v>
      </c>
      <c r="K95" s="8" t="s">
        <v>40</v>
      </c>
      <c r="L95" s="8" t="s">
        <v>41</v>
      </c>
      <c r="M95" s="8" t="s">
        <v>42</v>
      </c>
      <c r="O95" s="8" t="s">
        <v>43</v>
      </c>
      <c r="P95" s="8" t="b">
        <v>0</v>
      </c>
      <c r="R95" s="8" t="b">
        <v>0</v>
      </c>
      <c r="S95" s="8" t="b">
        <v>0</v>
      </c>
      <c r="T95" s="8" t="b">
        <v>0</v>
      </c>
      <c r="U95" s="8" t="b">
        <v>1</v>
      </c>
      <c r="V95" s="8" t="b">
        <v>0</v>
      </c>
      <c r="X95" s="8" t="b">
        <v>0</v>
      </c>
      <c r="Y95" s="8" t="b">
        <v>0</v>
      </c>
      <c r="Z95" s="8" t="b">
        <v>0</v>
      </c>
      <c r="AA95" s="8" t="b">
        <v>1</v>
      </c>
      <c r="AB95" s="8" t="b">
        <v>0</v>
      </c>
      <c r="AC95" s="8" t="b">
        <v>0</v>
      </c>
      <c r="AD95" s="8" t="b">
        <v>1</v>
      </c>
      <c r="AE95" s="8" t="b">
        <v>0</v>
      </c>
      <c r="AG95" s="11" t="b" cm="1">
        <f t="array" ref="AG95">IF(OR(Y95:AA95="TRUE", AE95="true"), "Threatened")</f>
        <v>0</v>
      </c>
      <c r="AH95" s="11" t="s">
        <v>359</v>
      </c>
      <c r="AI95" s="8" t="b">
        <v>1</v>
      </c>
    </row>
    <row r="96" spans="1:35" ht="31.2">
      <c r="A96" s="8">
        <v>-73.969288399999996</v>
      </c>
      <c r="B96" s="8">
        <v>40.77685537</v>
      </c>
      <c r="C96" s="8" t="s">
        <v>360</v>
      </c>
      <c r="D96" s="8" t="s">
        <v>121</v>
      </c>
      <c r="E96" s="8" t="b">
        <f t="shared" si="1"/>
        <v>0</v>
      </c>
      <c r="F96" s="8" t="b" cm="1">
        <f t="array" ref="F96">_xlfn._xlws.FILTER(E96:E3294, C96:C3294= "6D-PM-1020-01", "No Squirrels Found")</f>
        <v>0</v>
      </c>
      <c r="G96" s="8" t="s">
        <v>48</v>
      </c>
      <c r="H96" s="10">
        <v>10082018</v>
      </c>
      <c r="I96" s="10">
        <v>2</v>
      </c>
      <c r="J96" s="8" t="s">
        <v>39</v>
      </c>
      <c r="K96" s="8" t="s">
        <v>40</v>
      </c>
      <c r="M96" s="8" t="s">
        <v>55</v>
      </c>
      <c r="O96" s="8" t="s">
        <v>43</v>
      </c>
      <c r="P96" s="8" t="b">
        <v>0</v>
      </c>
      <c r="R96" s="8" t="b">
        <v>1</v>
      </c>
      <c r="S96" s="8" t="b">
        <v>0</v>
      </c>
      <c r="T96" s="8" t="b">
        <v>0</v>
      </c>
      <c r="U96" s="8" t="b">
        <v>0</v>
      </c>
      <c r="V96" s="8" t="b">
        <v>1</v>
      </c>
      <c r="W96" s="11" t="s">
        <v>122</v>
      </c>
      <c r="X96" s="8" t="b">
        <v>0</v>
      </c>
      <c r="Y96" s="8" t="b">
        <v>0</v>
      </c>
      <c r="Z96" s="8" t="b">
        <v>0</v>
      </c>
      <c r="AA96" s="8" t="b">
        <v>0</v>
      </c>
      <c r="AB96" s="8" t="b">
        <v>0</v>
      </c>
      <c r="AC96" s="8" t="b">
        <v>0</v>
      </c>
      <c r="AD96" s="8" t="b">
        <v>0</v>
      </c>
      <c r="AE96" s="8" t="b">
        <v>1</v>
      </c>
      <c r="AG96" s="11" t="b" cm="1">
        <f t="array" ref="AG96">IF(OR(Y96:AA96="TRUE", AE96="true"), "Threatened")</f>
        <v>0</v>
      </c>
      <c r="AH96" s="11" t="s">
        <v>361</v>
      </c>
      <c r="AI96" s="8" t="b">
        <v>0</v>
      </c>
    </row>
    <row r="97" spans="1:35" ht="31.2">
      <c r="A97" s="8">
        <v>-73.970854970000005</v>
      </c>
      <c r="B97" s="8">
        <v>40.769958699999997</v>
      </c>
      <c r="C97" s="8" t="s">
        <v>362</v>
      </c>
      <c r="D97" s="8" t="s">
        <v>113</v>
      </c>
      <c r="E97" s="8" t="b">
        <f t="shared" si="1"/>
        <v>0</v>
      </c>
      <c r="F97" s="8" t="b" cm="1">
        <f t="array" ref="F97">_xlfn._xlws.FILTER(E97:E3295, C97:C3295= "6D-PM-1020-01", "No Squirrels Found")</f>
        <v>0</v>
      </c>
      <c r="G97" s="8" t="s">
        <v>34</v>
      </c>
      <c r="H97" s="10">
        <v>10062018</v>
      </c>
      <c r="I97" s="10">
        <v>4</v>
      </c>
      <c r="J97" s="8" t="s">
        <v>39</v>
      </c>
      <c r="K97" s="8" t="s">
        <v>40</v>
      </c>
      <c r="M97" s="8" t="s">
        <v>55</v>
      </c>
      <c r="O97" s="8" t="s">
        <v>50</v>
      </c>
      <c r="P97" s="8">
        <v>12</v>
      </c>
      <c r="Q97" s="8" t="s">
        <v>363</v>
      </c>
      <c r="R97" s="8" t="b">
        <v>0</v>
      </c>
      <c r="S97" s="8" t="b">
        <v>0</v>
      </c>
      <c r="T97" s="8" t="b">
        <v>0</v>
      </c>
      <c r="U97" s="8" t="b">
        <v>0</v>
      </c>
      <c r="V97" s="8" t="b">
        <v>0</v>
      </c>
      <c r="W97" s="11" t="s">
        <v>141</v>
      </c>
      <c r="X97" s="8" t="b">
        <v>0</v>
      </c>
      <c r="Y97" s="8" t="b">
        <v>0</v>
      </c>
      <c r="Z97" s="8" t="b">
        <v>0</v>
      </c>
      <c r="AA97" s="8" t="b">
        <v>0</v>
      </c>
      <c r="AB97" s="8" t="b">
        <v>0</v>
      </c>
      <c r="AC97" s="8" t="b">
        <v>0</v>
      </c>
      <c r="AD97" s="8" t="b">
        <v>1</v>
      </c>
      <c r="AE97" s="8" t="b">
        <v>0</v>
      </c>
      <c r="AG97" s="11" t="b" cm="1">
        <f t="array" ref="AG97">IF(OR(Y97:AA97="TRUE", AE97="true"), "Threatened")</f>
        <v>0</v>
      </c>
      <c r="AH97" s="11" t="s">
        <v>364</v>
      </c>
      <c r="AI97" s="8" t="b">
        <v>0</v>
      </c>
    </row>
    <row r="98" spans="1:35" ht="31.2">
      <c r="A98" s="8">
        <v>-73.963974399999998</v>
      </c>
      <c r="B98" s="8">
        <v>40.782511200000002</v>
      </c>
      <c r="C98" s="8" t="s">
        <v>365</v>
      </c>
      <c r="D98" s="8" t="s">
        <v>177</v>
      </c>
      <c r="E98" s="8" t="b">
        <f t="shared" si="1"/>
        <v>0</v>
      </c>
      <c r="F98" s="8" t="b" cm="1">
        <f t="array" ref="F98">_xlfn._xlws.FILTER(E98:E3296, C98:C3296= "6D-PM-1020-01", "No Squirrels Found")</f>
        <v>0</v>
      </c>
      <c r="G98" s="8" t="s">
        <v>48</v>
      </c>
      <c r="H98" s="10">
        <v>10072018</v>
      </c>
      <c r="I98" s="10">
        <v>1</v>
      </c>
      <c r="J98" s="8" t="s">
        <v>39</v>
      </c>
      <c r="K98" s="8" t="s">
        <v>40</v>
      </c>
      <c r="L98" s="8" t="s">
        <v>41</v>
      </c>
      <c r="M98" s="8" t="s">
        <v>42</v>
      </c>
      <c r="O98" s="8" t="s">
        <v>43</v>
      </c>
      <c r="P98" s="8" t="b">
        <v>0</v>
      </c>
      <c r="R98" s="8" t="b">
        <v>0</v>
      </c>
      <c r="S98" s="8" t="b">
        <v>0</v>
      </c>
      <c r="T98" s="8" t="b">
        <v>1</v>
      </c>
      <c r="U98" s="8" t="b">
        <v>0</v>
      </c>
      <c r="V98" s="8" t="b">
        <v>1</v>
      </c>
      <c r="X98" s="8" t="b">
        <v>0</v>
      </c>
      <c r="Y98" s="8" t="b">
        <v>0</v>
      </c>
      <c r="Z98" s="8" t="b">
        <v>0</v>
      </c>
      <c r="AA98" s="8" t="b">
        <v>0</v>
      </c>
      <c r="AB98" s="8" t="b">
        <v>0</v>
      </c>
      <c r="AC98" s="8" t="b">
        <v>0</v>
      </c>
      <c r="AD98" s="8" t="b">
        <v>1</v>
      </c>
      <c r="AE98" s="8" t="b">
        <v>0</v>
      </c>
      <c r="AG98" s="11" t="b" cm="1">
        <f t="array" ref="AG98">IF(OR(Y98:AA98="TRUE", AE98="true"), "Threatened")</f>
        <v>0</v>
      </c>
      <c r="AH98" s="11" t="s">
        <v>366</v>
      </c>
      <c r="AI98" s="8" t="b">
        <v>1</v>
      </c>
    </row>
    <row r="99" spans="1:35" ht="31.2">
      <c r="A99" s="8">
        <v>-73.973027790000003</v>
      </c>
      <c r="B99" s="8">
        <v>40.771214550000003</v>
      </c>
      <c r="C99" s="8" t="s">
        <v>367</v>
      </c>
      <c r="D99" s="8" t="s">
        <v>368</v>
      </c>
      <c r="E99" s="8" t="b">
        <f t="shared" si="1"/>
        <v>0</v>
      </c>
      <c r="F99" s="8" t="b" cm="1">
        <f t="array" ref="F99">_xlfn._xlws.FILTER(E99:E3297, C99:C3297= "6D-PM-1020-01", "No Squirrels Found")</f>
        <v>0</v>
      </c>
      <c r="G99" s="8" t="s">
        <v>48</v>
      </c>
      <c r="H99" s="10">
        <v>10082018</v>
      </c>
      <c r="I99" s="10">
        <v>16</v>
      </c>
      <c r="J99" s="8" t="s">
        <v>54</v>
      </c>
      <c r="K99" s="8" t="s">
        <v>40</v>
      </c>
      <c r="M99" s="8" t="s">
        <v>55</v>
      </c>
      <c r="O99" s="8" t="s">
        <v>50</v>
      </c>
      <c r="P99" s="8">
        <v>2</v>
      </c>
      <c r="Q99" s="8" t="s">
        <v>206</v>
      </c>
      <c r="R99" s="8" t="b">
        <v>0</v>
      </c>
      <c r="S99" s="8" t="b">
        <v>0</v>
      </c>
      <c r="T99" s="8" t="b">
        <v>0</v>
      </c>
      <c r="U99" s="8" t="b">
        <v>0</v>
      </c>
      <c r="V99" s="8" t="b">
        <v>0</v>
      </c>
      <c r="X99" s="8" t="b">
        <v>0</v>
      </c>
      <c r="Y99" s="8" t="b">
        <v>0</v>
      </c>
      <c r="Z99" s="8" t="b">
        <v>0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1</v>
      </c>
      <c r="AG99" s="11" t="b" cm="1">
        <f t="array" ref="AG99">IF(OR(Y99:AA99="TRUE", AE99="true"), "Threatened")</f>
        <v>0</v>
      </c>
      <c r="AH99" s="11" t="s">
        <v>369</v>
      </c>
      <c r="AI99" s="8" t="b">
        <v>1</v>
      </c>
    </row>
    <row r="100" spans="1:35" ht="31.2">
      <c r="A100" s="8">
        <v>-73.971054140000007</v>
      </c>
      <c r="B100" s="8">
        <v>40.77246916</v>
      </c>
      <c r="C100" s="8" t="s">
        <v>370</v>
      </c>
      <c r="D100" s="8" t="s">
        <v>329</v>
      </c>
      <c r="E100" s="8" t="b">
        <f t="shared" si="1"/>
        <v>0</v>
      </c>
      <c r="F100" s="8" t="b" cm="1">
        <f t="array" ref="F100">_xlfn._xlws.FILTER(E100:E3298, C100:C3298= "6D-PM-1020-01", "No Squirrels Found")</f>
        <v>0</v>
      </c>
      <c r="G100" s="8" t="s">
        <v>34</v>
      </c>
      <c r="H100" s="10">
        <v>10192018</v>
      </c>
      <c r="I100" s="10">
        <v>5</v>
      </c>
      <c r="J100" s="8" t="s">
        <v>39</v>
      </c>
      <c r="K100" s="8" t="s">
        <v>192</v>
      </c>
      <c r="M100" s="8" t="s">
        <v>193</v>
      </c>
      <c r="O100" s="8" t="s">
        <v>50</v>
      </c>
      <c r="P100" s="8">
        <v>10</v>
      </c>
      <c r="Q100" s="8" t="s">
        <v>371</v>
      </c>
      <c r="R100" s="8" t="b">
        <v>0</v>
      </c>
      <c r="S100" s="8" t="b">
        <v>0</v>
      </c>
      <c r="T100" s="8" t="b">
        <v>1</v>
      </c>
      <c r="U100" s="8" t="b">
        <v>0</v>
      </c>
      <c r="V100" s="8" t="b">
        <v>0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0</v>
      </c>
      <c r="AD100" s="8" t="b">
        <v>1</v>
      </c>
      <c r="AE100" s="8" t="b">
        <v>0</v>
      </c>
      <c r="AG100" s="11" t="b" cm="1">
        <f t="array" ref="AG100">IF(OR(Y100:AA100="TRUE", AE100="true"), "Threatened")</f>
        <v>0</v>
      </c>
      <c r="AH100" s="11" t="s">
        <v>372</v>
      </c>
      <c r="AI100" s="8" t="b">
        <v>1</v>
      </c>
    </row>
    <row r="101" spans="1:35" ht="31.2">
      <c r="A101" s="8">
        <v>-73.976159249999995</v>
      </c>
      <c r="B101" s="8">
        <v>40.774721360000001</v>
      </c>
      <c r="C101" s="8" t="s">
        <v>373</v>
      </c>
      <c r="D101" s="8" t="s">
        <v>167</v>
      </c>
      <c r="E101" s="8" t="b">
        <f t="shared" si="1"/>
        <v>0</v>
      </c>
      <c r="F101" s="8" t="b" cm="1">
        <f t="array" ref="F101">_xlfn._xlws.FILTER(E101:E3299, C101:C3299= "6D-PM-1020-01", "No Squirrels Found")</f>
        <v>0</v>
      </c>
      <c r="G101" s="8" t="s">
        <v>48</v>
      </c>
      <c r="H101" s="10">
        <v>10062018</v>
      </c>
      <c r="I101" s="10">
        <v>4</v>
      </c>
      <c r="J101" s="8" t="s">
        <v>54</v>
      </c>
      <c r="K101" s="8" t="s">
        <v>40</v>
      </c>
      <c r="M101" s="8" t="s">
        <v>55</v>
      </c>
      <c r="O101" s="8" t="s">
        <v>50</v>
      </c>
      <c r="P101" s="8">
        <v>10</v>
      </c>
      <c r="Q101" s="8" t="s">
        <v>374</v>
      </c>
      <c r="R101" s="8" t="b">
        <v>0</v>
      </c>
      <c r="S101" s="8" t="b">
        <v>0</v>
      </c>
      <c r="T101" s="8" t="b">
        <v>0</v>
      </c>
      <c r="U101" s="8" t="b">
        <v>0</v>
      </c>
      <c r="V101" s="8" t="b">
        <v>0</v>
      </c>
      <c r="W101" s="11" t="s">
        <v>375</v>
      </c>
      <c r="X101" s="8" t="b">
        <v>0</v>
      </c>
      <c r="Y101" s="8" t="b">
        <v>0</v>
      </c>
      <c r="Z101" s="8" t="b">
        <v>0</v>
      </c>
      <c r="AA101" s="8" t="b">
        <v>0</v>
      </c>
      <c r="AB101" s="8" t="b">
        <v>1</v>
      </c>
      <c r="AC101" s="8" t="b">
        <v>0</v>
      </c>
      <c r="AD101" s="8" t="b">
        <v>0</v>
      </c>
      <c r="AE101" s="8" t="b">
        <v>0</v>
      </c>
      <c r="AG101" s="11" t="b" cm="1">
        <f t="array" ref="AG101">IF(OR(Y101:AA101="TRUE", AE101="true"), "Threatened")</f>
        <v>0</v>
      </c>
      <c r="AH101" s="11" t="s">
        <v>376</v>
      </c>
      <c r="AI101" s="8" t="b">
        <v>0</v>
      </c>
    </row>
    <row r="102" spans="1:35" ht="31.2">
      <c r="A102" s="8">
        <v>-73.954400770000007</v>
      </c>
      <c r="B102" s="8">
        <v>40.795068970000003</v>
      </c>
      <c r="C102" s="8" t="s">
        <v>377</v>
      </c>
      <c r="D102" s="8" t="s">
        <v>378</v>
      </c>
      <c r="E102" s="8" t="b">
        <f t="shared" si="1"/>
        <v>0</v>
      </c>
      <c r="F102" s="8" t="b" cm="1">
        <f t="array" ref="F102">_xlfn._xlws.FILTER(E102:E3300, C102:C3300= "6D-PM-1020-01", "No Squirrels Found")</f>
        <v>0</v>
      </c>
      <c r="G102" s="8" t="s">
        <v>34</v>
      </c>
      <c r="H102" s="10">
        <v>10132018</v>
      </c>
      <c r="I102" s="10">
        <v>5</v>
      </c>
      <c r="J102" s="8" t="s">
        <v>54</v>
      </c>
      <c r="K102" s="8" t="s">
        <v>40</v>
      </c>
      <c r="L102" s="8" t="s">
        <v>41</v>
      </c>
      <c r="M102" s="8" t="s">
        <v>42</v>
      </c>
      <c r="O102" s="8" t="s">
        <v>43</v>
      </c>
      <c r="P102" s="8" t="b">
        <v>0</v>
      </c>
      <c r="R102" s="8" t="b">
        <v>0</v>
      </c>
      <c r="S102" s="8" t="b">
        <v>0</v>
      </c>
      <c r="T102" s="8" t="b">
        <v>0</v>
      </c>
      <c r="U102" s="8" t="b">
        <v>0</v>
      </c>
      <c r="V102" s="8" t="b">
        <v>1</v>
      </c>
      <c r="W102" s="11" t="s">
        <v>379</v>
      </c>
      <c r="X102" s="8" t="b">
        <v>1</v>
      </c>
      <c r="Y102" s="8" t="b">
        <v>1</v>
      </c>
      <c r="Z102" s="8" t="b">
        <v>0</v>
      </c>
      <c r="AA102" s="8" t="b">
        <v>0</v>
      </c>
      <c r="AB102" s="8" t="b">
        <v>0</v>
      </c>
      <c r="AC102" s="8" t="b">
        <v>0</v>
      </c>
      <c r="AD102" s="8" t="b">
        <v>0</v>
      </c>
      <c r="AE102" s="8" t="b">
        <v>0</v>
      </c>
      <c r="AG102" s="11" t="b" cm="1">
        <f t="array" ref="AG102">IF(OR(Y102:AA102="TRUE", AE102="true"), "Threatened")</f>
        <v>0</v>
      </c>
      <c r="AH102" s="11" t="s">
        <v>380</v>
      </c>
      <c r="AI102" s="8" t="b">
        <v>0</v>
      </c>
    </row>
    <row r="103" spans="1:35" ht="31.2">
      <c r="A103" s="8">
        <v>-73.957598619999999</v>
      </c>
      <c r="B103" s="8">
        <v>40.799368129999998</v>
      </c>
      <c r="C103" s="8" t="s">
        <v>381</v>
      </c>
      <c r="D103" s="8" t="s">
        <v>382</v>
      </c>
      <c r="E103" s="8" t="b">
        <f t="shared" si="1"/>
        <v>0</v>
      </c>
      <c r="F103" s="8" t="b" cm="1">
        <f t="array" ref="F103">_xlfn._xlws.FILTER(E103:E3301, C103:C3301= "6D-PM-1020-01", "No Squirrels Found")</f>
        <v>0</v>
      </c>
      <c r="G103" s="8" t="s">
        <v>34</v>
      </c>
      <c r="H103" s="10">
        <v>10142018</v>
      </c>
      <c r="I103" s="10">
        <v>1</v>
      </c>
      <c r="J103" s="8" t="s">
        <v>39</v>
      </c>
      <c r="K103" s="8" t="s">
        <v>40</v>
      </c>
      <c r="L103" s="8" t="s">
        <v>84</v>
      </c>
      <c r="M103" s="8" t="s">
        <v>103</v>
      </c>
      <c r="O103" s="8" t="s">
        <v>50</v>
      </c>
      <c r="P103" s="8">
        <v>25</v>
      </c>
      <c r="Q103" s="8" t="s">
        <v>383</v>
      </c>
      <c r="R103" s="8" t="b">
        <v>0</v>
      </c>
      <c r="S103" s="8" t="b">
        <v>0</v>
      </c>
      <c r="T103" s="8" t="b">
        <v>1</v>
      </c>
      <c r="U103" s="8" t="b">
        <v>0</v>
      </c>
      <c r="V103" s="8" t="b">
        <v>0</v>
      </c>
      <c r="W103" s="11" t="s">
        <v>384</v>
      </c>
      <c r="X103" s="8" t="b">
        <v>0</v>
      </c>
      <c r="Y103" s="8" t="b">
        <v>0</v>
      </c>
      <c r="Z103" s="8" t="b">
        <v>0</v>
      </c>
      <c r="AA103" s="8" t="b">
        <v>0</v>
      </c>
      <c r="AB103" s="8" t="b">
        <v>0</v>
      </c>
      <c r="AC103" s="8" t="b">
        <v>0</v>
      </c>
      <c r="AD103" s="8" t="b">
        <v>0</v>
      </c>
      <c r="AE103" s="8" t="b">
        <v>1</v>
      </c>
      <c r="AG103" s="11" t="b" cm="1">
        <f t="array" ref="AG103">IF(OR(Y103:AA103="TRUE", AE103="true"), "Threatened")</f>
        <v>0</v>
      </c>
      <c r="AH103" s="11" t="s">
        <v>385</v>
      </c>
      <c r="AI103" s="8" t="b">
        <v>0</v>
      </c>
    </row>
    <row r="104" spans="1:35" ht="31.2">
      <c r="A104" s="8">
        <v>-73.960770139999994</v>
      </c>
      <c r="B104" s="8">
        <v>40.795541900000003</v>
      </c>
      <c r="C104" s="8" t="s">
        <v>386</v>
      </c>
      <c r="D104" s="8" t="s">
        <v>387</v>
      </c>
      <c r="E104" s="8" t="b">
        <f t="shared" si="1"/>
        <v>0</v>
      </c>
      <c r="F104" s="8" t="b" cm="1">
        <f t="array" ref="F104">_xlfn._xlws.FILTER(E104:E3302, C104:C3302= "6D-PM-1020-01", "No Squirrels Found")</f>
        <v>0</v>
      </c>
      <c r="G104" s="8" t="s">
        <v>34</v>
      </c>
      <c r="H104" s="10">
        <v>10132018</v>
      </c>
      <c r="I104" s="10">
        <v>7</v>
      </c>
      <c r="K104" s="8" t="s">
        <v>40</v>
      </c>
      <c r="M104" s="8" t="s">
        <v>55</v>
      </c>
      <c r="O104" s="8" t="s">
        <v>43</v>
      </c>
      <c r="P104" s="8" t="b">
        <v>0</v>
      </c>
      <c r="Q104" s="8" t="s">
        <v>388</v>
      </c>
      <c r="R104" s="8" t="b">
        <v>0</v>
      </c>
      <c r="S104" s="8" t="b">
        <v>1</v>
      </c>
      <c r="T104" s="8" t="b">
        <v>0</v>
      </c>
      <c r="U104" s="8" t="b">
        <v>0</v>
      </c>
      <c r="V104" s="8" t="b">
        <v>0</v>
      </c>
      <c r="W104" s="11" t="s">
        <v>389</v>
      </c>
      <c r="X104" s="8" t="b">
        <v>0</v>
      </c>
      <c r="Y104" s="8" t="b">
        <v>0</v>
      </c>
      <c r="Z104" s="8" t="b">
        <v>0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1</v>
      </c>
      <c r="AG104" s="11" t="b" cm="1">
        <f t="array" ref="AG104">IF(OR(Y104:AA104="TRUE", AE104="true"), "Threatened")</f>
        <v>0</v>
      </c>
      <c r="AH104" s="11" t="s">
        <v>390</v>
      </c>
      <c r="AI104" s="8" t="b">
        <v>0</v>
      </c>
    </row>
    <row r="105" spans="1:35" ht="31.2">
      <c r="A105" s="8">
        <v>-73.976403649999995</v>
      </c>
      <c r="B105" s="8">
        <v>40.770584620000001</v>
      </c>
      <c r="C105" s="8" t="s">
        <v>391</v>
      </c>
      <c r="D105" s="8" t="s">
        <v>109</v>
      </c>
      <c r="E105" s="8" t="b">
        <f t="shared" si="1"/>
        <v>0</v>
      </c>
      <c r="F105" s="8" t="b" cm="1">
        <f t="array" ref="F105">_xlfn._xlws.FILTER(E105:E3303, C105:C3303= "6D-PM-1020-01", "No Squirrels Found")</f>
        <v>0</v>
      </c>
      <c r="G105" s="8" t="s">
        <v>48</v>
      </c>
      <c r="H105" s="10">
        <v>10062018</v>
      </c>
      <c r="I105" s="10">
        <v>5</v>
      </c>
      <c r="J105" s="8" t="s">
        <v>39</v>
      </c>
      <c r="K105" s="8" t="s">
        <v>40</v>
      </c>
      <c r="L105" s="8" t="s">
        <v>117</v>
      </c>
      <c r="M105" s="8" t="s">
        <v>118</v>
      </c>
      <c r="O105" s="8" t="s">
        <v>43</v>
      </c>
      <c r="P105" s="8" t="b">
        <v>0</v>
      </c>
      <c r="R105" s="8" t="b">
        <v>0</v>
      </c>
      <c r="S105" s="8" t="b">
        <v>0</v>
      </c>
      <c r="T105" s="8" t="b">
        <v>0</v>
      </c>
      <c r="U105" s="8" t="b">
        <v>0</v>
      </c>
      <c r="V105" s="8" t="b">
        <v>1</v>
      </c>
      <c r="X105" s="8" t="b">
        <v>0</v>
      </c>
      <c r="Y105" s="8" t="b">
        <v>0</v>
      </c>
      <c r="Z105" s="8" t="b">
        <v>0</v>
      </c>
      <c r="AA105" s="8" t="b">
        <v>0</v>
      </c>
      <c r="AB105" s="8" t="b">
        <v>0</v>
      </c>
      <c r="AC105" s="8" t="b">
        <v>0</v>
      </c>
      <c r="AD105" s="8" t="b">
        <v>1</v>
      </c>
      <c r="AE105" s="8" t="b">
        <v>0</v>
      </c>
      <c r="AG105" s="11" t="b" cm="1">
        <f t="array" ref="AG105">IF(OR(Y105:AA105="TRUE", AE105="true"), "Threatened")</f>
        <v>0</v>
      </c>
      <c r="AH105" s="11" t="s">
        <v>392</v>
      </c>
      <c r="AI105" s="8" t="b">
        <v>1</v>
      </c>
    </row>
    <row r="106" spans="1:35" ht="31.2">
      <c r="A106" s="8">
        <v>-73.958924960000004</v>
      </c>
      <c r="B106" s="8">
        <v>40.790819329999998</v>
      </c>
      <c r="C106" s="8" t="s">
        <v>393</v>
      </c>
      <c r="D106" s="8" t="s">
        <v>75</v>
      </c>
      <c r="E106" s="8" t="b">
        <f t="shared" si="1"/>
        <v>0</v>
      </c>
      <c r="F106" s="8" t="b" cm="1">
        <f t="array" ref="F106">_xlfn._xlws.FILTER(E106:E3304, C106:C3304= "6D-PM-1020-01", "No Squirrels Found")</f>
        <v>0</v>
      </c>
      <c r="G106" s="8" t="s">
        <v>34</v>
      </c>
      <c r="H106" s="10">
        <v>10172018</v>
      </c>
      <c r="I106" s="10">
        <v>3</v>
      </c>
      <c r="J106" s="8" t="s">
        <v>39</v>
      </c>
      <c r="K106" s="8" t="s">
        <v>40</v>
      </c>
      <c r="M106" s="8" t="s">
        <v>55</v>
      </c>
      <c r="O106" s="8" t="s">
        <v>50</v>
      </c>
      <c r="P106" s="8">
        <v>2</v>
      </c>
      <c r="Q106" s="8" t="s">
        <v>394</v>
      </c>
      <c r="R106" s="8" t="b">
        <v>0</v>
      </c>
      <c r="S106" s="8" t="b">
        <v>0</v>
      </c>
      <c r="T106" s="8" t="b">
        <v>0</v>
      </c>
      <c r="U106" s="8" t="b">
        <v>1</v>
      </c>
      <c r="V106" s="8" t="b">
        <v>0</v>
      </c>
      <c r="W106" s="11" t="s">
        <v>395</v>
      </c>
      <c r="X106" s="8" t="b">
        <v>0</v>
      </c>
      <c r="Y106" s="8" t="b">
        <v>0</v>
      </c>
      <c r="Z106" s="8" t="b">
        <v>0</v>
      </c>
      <c r="AA106" s="8" t="b">
        <v>0</v>
      </c>
      <c r="AB106" s="8" t="b">
        <v>0</v>
      </c>
      <c r="AC106" s="8" t="b">
        <v>0</v>
      </c>
      <c r="AD106" s="8" t="b">
        <v>1</v>
      </c>
      <c r="AE106" s="8" t="b">
        <v>0</v>
      </c>
      <c r="AG106" s="11" t="b" cm="1">
        <f t="array" ref="AG106">IF(OR(Y106:AA106="TRUE", AE106="true"), "Threatened")</f>
        <v>0</v>
      </c>
      <c r="AH106" s="11" t="s">
        <v>396</v>
      </c>
      <c r="AI106" s="8" t="b">
        <v>0</v>
      </c>
    </row>
    <row r="107" spans="1:35" ht="31.2">
      <c r="A107" s="8">
        <v>-73.963462340000007</v>
      </c>
      <c r="B107" s="8">
        <v>40.79176854</v>
      </c>
      <c r="C107" s="8" t="s">
        <v>397</v>
      </c>
      <c r="D107" s="8" t="s">
        <v>398</v>
      </c>
      <c r="E107" s="8" t="b">
        <f t="shared" si="1"/>
        <v>0</v>
      </c>
      <c r="F107" s="8" t="b" cm="1">
        <f t="array" ref="F107">_xlfn._xlws.FILTER(E107:E3305, C107:C3305= "6D-PM-1020-01", "No Squirrels Found")</f>
        <v>0</v>
      </c>
      <c r="G107" s="8" t="s">
        <v>34</v>
      </c>
      <c r="H107" s="10">
        <v>10172018</v>
      </c>
      <c r="I107" s="10">
        <v>4</v>
      </c>
      <c r="J107" s="8" t="s">
        <v>39</v>
      </c>
      <c r="K107" s="8" t="s">
        <v>40</v>
      </c>
      <c r="L107" s="8" t="s">
        <v>84</v>
      </c>
      <c r="M107" s="8" t="s">
        <v>103</v>
      </c>
      <c r="O107" s="8" t="s">
        <v>43</v>
      </c>
      <c r="P107" s="8" t="b">
        <v>0</v>
      </c>
      <c r="R107" s="8" t="b">
        <v>0</v>
      </c>
      <c r="S107" s="8" t="b">
        <v>0</v>
      </c>
      <c r="T107" s="8" t="b">
        <v>0</v>
      </c>
      <c r="U107" s="8" t="b">
        <v>1</v>
      </c>
      <c r="V107" s="8" t="b">
        <v>1</v>
      </c>
      <c r="X107" s="8" t="b">
        <v>0</v>
      </c>
      <c r="Y107" s="8" t="b">
        <v>0</v>
      </c>
      <c r="Z107" s="8" t="b">
        <v>0</v>
      </c>
      <c r="AA107" s="8" t="b">
        <v>0</v>
      </c>
      <c r="AB107" s="8" t="b">
        <v>0</v>
      </c>
      <c r="AC107" s="8" t="b">
        <v>0</v>
      </c>
      <c r="AD107" s="8" t="b">
        <v>0</v>
      </c>
      <c r="AE107" s="8" t="b">
        <v>0</v>
      </c>
      <c r="AG107" s="11" t="b" cm="1">
        <f t="array" ref="AG107">IF(OR(Y107:AA107="TRUE", AE107="true"), "Threatened")</f>
        <v>0</v>
      </c>
      <c r="AH107" s="11" t="s">
        <v>399</v>
      </c>
      <c r="AI107" s="8" t="b">
        <v>1</v>
      </c>
    </row>
    <row r="108" spans="1:35" ht="31.2">
      <c r="A108" s="8">
        <v>-73.952111020000004</v>
      </c>
      <c r="B108" s="8">
        <v>40.797844910000002</v>
      </c>
      <c r="C108" s="8" t="s">
        <v>400</v>
      </c>
      <c r="D108" s="8" t="s">
        <v>401</v>
      </c>
      <c r="E108" s="8" t="b">
        <f t="shared" si="1"/>
        <v>0</v>
      </c>
      <c r="F108" s="8" t="b" cm="1">
        <f t="array" ref="F108">_xlfn._xlws.FILTER(E108:E3306, C108:C3306= "6D-PM-1020-01", "No Squirrels Found")</f>
        <v>0</v>
      </c>
      <c r="G108" s="8" t="s">
        <v>48</v>
      </c>
      <c r="H108" s="10">
        <v>10182018</v>
      </c>
      <c r="I108" s="10">
        <v>3</v>
      </c>
      <c r="J108" s="8" t="s">
        <v>39</v>
      </c>
      <c r="K108" s="8" t="s">
        <v>40</v>
      </c>
      <c r="L108" s="8" t="s">
        <v>41</v>
      </c>
      <c r="M108" s="8" t="s">
        <v>42</v>
      </c>
      <c r="O108" s="8" t="s">
        <v>43</v>
      </c>
      <c r="P108" s="8" t="b">
        <v>0</v>
      </c>
      <c r="R108" s="8" t="b">
        <v>1</v>
      </c>
      <c r="S108" s="8" t="b">
        <v>0</v>
      </c>
      <c r="T108" s="8" t="b">
        <v>0</v>
      </c>
      <c r="U108" s="8" t="b">
        <v>0</v>
      </c>
      <c r="V108" s="8" t="b">
        <v>0</v>
      </c>
      <c r="W108" s="11" t="s">
        <v>402</v>
      </c>
      <c r="X108" s="8" t="b">
        <v>0</v>
      </c>
      <c r="Y108" s="8" t="b">
        <v>0</v>
      </c>
      <c r="Z108" s="8" t="b">
        <v>0</v>
      </c>
      <c r="AA108" s="8" t="b">
        <v>0</v>
      </c>
      <c r="AB108" s="8" t="b">
        <v>0</v>
      </c>
      <c r="AC108" s="8" t="b">
        <v>0</v>
      </c>
      <c r="AD108" s="8" t="b">
        <v>0</v>
      </c>
      <c r="AE108" s="8" t="b">
        <v>1</v>
      </c>
      <c r="AG108" s="11" t="b" cm="1">
        <f t="array" ref="AG108">IF(OR(Y108:AA108="TRUE", AE108="true"), "Threatened")</f>
        <v>0</v>
      </c>
      <c r="AH108" s="11" t="s">
        <v>403</v>
      </c>
      <c r="AI108" s="8" t="b">
        <v>0</v>
      </c>
    </row>
    <row r="109" spans="1:35" ht="31.2">
      <c r="A109" s="8">
        <v>-73.957480899999993</v>
      </c>
      <c r="B109" s="8">
        <v>40.795001360000001</v>
      </c>
      <c r="C109" s="8" t="s">
        <v>404</v>
      </c>
      <c r="D109" s="8" t="s">
        <v>405</v>
      </c>
      <c r="E109" s="8" t="b">
        <f t="shared" si="1"/>
        <v>0</v>
      </c>
      <c r="F109" s="8" t="b" cm="1">
        <f t="array" ref="F109">_xlfn._xlws.FILTER(E109:E3307, C109:C3307= "6D-PM-1020-01", "No Squirrels Found")</f>
        <v>0</v>
      </c>
      <c r="G109" s="8" t="s">
        <v>34</v>
      </c>
      <c r="H109" s="10">
        <v>10142018</v>
      </c>
      <c r="I109" s="10">
        <v>4</v>
      </c>
      <c r="J109" s="8" t="s">
        <v>39</v>
      </c>
      <c r="K109" s="8" t="s">
        <v>40</v>
      </c>
      <c r="M109" s="8" t="s">
        <v>55</v>
      </c>
      <c r="O109" s="8" t="s">
        <v>43</v>
      </c>
      <c r="P109" s="8" t="b">
        <v>0</v>
      </c>
      <c r="R109" s="8" t="b">
        <v>0</v>
      </c>
      <c r="S109" s="8" t="b">
        <v>1</v>
      </c>
      <c r="T109" s="8" t="b">
        <v>0</v>
      </c>
      <c r="U109" s="8" t="b">
        <v>0</v>
      </c>
      <c r="V109" s="8" t="b">
        <v>1</v>
      </c>
      <c r="W109" s="11" t="s">
        <v>406</v>
      </c>
      <c r="X109" s="8" t="b">
        <v>0</v>
      </c>
      <c r="Y109" s="8" t="b">
        <v>0</v>
      </c>
      <c r="Z109" s="8" t="b">
        <v>0</v>
      </c>
      <c r="AA109" s="8" t="b">
        <v>0</v>
      </c>
      <c r="AB109" s="8" t="b">
        <v>0</v>
      </c>
      <c r="AC109" s="8" t="b">
        <v>0</v>
      </c>
      <c r="AD109" s="8" t="b">
        <v>0</v>
      </c>
      <c r="AE109" s="8" t="b">
        <v>1</v>
      </c>
      <c r="AG109" s="11" t="b" cm="1">
        <f t="array" ref="AG109">IF(OR(Y109:AA109="TRUE", AE109="true"), "Threatened")</f>
        <v>0</v>
      </c>
      <c r="AH109" s="11" t="s">
        <v>407</v>
      </c>
      <c r="AI109" s="8" t="b">
        <v>0</v>
      </c>
    </row>
    <row r="110" spans="1:35" ht="31.2">
      <c r="A110" s="8">
        <v>-73.967097589999995</v>
      </c>
      <c r="B110" s="8">
        <v>40.785411930000002</v>
      </c>
      <c r="C110" s="8" t="s">
        <v>408</v>
      </c>
      <c r="D110" s="8" t="s">
        <v>409</v>
      </c>
      <c r="E110" s="8" t="b">
        <f t="shared" si="1"/>
        <v>0</v>
      </c>
      <c r="F110" s="8" t="b" cm="1">
        <f t="array" ref="F110">_xlfn._xlws.FILTER(E110:E3308, C110:C3308= "6D-PM-1020-01", "No Squirrels Found")</f>
        <v>0</v>
      </c>
      <c r="G110" s="8" t="s">
        <v>48</v>
      </c>
      <c r="H110" s="10">
        <v>10132018</v>
      </c>
      <c r="I110" s="10">
        <v>1</v>
      </c>
      <c r="K110" s="8" t="s">
        <v>40</v>
      </c>
      <c r="M110" s="8" t="s">
        <v>55</v>
      </c>
      <c r="O110" s="8" t="s">
        <v>50</v>
      </c>
      <c r="P110" s="8">
        <v>50</v>
      </c>
      <c r="R110" s="8" t="b">
        <v>1</v>
      </c>
      <c r="S110" s="8" t="b">
        <v>0</v>
      </c>
      <c r="T110" s="8" t="b">
        <v>0</v>
      </c>
      <c r="U110" s="8" t="b">
        <v>1</v>
      </c>
      <c r="V110" s="8" t="b">
        <v>0</v>
      </c>
      <c r="W110" s="11" t="s">
        <v>410</v>
      </c>
      <c r="X110" s="8" t="b">
        <v>0</v>
      </c>
      <c r="Y110" s="8" t="b">
        <v>0</v>
      </c>
      <c r="Z110" s="8" t="b">
        <v>0</v>
      </c>
      <c r="AA110" s="8" t="b">
        <v>0</v>
      </c>
      <c r="AB110" s="8" t="b">
        <v>1</v>
      </c>
      <c r="AC110" s="8" t="b">
        <v>0</v>
      </c>
      <c r="AD110" s="8" t="b">
        <v>0</v>
      </c>
      <c r="AE110" s="8" t="b">
        <v>1</v>
      </c>
      <c r="AG110" s="11" t="b" cm="1">
        <f t="array" ref="AG110">IF(OR(Y110:AA110="TRUE", AE110="true"), "Threatened")</f>
        <v>0</v>
      </c>
      <c r="AH110" s="11" t="s">
        <v>411</v>
      </c>
      <c r="AI110" s="8" t="b">
        <v>0</v>
      </c>
    </row>
    <row r="111" spans="1:35" ht="31.2">
      <c r="A111" s="8">
        <v>-73.971131880000002</v>
      </c>
      <c r="B111" s="8">
        <v>40.770194160000003</v>
      </c>
      <c r="C111" s="8" t="s">
        <v>412</v>
      </c>
      <c r="D111" s="8" t="s">
        <v>413</v>
      </c>
      <c r="E111" s="8" t="b">
        <f t="shared" si="1"/>
        <v>0</v>
      </c>
      <c r="F111" s="8" t="b" cm="1">
        <f t="array" ref="F111">_xlfn._xlws.FILTER(E111:E3309, C111:C3309= "6D-PM-1020-01", "No Squirrels Found")</f>
        <v>0</v>
      </c>
      <c r="G111" s="8" t="s">
        <v>48</v>
      </c>
      <c r="H111" s="10">
        <v>10102018</v>
      </c>
      <c r="I111" s="10">
        <v>2</v>
      </c>
      <c r="J111" s="8" t="s">
        <v>39</v>
      </c>
      <c r="K111" s="8" t="s">
        <v>40</v>
      </c>
      <c r="M111" s="8" t="s">
        <v>55</v>
      </c>
      <c r="O111" s="8" t="s">
        <v>50</v>
      </c>
      <c r="P111" s="8">
        <v>3</v>
      </c>
      <c r="R111" s="8" t="b">
        <v>1</v>
      </c>
      <c r="S111" s="8" t="b">
        <v>0</v>
      </c>
      <c r="T111" s="8" t="b">
        <v>0</v>
      </c>
      <c r="U111" s="8" t="b">
        <v>0</v>
      </c>
      <c r="V111" s="8" t="b">
        <v>0</v>
      </c>
      <c r="X111" s="8" t="b">
        <v>0</v>
      </c>
      <c r="Y111" s="8" t="b">
        <v>0</v>
      </c>
      <c r="Z111" s="8" t="b">
        <v>0</v>
      </c>
      <c r="AA111" s="8" t="b">
        <v>0</v>
      </c>
      <c r="AB111" s="8" t="b">
        <v>1</v>
      </c>
      <c r="AC111" s="8" t="b">
        <v>0</v>
      </c>
      <c r="AD111" s="8" t="b">
        <v>0</v>
      </c>
      <c r="AE111" s="8" t="b">
        <v>1</v>
      </c>
      <c r="AG111" s="11" t="b" cm="1">
        <f t="array" ref="AG111">IF(OR(Y111:AA111="TRUE", AE111="true"), "Threatened")</f>
        <v>0</v>
      </c>
      <c r="AH111" s="11" t="s">
        <v>414</v>
      </c>
      <c r="AI111" s="8" t="b">
        <v>1</v>
      </c>
    </row>
    <row r="112" spans="1:35" ht="31.2">
      <c r="A112" s="8">
        <v>-73.976324340000005</v>
      </c>
      <c r="B112" s="8">
        <v>40.770540930000003</v>
      </c>
      <c r="C112" s="8" t="s">
        <v>415</v>
      </c>
      <c r="D112" s="8" t="s">
        <v>109</v>
      </c>
      <c r="E112" s="8" t="b">
        <f t="shared" si="1"/>
        <v>0</v>
      </c>
      <c r="F112" s="8" t="b" cm="1">
        <f t="array" ref="F112">_xlfn._xlws.FILTER(E112:E3310, C112:C3310= "6D-PM-1020-01", "No Squirrels Found")</f>
        <v>0</v>
      </c>
      <c r="G112" s="8" t="s">
        <v>34</v>
      </c>
      <c r="H112" s="10">
        <v>10102018</v>
      </c>
      <c r="I112" s="10">
        <v>13</v>
      </c>
      <c r="J112" s="8" t="s">
        <v>39</v>
      </c>
      <c r="K112" s="8" t="s">
        <v>40</v>
      </c>
      <c r="L112" s="8" t="s">
        <v>84</v>
      </c>
      <c r="M112" s="8" t="s">
        <v>103</v>
      </c>
      <c r="O112" s="8" t="s">
        <v>50</v>
      </c>
      <c r="P112" s="8">
        <v>20</v>
      </c>
      <c r="Q112" s="8" t="s">
        <v>416</v>
      </c>
      <c r="R112" s="8" t="b">
        <v>0</v>
      </c>
      <c r="S112" s="8" t="b">
        <v>0</v>
      </c>
      <c r="T112" s="8" t="b">
        <v>1</v>
      </c>
      <c r="U112" s="8" t="b">
        <v>0</v>
      </c>
      <c r="V112" s="8" t="b">
        <v>0</v>
      </c>
      <c r="X112" s="8" t="b">
        <v>0</v>
      </c>
      <c r="Y112" s="8" t="b">
        <v>0</v>
      </c>
      <c r="Z112" s="8" t="b">
        <v>0</v>
      </c>
      <c r="AA112" s="8" t="b">
        <v>0</v>
      </c>
      <c r="AB112" s="8" t="b">
        <v>0</v>
      </c>
      <c r="AC112" s="8" t="b">
        <v>0</v>
      </c>
      <c r="AD112" s="8" t="b">
        <v>0</v>
      </c>
      <c r="AE112" s="8" t="b">
        <v>0</v>
      </c>
      <c r="AG112" s="11" t="b" cm="1">
        <f t="array" ref="AG112">IF(OR(Y112:AA112="TRUE", AE112="true"), "Threatened")</f>
        <v>0</v>
      </c>
      <c r="AH112" s="11" t="s">
        <v>417</v>
      </c>
      <c r="AI112" s="8" t="b">
        <v>1</v>
      </c>
    </row>
    <row r="113" spans="1:35" ht="31.2">
      <c r="A113" s="8">
        <v>-73.965175450000004</v>
      </c>
      <c r="B113" s="8">
        <v>40.77551819</v>
      </c>
      <c r="C113" s="8" t="s">
        <v>418</v>
      </c>
      <c r="D113" s="8" t="s">
        <v>419</v>
      </c>
      <c r="E113" s="8" t="b">
        <f t="shared" si="1"/>
        <v>0</v>
      </c>
      <c r="F113" s="8" t="b" cm="1">
        <f t="array" ref="F113">_xlfn._xlws.FILTER(E113:E3311, C113:C3311= "6D-PM-1020-01", "No Squirrels Found")</f>
        <v>0</v>
      </c>
      <c r="G113" s="8" t="s">
        <v>48</v>
      </c>
      <c r="H113" s="10">
        <v>10082018</v>
      </c>
      <c r="I113" s="10">
        <v>1</v>
      </c>
      <c r="J113" s="8" t="s">
        <v>39</v>
      </c>
      <c r="K113" s="8" t="s">
        <v>40</v>
      </c>
      <c r="L113" s="8" t="s">
        <v>41</v>
      </c>
      <c r="M113" s="8" t="s">
        <v>42</v>
      </c>
      <c r="O113" s="8" t="s">
        <v>50</v>
      </c>
      <c r="P113" s="8">
        <v>7</v>
      </c>
      <c r="Q113" s="8" t="s">
        <v>206</v>
      </c>
      <c r="R113" s="8" t="b">
        <v>0</v>
      </c>
      <c r="S113" s="8" t="b">
        <v>0</v>
      </c>
      <c r="T113" s="8" t="b">
        <v>1</v>
      </c>
      <c r="U113" s="8" t="b">
        <v>1</v>
      </c>
      <c r="V113" s="8" t="b">
        <v>0</v>
      </c>
      <c r="X113" s="8" t="b">
        <v>0</v>
      </c>
      <c r="Y113" s="8" t="b">
        <v>0</v>
      </c>
      <c r="Z113" s="8" t="b">
        <v>0</v>
      </c>
      <c r="AA113" s="8" t="b">
        <v>0</v>
      </c>
      <c r="AB113" s="8" t="b">
        <v>0</v>
      </c>
      <c r="AC113" s="8" t="b">
        <v>0</v>
      </c>
      <c r="AD113" s="8" t="b">
        <v>1</v>
      </c>
      <c r="AE113" s="8" t="b">
        <v>0</v>
      </c>
      <c r="AG113" s="11" t="b" cm="1">
        <f t="array" ref="AG113">IF(OR(Y113:AA113="TRUE", AE113="true"), "Threatened")</f>
        <v>0</v>
      </c>
      <c r="AH113" s="11" t="s">
        <v>420</v>
      </c>
      <c r="AI113" s="8" t="b">
        <v>1</v>
      </c>
    </row>
    <row r="114" spans="1:35" ht="31.2">
      <c r="A114" s="8">
        <v>-73.970010060000007</v>
      </c>
      <c r="B114" s="8">
        <v>40.781573999999999</v>
      </c>
      <c r="C114" s="8" t="s">
        <v>421</v>
      </c>
      <c r="D114" s="8" t="s">
        <v>422</v>
      </c>
      <c r="E114" s="8" t="b">
        <f t="shared" si="1"/>
        <v>0</v>
      </c>
      <c r="F114" s="8" t="b" cm="1">
        <f t="array" ref="F114">_xlfn._xlws.FILTER(E114:E3312, C114:C3312= "6D-PM-1020-01", "No Squirrels Found")</f>
        <v>0</v>
      </c>
      <c r="G114" s="8" t="s">
        <v>34</v>
      </c>
      <c r="H114" s="10">
        <v>10182018</v>
      </c>
      <c r="I114" s="10">
        <v>1</v>
      </c>
      <c r="J114" s="8" t="s">
        <v>39</v>
      </c>
      <c r="K114" s="8" t="s">
        <v>40</v>
      </c>
      <c r="L114" s="8" t="s">
        <v>168</v>
      </c>
      <c r="M114" s="8" t="s">
        <v>169</v>
      </c>
      <c r="O114" s="8" t="s">
        <v>50</v>
      </c>
      <c r="P114" s="8">
        <v>20</v>
      </c>
      <c r="R114" s="8" t="b">
        <v>1</v>
      </c>
      <c r="S114" s="8" t="b">
        <v>0</v>
      </c>
      <c r="T114" s="8" t="b">
        <v>0</v>
      </c>
      <c r="U114" s="8" t="b">
        <v>0</v>
      </c>
      <c r="V114" s="8" t="b">
        <v>0</v>
      </c>
      <c r="W114" s="11" t="s">
        <v>423</v>
      </c>
      <c r="X114" s="8" t="b">
        <v>0</v>
      </c>
      <c r="Y114" s="8" t="b">
        <v>0</v>
      </c>
      <c r="Z114" s="8" t="b">
        <v>0</v>
      </c>
      <c r="AA114" s="8" t="b">
        <v>0</v>
      </c>
      <c r="AB114" s="8" t="b">
        <v>0</v>
      </c>
      <c r="AC114" s="8" t="b">
        <v>0</v>
      </c>
      <c r="AD114" s="8" t="b">
        <v>0</v>
      </c>
      <c r="AE114" s="8" t="b">
        <v>0</v>
      </c>
      <c r="AG114" s="11" t="b" cm="1">
        <f t="array" ref="AG114">IF(OR(Y114:AA114="TRUE", AE114="true"), "Threatened")</f>
        <v>0</v>
      </c>
      <c r="AH114" s="11" t="s">
        <v>424</v>
      </c>
      <c r="AI114" s="8" t="b">
        <v>0</v>
      </c>
    </row>
    <row r="115" spans="1:35" ht="31.2">
      <c r="A115" s="8">
        <v>-73.971905620000001</v>
      </c>
      <c r="B115" s="8">
        <v>40.776238550000002</v>
      </c>
      <c r="C115" s="8" t="s">
        <v>425</v>
      </c>
      <c r="D115" s="8" t="s">
        <v>426</v>
      </c>
      <c r="E115" s="8" t="b">
        <f t="shared" si="1"/>
        <v>0</v>
      </c>
      <c r="F115" s="8" t="b" cm="1">
        <f t="array" ref="F115">_xlfn._xlws.FILTER(E115:E3313, C115:C3313= "6D-PM-1020-01", "No Squirrels Found")</f>
        <v>0</v>
      </c>
      <c r="G115" s="8" t="s">
        <v>34</v>
      </c>
      <c r="H115" s="10">
        <v>10182018</v>
      </c>
      <c r="I115" s="10">
        <v>10</v>
      </c>
      <c r="J115" s="8" t="s">
        <v>39</v>
      </c>
      <c r="K115" s="8" t="s">
        <v>40</v>
      </c>
      <c r="L115" s="8" t="s">
        <v>117</v>
      </c>
      <c r="M115" s="8" t="s">
        <v>118</v>
      </c>
      <c r="O115" s="8" t="s">
        <v>43</v>
      </c>
      <c r="P115" s="8" t="b">
        <v>0</v>
      </c>
      <c r="R115" s="8" t="b">
        <v>0</v>
      </c>
      <c r="S115" s="8" t="b">
        <v>0</v>
      </c>
      <c r="T115" s="8" t="b">
        <v>0</v>
      </c>
      <c r="U115" s="8" t="b">
        <v>0</v>
      </c>
      <c r="V115" s="8" t="b">
        <v>1</v>
      </c>
      <c r="X115" s="8" t="b">
        <v>0</v>
      </c>
      <c r="Y115" s="8" t="b">
        <v>0</v>
      </c>
      <c r="Z115" s="8" t="b">
        <v>0</v>
      </c>
      <c r="AA115" s="8" t="b">
        <v>0</v>
      </c>
      <c r="AB115" s="8" t="b">
        <v>1</v>
      </c>
      <c r="AC115" s="8" t="b">
        <v>0</v>
      </c>
      <c r="AD115" s="8" t="b">
        <v>1</v>
      </c>
      <c r="AE115" s="8" t="b">
        <v>0</v>
      </c>
      <c r="AG115" s="11" t="b" cm="1">
        <f t="array" ref="AG115">IF(OR(Y115:AA115="TRUE", AE115="true"), "Threatened")</f>
        <v>0</v>
      </c>
      <c r="AH115" s="11" t="s">
        <v>427</v>
      </c>
      <c r="AI115" s="8" t="b">
        <v>1</v>
      </c>
    </row>
    <row r="116" spans="1:35" ht="31.2">
      <c r="A116" s="8">
        <v>-73.953004089999993</v>
      </c>
      <c r="B116" s="8">
        <v>40.792289619999998</v>
      </c>
      <c r="C116" s="8" t="s">
        <v>428</v>
      </c>
      <c r="D116" s="8" t="s">
        <v>106</v>
      </c>
      <c r="E116" s="8" t="b">
        <f t="shared" si="1"/>
        <v>0</v>
      </c>
      <c r="F116" s="8" t="b" cm="1">
        <f t="array" ref="F116">_xlfn._xlws.FILTER(E116:E3314, C116:C3314= "6D-PM-1020-01", "No Squirrels Found")</f>
        <v>0</v>
      </c>
      <c r="G116" s="8" t="s">
        <v>34</v>
      </c>
      <c r="H116" s="10">
        <v>10072018</v>
      </c>
      <c r="I116" s="10">
        <v>10</v>
      </c>
      <c r="J116" s="8" t="s">
        <v>54</v>
      </c>
      <c r="K116" s="8" t="s">
        <v>40</v>
      </c>
      <c r="L116" s="8" t="s">
        <v>84</v>
      </c>
      <c r="M116" s="8" t="s">
        <v>103</v>
      </c>
      <c r="O116" s="8" t="s">
        <v>43</v>
      </c>
      <c r="P116" s="8" t="b">
        <v>0</v>
      </c>
      <c r="R116" s="8" t="b">
        <v>0</v>
      </c>
      <c r="S116" s="8" t="b">
        <v>0</v>
      </c>
      <c r="T116" s="8" t="b">
        <v>0</v>
      </c>
      <c r="U116" s="8" t="b">
        <v>1</v>
      </c>
      <c r="V116" s="8" t="b">
        <v>0</v>
      </c>
      <c r="W116" s="11" t="s">
        <v>429</v>
      </c>
      <c r="X116" s="8" t="b">
        <v>0</v>
      </c>
      <c r="Y116" s="8" t="b">
        <v>0</v>
      </c>
      <c r="Z116" s="8" t="b">
        <v>0</v>
      </c>
      <c r="AA116" s="8" t="b">
        <v>0</v>
      </c>
      <c r="AB116" s="8" t="b">
        <v>0</v>
      </c>
      <c r="AC116" s="8" t="b">
        <v>0</v>
      </c>
      <c r="AD116" s="8" t="b">
        <v>1</v>
      </c>
      <c r="AE116" s="8" t="b">
        <v>0</v>
      </c>
      <c r="AG116" s="11" t="b" cm="1">
        <f t="array" ref="AG116">IF(OR(Y116:AA116="TRUE", AE116="true"), "Threatened")</f>
        <v>0</v>
      </c>
      <c r="AH116" s="11" t="s">
        <v>430</v>
      </c>
      <c r="AI116" s="8" t="b">
        <v>0</v>
      </c>
    </row>
    <row r="117" spans="1:35" ht="31.2">
      <c r="A117" s="8">
        <v>-73.957209379999995</v>
      </c>
      <c r="B117" s="8">
        <v>40.798848730000003</v>
      </c>
      <c r="C117" s="8" t="s">
        <v>431</v>
      </c>
      <c r="D117" s="8" t="s">
        <v>382</v>
      </c>
      <c r="E117" s="8" t="b">
        <f t="shared" si="1"/>
        <v>0</v>
      </c>
      <c r="F117" s="8" t="b" cm="1">
        <f t="array" ref="F117">_xlfn._xlws.FILTER(E117:E3315, C117:C3315= "6D-PM-1020-01", "No Squirrels Found")</f>
        <v>0</v>
      </c>
      <c r="G117" s="8" t="s">
        <v>48</v>
      </c>
      <c r="H117" s="10">
        <v>10102018</v>
      </c>
      <c r="I117" s="10">
        <v>6</v>
      </c>
      <c r="J117" s="8" t="s">
        <v>39</v>
      </c>
      <c r="K117" s="8" t="s">
        <v>40</v>
      </c>
      <c r="L117" s="8" t="s">
        <v>117</v>
      </c>
      <c r="M117" s="8" t="s">
        <v>118</v>
      </c>
      <c r="O117" s="8" t="s">
        <v>50</v>
      </c>
      <c r="P117" s="8">
        <v>6</v>
      </c>
      <c r="R117" s="8" t="b">
        <v>0</v>
      </c>
      <c r="S117" s="8" t="b">
        <v>0</v>
      </c>
      <c r="T117" s="8" t="b">
        <v>1</v>
      </c>
      <c r="U117" s="8" t="b">
        <v>0</v>
      </c>
      <c r="V117" s="8" t="b">
        <v>0</v>
      </c>
      <c r="X117" s="8" t="b">
        <v>0</v>
      </c>
      <c r="Y117" s="8" t="b">
        <v>0</v>
      </c>
      <c r="Z117" s="8" t="b">
        <v>0</v>
      </c>
      <c r="AA117" s="8" t="b">
        <v>0</v>
      </c>
      <c r="AB117" s="8" t="b">
        <v>0</v>
      </c>
      <c r="AC117" s="8" t="b">
        <v>0</v>
      </c>
      <c r="AD117" s="8" t="b">
        <v>0</v>
      </c>
      <c r="AE117" s="8" t="b">
        <v>0</v>
      </c>
      <c r="AG117" s="11" t="b" cm="1">
        <f t="array" ref="AG117">IF(OR(Y117:AA117="TRUE", AE117="true"), "Threatened")</f>
        <v>0</v>
      </c>
      <c r="AH117" s="11" t="s">
        <v>432</v>
      </c>
      <c r="AI117" s="8" t="b">
        <v>1</v>
      </c>
    </row>
    <row r="118" spans="1:35" ht="31.2">
      <c r="A118" s="8">
        <v>-73.960774630000003</v>
      </c>
      <c r="B118" s="8">
        <v>40.793958109999998</v>
      </c>
      <c r="C118" s="8" t="s">
        <v>433</v>
      </c>
      <c r="D118" s="8" t="s">
        <v>434</v>
      </c>
      <c r="E118" s="8" t="b">
        <f t="shared" si="1"/>
        <v>0</v>
      </c>
      <c r="F118" s="8" t="b" cm="1">
        <f t="array" ref="F118">_xlfn._xlws.FILTER(E118:E3316, C118:C3316= "6D-PM-1020-01", "No Squirrels Found")</f>
        <v>0</v>
      </c>
      <c r="G118" s="8" t="s">
        <v>48</v>
      </c>
      <c r="H118" s="10">
        <v>10102018</v>
      </c>
      <c r="I118" s="10">
        <v>1</v>
      </c>
      <c r="J118" s="8" t="s">
        <v>39</v>
      </c>
      <c r="K118" s="8" t="s">
        <v>40</v>
      </c>
      <c r="M118" s="8" t="s">
        <v>55</v>
      </c>
      <c r="O118" s="8" t="s">
        <v>43</v>
      </c>
      <c r="P118" s="8" t="b">
        <v>0</v>
      </c>
      <c r="Q118" s="8" t="s">
        <v>435</v>
      </c>
      <c r="R118" s="8" t="b">
        <v>0</v>
      </c>
      <c r="S118" s="8" t="b">
        <v>0</v>
      </c>
      <c r="T118" s="8" t="b">
        <v>0</v>
      </c>
      <c r="U118" s="8" t="b">
        <v>0</v>
      </c>
      <c r="V118" s="8" t="b">
        <v>0</v>
      </c>
      <c r="W118" s="11" t="s">
        <v>436</v>
      </c>
      <c r="X118" s="8" t="b">
        <v>0</v>
      </c>
      <c r="Y118" s="8" t="b">
        <v>0</v>
      </c>
      <c r="Z118" s="8" t="b">
        <v>0</v>
      </c>
      <c r="AA118" s="8" t="b">
        <v>0</v>
      </c>
      <c r="AB118" s="8" t="b">
        <v>0</v>
      </c>
      <c r="AC118" s="8" t="b">
        <v>0</v>
      </c>
      <c r="AD118" s="8" t="b">
        <v>1</v>
      </c>
      <c r="AE118" s="8" t="b">
        <v>0</v>
      </c>
      <c r="AG118" s="11" t="b" cm="1">
        <f t="array" ref="AG118">IF(OR(Y118:AA118="TRUE", AE118="true"), "Threatened")</f>
        <v>0</v>
      </c>
      <c r="AH118" s="11" t="s">
        <v>437</v>
      </c>
      <c r="AI118" s="8" t="b">
        <v>0</v>
      </c>
    </row>
    <row r="119" spans="1:35" ht="31.2">
      <c r="A119" s="8">
        <v>-73.956634600000001</v>
      </c>
      <c r="B119" s="8">
        <v>40.797392340000002</v>
      </c>
      <c r="C119" s="8" t="s">
        <v>438</v>
      </c>
      <c r="D119" s="8" t="s">
        <v>439</v>
      </c>
      <c r="E119" s="8" t="b">
        <f t="shared" si="1"/>
        <v>0</v>
      </c>
      <c r="F119" s="8" t="b" cm="1">
        <f t="array" ref="F119">_xlfn._xlws.FILTER(E119:E3317, C119:C3317= "6D-PM-1020-01", "No Squirrels Found")</f>
        <v>0</v>
      </c>
      <c r="G119" s="8" t="s">
        <v>34</v>
      </c>
      <c r="H119" s="10">
        <v>10132018</v>
      </c>
      <c r="I119" s="10">
        <v>1</v>
      </c>
      <c r="J119" s="8" t="s">
        <v>39</v>
      </c>
      <c r="K119" s="8" t="s">
        <v>40</v>
      </c>
      <c r="L119" s="8" t="s">
        <v>41</v>
      </c>
      <c r="M119" s="8" t="s">
        <v>42</v>
      </c>
      <c r="O119" s="8" t="s">
        <v>43</v>
      </c>
      <c r="P119" s="8" t="b">
        <v>0</v>
      </c>
      <c r="R119" s="8" t="b">
        <v>1</v>
      </c>
      <c r="S119" s="8" t="b">
        <v>0</v>
      </c>
      <c r="T119" s="8" t="b">
        <v>0</v>
      </c>
      <c r="U119" s="8" t="b">
        <v>0</v>
      </c>
      <c r="V119" s="8" t="b">
        <v>0</v>
      </c>
      <c r="X119" s="8" t="b">
        <v>0</v>
      </c>
      <c r="Y119" s="8" t="b">
        <v>0</v>
      </c>
      <c r="Z119" s="8" t="b">
        <v>0</v>
      </c>
      <c r="AA119" s="8" t="b">
        <v>0</v>
      </c>
      <c r="AB119" s="8" t="b">
        <v>0</v>
      </c>
      <c r="AC119" s="8" t="b">
        <v>0</v>
      </c>
      <c r="AD119" s="8" t="b">
        <v>0</v>
      </c>
      <c r="AE119" s="8" t="b">
        <v>0</v>
      </c>
      <c r="AG119" s="11" t="b" cm="1">
        <f t="array" ref="AG119">IF(OR(Y119:AA119="TRUE", AE119="true"), "Threatened")</f>
        <v>0</v>
      </c>
      <c r="AH119" s="11" t="s">
        <v>440</v>
      </c>
      <c r="AI119" s="8" t="b">
        <v>1</v>
      </c>
    </row>
    <row r="120" spans="1:35" ht="31.2">
      <c r="A120" s="8">
        <v>-73.959203889999998</v>
      </c>
      <c r="B120" s="8">
        <v>40.796382680000001</v>
      </c>
      <c r="C120" s="8" t="s">
        <v>441</v>
      </c>
      <c r="D120" s="8" t="s">
        <v>442</v>
      </c>
      <c r="E120" s="8" t="b">
        <f t="shared" si="1"/>
        <v>0</v>
      </c>
      <c r="F120" s="8" t="b" cm="1">
        <f t="array" ref="F120">_xlfn._xlws.FILTER(E120:E3318, C120:C3318= "6D-PM-1020-01", "No Squirrels Found")</f>
        <v>0</v>
      </c>
      <c r="G120" s="8" t="s">
        <v>34</v>
      </c>
      <c r="H120" s="10">
        <v>10182018</v>
      </c>
      <c r="I120" s="10">
        <v>2</v>
      </c>
      <c r="J120" s="8" t="s">
        <v>39</v>
      </c>
      <c r="K120" s="8" t="s">
        <v>40</v>
      </c>
      <c r="L120" s="8" t="s">
        <v>117</v>
      </c>
      <c r="M120" s="8" t="s">
        <v>118</v>
      </c>
      <c r="O120" s="8" t="s">
        <v>43</v>
      </c>
      <c r="P120" s="8" t="b">
        <v>0</v>
      </c>
      <c r="R120" s="8" t="b">
        <v>0</v>
      </c>
      <c r="S120" s="8" t="b">
        <v>0</v>
      </c>
      <c r="T120" s="8" t="b">
        <v>0</v>
      </c>
      <c r="U120" s="8" t="b">
        <v>0</v>
      </c>
      <c r="V120" s="8" t="b">
        <v>1</v>
      </c>
      <c r="W120" s="11" t="s">
        <v>443</v>
      </c>
      <c r="X120" s="8" t="b">
        <v>0</v>
      </c>
      <c r="Y120" s="8" t="b">
        <v>0</v>
      </c>
      <c r="Z120" s="8" t="b">
        <v>0</v>
      </c>
      <c r="AA120" s="8" t="b">
        <v>0</v>
      </c>
      <c r="AB120" s="8" t="b">
        <v>0</v>
      </c>
      <c r="AC120" s="8" t="b">
        <v>0</v>
      </c>
      <c r="AD120" s="8" t="b">
        <v>0</v>
      </c>
      <c r="AE120" s="8" t="b">
        <v>0</v>
      </c>
      <c r="AG120" s="11" t="b" cm="1">
        <f t="array" ref="AG120">IF(OR(Y120:AA120="TRUE", AE120="true"), "Threatened")</f>
        <v>0</v>
      </c>
      <c r="AH120" s="11" t="s">
        <v>444</v>
      </c>
      <c r="AI120" s="8" t="b">
        <v>0</v>
      </c>
    </row>
    <row r="121" spans="1:35" ht="31.2">
      <c r="A121" s="8">
        <v>-73.951111870000005</v>
      </c>
      <c r="B121" s="8">
        <v>40.795081330000002</v>
      </c>
      <c r="C121" s="8" t="s">
        <v>445</v>
      </c>
      <c r="D121" s="8" t="s">
        <v>446</v>
      </c>
      <c r="E121" s="8" t="b">
        <f t="shared" si="1"/>
        <v>0</v>
      </c>
      <c r="F121" s="8" t="b" cm="1">
        <f t="array" ref="F121">_xlfn._xlws.FILTER(E121:E3319, C121:C3319= "6D-PM-1020-01", "No Squirrels Found")</f>
        <v>0</v>
      </c>
      <c r="G121" s="8" t="s">
        <v>48</v>
      </c>
      <c r="H121" s="10">
        <v>10182018</v>
      </c>
      <c r="I121" s="10">
        <v>1</v>
      </c>
      <c r="J121" s="8" t="s">
        <v>39</v>
      </c>
      <c r="K121" s="8" t="s">
        <v>41</v>
      </c>
      <c r="M121" s="8" t="s">
        <v>49</v>
      </c>
      <c r="O121" s="8" t="s">
        <v>43</v>
      </c>
      <c r="P121" s="8" t="b">
        <v>0</v>
      </c>
      <c r="R121" s="8" t="b">
        <v>1</v>
      </c>
      <c r="S121" s="8" t="b">
        <v>0</v>
      </c>
      <c r="T121" s="8" t="b">
        <v>0</v>
      </c>
      <c r="U121" s="8" t="b">
        <v>0</v>
      </c>
      <c r="V121" s="8" t="b">
        <v>1</v>
      </c>
      <c r="W121" s="11" t="s">
        <v>447</v>
      </c>
      <c r="X121" s="8" t="b">
        <v>0</v>
      </c>
      <c r="Y121" s="8" t="b">
        <v>0</v>
      </c>
      <c r="Z121" s="8" t="b">
        <v>0</v>
      </c>
      <c r="AA121" s="8" t="b">
        <v>0</v>
      </c>
      <c r="AB121" s="8" t="b">
        <v>0</v>
      </c>
      <c r="AC121" s="8" t="b">
        <v>0</v>
      </c>
      <c r="AD121" s="8" t="b">
        <v>0</v>
      </c>
      <c r="AE121" s="8" t="b">
        <v>0</v>
      </c>
      <c r="AG121" s="11" t="b" cm="1">
        <f t="array" ref="AG121">IF(OR(Y121:AA121="TRUE", AE121="true"), "Threatened")</f>
        <v>0</v>
      </c>
      <c r="AH121" s="11" t="s">
        <v>448</v>
      </c>
      <c r="AI121" s="8" t="b">
        <v>0</v>
      </c>
    </row>
    <row r="122" spans="1:35" ht="31.2">
      <c r="A122" s="8">
        <v>-73.976993980000003</v>
      </c>
      <c r="B122" s="8">
        <v>40.77295376</v>
      </c>
      <c r="C122" s="8" t="s">
        <v>449</v>
      </c>
      <c r="D122" s="8" t="s">
        <v>72</v>
      </c>
      <c r="E122" s="8" t="b">
        <f t="shared" si="1"/>
        <v>0</v>
      </c>
      <c r="F122" s="8" t="b" cm="1">
        <f t="array" ref="F122">_xlfn._xlws.FILTER(E122:E3320, C122:C3320= "6D-PM-1020-01", "No Squirrels Found")</f>
        <v>0</v>
      </c>
      <c r="G122" s="8" t="s">
        <v>48</v>
      </c>
      <c r="H122" s="10">
        <v>10082018</v>
      </c>
      <c r="I122" s="10">
        <v>10</v>
      </c>
      <c r="J122" s="8" t="s">
        <v>39</v>
      </c>
      <c r="K122" s="8" t="s">
        <v>40</v>
      </c>
      <c r="M122" s="8" t="s">
        <v>55</v>
      </c>
      <c r="O122" s="8" t="s">
        <v>43</v>
      </c>
      <c r="P122" s="8" t="b">
        <v>0</v>
      </c>
      <c r="R122" s="8" t="b">
        <v>0</v>
      </c>
      <c r="S122" s="8" t="b">
        <v>0</v>
      </c>
      <c r="T122" s="8" t="b">
        <v>0</v>
      </c>
      <c r="U122" s="8" t="b">
        <v>0</v>
      </c>
      <c r="V122" s="8" t="b">
        <v>1</v>
      </c>
      <c r="X122" s="8" t="b">
        <v>0</v>
      </c>
      <c r="Y122" s="8" t="b">
        <v>0</v>
      </c>
      <c r="Z122" s="8" t="b">
        <v>0</v>
      </c>
      <c r="AA122" s="8" t="b">
        <v>0</v>
      </c>
      <c r="AB122" s="8" t="b">
        <v>0</v>
      </c>
      <c r="AC122" s="8" t="b">
        <v>0</v>
      </c>
      <c r="AD122" s="8" t="b">
        <v>1</v>
      </c>
      <c r="AE122" s="8" t="b">
        <v>0</v>
      </c>
      <c r="AG122" s="11" t="b" cm="1">
        <f t="array" ref="AG122">IF(OR(Y122:AA122="TRUE", AE122="true"), "Threatened")</f>
        <v>0</v>
      </c>
      <c r="AH122" s="11" t="s">
        <v>450</v>
      </c>
      <c r="AI122" s="8" t="b">
        <v>1</v>
      </c>
    </row>
    <row r="123" spans="1:35" ht="31.2">
      <c r="A123" s="8">
        <v>-73.97125278</v>
      </c>
      <c r="B123" s="8">
        <v>40.776331040000002</v>
      </c>
      <c r="C123" s="8" t="s">
        <v>451</v>
      </c>
      <c r="D123" s="8" t="s">
        <v>426</v>
      </c>
      <c r="E123" s="8" t="b">
        <f t="shared" si="1"/>
        <v>0</v>
      </c>
      <c r="F123" s="8" t="b" cm="1">
        <f t="array" ref="F123">_xlfn._xlws.FILTER(E123:E3321, C123:C3321= "6D-PM-1020-01", "No Squirrels Found")</f>
        <v>0</v>
      </c>
      <c r="G123" s="8" t="s">
        <v>48</v>
      </c>
      <c r="H123" s="10">
        <v>10142018</v>
      </c>
      <c r="I123" s="10">
        <v>8</v>
      </c>
      <c r="J123" s="8" t="s">
        <v>39</v>
      </c>
      <c r="K123" s="8" t="s">
        <v>40</v>
      </c>
      <c r="L123" s="8" t="s">
        <v>41</v>
      </c>
      <c r="M123" s="8" t="s">
        <v>42</v>
      </c>
      <c r="N123" s="11" t="s">
        <v>452</v>
      </c>
      <c r="O123" s="8" t="s">
        <v>43</v>
      </c>
      <c r="P123" s="8" t="b">
        <v>0</v>
      </c>
      <c r="R123" s="8" t="b">
        <v>0</v>
      </c>
      <c r="S123" s="8" t="b">
        <v>0</v>
      </c>
      <c r="T123" s="8" t="b">
        <v>0</v>
      </c>
      <c r="U123" s="8" t="b">
        <v>0</v>
      </c>
      <c r="V123" s="8" t="b">
        <v>1</v>
      </c>
      <c r="X123" s="8" t="b">
        <v>0</v>
      </c>
      <c r="Y123" s="8" t="b">
        <v>0</v>
      </c>
      <c r="Z123" s="8" t="b">
        <v>0</v>
      </c>
      <c r="AA123" s="8" t="b">
        <v>0</v>
      </c>
      <c r="AB123" s="8" t="b">
        <v>0</v>
      </c>
      <c r="AC123" s="8" t="b">
        <v>0</v>
      </c>
      <c r="AD123" s="8" t="b">
        <v>0</v>
      </c>
      <c r="AE123" s="8" t="b">
        <v>1</v>
      </c>
      <c r="AG123" s="11" t="b" cm="1">
        <f t="array" ref="AG123">IF(OR(Y123:AA123="TRUE", AE123="true"), "Threatened")</f>
        <v>0</v>
      </c>
      <c r="AH123" s="11" t="s">
        <v>453</v>
      </c>
      <c r="AI123" s="8" t="b">
        <v>1</v>
      </c>
    </row>
    <row r="124" spans="1:35" ht="31.2">
      <c r="A124" s="8">
        <v>-73.967114710000004</v>
      </c>
      <c r="B124" s="8">
        <v>40.777262460000003</v>
      </c>
      <c r="C124" s="8" t="s">
        <v>454</v>
      </c>
      <c r="D124" s="8" t="s">
        <v>296</v>
      </c>
      <c r="E124" s="8" t="b">
        <f t="shared" si="1"/>
        <v>0</v>
      </c>
      <c r="F124" s="8" t="b" cm="1">
        <f t="array" ref="F124">_xlfn._xlws.FILTER(E124:E3322, C124:C3322= "6D-PM-1020-01", "No Squirrels Found")</f>
        <v>0</v>
      </c>
      <c r="G124" s="8" t="s">
        <v>48</v>
      </c>
      <c r="H124" s="10">
        <v>10102018</v>
      </c>
      <c r="I124" s="10">
        <v>3</v>
      </c>
      <c r="J124" s="8" t="s">
        <v>39</v>
      </c>
      <c r="K124" s="8" t="s">
        <v>40</v>
      </c>
      <c r="L124" s="8" t="s">
        <v>84</v>
      </c>
      <c r="M124" s="8" t="s">
        <v>103</v>
      </c>
      <c r="O124" s="8" t="s">
        <v>43</v>
      </c>
      <c r="P124" s="8" t="b">
        <v>0</v>
      </c>
      <c r="R124" s="8" t="b">
        <v>0</v>
      </c>
      <c r="S124" s="8" t="b">
        <v>0</v>
      </c>
      <c r="T124" s="8" t="b">
        <v>0</v>
      </c>
      <c r="U124" s="8" t="b">
        <v>0</v>
      </c>
      <c r="V124" s="8" t="b">
        <v>1</v>
      </c>
      <c r="W124" s="11" t="s">
        <v>455</v>
      </c>
      <c r="X124" s="8" t="b">
        <v>1</v>
      </c>
      <c r="Y124" s="8" t="b">
        <v>0</v>
      </c>
      <c r="Z124" s="8" t="b">
        <v>0</v>
      </c>
      <c r="AA124" s="8" t="b">
        <v>0</v>
      </c>
      <c r="AB124" s="8" t="b">
        <v>0</v>
      </c>
      <c r="AC124" s="8" t="b">
        <v>0</v>
      </c>
      <c r="AD124" s="8" t="b">
        <v>0</v>
      </c>
      <c r="AE124" s="8" t="b">
        <v>1</v>
      </c>
      <c r="AG124" s="11" t="b" cm="1">
        <f t="array" ref="AG124">IF(OR(Y124:AA124="TRUE", AE124="true"), "Threatened")</f>
        <v>0</v>
      </c>
      <c r="AH124" s="11" t="s">
        <v>456</v>
      </c>
      <c r="AI124" s="8" t="b">
        <v>0</v>
      </c>
    </row>
    <row r="125" spans="1:35" ht="31.2">
      <c r="A125" s="8">
        <v>-73.958866029999996</v>
      </c>
      <c r="B125" s="8">
        <v>40.798259790000003</v>
      </c>
      <c r="C125" s="8" t="s">
        <v>457</v>
      </c>
      <c r="D125" s="8" t="s">
        <v>458</v>
      </c>
      <c r="E125" s="8" t="b">
        <f t="shared" si="1"/>
        <v>0</v>
      </c>
      <c r="F125" s="8" t="b" cm="1">
        <f t="array" ref="F125">_xlfn._xlws.FILTER(E125:E3323, C125:C3323= "6D-PM-1020-01", "No Squirrels Found")</f>
        <v>0</v>
      </c>
      <c r="G125" s="8" t="s">
        <v>48</v>
      </c>
      <c r="H125" s="10">
        <v>10102018</v>
      </c>
      <c r="I125" s="10">
        <v>3</v>
      </c>
      <c r="J125" s="8" t="s">
        <v>39</v>
      </c>
      <c r="K125" s="8" t="s">
        <v>40</v>
      </c>
      <c r="L125" s="8" t="s">
        <v>41</v>
      </c>
      <c r="M125" s="8" t="s">
        <v>42</v>
      </c>
      <c r="O125" s="8" t="s">
        <v>43</v>
      </c>
      <c r="P125" s="8" t="b">
        <v>0</v>
      </c>
      <c r="Q125" s="8" t="s">
        <v>459</v>
      </c>
      <c r="R125" s="8" t="b">
        <v>0</v>
      </c>
      <c r="S125" s="8" t="b">
        <v>0</v>
      </c>
      <c r="T125" s="8" t="b">
        <v>0</v>
      </c>
      <c r="U125" s="8" t="b">
        <v>1</v>
      </c>
      <c r="V125" s="8" t="b">
        <v>1</v>
      </c>
      <c r="X125" s="8" t="b">
        <v>0</v>
      </c>
      <c r="Y125" s="8" t="b">
        <v>0</v>
      </c>
      <c r="Z125" s="8" t="b">
        <v>0</v>
      </c>
      <c r="AA125" s="8" t="b">
        <v>1</v>
      </c>
      <c r="AB125" s="8" t="b">
        <v>0</v>
      </c>
      <c r="AC125" s="8" t="b">
        <v>0</v>
      </c>
      <c r="AD125" s="8" t="b">
        <v>1</v>
      </c>
      <c r="AE125" s="8" t="b">
        <v>1</v>
      </c>
      <c r="AF125" s="11" t="s">
        <v>460</v>
      </c>
      <c r="AG125" s="11" t="b" cm="1">
        <f t="array" ref="AG125">IF(OR(Y125:AA125="TRUE", AE125="true"), "Threatened")</f>
        <v>0</v>
      </c>
      <c r="AH125" s="11" t="s">
        <v>461</v>
      </c>
      <c r="AI125" s="8" t="b">
        <v>1</v>
      </c>
    </row>
    <row r="126" spans="1:35" ht="31.2">
      <c r="A126" s="8">
        <v>-73.965160150000003</v>
      </c>
      <c r="B126" s="8">
        <v>40.776184180000001</v>
      </c>
      <c r="C126" s="8" t="s">
        <v>462</v>
      </c>
      <c r="D126" s="8" t="s">
        <v>419</v>
      </c>
      <c r="E126" s="8" t="b">
        <f t="shared" si="1"/>
        <v>0</v>
      </c>
      <c r="F126" s="8" t="b" cm="1">
        <f t="array" ref="F126">_xlfn._xlws.FILTER(E126:E3324, C126:C3324= "6D-PM-1020-01", "No Squirrels Found")</f>
        <v>0</v>
      </c>
      <c r="G126" s="8" t="s">
        <v>34</v>
      </c>
      <c r="H126" s="10">
        <v>10122018</v>
      </c>
      <c r="I126" s="10">
        <v>7</v>
      </c>
      <c r="J126" s="8" t="s">
        <v>39</v>
      </c>
      <c r="K126" s="8" t="s">
        <v>41</v>
      </c>
      <c r="M126" s="8" t="s">
        <v>49</v>
      </c>
      <c r="O126" s="8" t="s">
        <v>43</v>
      </c>
      <c r="P126" s="8" t="b">
        <v>0</v>
      </c>
      <c r="R126" s="8" t="b">
        <v>1</v>
      </c>
      <c r="S126" s="8" t="b">
        <v>0</v>
      </c>
      <c r="T126" s="8" t="b">
        <v>0</v>
      </c>
      <c r="U126" s="8" t="b">
        <v>0</v>
      </c>
      <c r="V126" s="8" t="b">
        <v>1</v>
      </c>
      <c r="X126" s="8" t="b">
        <v>0</v>
      </c>
      <c r="Y126" s="8" t="b">
        <v>0</v>
      </c>
      <c r="Z126" s="8" t="b">
        <v>0</v>
      </c>
      <c r="AA126" s="8" t="b">
        <v>0</v>
      </c>
      <c r="AB126" s="8" t="b">
        <v>0</v>
      </c>
      <c r="AC126" s="8" t="b">
        <v>0</v>
      </c>
      <c r="AD126" s="8" t="b">
        <v>0</v>
      </c>
      <c r="AE126" s="8" t="b">
        <v>0</v>
      </c>
      <c r="AG126" s="11" t="b" cm="1">
        <f t="array" ref="AG126">IF(OR(Y126:AA126="TRUE", AE126="true"), "Threatened")</f>
        <v>0</v>
      </c>
      <c r="AH126" s="11" t="s">
        <v>463</v>
      </c>
      <c r="AI126" s="8" t="b">
        <v>1</v>
      </c>
    </row>
    <row r="127" spans="1:35" ht="31.2">
      <c r="A127" s="8">
        <v>-73.979215550000006</v>
      </c>
      <c r="B127" s="8">
        <v>40.76937118</v>
      </c>
      <c r="C127" s="8" t="s">
        <v>464</v>
      </c>
      <c r="D127" s="8" t="s">
        <v>465</v>
      </c>
      <c r="E127" s="8" t="b">
        <f t="shared" si="1"/>
        <v>0</v>
      </c>
      <c r="F127" s="8" t="b" cm="1">
        <f t="array" ref="F127">_xlfn._xlws.FILTER(E127:E3325, C127:C3325= "6D-PM-1020-01", "No Squirrels Found")</f>
        <v>0</v>
      </c>
      <c r="G127" s="8" t="s">
        <v>34</v>
      </c>
      <c r="H127" s="10">
        <v>10072018</v>
      </c>
      <c r="I127" s="10">
        <v>11</v>
      </c>
      <c r="J127" s="8" t="s">
        <v>39</v>
      </c>
      <c r="K127" s="8" t="s">
        <v>40</v>
      </c>
      <c r="M127" s="8" t="s">
        <v>55</v>
      </c>
      <c r="O127" s="8" t="s">
        <v>50</v>
      </c>
      <c r="P127" s="8">
        <v>5</v>
      </c>
      <c r="Q127" s="8" t="s">
        <v>466</v>
      </c>
      <c r="R127" s="8" t="b">
        <v>0</v>
      </c>
      <c r="S127" s="8" t="b">
        <v>0</v>
      </c>
      <c r="T127" s="8" t="b">
        <v>1</v>
      </c>
      <c r="U127" s="8" t="b">
        <v>0</v>
      </c>
      <c r="V127" s="8" t="b">
        <v>0</v>
      </c>
      <c r="X127" s="8" t="b">
        <v>0</v>
      </c>
      <c r="Y127" s="8" t="b">
        <v>0</v>
      </c>
      <c r="Z127" s="8" t="b">
        <v>0</v>
      </c>
      <c r="AA127" s="8" t="b">
        <v>0</v>
      </c>
      <c r="AB127" s="8" t="b">
        <v>0</v>
      </c>
      <c r="AC127" s="8" t="b">
        <v>0</v>
      </c>
      <c r="AD127" s="8" t="b">
        <v>0</v>
      </c>
      <c r="AE127" s="8" t="b">
        <v>0</v>
      </c>
      <c r="AG127" s="11" t="b" cm="1">
        <f t="array" ref="AG127">IF(OR(Y127:AA127="TRUE", AE127="true"), "Threatened")</f>
        <v>0</v>
      </c>
      <c r="AH127" s="11" t="s">
        <v>467</v>
      </c>
      <c r="AI127" s="8" t="b">
        <v>1</v>
      </c>
    </row>
    <row r="128" spans="1:35" ht="31.2">
      <c r="A128" s="8">
        <v>-73.966410049999993</v>
      </c>
      <c r="B128" s="8">
        <v>40.782877890000002</v>
      </c>
      <c r="C128" s="8" t="s">
        <v>468</v>
      </c>
      <c r="D128" s="8" t="s">
        <v>469</v>
      </c>
      <c r="E128" s="8" t="b">
        <f t="shared" si="1"/>
        <v>0</v>
      </c>
      <c r="F128" s="8" t="b" cm="1">
        <f t="array" ref="F128">_xlfn._xlws.FILTER(E128:E3326, C128:C3326= "6D-PM-1020-01", "No Squirrels Found")</f>
        <v>0</v>
      </c>
      <c r="G128" s="8" t="s">
        <v>48</v>
      </c>
      <c r="H128" s="10">
        <v>10082018</v>
      </c>
      <c r="I128" s="10">
        <v>2</v>
      </c>
      <c r="J128" s="8" t="s">
        <v>39</v>
      </c>
      <c r="K128" s="8" t="s">
        <v>40</v>
      </c>
      <c r="M128" s="8" t="s">
        <v>55</v>
      </c>
      <c r="O128" s="8" t="s">
        <v>43</v>
      </c>
      <c r="P128" s="8" t="b">
        <v>0</v>
      </c>
      <c r="R128" s="8" t="b">
        <v>0</v>
      </c>
      <c r="S128" s="8" t="b">
        <v>0</v>
      </c>
      <c r="T128" s="8" t="b">
        <v>0</v>
      </c>
      <c r="U128" s="8" t="b">
        <v>0</v>
      </c>
      <c r="V128" s="8" t="b">
        <v>1</v>
      </c>
      <c r="X128" s="8" t="b">
        <v>0</v>
      </c>
      <c r="Y128" s="8" t="b">
        <v>0</v>
      </c>
      <c r="Z128" s="8" t="b">
        <v>0</v>
      </c>
      <c r="AA128" s="8" t="b">
        <v>0</v>
      </c>
      <c r="AB128" s="8" t="b">
        <v>1</v>
      </c>
      <c r="AC128" s="8" t="b">
        <v>0</v>
      </c>
      <c r="AD128" s="8" t="b">
        <v>1</v>
      </c>
      <c r="AE128" s="8" t="b">
        <v>0</v>
      </c>
      <c r="AG128" s="11" t="b" cm="1">
        <f t="array" ref="AG128">IF(OR(Y128:AA128="TRUE", AE128="true"), "Threatened")</f>
        <v>0</v>
      </c>
      <c r="AH128" s="11" t="s">
        <v>470</v>
      </c>
      <c r="AI128" s="8" t="b">
        <v>1</v>
      </c>
    </row>
    <row r="129" spans="1:35" ht="31.2">
      <c r="A129" s="8">
        <v>-73.974622909999994</v>
      </c>
      <c r="B129" s="8">
        <v>40.774846709999998</v>
      </c>
      <c r="C129" s="8" t="s">
        <v>471</v>
      </c>
      <c r="D129" s="8" t="s">
        <v>472</v>
      </c>
      <c r="E129" s="8" t="b">
        <f t="shared" si="1"/>
        <v>0</v>
      </c>
      <c r="F129" s="8" t="b" cm="1">
        <f t="array" ref="F129">_xlfn._xlws.FILTER(E129:E3327, C129:C3327= "6D-PM-1020-01", "No Squirrels Found")</f>
        <v>0</v>
      </c>
      <c r="G129" s="8" t="s">
        <v>34</v>
      </c>
      <c r="H129" s="10">
        <v>10142018</v>
      </c>
      <c r="I129" s="10">
        <v>5</v>
      </c>
      <c r="J129" s="8" t="s">
        <v>39</v>
      </c>
      <c r="K129" s="8" t="s">
        <v>40</v>
      </c>
      <c r="L129" s="8" t="s">
        <v>84</v>
      </c>
      <c r="M129" s="8" t="s">
        <v>103</v>
      </c>
      <c r="O129" s="8" t="s">
        <v>43</v>
      </c>
      <c r="P129" s="8" t="b">
        <v>0</v>
      </c>
      <c r="R129" s="8" t="b">
        <v>0</v>
      </c>
      <c r="S129" s="8" t="b">
        <v>0</v>
      </c>
      <c r="T129" s="8" t="b">
        <v>0</v>
      </c>
      <c r="U129" s="8" t="b">
        <v>1</v>
      </c>
      <c r="V129" s="8" t="b">
        <v>1</v>
      </c>
      <c r="X129" s="8" t="b">
        <v>0</v>
      </c>
      <c r="Y129" s="8" t="b">
        <v>0</v>
      </c>
      <c r="Z129" s="8" t="b">
        <v>0</v>
      </c>
      <c r="AA129" s="8" t="b">
        <v>0</v>
      </c>
      <c r="AB129" s="8" t="b">
        <v>1</v>
      </c>
      <c r="AC129" s="8" t="b">
        <v>0</v>
      </c>
      <c r="AD129" s="8" t="b">
        <v>0</v>
      </c>
      <c r="AE129" s="8" t="b">
        <v>0</v>
      </c>
      <c r="AF129" s="11" t="s">
        <v>473</v>
      </c>
      <c r="AG129" s="11" t="b" cm="1">
        <f t="array" ref="AG129">IF(OR(Y129:AA129="TRUE", AE129="true"), "Threatened")</f>
        <v>0</v>
      </c>
      <c r="AH129" s="11" t="s">
        <v>474</v>
      </c>
      <c r="AI129" s="8" t="b">
        <v>1</v>
      </c>
    </row>
    <row r="130" spans="1:35" ht="31.2">
      <c r="A130" s="8">
        <v>-73.970509300000003</v>
      </c>
      <c r="B130" s="8">
        <v>40.776109300000002</v>
      </c>
      <c r="C130" s="8" t="s">
        <v>475</v>
      </c>
      <c r="D130" s="8" t="s">
        <v>79</v>
      </c>
      <c r="E130" s="8" t="b">
        <f t="shared" si="1"/>
        <v>0</v>
      </c>
      <c r="F130" s="8" t="b" cm="1">
        <f t="array" ref="F130">_xlfn._xlws.FILTER(E130:E3328, C130:C3328= "6D-PM-1020-01", "No Squirrels Found")</f>
        <v>0</v>
      </c>
      <c r="G130" s="8" t="s">
        <v>34</v>
      </c>
      <c r="H130" s="10">
        <v>10082018</v>
      </c>
      <c r="I130" s="10">
        <v>7</v>
      </c>
      <c r="J130" s="8" t="s">
        <v>39</v>
      </c>
      <c r="K130" s="8" t="s">
        <v>40</v>
      </c>
      <c r="M130" s="8" t="s">
        <v>55</v>
      </c>
      <c r="O130" s="8" t="s">
        <v>43</v>
      </c>
      <c r="P130" s="8" t="b">
        <v>0</v>
      </c>
      <c r="R130" s="8" t="b">
        <v>0</v>
      </c>
      <c r="S130" s="8" t="b">
        <v>0</v>
      </c>
      <c r="T130" s="8" t="b">
        <v>0</v>
      </c>
      <c r="U130" s="8" t="b">
        <v>1</v>
      </c>
      <c r="V130" s="8" t="b">
        <v>1</v>
      </c>
      <c r="X130" s="8" t="b">
        <v>0</v>
      </c>
      <c r="Y130" s="8" t="b">
        <v>0</v>
      </c>
      <c r="Z130" s="8" t="b">
        <v>0</v>
      </c>
      <c r="AA130" s="8" t="b">
        <v>0</v>
      </c>
      <c r="AB130" s="8" t="b">
        <v>0</v>
      </c>
      <c r="AC130" s="8" t="b">
        <v>0</v>
      </c>
      <c r="AD130" s="8" t="b">
        <v>1</v>
      </c>
      <c r="AE130" s="8" t="b">
        <v>0</v>
      </c>
      <c r="AG130" s="11" t="b" cm="1">
        <f t="array" ref="AG130">IF(OR(Y130:AA130="TRUE", AE130="true"), "Threatened")</f>
        <v>0</v>
      </c>
      <c r="AH130" s="11" t="s">
        <v>476</v>
      </c>
      <c r="AI130" s="8" t="b">
        <v>1</v>
      </c>
    </row>
    <row r="131" spans="1:35" ht="31.2">
      <c r="A131" s="8">
        <v>-73.958165589999993</v>
      </c>
      <c r="B131" s="8">
        <v>40.799770819999999</v>
      </c>
      <c r="C131" s="8" t="s">
        <v>477</v>
      </c>
      <c r="D131" s="8" t="s">
        <v>478</v>
      </c>
      <c r="E131" s="8" t="b">
        <f t="shared" ref="E131:E194" si="2">OR(D131 = "05D", D131 = "07D", D131 = "06C", D131 = "06E")</f>
        <v>0</v>
      </c>
      <c r="F131" s="8" t="b" cm="1">
        <f t="array" ref="F131">_xlfn._xlws.FILTER(E131:E3329, C131:C3329= "6D-PM-1020-01", "No Squirrels Found")</f>
        <v>0</v>
      </c>
      <c r="G131" s="8" t="s">
        <v>34</v>
      </c>
      <c r="H131" s="10">
        <v>10072018</v>
      </c>
      <c r="I131" s="10">
        <v>6</v>
      </c>
      <c r="J131" s="8" t="s">
        <v>39</v>
      </c>
      <c r="K131" s="8" t="s">
        <v>192</v>
      </c>
      <c r="M131" s="8" t="s">
        <v>193</v>
      </c>
      <c r="O131" s="8" t="s">
        <v>43</v>
      </c>
      <c r="P131" s="8" t="b">
        <v>0</v>
      </c>
      <c r="R131" s="8" t="b">
        <v>1</v>
      </c>
      <c r="S131" s="8" t="b">
        <v>0</v>
      </c>
      <c r="T131" s="8" t="b">
        <v>1</v>
      </c>
      <c r="U131" s="8" t="b">
        <v>1</v>
      </c>
      <c r="V131" s="8" t="b">
        <v>0</v>
      </c>
      <c r="X131" s="8" t="b">
        <v>0</v>
      </c>
      <c r="Y131" s="8" t="b">
        <v>0</v>
      </c>
      <c r="Z131" s="8" t="b">
        <v>0</v>
      </c>
      <c r="AA131" s="8" t="b">
        <v>0</v>
      </c>
      <c r="AB131" s="8" t="b">
        <v>0</v>
      </c>
      <c r="AC131" s="8" t="b">
        <v>0</v>
      </c>
      <c r="AD131" s="8" t="b">
        <v>0</v>
      </c>
      <c r="AE131" s="8" t="b">
        <v>1</v>
      </c>
      <c r="AG131" s="11" t="b" cm="1">
        <f t="array" ref="AG131">IF(OR(Y131:AA131="TRUE", AE131="true"), "Threatened")</f>
        <v>0</v>
      </c>
      <c r="AH131" s="11" t="s">
        <v>479</v>
      </c>
      <c r="AI131" s="8" t="b">
        <v>1</v>
      </c>
    </row>
    <row r="132" spans="1:35" ht="31.2">
      <c r="A132" s="8">
        <v>-73.975556080000004</v>
      </c>
      <c r="B132" s="8">
        <v>40.766299230000001</v>
      </c>
      <c r="C132" s="8" t="s">
        <v>480</v>
      </c>
      <c r="D132" s="8" t="s">
        <v>481</v>
      </c>
      <c r="E132" s="8" t="b">
        <f t="shared" si="2"/>
        <v>0</v>
      </c>
      <c r="F132" s="8" t="b" cm="1">
        <f t="array" ref="F132">_xlfn._xlws.FILTER(E132:E3330, C132:C3330= "6D-PM-1020-01", "No Squirrels Found")</f>
        <v>0</v>
      </c>
      <c r="G132" s="8" t="s">
        <v>48</v>
      </c>
      <c r="H132" s="10">
        <v>10062018</v>
      </c>
      <c r="I132" s="10">
        <v>5</v>
      </c>
      <c r="J132" s="8" t="s">
        <v>39</v>
      </c>
      <c r="K132" s="8" t="s">
        <v>40</v>
      </c>
      <c r="L132" s="8" t="s">
        <v>117</v>
      </c>
      <c r="M132" s="8" t="s">
        <v>118</v>
      </c>
      <c r="O132" s="8" t="s">
        <v>43</v>
      </c>
      <c r="P132" s="8" t="b">
        <v>0</v>
      </c>
      <c r="R132" s="8" t="b">
        <v>0</v>
      </c>
      <c r="S132" s="8" t="b">
        <v>0</v>
      </c>
      <c r="T132" s="8" t="b">
        <v>0</v>
      </c>
      <c r="U132" s="8" t="b">
        <v>0</v>
      </c>
      <c r="V132" s="8" t="b">
        <v>1</v>
      </c>
      <c r="X132" s="8" t="b">
        <v>0</v>
      </c>
      <c r="Y132" s="8" t="b">
        <v>0</v>
      </c>
      <c r="Z132" s="8" t="b">
        <v>0</v>
      </c>
      <c r="AA132" s="8" t="b">
        <v>0</v>
      </c>
      <c r="AB132" s="8" t="b">
        <v>0</v>
      </c>
      <c r="AC132" s="8" t="b">
        <v>0</v>
      </c>
      <c r="AD132" s="8" t="b">
        <v>0</v>
      </c>
      <c r="AE132" s="8" t="b">
        <v>0</v>
      </c>
      <c r="AF132" s="11" t="s">
        <v>482</v>
      </c>
      <c r="AG132" s="11" t="b" cm="1">
        <f t="array" ref="AG132">IF(OR(Y132:AA132="TRUE", AE132="true"), "Threatened")</f>
        <v>0</v>
      </c>
      <c r="AH132" s="11" t="s">
        <v>483</v>
      </c>
      <c r="AI132" s="8" t="b">
        <v>1</v>
      </c>
    </row>
    <row r="133" spans="1:35" ht="31.2">
      <c r="A133" s="8">
        <v>-73.969643349999998</v>
      </c>
      <c r="B133" s="8">
        <v>40.782820809999997</v>
      </c>
      <c r="C133" s="8" t="s">
        <v>484</v>
      </c>
      <c r="D133" s="8" t="s">
        <v>102</v>
      </c>
      <c r="E133" s="8" t="b">
        <f t="shared" si="2"/>
        <v>0</v>
      </c>
      <c r="F133" s="8" t="b" cm="1">
        <f t="array" ref="F133">_xlfn._xlws.FILTER(E133:E3331, C133:C3331= "6D-PM-1020-01", "No Squirrels Found")</f>
        <v>0</v>
      </c>
      <c r="G133" s="8" t="s">
        <v>48</v>
      </c>
      <c r="H133" s="10">
        <v>10072018</v>
      </c>
      <c r="I133" s="10">
        <v>1</v>
      </c>
      <c r="J133" s="8" t="s">
        <v>39</v>
      </c>
      <c r="K133" s="8" t="s">
        <v>40</v>
      </c>
      <c r="L133" s="8" t="s">
        <v>41</v>
      </c>
      <c r="M133" s="8" t="s">
        <v>42</v>
      </c>
      <c r="O133" s="8" t="s">
        <v>43</v>
      </c>
      <c r="P133" s="8" t="b">
        <v>0</v>
      </c>
      <c r="R133" s="8" t="b">
        <v>0</v>
      </c>
      <c r="S133" s="8" t="b">
        <v>0</v>
      </c>
      <c r="T133" s="8" t="b">
        <v>0</v>
      </c>
      <c r="U133" s="8" t="b">
        <v>0</v>
      </c>
      <c r="V133" s="8" t="b">
        <v>1</v>
      </c>
      <c r="W133" s="11" t="s">
        <v>485</v>
      </c>
      <c r="X133" s="8" t="b">
        <v>0</v>
      </c>
      <c r="Y133" s="8" t="b">
        <v>0</v>
      </c>
      <c r="Z133" s="8" t="b">
        <v>0</v>
      </c>
      <c r="AA133" s="8" t="b">
        <v>0</v>
      </c>
      <c r="AB133" s="8" t="b">
        <v>0</v>
      </c>
      <c r="AC133" s="8" t="b">
        <v>0</v>
      </c>
      <c r="AD133" s="8" t="b">
        <v>1</v>
      </c>
      <c r="AE133" s="8" t="b">
        <v>0</v>
      </c>
      <c r="AG133" s="11" t="b" cm="1">
        <f t="array" ref="AG133">IF(OR(Y133:AA133="TRUE", AE133="true"), "Threatened")</f>
        <v>0</v>
      </c>
      <c r="AH133" s="11" t="s">
        <v>486</v>
      </c>
      <c r="AI133" s="8" t="b">
        <v>0</v>
      </c>
    </row>
    <row r="134" spans="1:35" ht="31.2">
      <c r="A134" s="8">
        <v>-73.966471159999998</v>
      </c>
      <c r="B134" s="8">
        <v>40.787896430000004</v>
      </c>
      <c r="C134" s="8" t="s">
        <v>487</v>
      </c>
      <c r="D134" s="8" t="s">
        <v>488</v>
      </c>
      <c r="E134" s="8" t="b">
        <f t="shared" si="2"/>
        <v>0</v>
      </c>
      <c r="F134" s="8" t="b" cm="1">
        <f t="array" ref="F134">_xlfn._xlws.FILTER(E134:E3332, C134:C3332= "6D-PM-1020-01", "No Squirrels Found")</f>
        <v>0</v>
      </c>
      <c r="G134" s="8" t="s">
        <v>34</v>
      </c>
      <c r="H134" s="10">
        <v>10062018</v>
      </c>
      <c r="I134" s="10">
        <v>6</v>
      </c>
      <c r="J134" s="8" t="s">
        <v>39</v>
      </c>
      <c r="K134" s="8" t="s">
        <v>40</v>
      </c>
      <c r="L134" s="8" t="s">
        <v>41</v>
      </c>
      <c r="M134" s="8" t="s">
        <v>42</v>
      </c>
      <c r="O134" s="8" t="s">
        <v>43</v>
      </c>
      <c r="P134" s="8" t="b">
        <v>0</v>
      </c>
      <c r="Q134" s="8" t="s">
        <v>489</v>
      </c>
      <c r="R134" s="8" t="b">
        <v>0</v>
      </c>
      <c r="S134" s="8" t="b">
        <v>0</v>
      </c>
      <c r="T134" s="8" t="b">
        <v>1</v>
      </c>
      <c r="U134" s="8" t="b">
        <v>0</v>
      </c>
      <c r="V134" s="8" t="b">
        <v>0</v>
      </c>
      <c r="X134" s="8" t="b">
        <v>0</v>
      </c>
      <c r="Y134" s="8" t="b">
        <v>0</v>
      </c>
      <c r="Z134" s="8" t="b">
        <v>0</v>
      </c>
      <c r="AA134" s="8" t="b">
        <v>1</v>
      </c>
      <c r="AB134" s="8" t="b">
        <v>0</v>
      </c>
      <c r="AC134" s="8" t="b">
        <v>0</v>
      </c>
      <c r="AD134" s="8" t="b">
        <v>0</v>
      </c>
      <c r="AE134" s="8" t="b">
        <v>0</v>
      </c>
      <c r="AF134" s="11" t="s">
        <v>490</v>
      </c>
      <c r="AG134" s="11" t="b" cm="1">
        <f t="array" ref="AG134">IF(OR(Y134:AA134="TRUE", AE134="true"), "Threatened")</f>
        <v>0</v>
      </c>
      <c r="AH134" s="11" t="s">
        <v>491</v>
      </c>
      <c r="AI134" s="8" t="b">
        <v>1</v>
      </c>
    </row>
    <row r="135" spans="1:35" ht="31.2">
      <c r="A135" s="8">
        <v>-73.957594380000003</v>
      </c>
      <c r="B135" s="8">
        <v>40.793375529999999</v>
      </c>
      <c r="C135" s="8" t="s">
        <v>492</v>
      </c>
      <c r="D135" s="8" t="s">
        <v>493</v>
      </c>
      <c r="E135" s="8" t="b">
        <f t="shared" si="2"/>
        <v>0</v>
      </c>
      <c r="F135" s="8" t="b" cm="1">
        <f t="array" ref="F135">_xlfn._xlws.FILTER(E135:E3333, C135:C3333= "6D-PM-1020-01", "No Squirrels Found")</f>
        <v>0</v>
      </c>
      <c r="G135" s="8" t="s">
        <v>34</v>
      </c>
      <c r="H135" s="10">
        <v>10062018</v>
      </c>
      <c r="I135" s="10">
        <v>7</v>
      </c>
      <c r="J135" s="8" t="s">
        <v>39</v>
      </c>
      <c r="K135" s="8" t="s">
        <v>40</v>
      </c>
      <c r="M135" s="8" t="s">
        <v>55</v>
      </c>
      <c r="O135" s="8" t="s">
        <v>43</v>
      </c>
      <c r="P135" s="8" t="b">
        <v>0</v>
      </c>
      <c r="R135" s="8" t="b">
        <v>0</v>
      </c>
      <c r="S135" s="8" t="b">
        <v>0</v>
      </c>
      <c r="T135" s="8" t="b">
        <v>0</v>
      </c>
      <c r="U135" s="8" t="b">
        <v>0</v>
      </c>
      <c r="V135" s="8" t="b">
        <v>1</v>
      </c>
      <c r="X135" s="8" t="b">
        <v>0</v>
      </c>
      <c r="Y135" s="8" t="b">
        <v>0</v>
      </c>
      <c r="Z135" s="8" t="b">
        <v>0</v>
      </c>
      <c r="AA135" s="8" t="b">
        <v>0</v>
      </c>
      <c r="AB135" s="8" t="b">
        <v>0</v>
      </c>
      <c r="AC135" s="8" t="b">
        <v>0</v>
      </c>
      <c r="AD135" s="8" t="b">
        <v>1</v>
      </c>
      <c r="AE135" s="8" t="b">
        <v>1</v>
      </c>
      <c r="AG135" s="11" t="b" cm="1">
        <f t="array" ref="AG135">IF(OR(Y135:AA135="TRUE", AE135="true"), "Threatened")</f>
        <v>0</v>
      </c>
      <c r="AH135" s="11" t="s">
        <v>494</v>
      </c>
      <c r="AI135" s="8" t="b">
        <v>1</v>
      </c>
    </row>
    <row r="136" spans="1:35" ht="31.2">
      <c r="A136" s="8">
        <v>-73.969416809999998</v>
      </c>
      <c r="B136" s="8">
        <v>40.772887740000002</v>
      </c>
      <c r="C136" s="8" t="s">
        <v>495</v>
      </c>
      <c r="D136" s="8" t="s">
        <v>496</v>
      </c>
      <c r="E136" s="8" t="b">
        <f t="shared" si="2"/>
        <v>0</v>
      </c>
      <c r="F136" s="8" t="b" cm="1">
        <f t="array" ref="F136">_xlfn._xlws.FILTER(E136:E3334, C136:C3334= "6D-PM-1020-01", "No Squirrels Found")</f>
        <v>0</v>
      </c>
      <c r="G136" s="8" t="s">
        <v>34</v>
      </c>
      <c r="H136" s="10">
        <v>10132018</v>
      </c>
      <c r="I136" s="10">
        <v>1</v>
      </c>
      <c r="J136" s="8" t="s">
        <v>39</v>
      </c>
      <c r="K136" s="8" t="s">
        <v>40</v>
      </c>
      <c r="L136" s="8" t="s">
        <v>41</v>
      </c>
      <c r="M136" s="8" t="s">
        <v>42</v>
      </c>
      <c r="O136" s="8" t="s">
        <v>50</v>
      </c>
      <c r="P136" s="8">
        <v>5</v>
      </c>
      <c r="Q136" s="8" t="s">
        <v>497</v>
      </c>
      <c r="R136" s="8" t="b">
        <v>0</v>
      </c>
      <c r="S136" s="8" t="b">
        <v>0</v>
      </c>
      <c r="T136" s="8" t="b">
        <v>1</v>
      </c>
      <c r="U136" s="8" t="b">
        <v>0</v>
      </c>
      <c r="V136" s="8" t="b">
        <v>1</v>
      </c>
      <c r="X136" s="8" t="b">
        <v>0</v>
      </c>
      <c r="Y136" s="8" t="b">
        <v>0</v>
      </c>
      <c r="Z136" s="8" t="b">
        <v>0</v>
      </c>
      <c r="AA136" s="8" t="b">
        <v>0</v>
      </c>
      <c r="AB136" s="8" t="b">
        <v>0</v>
      </c>
      <c r="AC136" s="8" t="b">
        <v>0</v>
      </c>
      <c r="AD136" s="8" t="b">
        <v>0</v>
      </c>
      <c r="AE136" s="8" t="b">
        <v>1</v>
      </c>
      <c r="AF136" s="11" t="s">
        <v>498</v>
      </c>
      <c r="AG136" s="11" t="b" cm="1">
        <f t="array" ref="AG136">IF(OR(Y136:AA136="TRUE", AE136="true"), "Threatened")</f>
        <v>0</v>
      </c>
      <c r="AH136" s="11" t="s">
        <v>499</v>
      </c>
      <c r="AI136" s="8" t="b">
        <v>1</v>
      </c>
    </row>
    <row r="137" spans="1:35" ht="31.2">
      <c r="A137" s="8">
        <v>-73.952868249999995</v>
      </c>
      <c r="B137" s="8">
        <v>40.792580780000002</v>
      </c>
      <c r="C137" s="8" t="s">
        <v>500</v>
      </c>
      <c r="D137" s="8" t="s">
        <v>106</v>
      </c>
      <c r="E137" s="8" t="b">
        <f t="shared" si="2"/>
        <v>0</v>
      </c>
      <c r="F137" s="8" t="b" cm="1">
        <f t="array" ref="F137">_xlfn._xlws.FILTER(E137:E3335, C137:C3335= "6D-PM-1020-01", "No Squirrels Found")</f>
        <v>0</v>
      </c>
      <c r="G137" s="8" t="s">
        <v>34</v>
      </c>
      <c r="H137" s="10">
        <v>10072018</v>
      </c>
      <c r="I137" s="10">
        <v>13</v>
      </c>
      <c r="J137" s="8" t="s">
        <v>39</v>
      </c>
      <c r="K137" s="8" t="s">
        <v>40</v>
      </c>
      <c r="L137" s="8" t="s">
        <v>41</v>
      </c>
      <c r="M137" s="8" t="s">
        <v>42</v>
      </c>
      <c r="O137" s="8" t="s">
        <v>43</v>
      </c>
      <c r="P137" s="8" t="b">
        <v>0</v>
      </c>
      <c r="R137" s="8" t="b">
        <v>0</v>
      </c>
      <c r="S137" s="8" t="b">
        <v>0</v>
      </c>
      <c r="T137" s="8" t="b">
        <v>0</v>
      </c>
      <c r="U137" s="8" t="b">
        <v>1</v>
      </c>
      <c r="V137" s="8" t="b">
        <v>0</v>
      </c>
      <c r="X137" s="8" t="b">
        <v>0</v>
      </c>
      <c r="Y137" s="8" t="b">
        <v>0</v>
      </c>
      <c r="Z137" s="8" t="b">
        <v>0</v>
      </c>
      <c r="AA137" s="8" t="b">
        <v>0</v>
      </c>
      <c r="AB137" s="8" t="b">
        <v>1</v>
      </c>
      <c r="AC137" s="8" t="b">
        <v>1</v>
      </c>
      <c r="AD137" s="8" t="b">
        <v>0</v>
      </c>
      <c r="AE137" s="8" t="b">
        <v>0</v>
      </c>
      <c r="AG137" s="11" t="b" cm="1">
        <f t="array" ref="AG137">IF(OR(Y137:AA137="TRUE", AE137="true"), "Threatened")</f>
        <v>0</v>
      </c>
      <c r="AH137" s="11" t="s">
        <v>501</v>
      </c>
      <c r="AI137" s="8" t="b">
        <v>1</v>
      </c>
    </row>
    <row r="138" spans="1:35" ht="31.2">
      <c r="A138" s="8">
        <v>-73.978241710000006</v>
      </c>
      <c r="B138" s="8">
        <v>40.7724665</v>
      </c>
      <c r="C138" s="8" t="s">
        <v>502</v>
      </c>
      <c r="D138" s="8" t="s">
        <v>503</v>
      </c>
      <c r="E138" s="8" t="b">
        <f t="shared" si="2"/>
        <v>0</v>
      </c>
      <c r="F138" s="8" t="b" cm="1">
        <f t="array" ref="F138">_xlfn._xlws.FILTER(E138:E3336, C138:C3336= "6D-PM-1020-01", "No Squirrels Found")</f>
        <v>0</v>
      </c>
      <c r="G138" s="8" t="s">
        <v>48</v>
      </c>
      <c r="H138" s="10">
        <v>10062018</v>
      </c>
      <c r="I138" s="10">
        <v>1</v>
      </c>
      <c r="J138" s="8" t="s">
        <v>39</v>
      </c>
      <c r="K138" s="8" t="s">
        <v>40</v>
      </c>
      <c r="L138" s="8" t="s">
        <v>84</v>
      </c>
      <c r="M138" s="8" t="s">
        <v>103</v>
      </c>
      <c r="O138" s="8" t="s">
        <v>50</v>
      </c>
      <c r="P138" s="8">
        <v>10</v>
      </c>
      <c r="Q138" s="8" t="s">
        <v>466</v>
      </c>
      <c r="R138" s="8" t="b">
        <v>0</v>
      </c>
      <c r="S138" s="8" t="b">
        <v>0</v>
      </c>
      <c r="T138" s="8" t="b">
        <v>0</v>
      </c>
      <c r="U138" s="8" t="b">
        <v>0</v>
      </c>
      <c r="V138" s="8" t="b">
        <v>1</v>
      </c>
      <c r="X138" s="8" t="b">
        <v>0</v>
      </c>
      <c r="Y138" s="8" t="b">
        <v>1</v>
      </c>
      <c r="Z138" s="8" t="b">
        <v>0</v>
      </c>
      <c r="AA138" s="8" t="b">
        <v>0</v>
      </c>
      <c r="AB138" s="8" t="b">
        <v>1</v>
      </c>
      <c r="AC138" s="8" t="b">
        <v>0</v>
      </c>
      <c r="AD138" s="8" t="b">
        <v>0</v>
      </c>
      <c r="AE138" s="8" t="b">
        <v>0</v>
      </c>
      <c r="AF138" s="11" t="s">
        <v>504</v>
      </c>
      <c r="AG138" s="11" t="b" cm="1">
        <f t="array" ref="AG138">IF(OR(Y138:AA138="TRUE", AE138="true"), "Threatened")</f>
        <v>0</v>
      </c>
      <c r="AH138" s="11" t="s">
        <v>505</v>
      </c>
      <c r="AI138" s="8" t="b">
        <v>1</v>
      </c>
    </row>
    <row r="139" spans="1:35" ht="31.2">
      <c r="A139" s="8">
        <v>-73.972144290000003</v>
      </c>
      <c r="B139" s="8">
        <v>40.770075079999998</v>
      </c>
      <c r="C139" s="8" t="s">
        <v>506</v>
      </c>
      <c r="D139" s="8" t="s">
        <v>413</v>
      </c>
      <c r="E139" s="8" t="b">
        <f t="shared" si="2"/>
        <v>0</v>
      </c>
      <c r="F139" s="8" t="b" cm="1">
        <f t="array" ref="F139">_xlfn._xlws.FILTER(E139:E3337, C139:C3337= "6D-PM-1020-01", "No Squirrels Found")</f>
        <v>0</v>
      </c>
      <c r="G139" s="8" t="s">
        <v>34</v>
      </c>
      <c r="H139" s="10">
        <v>10182018</v>
      </c>
      <c r="I139" s="10">
        <v>3</v>
      </c>
      <c r="J139" s="8" t="s">
        <v>39</v>
      </c>
      <c r="K139" s="8" t="s">
        <v>40</v>
      </c>
      <c r="M139" s="8" t="s">
        <v>55</v>
      </c>
      <c r="O139" s="8" t="s">
        <v>43</v>
      </c>
      <c r="P139" s="8" t="b">
        <v>0</v>
      </c>
      <c r="R139" s="8" t="b">
        <v>0</v>
      </c>
      <c r="S139" s="8" t="b">
        <v>0</v>
      </c>
      <c r="T139" s="8" t="b">
        <v>0</v>
      </c>
      <c r="U139" s="8" t="b">
        <v>0</v>
      </c>
      <c r="V139" s="8" t="b">
        <v>1</v>
      </c>
      <c r="X139" s="8" t="b">
        <v>0</v>
      </c>
      <c r="Y139" s="8" t="b">
        <v>0</v>
      </c>
      <c r="Z139" s="8" t="b">
        <v>0</v>
      </c>
      <c r="AA139" s="8" t="b">
        <v>0</v>
      </c>
      <c r="AB139" s="8" t="b">
        <v>0</v>
      </c>
      <c r="AC139" s="8" t="b">
        <v>0</v>
      </c>
      <c r="AD139" s="8" t="b">
        <v>0</v>
      </c>
      <c r="AE139" s="8" t="b">
        <v>0</v>
      </c>
      <c r="AG139" s="11" t="b" cm="1">
        <f t="array" ref="AG139">IF(OR(Y139:AA139="TRUE", AE139="true"), "Threatened")</f>
        <v>0</v>
      </c>
      <c r="AH139" s="11" t="s">
        <v>507</v>
      </c>
      <c r="AI139" s="8" t="b">
        <v>1</v>
      </c>
    </row>
    <row r="140" spans="1:35" ht="31.2">
      <c r="A140" s="8">
        <v>-73.969847380000004</v>
      </c>
      <c r="B140" s="8">
        <v>40.776988459999998</v>
      </c>
      <c r="C140" s="8" t="s">
        <v>508</v>
      </c>
      <c r="D140" s="8" t="s">
        <v>121</v>
      </c>
      <c r="E140" s="8" t="b">
        <f t="shared" si="2"/>
        <v>0</v>
      </c>
      <c r="F140" s="8" t="b" cm="1">
        <f t="array" ref="F140">_xlfn._xlws.FILTER(E140:E3338, C140:C3338= "6D-PM-1020-01", "No Squirrels Found")</f>
        <v>0</v>
      </c>
      <c r="G140" s="8" t="s">
        <v>48</v>
      </c>
      <c r="H140" s="10">
        <v>10082018</v>
      </c>
      <c r="I140" s="10">
        <v>5</v>
      </c>
      <c r="J140" s="8" t="s">
        <v>39</v>
      </c>
      <c r="K140" s="8" t="s">
        <v>40</v>
      </c>
      <c r="M140" s="8" t="s">
        <v>55</v>
      </c>
      <c r="O140" s="8" t="s">
        <v>50</v>
      </c>
      <c r="P140" s="8">
        <v>25</v>
      </c>
      <c r="R140" s="8" t="b">
        <v>0</v>
      </c>
      <c r="S140" s="8" t="b">
        <v>0</v>
      </c>
      <c r="T140" s="8" t="b">
        <v>1</v>
      </c>
      <c r="U140" s="8" t="b">
        <v>0</v>
      </c>
      <c r="V140" s="8" t="b">
        <v>0</v>
      </c>
      <c r="W140" s="11" t="s">
        <v>509</v>
      </c>
      <c r="X140" s="8" t="b">
        <v>0</v>
      </c>
      <c r="Y140" s="8" t="b">
        <v>0</v>
      </c>
      <c r="Z140" s="8" t="b">
        <v>0</v>
      </c>
      <c r="AA140" s="8" t="b">
        <v>0</v>
      </c>
      <c r="AB140" s="8" t="b">
        <v>0</v>
      </c>
      <c r="AC140" s="8" t="b">
        <v>0</v>
      </c>
      <c r="AD140" s="8" t="b">
        <v>1</v>
      </c>
      <c r="AE140" s="8" t="b">
        <v>0</v>
      </c>
      <c r="AG140" s="11" t="b" cm="1">
        <f t="array" ref="AG140">IF(OR(Y140:AA140="TRUE", AE140="true"), "Threatened")</f>
        <v>0</v>
      </c>
      <c r="AH140" s="11" t="s">
        <v>510</v>
      </c>
      <c r="AI140" s="8" t="b">
        <v>0</v>
      </c>
    </row>
    <row r="141" spans="1:35" ht="31.2">
      <c r="A141" s="8">
        <v>-73.976865279999998</v>
      </c>
      <c r="B141" s="8">
        <v>40.76848382</v>
      </c>
      <c r="C141" s="8" t="s">
        <v>511</v>
      </c>
      <c r="D141" s="8" t="s">
        <v>512</v>
      </c>
      <c r="E141" s="8" t="b">
        <f t="shared" si="2"/>
        <v>0</v>
      </c>
      <c r="F141" s="8" t="b" cm="1">
        <f t="array" ref="F141">_xlfn._xlws.FILTER(E141:E3339, C141:C3339= "6D-PM-1020-01", "No Squirrels Found")</f>
        <v>0</v>
      </c>
      <c r="G141" s="8" t="s">
        <v>34</v>
      </c>
      <c r="H141" s="10">
        <v>10102018</v>
      </c>
      <c r="I141" s="10">
        <v>3</v>
      </c>
      <c r="J141" s="8" t="s">
        <v>39</v>
      </c>
      <c r="K141" s="8" t="s">
        <v>41</v>
      </c>
      <c r="L141" s="8" t="s">
        <v>84</v>
      </c>
      <c r="M141" s="8" t="s">
        <v>85</v>
      </c>
      <c r="O141" s="8" t="s">
        <v>43</v>
      </c>
      <c r="P141" s="8" t="b">
        <v>0</v>
      </c>
      <c r="R141" s="8" t="b">
        <v>0</v>
      </c>
      <c r="S141" s="8" t="b">
        <v>0</v>
      </c>
      <c r="T141" s="8" t="b">
        <v>0</v>
      </c>
      <c r="U141" s="8" t="b">
        <v>0</v>
      </c>
      <c r="V141" s="8" t="b">
        <v>0</v>
      </c>
      <c r="X141" s="8" t="b">
        <v>0</v>
      </c>
      <c r="Y141" s="8" t="b">
        <v>0</v>
      </c>
      <c r="Z141" s="8" t="b">
        <v>0</v>
      </c>
      <c r="AA141" s="8" t="b">
        <v>0</v>
      </c>
      <c r="AB141" s="8" t="b">
        <v>0</v>
      </c>
      <c r="AC141" s="8" t="b">
        <v>0</v>
      </c>
      <c r="AD141" s="8" t="b">
        <v>0</v>
      </c>
      <c r="AE141" s="8" t="b">
        <v>0</v>
      </c>
      <c r="AG141" s="11" t="b" cm="1">
        <f t="array" ref="AG141">IF(OR(Y141:AA141="TRUE", AE141="true"), "Threatened")</f>
        <v>0</v>
      </c>
      <c r="AH141" s="11" t="s">
        <v>513</v>
      </c>
      <c r="AI141" s="8" t="b">
        <v>1</v>
      </c>
    </row>
    <row r="142" spans="1:35" ht="31.2">
      <c r="A142" s="8">
        <v>-73.959099280000004</v>
      </c>
      <c r="B142" s="8">
        <v>40.793758099999998</v>
      </c>
      <c r="C142" s="8" t="s">
        <v>514</v>
      </c>
      <c r="D142" s="8" t="s">
        <v>515</v>
      </c>
      <c r="E142" s="8" t="b">
        <f t="shared" si="2"/>
        <v>0</v>
      </c>
      <c r="F142" s="8" t="b" cm="1">
        <f t="array" ref="F142">_xlfn._xlws.FILTER(E142:E3340, C142:C3340= "6D-PM-1020-01", "No Squirrels Found")</f>
        <v>0</v>
      </c>
      <c r="G142" s="8" t="s">
        <v>34</v>
      </c>
      <c r="H142" s="10">
        <v>10132018</v>
      </c>
      <c r="I142" s="10">
        <v>9</v>
      </c>
      <c r="J142" s="8" t="s">
        <v>39</v>
      </c>
      <c r="K142" s="8" t="s">
        <v>40</v>
      </c>
      <c r="L142" s="8" t="s">
        <v>84</v>
      </c>
      <c r="M142" s="8" t="s">
        <v>103</v>
      </c>
      <c r="O142" s="8" t="s">
        <v>43</v>
      </c>
      <c r="P142" s="8" t="b">
        <v>0</v>
      </c>
      <c r="R142" s="8" t="b">
        <v>0</v>
      </c>
      <c r="S142" s="8" t="b">
        <v>0</v>
      </c>
      <c r="T142" s="8" t="b">
        <v>0</v>
      </c>
      <c r="U142" s="8" t="b">
        <v>0</v>
      </c>
      <c r="V142" s="8" t="b">
        <v>1</v>
      </c>
      <c r="X142" s="8" t="b">
        <v>0</v>
      </c>
      <c r="Y142" s="8" t="b">
        <v>0</v>
      </c>
      <c r="Z142" s="8" t="b">
        <v>0</v>
      </c>
      <c r="AA142" s="8" t="b">
        <v>0</v>
      </c>
      <c r="AB142" s="8" t="b">
        <v>0</v>
      </c>
      <c r="AC142" s="8" t="b">
        <v>0</v>
      </c>
      <c r="AD142" s="8" t="b">
        <v>1</v>
      </c>
      <c r="AE142" s="8" t="b">
        <v>0</v>
      </c>
      <c r="AG142" s="11" t="b" cm="1">
        <f t="array" ref="AG142">IF(OR(Y142:AA142="TRUE", AE142="true"), "Threatened")</f>
        <v>0</v>
      </c>
      <c r="AH142" s="11" t="s">
        <v>516</v>
      </c>
      <c r="AI142" s="8" t="b">
        <v>1</v>
      </c>
    </row>
    <row r="143" spans="1:35" ht="31.2">
      <c r="A143" s="8">
        <v>-73.972406399999997</v>
      </c>
      <c r="B143" s="8">
        <v>40.770571189999998</v>
      </c>
      <c r="C143" s="8" t="s">
        <v>517</v>
      </c>
      <c r="D143" s="8" t="s">
        <v>368</v>
      </c>
      <c r="E143" s="8" t="b">
        <f t="shared" si="2"/>
        <v>0</v>
      </c>
      <c r="F143" s="8" t="b" cm="1">
        <f t="array" ref="F143">_xlfn._xlws.FILTER(E143:E3341, C143:C3341= "6D-PM-1020-01", "No Squirrels Found")</f>
        <v>0</v>
      </c>
      <c r="G143" s="8" t="s">
        <v>34</v>
      </c>
      <c r="H143" s="10">
        <v>10122018</v>
      </c>
      <c r="I143" s="10">
        <v>1</v>
      </c>
      <c r="J143" s="8" t="s">
        <v>39</v>
      </c>
      <c r="K143" s="8" t="s">
        <v>40</v>
      </c>
      <c r="M143" s="8" t="s">
        <v>55</v>
      </c>
      <c r="O143" s="8" t="s">
        <v>43</v>
      </c>
      <c r="P143" s="8" t="b">
        <v>0</v>
      </c>
      <c r="R143" s="8" t="b">
        <v>1</v>
      </c>
      <c r="S143" s="8" t="b">
        <v>0</v>
      </c>
      <c r="T143" s="8" t="b">
        <v>0</v>
      </c>
      <c r="U143" s="8" t="b">
        <v>0</v>
      </c>
      <c r="V143" s="8" t="b">
        <v>0</v>
      </c>
      <c r="X143" s="8" t="b">
        <v>0</v>
      </c>
      <c r="Y143" s="8" t="b">
        <v>0</v>
      </c>
      <c r="Z143" s="8" t="b">
        <v>0</v>
      </c>
      <c r="AA143" s="8" t="b">
        <v>0</v>
      </c>
      <c r="AB143" s="8" t="b">
        <v>0</v>
      </c>
      <c r="AC143" s="8" t="b">
        <v>0</v>
      </c>
      <c r="AD143" s="8" t="b">
        <v>1</v>
      </c>
      <c r="AE143" s="8" t="b">
        <v>0</v>
      </c>
      <c r="AG143" s="11" t="b" cm="1">
        <f t="array" ref="AG143">IF(OR(Y143:AA143="TRUE", AE143="true"), "Threatened")</f>
        <v>0</v>
      </c>
      <c r="AH143" s="11" t="s">
        <v>518</v>
      </c>
      <c r="AI143" s="8" t="b">
        <v>1</v>
      </c>
    </row>
    <row r="144" spans="1:35" ht="31.2">
      <c r="A144" s="8">
        <v>-73.966136129999995</v>
      </c>
      <c r="B144" s="8">
        <v>40.778787260000001</v>
      </c>
      <c r="C144" s="8" t="s">
        <v>519</v>
      </c>
      <c r="D144" s="8" t="s">
        <v>520</v>
      </c>
      <c r="E144" s="8" t="b">
        <f t="shared" si="2"/>
        <v>0</v>
      </c>
      <c r="F144" s="8" t="b" cm="1">
        <f t="array" ref="F144">_xlfn._xlws.FILTER(E144:E3342, C144:C3342= "6D-PM-1020-01", "No Squirrels Found")</f>
        <v>0</v>
      </c>
      <c r="G144" s="8" t="s">
        <v>34</v>
      </c>
      <c r="H144" s="10">
        <v>10132018</v>
      </c>
      <c r="I144" s="10">
        <v>1</v>
      </c>
      <c r="J144" s="8" t="s">
        <v>39</v>
      </c>
      <c r="K144" s="8" t="s">
        <v>40</v>
      </c>
      <c r="L144" s="8" t="s">
        <v>84</v>
      </c>
      <c r="M144" s="8" t="s">
        <v>103</v>
      </c>
      <c r="O144" s="8" t="s">
        <v>43</v>
      </c>
      <c r="P144" s="8" t="b">
        <v>0</v>
      </c>
      <c r="R144" s="8" t="b">
        <v>0</v>
      </c>
      <c r="S144" s="8" t="b">
        <v>0</v>
      </c>
      <c r="T144" s="8" t="b">
        <v>0</v>
      </c>
      <c r="U144" s="8" t="b">
        <v>1</v>
      </c>
      <c r="V144" s="8" t="b">
        <v>1</v>
      </c>
      <c r="W144" s="11" t="s">
        <v>521</v>
      </c>
      <c r="X144" s="8" t="b">
        <v>0</v>
      </c>
      <c r="Y144" s="8" t="b">
        <v>0</v>
      </c>
      <c r="Z144" s="8" t="b">
        <v>0</v>
      </c>
      <c r="AA144" s="8" t="b">
        <v>0</v>
      </c>
      <c r="AB144" s="8" t="b">
        <v>0</v>
      </c>
      <c r="AC144" s="8" t="b">
        <v>0</v>
      </c>
      <c r="AD144" s="8" t="b">
        <v>0</v>
      </c>
      <c r="AE144" s="8" t="b">
        <v>1</v>
      </c>
      <c r="AG144" s="11" t="b" cm="1">
        <f t="array" ref="AG144">IF(OR(Y144:AA144="TRUE", AE144="true"), "Threatened")</f>
        <v>0</v>
      </c>
      <c r="AH144" s="11" t="s">
        <v>522</v>
      </c>
      <c r="AI144" s="8" t="b">
        <v>0</v>
      </c>
    </row>
    <row r="145" spans="1:35" ht="31.2">
      <c r="A145" s="8">
        <v>-73.973075059999999</v>
      </c>
      <c r="B145" s="8">
        <v>40.770130420000001</v>
      </c>
      <c r="C145" s="8" t="s">
        <v>523</v>
      </c>
      <c r="D145" s="8" t="s">
        <v>524</v>
      </c>
      <c r="E145" s="8" t="b">
        <f t="shared" si="2"/>
        <v>0</v>
      </c>
      <c r="F145" s="8" t="b" cm="1">
        <f t="array" ref="F145">_xlfn._xlws.FILTER(E145:E3343, C145:C3343= "6D-PM-1020-01", "No Squirrels Found")</f>
        <v>0</v>
      </c>
      <c r="G145" s="8" t="s">
        <v>34</v>
      </c>
      <c r="H145" s="10">
        <v>10082018</v>
      </c>
      <c r="I145" s="10">
        <v>1</v>
      </c>
      <c r="J145" s="8" t="s">
        <v>39</v>
      </c>
      <c r="K145" s="8" t="s">
        <v>40</v>
      </c>
      <c r="L145" s="8" t="s">
        <v>41</v>
      </c>
      <c r="M145" s="8" t="s">
        <v>42</v>
      </c>
      <c r="O145" s="8" t="s">
        <v>50</v>
      </c>
      <c r="P145" s="8">
        <v>10</v>
      </c>
      <c r="R145" s="8" t="b">
        <v>0</v>
      </c>
      <c r="S145" s="8" t="b">
        <v>1</v>
      </c>
      <c r="T145" s="8" t="b">
        <v>0</v>
      </c>
      <c r="U145" s="8" t="b">
        <v>0</v>
      </c>
      <c r="V145" s="8" t="b">
        <v>0</v>
      </c>
      <c r="X145" s="8" t="b">
        <v>0</v>
      </c>
      <c r="Y145" s="8" t="b">
        <v>0</v>
      </c>
      <c r="Z145" s="8" t="b">
        <v>0</v>
      </c>
      <c r="AA145" s="8" t="b">
        <v>0</v>
      </c>
      <c r="AB145" s="8" t="b">
        <v>0</v>
      </c>
      <c r="AC145" s="8" t="b">
        <v>0</v>
      </c>
      <c r="AD145" s="8" t="b">
        <v>0</v>
      </c>
      <c r="AE145" s="8" t="b">
        <v>0</v>
      </c>
      <c r="AG145" s="11" t="b" cm="1">
        <f t="array" ref="AG145">IF(OR(Y145:AA145="TRUE", AE145="true"), "Threatened")</f>
        <v>0</v>
      </c>
      <c r="AH145" s="11" t="s">
        <v>525</v>
      </c>
      <c r="AI145" s="8" t="b">
        <v>1</v>
      </c>
    </row>
    <row r="146" spans="1:35" ht="31.2">
      <c r="A146" s="8">
        <v>-73.971970670000005</v>
      </c>
      <c r="B146" s="8">
        <v>40.772086809999998</v>
      </c>
      <c r="C146" s="8" t="s">
        <v>526</v>
      </c>
      <c r="D146" s="8" t="s">
        <v>527</v>
      </c>
      <c r="E146" s="8" t="b">
        <f t="shared" si="2"/>
        <v>0</v>
      </c>
      <c r="F146" s="8" t="b" cm="1">
        <f t="array" ref="F146">_xlfn._xlws.FILTER(E146:E3344, C146:C3344= "6D-PM-1020-01", "No Squirrels Found")</f>
        <v>0</v>
      </c>
      <c r="G146" s="8" t="s">
        <v>48</v>
      </c>
      <c r="H146" s="10">
        <v>10132018</v>
      </c>
      <c r="I146" s="10">
        <v>4</v>
      </c>
      <c r="J146" s="8" t="s">
        <v>39</v>
      </c>
      <c r="K146" s="8" t="s">
        <v>40</v>
      </c>
      <c r="L146" s="8" t="s">
        <v>41</v>
      </c>
      <c r="M146" s="8" t="s">
        <v>42</v>
      </c>
      <c r="O146" s="8" t="s">
        <v>43</v>
      </c>
      <c r="P146" s="8" t="b">
        <v>0</v>
      </c>
      <c r="R146" s="8" t="b">
        <v>0</v>
      </c>
      <c r="S146" s="8" t="b">
        <v>0</v>
      </c>
      <c r="T146" s="8" t="b">
        <v>0</v>
      </c>
      <c r="U146" s="8" t="b">
        <v>0</v>
      </c>
      <c r="V146" s="8" t="b">
        <v>1</v>
      </c>
      <c r="X146" s="8" t="b">
        <v>0</v>
      </c>
      <c r="Y146" s="8" t="b">
        <v>0</v>
      </c>
      <c r="Z146" s="8" t="b">
        <v>0</v>
      </c>
      <c r="AA146" s="8" t="b">
        <v>0</v>
      </c>
      <c r="AB146" s="8" t="b">
        <v>0</v>
      </c>
      <c r="AC146" s="8" t="b">
        <v>0</v>
      </c>
      <c r="AD146" s="8" t="b">
        <v>0</v>
      </c>
      <c r="AE146" s="8" t="b">
        <v>0</v>
      </c>
      <c r="AG146" s="11" t="b" cm="1">
        <f t="array" ref="AG146">IF(OR(Y146:AA146="TRUE", AE146="true"), "Threatened")</f>
        <v>0</v>
      </c>
      <c r="AH146" s="11" t="s">
        <v>528</v>
      </c>
      <c r="AI146" s="8" t="b">
        <v>1</v>
      </c>
    </row>
    <row r="147" spans="1:35" ht="31.2">
      <c r="A147" s="8">
        <v>-73.956211749999994</v>
      </c>
      <c r="B147" s="8">
        <v>40.795104440000003</v>
      </c>
      <c r="C147" s="8" t="s">
        <v>529</v>
      </c>
      <c r="D147" s="8" t="s">
        <v>530</v>
      </c>
      <c r="E147" s="8" t="b">
        <f t="shared" si="2"/>
        <v>0</v>
      </c>
      <c r="F147" s="8" t="b" cm="1">
        <f t="array" ref="F147">_xlfn._xlws.FILTER(E147:E3345, C147:C3345= "6D-PM-1020-01", "No Squirrels Found")</f>
        <v>0</v>
      </c>
      <c r="G147" s="8" t="s">
        <v>48</v>
      </c>
      <c r="H147" s="10">
        <v>10102018</v>
      </c>
      <c r="I147" s="10">
        <v>9</v>
      </c>
      <c r="J147" s="8" t="s">
        <v>39</v>
      </c>
      <c r="K147" s="8" t="s">
        <v>40</v>
      </c>
      <c r="L147" s="8" t="s">
        <v>41</v>
      </c>
      <c r="M147" s="8" t="s">
        <v>42</v>
      </c>
      <c r="O147" s="8" t="s">
        <v>43</v>
      </c>
      <c r="P147" s="8" t="b">
        <v>0</v>
      </c>
      <c r="R147" s="8" t="b">
        <v>0</v>
      </c>
      <c r="S147" s="8" t="b">
        <v>0</v>
      </c>
      <c r="T147" s="8" t="b">
        <v>0</v>
      </c>
      <c r="U147" s="8" t="b">
        <v>0</v>
      </c>
      <c r="V147" s="8" t="b">
        <v>1</v>
      </c>
      <c r="X147" s="8" t="b">
        <v>0</v>
      </c>
      <c r="Y147" s="8" t="b">
        <v>0</v>
      </c>
      <c r="Z147" s="8" t="b">
        <v>0</v>
      </c>
      <c r="AA147" s="8" t="b">
        <v>0</v>
      </c>
      <c r="AB147" s="8" t="b">
        <v>0</v>
      </c>
      <c r="AC147" s="8" t="b">
        <v>0</v>
      </c>
      <c r="AD147" s="8" t="b">
        <v>1</v>
      </c>
      <c r="AE147" s="8" t="b">
        <v>0</v>
      </c>
      <c r="AG147" s="11" t="b" cm="1">
        <f t="array" ref="AG147">IF(OR(Y147:AA147="TRUE", AE147="true"), "Threatened")</f>
        <v>0</v>
      </c>
      <c r="AH147" s="11" t="s">
        <v>531</v>
      </c>
      <c r="AI147" s="8" t="b">
        <v>1</v>
      </c>
    </row>
    <row r="148" spans="1:35" ht="31.2">
      <c r="A148" s="8">
        <v>-73.956402359999998</v>
      </c>
      <c r="B148" s="8">
        <v>40.790542350000003</v>
      </c>
      <c r="C148" s="8" t="s">
        <v>532</v>
      </c>
      <c r="D148" s="8" t="s">
        <v>533</v>
      </c>
      <c r="E148" s="8" t="b">
        <f t="shared" si="2"/>
        <v>0</v>
      </c>
      <c r="F148" s="8" t="b" cm="1">
        <f t="array" ref="F148">_xlfn._xlws.FILTER(E148:E3346, C148:C3346= "6D-PM-1020-01", "No Squirrels Found")</f>
        <v>0</v>
      </c>
      <c r="G148" s="8" t="s">
        <v>48</v>
      </c>
      <c r="H148" s="10">
        <v>10132018</v>
      </c>
      <c r="I148" s="10">
        <v>2</v>
      </c>
      <c r="J148" s="8" t="s">
        <v>39</v>
      </c>
      <c r="K148" s="8" t="s">
        <v>40</v>
      </c>
      <c r="M148" s="8" t="s">
        <v>55</v>
      </c>
      <c r="O148" s="8" t="s">
        <v>50</v>
      </c>
      <c r="P148" s="8">
        <v>13</v>
      </c>
      <c r="Q148" s="8" t="s">
        <v>534</v>
      </c>
      <c r="R148" s="8" t="b">
        <v>0</v>
      </c>
      <c r="S148" s="8" t="b">
        <v>0</v>
      </c>
      <c r="T148" s="8" t="b">
        <v>1</v>
      </c>
      <c r="U148" s="8" t="b">
        <v>0</v>
      </c>
      <c r="V148" s="8" t="b">
        <v>0</v>
      </c>
      <c r="X148" s="8" t="b">
        <v>0</v>
      </c>
      <c r="Y148" s="8" t="b">
        <v>0</v>
      </c>
      <c r="Z148" s="8" t="b">
        <v>0</v>
      </c>
      <c r="AA148" s="8" t="b">
        <v>0</v>
      </c>
      <c r="AB148" s="8" t="b">
        <v>0</v>
      </c>
      <c r="AC148" s="8" t="b">
        <v>0</v>
      </c>
      <c r="AD148" s="8" t="b">
        <v>1</v>
      </c>
      <c r="AE148" s="8" t="b">
        <v>1</v>
      </c>
      <c r="AG148" s="11" t="b" cm="1">
        <f t="array" ref="AG148">IF(OR(Y148:AA148="TRUE", AE148="true"), "Threatened")</f>
        <v>0</v>
      </c>
      <c r="AH148" s="11" t="s">
        <v>535</v>
      </c>
      <c r="AI148" s="8" t="b">
        <v>1</v>
      </c>
    </row>
    <row r="149" spans="1:35" ht="31.2">
      <c r="A149" s="8">
        <v>-73.953262010000003</v>
      </c>
      <c r="B149" s="8">
        <v>40.795247549999999</v>
      </c>
      <c r="C149" s="8" t="s">
        <v>536</v>
      </c>
      <c r="D149" s="8" t="s">
        <v>153</v>
      </c>
      <c r="E149" s="8" t="b">
        <f t="shared" si="2"/>
        <v>0</v>
      </c>
      <c r="F149" s="8" t="b" cm="1">
        <f t="array" ref="F149">_xlfn._xlws.FILTER(E149:E3347, C149:C3347= "6D-PM-1020-01", "No Squirrels Found")</f>
        <v>0</v>
      </c>
      <c r="G149" s="8" t="s">
        <v>48</v>
      </c>
      <c r="H149" s="10">
        <v>10182018</v>
      </c>
      <c r="I149" s="10">
        <v>1</v>
      </c>
      <c r="J149" s="8" t="s">
        <v>39</v>
      </c>
      <c r="K149" s="8" t="s">
        <v>40</v>
      </c>
      <c r="L149" s="8" t="s">
        <v>41</v>
      </c>
      <c r="M149" s="8" t="s">
        <v>42</v>
      </c>
      <c r="O149" s="8" t="s">
        <v>43</v>
      </c>
      <c r="P149" s="8" t="b">
        <v>0</v>
      </c>
      <c r="R149" s="8" t="b">
        <v>0</v>
      </c>
      <c r="S149" s="8" t="b">
        <v>0</v>
      </c>
      <c r="T149" s="8" t="b">
        <v>0</v>
      </c>
      <c r="U149" s="8" t="b">
        <v>0</v>
      </c>
      <c r="V149" s="8" t="b">
        <v>0</v>
      </c>
      <c r="W149" s="11" t="s">
        <v>537</v>
      </c>
      <c r="X149" s="8" t="b">
        <v>0</v>
      </c>
      <c r="Y149" s="8" t="b">
        <v>0</v>
      </c>
      <c r="Z149" s="8" t="b">
        <v>0</v>
      </c>
      <c r="AA149" s="8" t="b">
        <v>0</v>
      </c>
      <c r="AB149" s="8" t="b">
        <v>0</v>
      </c>
      <c r="AC149" s="8" t="b">
        <v>0</v>
      </c>
      <c r="AD149" s="8" t="b">
        <v>0</v>
      </c>
      <c r="AE149" s="8" t="b">
        <v>0</v>
      </c>
      <c r="AG149" s="11" t="b" cm="1">
        <f t="array" ref="AG149">IF(OR(Y149:AA149="TRUE", AE149="true"), "Threatened")</f>
        <v>0</v>
      </c>
      <c r="AH149" s="11" t="s">
        <v>538</v>
      </c>
      <c r="AI149" s="8" t="b">
        <v>0</v>
      </c>
    </row>
    <row r="150" spans="1:35" ht="31.2">
      <c r="A150" s="8">
        <v>-73.957634929999998</v>
      </c>
      <c r="B150" s="8">
        <v>40.79044099</v>
      </c>
      <c r="C150" s="8" t="s">
        <v>539</v>
      </c>
      <c r="D150" s="8" t="s">
        <v>540</v>
      </c>
      <c r="E150" s="8" t="b">
        <f t="shared" si="2"/>
        <v>0</v>
      </c>
      <c r="F150" s="8" t="b" cm="1">
        <f t="array" ref="F150">_xlfn._xlws.FILTER(E150:E3348, C150:C3348= "6D-PM-1020-01", "No Squirrels Found")</f>
        <v>0</v>
      </c>
      <c r="G150" s="8" t="s">
        <v>34</v>
      </c>
      <c r="H150" s="10">
        <v>10132018</v>
      </c>
      <c r="I150" s="10">
        <v>3</v>
      </c>
      <c r="J150" s="8" t="s">
        <v>54</v>
      </c>
      <c r="K150" s="8" t="s">
        <v>40</v>
      </c>
      <c r="L150" s="8" t="s">
        <v>41</v>
      </c>
      <c r="M150" s="8" t="s">
        <v>42</v>
      </c>
      <c r="N150" s="11" t="s">
        <v>541</v>
      </c>
      <c r="O150" s="8" t="s">
        <v>43</v>
      </c>
      <c r="P150" s="8" t="b">
        <v>0</v>
      </c>
      <c r="R150" s="8" t="b">
        <v>0</v>
      </c>
      <c r="S150" s="8" t="b">
        <v>0</v>
      </c>
      <c r="T150" s="8" t="b">
        <v>0</v>
      </c>
      <c r="U150" s="8" t="b">
        <v>0</v>
      </c>
      <c r="V150" s="8" t="b">
        <v>1</v>
      </c>
      <c r="X150" s="8" t="b">
        <v>0</v>
      </c>
      <c r="Y150" s="8" t="b">
        <v>0</v>
      </c>
      <c r="Z150" s="8" t="b">
        <v>0</v>
      </c>
      <c r="AA150" s="8" t="b">
        <v>0</v>
      </c>
      <c r="AB150" s="8" t="b">
        <v>0</v>
      </c>
      <c r="AC150" s="8" t="b">
        <v>0</v>
      </c>
      <c r="AD150" s="8" t="b">
        <v>1</v>
      </c>
      <c r="AE150" s="8" t="b">
        <v>0</v>
      </c>
      <c r="AG150" s="11" t="b" cm="1">
        <f t="array" ref="AG150">IF(OR(Y150:AA150="TRUE", AE150="true"), "Threatened")</f>
        <v>0</v>
      </c>
      <c r="AH150" s="11" t="s">
        <v>542</v>
      </c>
      <c r="AI150" s="8" t="b">
        <v>1</v>
      </c>
    </row>
    <row r="151" spans="1:35" ht="31.2">
      <c r="A151" s="8">
        <v>-73.976343080000007</v>
      </c>
      <c r="B151" s="8">
        <v>40.768635109999998</v>
      </c>
      <c r="C151" s="8" t="s">
        <v>543</v>
      </c>
      <c r="D151" s="8" t="s">
        <v>544</v>
      </c>
      <c r="E151" s="8" t="b">
        <f t="shared" si="2"/>
        <v>0</v>
      </c>
      <c r="F151" s="8" t="b" cm="1">
        <f t="array" ref="F151">_xlfn._xlws.FILTER(E151:E3349, C151:C3349= "6D-PM-1020-01", "No Squirrels Found")</f>
        <v>0</v>
      </c>
      <c r="G151" s="8" t="s">
        <v>34</v>
      </c>
      <c r="H151" s="10">
        <v>10082018</v>
      </c>
      <c r="I151" s="10">
        <v>11</v>
      </c>
      <c r="J151" s="8" t="s">
        <v>39</v>
      </c>
      <c r="K151" s="8" t="s">
        <v>41</v>
      </c>
      <c r="L151" s="8" t="s">
        <v>135</v>
      </c>
      <c r="M151" s="8" t="s">
        <v>136</v>
      </c>
      <c r="O151" s="8" t="s">
        <v>50</v>
      </c>
      <c r="P151" s="8">
        <v>3</v>
      </c>
      <c r="Q151" s="8" t="s">
        <v>545</v>
      </c>
      <c r="R151" s="8" t="b">
        <v>0</v>
      </c>
      <c r="S151" s="8" t="b">
        <v>1</v>
      </c>
      <c r="T151" s="8" t="b">
        <v>0</v>
      </c>
      <c r="U151" s="8" t="b">
        <v>0</v>
      </c>
      <c r="V151" s="8" t="b">
        <v>0</v>
      </c>
      <c r="W151" s="11" t="s">
        <v>546</v>
      </c>
      <c r="X151" s="8" t="b">
        <v>1</v>
      </c>
      <c r="Y151" s="8" t="b">
        <v>0</v>
      </c>
      <c r="Z151" s="8" t="b">
        <v>0</v>
      </c>
      <c r="AA151" s="8" t="b">
        <v>1</v>
      </c>
      <c r="AB151" s="8" t="b">
        <v>0</v>
      </c>
      <c r="AC151" s="8" t="b">
        <v>0</v>
      </c>
      <c r="AD151" s="8" t="b">
        <v>0</v>
      </c>
      <c r="AE151" s="8" t="b">
        <v>1</v>
      </c>
      <c r="AG151" s="11" t="b" cm="1">
        <f t="array" ref="AG151">IF(OR(Y151:AA151="TRUE", AE151="true"), "Threatened")</f>
        <v>0</v>
      </c>
      <c r="AH151" s="11" t="s">
        <v>547</v>
      </c>
      <c r="AI151" s="8" t="b">
        <v>0</v>
      </c>
    </row>
    <row r="152" spans="1:35" ht="31.2">
      <c r="A152" s="8">
        <v>-73.971478910000002</v>
      </c>
      <c r="B152" s="8">
        <v>40.76948866</v>
      </c>
      <c r="C152" s="8" t="s">
        <v>548</v>
      </c>
      <c r="D152" s="8" t="s">
        <v>549</v>
      </c>
      <c r="E152" s="8" t="b">
        <f t="shared" si="2"/>
        <v>0</v>
      </c>
      <c r="F152" s="8" t="b" cm="1">
        <f t="array" ref="F152">_xlfn._xlws.FILTER(E152:E3350, C152:C3350= "6D-PM-1020-01", "No Squirrels Found")</f>
        <v>0</v>
      </c>
      <c r="G152" s="8" t="s">
        <v>48</v>
      </c>
      <c r="H152" s="10">
        <v>10082018</v>
      </c>
      <c r="I152" s="10">
        <v>1</v>
      </c>
      <c r="J152" s="8" t="s">
        <v>39</v>
      </c>
      <c r="K152" s="8" t="s">
        <v>41</v>
      </c>
      <c r="L152" s="8" t="s">
        <v>135</v>
      </c>
      <c r="M152" s="8" t="s">
        <v>136</v>
      </c>
      <c r="O152" s="8" t="s">
        <v>43</v>
      </c>
      <c r="P152" s="8" t="b">
        <v>0</v>
      </c>
      <c r="R152" s="8" t="b">
        <v>0</v>
      </c>
      <c r="S152" s="8" t="b">
        <v>0</v>
      </c>
      <c r="T152" s="8" t="b">
        <v>0</v>
      </c>
      <c r="U152" s="8" t="b">
        <v>1</v>
      </c>
      <c r="V152" s="8" t="b">
        <v>0</v>
      </c>
      <c r="X152" s="8" t="b">
        <v>0</v>
      </c>
      <c r="Y152" s="8" t="b">
        <v>0</v>
      </c>
      <c r="Z152" s="8" t="b">
        <v>0</v>
      </c>
      <c r="AA152" s="8" t="b">
        <v>0</v>
      </c>
      <c r="AB152" s="8" t="b">
        <v>0</v>
      </c>
      <c r="AC152" s="8" t="b">
        <v>0</v>
      </c>
      <c r="AD152" s="8" t="b">
        <v>0</v>
      </c>
      <c r="AE152" s="8" t="b">
        <v>0</v>
      </c>
      <c r="AG152" s="11" t="b" cm="1">
        <f t="array" ref="AG152">IF(OR(Y152:AA152="TRUE", AE152="true"), "Threatened")</f>
        <v>0</v>
      </c>
      <c r="AH152" s="11" t="s">
        <v>550</v>
      </c>
      <c r="AI152" s="8" t="b">
        <v>1</v>
      </c>
    </row>
    <row r="153" spans="1:35" ht="31.2">
      <c r="A153" s="8">
        <v>-73.975513370000002</v>
      </c>
      <c r="B153" s="8">
        <v>40.769788339999998</v>
      </c>
      <c r="C153" s="8" t="s">
        <v>551</v>
      </c>
      <c r="D153" s="8" t="s">
        <v>259</v>
      </c>
      <c r="E153" s="8" t="b">
        <f t="shared" si="2"/>
        <v>0</v>
      </c>
      <c r="F153" s="8" t="b" cm="1">
        <f t="array" ref="F153">_xlfn._xlws.FILTER(E153:E3351, C153:C3351= "6D-PM-1020-01", "No Squirrels Found")</f>
        <v>0</v>
      </c>
      <c r="G153" s="8" t="s">
        <v>48</v>
      </c>
      <c r="H153" s="10">
        <v>10082018</v>
      </c>
      <c r="I153" s="10">
        <v>8</v>
      </c>
      <c r="J153" s="8" t="s">
        <v>39</v>
      </c>
      <c r="K153" s="8" t="s">
        <v>40</v>
      </c>
      <c r="M153" s="8" t="s">
        <v>55</v>
      </c>
      <c r="O153" s="8" t="s">
        <v>43</v>
      </c>
      <c r="P153" s="8" t="b">
        <v>0</v>
      </c>
      <c r="R153" s="8" t="b">
        <v>1</v>
      </c>
      <c r="S153" s="8" t="b">
        <v>0</v>
      </c>
      <c r="T153" s="8" t="b">
        <v>0</v>
      </c>
      <c r="U153" s="8" t="b">
        <v>0</v>
      </c>
      <c r="V153" s="8" t="b">
        <v>0</v>
      </c>
      <c r="X153" s="8" t="b">
        <v>0</v>
      </c>
      <c r="Y153" s="8" t="b">
        <v>0</v>
      </c>
      <c r="Z153" s="8" t="b">
        <v>0</v>
      </c>
      <c r="AA153" s="8" t="b">
        <v>0</v>
      </c>
      <c r="AB153" s="8" t="b">
        <v>0</v>
      </c>
      <c r="AC153" s="8" t="b">
        <v>0</v>
      </c>
      <c r="AD153" s="8" t="b">
        <v>1</v>
      </c>
      <c r="AE153" s="8" t="b">
        <v>0</v>
      </c>
      <c r="AG153" s="11" t="b" cm="1">
        <f t="array" ref="AG153">IF(OR(Y153:AA153="TRUE", AE153="true"), "Threatened")</f>
        <v>0</v>
      </c>
      <c r="AH153" s="11" t="s">
        <v>552</v>
      </c>
      <c r="AI153" s="8" t="b">
        <v>1</v>
      </c>
    </row>
    <row r="154" spans="1:35" ht="31.2">
      <c r="A154" s="8">
        <v>-73.970234899999994</v>
      </c>
      <c r="B154" s="8">
        <v>40.777329539999997</v>
      </c>
      <c r="C154" s="8" t="s">
        <v>553</v>
      </c>
      <c r="D154" s="8" t="s">
        <v>554</v>
      </c>
      <c r="E154" s="8" t="b">
        <f t="shared" si="2"/>
        <v>0</v>
      </c>
      <c r="F154" s="8" t="b" cm="1">
        <f t="array" ref="F154">_xlfn._xlws.FILTER(E154:E3352, C154:C3352= "6D-PM-1020-01", "No Squirrels Found")</f>
        <v>0</v>
      </c>
      <c r="G154" s="8" t="s">
        <v>34</v>
      </c>
      <c r="H154" s="10">
        <v>10172018</v>
      </c>
      <c r="I154" s="10">
        <v>1</v>
      </c>
      <c r="J154" s="8" t="s">
        <v>39</v>
      </c>
      <c r="K154" s="8" t="s">
        <v>40</v>
      </c>
      <c r="L154" s="8" t="s">
        <v>41</v>
      </c>
      <c r="M154" s="8" t="s">
        <v>42</v>
      </c>
      <c r="O154" s="8" t="s">
        <v>43</v>
      </c>
      <c r="P154" s="8" t="b">
        <v>0</v>
      </c>
      <c r="R154" s="8" t="b">
        <v>0</v>
      </c>
      <c r="S154" s="8" t="b">
        <v>0</v>
      </c>
      <c r="T154" s="8" t="b">
        <v>0</v>
      </c>
      <c r="U154" s="8" t="b">
        <v>0</v>
      </c>
      <c r="V154" s="8" t="b">
        <v>1</v>
      </c>
      <c r="X154" s="8" t="b">
        <v>0</v>
      </c>
      <c r="Y154" s="8" t="b">
        <v>0</v>
      </c>
      <c r="Z154" s="8" t="b">
        <v>0</v>
      </c>
      <c r="AA154" s="8" t="b">
        <v>0</v>
      </c>
      <c r="AB154" s="8" t="b">
        <v>0</v>
      </c>
      <c r="AC154" s="8" t="b">
        <v>0</v>
      </c>
      <c r="AD154" s="8" t="b">
        <v>1</v>
      </c>
      <c r="AE154" s="8" t="b">
        <v>0</v>
      </c>
      <c r="AG154" s="11" t="b" cm="1">
        <f t="array" ref="AG154">IF(OR(Y154:AA154="TRUE", AE154="true"), "Threatened")</f>
        <v>0</v>
      </c>
      <c r="AH154" s="11" t="s">
        <v>555</v>
      </c>
      <c r="AI154" s="8" t="b">
        <v>1</v>
      </c>
    </row>
    <row r="155" spans="1:35" ht="31.2">
      <c r="A155" s="8">
        <v>-73.968605609999997</v>
      </c>
      <c r="B155" s="8">
        <v>40.77816584</v>
      </c>
      <c r="C155" s="8" t="s">
        <v>556</v>
      </c>
      <c r="D155" s="8" t="s">
        <v>271</v>
      </c>
      <c r="E155" s="8" t="b">
        <f t="shared" si="2"/>
        <v>0</v>
      </c>
      <c r="F155" s="8" t="b" cm="1">
        <f t="array" ref="F155">_xlfn._xlws.FILTER(E155:E3353, C155:C3353= "6D-PM-1020-01", "No Squirrels Found")</f>
        <v>0</v>
      </c>
      <c r="G155" s="8" t="s">
        <v>48</v>
      </c>
      <c r="H155" s="10">
        <v>10142018</v>
      </c>
      <c r="I155" s="10">
        <v>3</v>
      </c>
      <c r="J155" s="8" t="s">
        <v>39</v>
      </c>
      <c r="K155" s="8" t="s">
        <v>40</v>
      </c>
      <c r="L155" s="8" t="s">
        <v>41</v>
      </c>
      <c r="M155" s="8" t="s">
        <v>42</v>
      </c>
      <c r="O155" s="8" t="s">
        <v>43</v>
      </c>
      <c r="P155" s="8" t="b">
        <v>0</v>
      </c>
      <c r="R155" s="8" t="b">
        <v>0</v>
      </c>
      <c r="S155" s="8" t="b">
        <v>0</v>
      </c>
      <c r="T155" s="8" t="b">
        <v>0</v>
      </c>
      <c r="U155" s="8" t="b">
        <v>1</v>
      </c>
      <c r="V155" s="8" t="b">
        <v>1</v>
      </c>
      <c r="X155" s="8" t="b">
        <v>0</v>
      </c>
      <c r="Y155" s="8" t="b">
        <v>0</v>
      </c>
      <c r="Z155" s="8" t="b">
        <v>0</v>
      </c>
      <c r="AA155" s="8" t="b">
        <v>0</v>
      </c>
      <c r="AB155" s="8" t="b">
        <v>0</v>
      </c>
      <c r="AC155" s="8" t="b">
        <v>1</v>
      </c>
      <c r="AD155" s="8" t="b">
        <v>0</v>
      </c>
      <c r="AE155" s="8" t="b">
        <v>0</v>
      </c>
      <c r="AG155" s="11" t="b" cm="1">
        <f t="array" ref="AG155">IF(OR(Y155:AA155="TRUE", AE155="true"), "Threatened")</f>
        <v>0</v>
      </c>
      <c r="AH155" s="11" t="s">
        <v>557</v>
      </c>
      <c r="AI155" s="8" t="b">
        <v>1</v>
      </c>
    </row>
    <row r="156" spans="1:35" ht="31.2">
      <c r="A156" s="8">
        <v>-73.952214240000004</v>
      </c>
      <c r="B156" s="8">
        <v>40.794959849999998</v>
      </c>
      <c r="C156" s="8" t="s">
        <v>558</v>
      </c>
      <c r="D156" s="8" t="s">
        <v>559</v>
      </c>
      <c r="E156" s="8" t="b">
        <f t="shared" si="2"/>
        <v>0</v>
      </c>
      <c r="F156" s="8" t="b" cm="1">
        <f t="array" ref="F156">_xlfn._xlws.FILTER(E156:E3354, C156:C3354= "6D-PM-1020-01", "No Squirrels Found")</f>
        <v>0</v>
      </c>
      <c r="G156" s="8" t="s">
        <v>34</v>
      </c>
      <c r="H156" s="10">
        <v>10132018</v>
      </c>
      <c r="I156" s="10">
        <v>2</v>
      </c>
      <c r="J156" s="8" t="s">
        <v>54</v>
      </c>
      <c r="K156" s="8" t="s">
        <v>40</v>
      </c>
      <c r="L156" s="8" t="s">
        <v>117</v>
      </c>
      <c r="M156" s="8" t="s">
        <v>118</v>
      </c>
      <c r="O156" s="8" t="s">
        <v>43</v>
      </c>
      <c r="P156" s="8" t="b">
        <v>0</v>
      </c>
      <c r="R156" s="8" t="b">
        <v>0</v>
      </c>
      <c r="S156" s="8" t="b">
        <v>0</v>
      </c>
      <c r="T156" s="8" t="b">
        <v>0</v>
      </c>
      <c r="U156" s="8" t="b">
        <v>0</v>
      </c>
      <c r="V156" s="8" t="b">
        <v>1</v>
      </c>
      <c r="X156" s="8" t="b">
        <v>0</v>
      </c>
      <c r="Y156" s="8" t="b">
        <v>0</v>
      </c>
      <c r="Z156" s="8" t="b">
        <v>0</v>
      </c>
      <c r="AA156" s="8" t="b">
        <v>0</v>
      </c>
      <c r="AB156" s="8" t="b">
        <v>1</v>
      </c>
      <c r="AC156" s="8" t="b">
        <v>0</v>
      </c>
      <c r="AD156" s="8" t="b">
        <v>1</v>
      </c>
      <c r="AE156" s="8" t="b">
        <v>0</v>
      </c>
      <c r="AG156" s="11" t="b" cm="1">
        <f t="array" ref="AG156">IF(OR(Y156:AA156="TRUE", AE156="true"), "Threatened")</f>
        <v>0</v>
      </c>
      <c r="AH156" s="11" t="s">
        <v>560</v>
      </c>
      <c r="AI156" s="8" t="b">
        <v>1</v>
      </c>
    </row>
    <row r="157" spans="1:35" ht="31.2">
      <c r="A157" s="8">
        <v>-73.957659000000007</v>
      </c>
      <c r="B157" s="8">
        <v>40.797275190000001</v>
      </c>
      <c r="C157" s="8" t="s">
        <v>561</v>
      </c>
      <c r="D157" s="8" t="s">
        <v>233</v>
      </c>
      <c r="E157" s="8" t="b">
        <f t="shared" si="2"/>
        <v>0</v>
      </c>
      <c r="F157" s="8" t="b" cm="1">
        <f t="array" ref="F157">_xlfn._xlws.FILTER(E157:E3355, C157:C3355= "6D-PM-1020-01", "No Squirrels Found")</f>
        <v>0</v>
      </c>
      <c r="G157" s="8" t="s">
        <v>34</v>
      </c>
      <c r="H157" s="10">
        <v>10062018</v>
      </c>
      <c r="I157" s="10">
        <v>2</v>
      </c>
      <c r="J157" s="8" t="s">
        <v>39</v>
      </c>
      <c r="K157" s="8" t="s">
        <v>40</v>
      </c>
      <c r="M157" s="8" t="s">
        <v>55</v>
      </c>
      <c r="O157" s="8" t="s">
        <v>50</v>
      </c>
      <c r="P157" s="8">
        <v>50</v>
      </c>
      <c r="R157" s="8" t="b">
        <v>0</v>
      </c>
      <c r="S157" s="8" t="b">
        <v>0</v>
      </c>
      <c r="T157" s="8" t="b">
        <v>1</v>
      </c>
      <c r="U157" s="8" t="b">
        <v>0</v>
      </c>
      <c r="V157" s="8" t="b">
        <v>0</v>
      </c>
      <c r="X157" s="8" t="b">
        <v>0</v>
      </c>
      <c r="Y157" s="8" t="b">
        <v>0</v>
      </c>
      <c r="Z157" s="8" t="b">
        <v>0</v>
      </c>
      <c r="AA157" s="8" t="b">
        <v>0</v>
      </c>
      <c r="AB157" s="8" t="b">
        <v>0</v>
      </c>
      <c r="AC157" s="8" t="b">
        <v>0</v>
      </c>
      <c r="AD157" s="8" t="b">
        <v>0</v>
      </c>
      <c r="AE157" s="8" t="b">
        <v>0</v>
      </c>
      <c r="AF157" s="11" t="s">
        <v>562</v>
      </c>
      <c r="AG157" s="11" t="b" cm="1">
        <f t="array" ref="AG157">IF(OR(Y157:AA157="TRUE", AE157="true"), "Threatened")</f>
        <v>0</v>
      </c>
      <c r="AH157" s="11" t="s">
        <v>563</v>
      </c>
      <c r="AI157" s="8" t="b">
        <v>1</v>
      </c>
    </row>
    <row r="158" spans="1:35" ht="31.2">
      <c r="A158" s="8">
        <v>-73.96379469</v>
      </c>
      <c r="B158" s="8">
        <v>40.791570040000003</v>
      </c>
      <c r="C158" s="8" t="s">
        <v>564</v>
      </c>
      <c r="D158" s="8" t="s">
        <v>398</v>
      </c>
      <c r="E158" s="8" t="b">
        <f t="shared" si="2"/>
        <v>0</v>
      </c>
      <c r="F158" s="8" t="b" cm="1">
        <f t="array" ref="F158">_xlfn._xlws.FILTER(E158:E3356, C158:C3356= "6D-PM-1020-01", "No Squirrels Found")</f>
        <v>0</v>
      </c>
      <c r="G158" s="8" t="s">
        <v>48</v>
      </c>
      <c r="H158" s="10">
        <v>10102018</v>
      </c>
      <c r="I158" s="10">
        <v>4</v>
      </c>
      <c r="J158" s="8" t="s">
        <v>39</v>
      </c>
      <c r="K158" s="8" t="s">
        <v>40</v>
      </c>
      <c r="L158" s="8" t="s">
        <v>84</v>
      </c>
      <c r="M158" s="8" t="s">
        <v>103</v>
      </c>
      <c r="O158" s="8" t="s">
        <v>43</v>
      </c>
      <c r="P158" s="8" t="b">
        <v>0</v>
      </c>
      <c r="R158" s="8" t="b">
        <v>0</v>
      </c>
      <c r="S158" s="8" t="b">
        <v>0</v>
      </c>
      <c r="T158" s="8" t="b">
        <v>0</v>
      </c>
      <c r="U158" s="8" t="b">
        <v>0</v>
      </c>
      <c r="V158" s="8" t="b">
        <v>1</v>
      </c>
      <c r="X158" s="8" t="b">
        <v>0</v>
      </c>
      <c r="Y158" s="8" t="b">
        <v>0</v>
      </c>
      <c r="Z158" s="8" t="b">
        <v>0</v>
      </c>
      <c r="AA158" s="8" t="b">
        <v>0</v>
      </c>
      <c r="AB158" s="8" t="b">
        <v>1</v>
      </c>
      <c r="AC158" s="8" t="b">
        <v>0</v>
      </c>
      <c r="AD158" s="8" t="b">
        <v>0</v>
      </c>
      <c r="AE158" s="8" t="b">
        <v>0</v>
      </c>
      <c r="AG158" s="11" t="b" cm="1">
        <f t="array" ref="AG158">IF(OR(Y158:AA158="TRUE", AE158="true"), "Threatened")</f>
        <v>0</v>
      </c>
      <c r="AH158" s="11" t="s">
        <v>565</v>
      </c>
      <c r="AI158" s="8" t="b">
        <v>1</v>
      </c>
    </row>
    <row r="159" spans="1:35" ht="31.2">
      <c r="A159" s="8">
        <v>-73.971099109999997</v>
      </c>
      <c r="B159" s="8">
        <v>40.772388970000002</v>
      </c>
      <c r="C159" s="8" t="s">
        <v>566</v>
      </c>
      <c r="D159" s="8" t="s">
        <v>527</v>
      </c>
      <c r="E159" s="8" t="b">
        <f t="shared" si="2"/>
        <v>0</v>
      </c>
      <c r="F159" s="8" t="b" cm="1">
        <f t="array" ref="F159">_xlfn._xlws.FILTER(E159:E3357, C159:C3357= "6D-PM-1020-01", "No Squirrels Found")</f>
        <v>0</v>
      </c>
      <c r="G159" s="8" t="s">
        <v>34</v>
      </c>
      <c r="H159" s="10">
        <v>10142018</v>
      </c>
      <c r="I159" s="10">
        <v>2</v>
      </c>
      <c r="J159" s="8" t="s">
        <v>39</v>
      </c>
      <c r="K159" s="8" t="s">
        <v>40</v>
      </c>
      <c r="L159" s="8" t="s">
        <v>41</v>
      </c>
      <c r="M159" s="8" t="s">
        <v>42</v>
      </c>
      <c r="O159" s="8" t="s">
        <v>43</v>
      </c>
      <c r="P159" s="8" t="b">
        <v>0</v>
      </c>
      <c r="R159" s="8" t="b">
        <v>0</v>
      </c>
      <c r="S159" s="8" t="b">
        <v>0</v>
      </c>
      <c r="T159" s="8" t="b">
        <v>0</v>
      </c>
      <c r="U159" s="8" t="b">
        <v>1</v>
      </c>
      <c r="V159" s="8" t="b">
        <v>0</v>
      </c>
      <c r="X159" s="8" t="b">
        <v>0</v>
      </c>
      <c r="Y159" s="8" t="b">
        <v>0</v>
      </c>
      <c r="Z159" s="8" t="b">
        <v>0</v>
      </c>
      <c r="AA159" s="8" t="b">
        <v>0</v>
      </c>
      <c r="AB159" s="8" t="b">
        <v>0</v>
      </c>
      <c r="AC159" s="8" t="b">
        <v>0</v>
      </c>
      <c r="AD159" s="8" t="b">
        <v>1</v>
      </c>
      <c r="AE159" s="8" t="b">
        <v>0</v>
      </c>
      <c r="AG159" s="11" t="b" cm="1">
        <f t="array" ref="AG159">IF(OR(Y159:AA159="TRUE", AE159="true"), "Threatened")</f>
        <v>0</v>
      </c>
      <c r="AH159" s="11" t="s">
        <v>567</v>
      </c>
      <c r="AI159" s="8" t="b">
        <v>1</v>
      </c>
    </row>
    <row r="160" spans="1:35" ht="31.2">
      <c r="A160" s="8">
        <v>-73.963827030000004</v>
      </c>
      <c r="B160" s="8">
        <v>40.78104501</v>
      </c>
      <c r="C160" s="8" t="s">
        <v>568</v>
      </c>
      <c r="D160" s="8" t="s">
        <v>358</v>
      </c>
      <c r="E160" s="8" t="b">
        <f t="shared" si="2"/>
        <v>0</v>
      </c>
      <c r="F160" s="8" t="b" cm="1">
        <f t="array" ref="F160">_xlfn._xlws.FILTER(E160:E3358, C160:C3358= "6D-PM-1020-01", "No Squirrels Found")</f>
        <v>0</v>
      </c>
      <c r="G160" s="8" t="s">
        <v>34</v>
      </c>
      <c r="H160" s="10">
        <v>10072018</v>
      </c>
      <c r="I160" s="10">
        <v>2</v>
      </c>
      <c r="J160" s="8" t="s">
        <v>39</v>
      </c>
      <c r="K160" s="8" t="s">
        <v>40</v>
      </c>
      <c r="M160" s="8" t="s">
        <v>55</v>
      </c>
      <c r="O160" s="8" t="s">
        <v>43</v>
      </c>
      <c r="P160" s="8" t="b">
        <v>0</v>
      </c>
      <c r="R160" s="8" t="b">
        <v>0</v>
      </c>
      <c r="S160" s="8" t="b">
        <v>0</v>
      </c>
      <c r="T160" s="8" t="b">
        <v>0</v>
      </c>
      <c r="U160" s="8" t="b">
        <v>1</v>
      </c>
      <c r="V160" s="8" t="b">
        <v>0</v>
      </c>
      <c r="X160" s="8" t="b">
        <v>0</v>
      </c>
      <c r="Y160" s="8" t="b">
        <v>0</v>
      </c>
      <c r="Z160" s="8" t="b">
        <v>0</v>
      </c>
      <c r="AA160" s="8" t="b">
        <v>1</v>
      </c>
      <c r="AB160" s="8" t="b">
        <v>0</v>
      </c>
      <c r="AC160" s="8" t="b">
        <v>0</v>
      </c>
      <c r="AD160" s="8" t="b">
        <v>0</v>
      </c>
      <c r="AE160" s="8" t="b">
        <v>1</v>
      </c>
      <c r="AG160" s="11" t="b" cm="1">
        <f t="array" ref="AG160">IF(OR(Y160:AA160="TRUE", AE160="true"), "Threatened")</f>
        <v>0</v>
      </c>
      <c r="AH160" s="11" t="s">
        <v>569</v>
      </c>
      <c r="AI160" s="8" t="b">
        <v>1</v>
      </c>
    </row>
    <row r="161" spans="1:35" ht="31.2">
      <c r="A161" s="8">
        <v>-73.975601499999996</v>
      </c>
      <c r="B161" s="8">
        <v>40.767009029999997</v>
      </c>
      <c r="C161" s="8" t="s">
        <v>570</v>
      </c>
      <c r="D161" s="8" t="s">
        <v>481</v>
      </c>
      <c r="E161" s="8" t="b">
        <f t="shared" si="2"/>
        <v>0</v>
      </c>
      <c r="F161" s="8" t="b" cm="1">
        <f t="array" ref="F161">_xlfn._xlws.FILTER(E161:E3359, C161:C3359= "6D-PM-1020-01", "No Squirrels Found")</f>
        <v>0</v>
      </c>
      <c r="G161" s="8" t="s">
        <v>48</v>
      </c>
      <c r="H161" s="10">
        <v>10062018</v>
      </c>
      <c r="I161" s="10">
        <v>1</v>
      </c>
      <c r="J161" s="8" t="s">
        <v>39</v>
      </c>
      <c r="K161" s="8" t="s">
        <v>40</v>
      </c>
      <c r="L161" s="8" t="s">
        <v>41</v>
      </c>
      <c r="M161" s="8" t="s">
        <v>42</v>
      </c>
      <c r="O161" s="8" t="s">
        <v>43</v>
      </c>
      <c r="P161" s="8" t="b">
        <v>0</v>
      </c>
      <c r="Q161" s="8" t="s">
        <v>571</v>
      </c>
      <c r="R161" s="8" t="b">
        <v>0</v>
      </c>
      <c r="S161" s="8" t="b">
        <v>0</v>
      </c>
      <c r="T161" s="8" t="b">
        <v>0</v>
      </c>
      <c r="U161" s="8" t="b">
        <v>0</v>
      </c>
      <c r="V161" s="8" t="b">
        <v>1</v>
      </c>
      <c r="X161" s="8" t="b">
        <v>0</v>
      </c>
      <c r="Y161" s="8" t="b">
        <v>0</v>
      </c>
      <c r="Z161" s="8" t="b">
        <v>0</v>
      </c>
      <c r="AA161" s="8" t="b">
        <v>0</v>
      </c>
      <c r="AB161" s="8" t="b">
        <v>1</v>
      </c>
      <c r="AC161" s="8" t="b">
        <v>0</v>
      </c>
      <c r="AD161" s="8" t="b">
        <v>1</v>
      </c>
      <c r="AE161" s="8" t="b">
        <v>0</v>
      </c>
      <c r="AG161" s="11" t="b" cm="1">
        <f t="array" ref="AG161">IF(OR(Y161:AA161="TRUE", AE161="true"), "Threatened")</f>
        <v>0</v>
      </c>
      <c r="AH161" s="11" t="s">
        <v>572</v>
      </c>
      <c r="AI161" s="8" t="b">
        <v>1</v>
      </c>
    </row>
    <row r="162" spans="1:35" ht="31.2">
      <c r="A162" s="8">
        <v>-73.964963260000005</v>
      </c>
      <c r="B162" s="8">
        <v>40.78091878</v>
      </c>
      <c r="C162" s="8" t="s">
        <v>573</v>
      </c>
      <c r="D162" s="8" t="s">
        <v>574</v>
      </c>
      <c r="E162" s="8" t="b">
        <f t="shared" si="2"/>
        <v>0</v>
      </c>
      <c r="F162" s="8" t="b" cm="1">
        <f t="array" ref="F162">_xlfn._xlws.FILTER(E162:E3360, C162:C3360= "6D-PM-1020-01", "No Squirrels Found")</f>
        <v>0</v>
      </c>
      <c r="G162" s="8" t="s">
        <v>34</v>
      </c>
      <c r="H162" s="10">
        <v>10072018</v>
      </c>
      <c r="I162" s="10">
        <v>1</v>
      </c>
      <c r="J162" s="8" t="s">
        <v>39</v>
      </c>
      <c r="K162" s="8" t="s">
        <v>40</v>
      </c>
      <c r="L162" s="8" t="s">
        <v>41</v>
      </c>
      <c r="M162" s="8" t="s">
        <v>42</v>
      </c>
      <c r="N162" s="11" t="s">
        <v>575</v>
      </c>
      <c r="O162" s="8" t="s">
        <v>43</v>
      </c>
      <c r="P162" s="8" t="b">
        <v>0</v>
      </c>
      <c r="R162" s="8" t="b">
        <v>0</v>
      </c>
      <c r="S162" s="8" t="b">
        <v>0</v>
      </c>
      <c r="T162" s="8" t="b">
        <v>0</v>
      </c>
      <c r="U162" s="8" t="b">
        <v>1</v>
      </c>
      <c r="V162" s="8" t="b">
        <v>1</v>
      </c>
      <c r="X162" s="8" t="b">
        <v>0</v>
      </c>
      <c r="Y162" s="8" t="b">
        <v>0</v>
      </c>
      <c r="Z162" s="8" t="b">
        <v>0</v>
      </c>
      <c r="AA162" s="8" t="b">
        <v>0</v>
      </c>
      <c r="AB162" s="8" t="b">
        <v>1</v>
      </c>
      <c r="AC162" s="8" t="b">
        <v>0</v>
      </c>
      <c r="AD162" s="8" t="b">
        <v>1</v>
      </c>
      <c r="AE162" s="8" t="b">
        <v>0</v>
      </c>
      <c r="AG162" s="11" t="b" cm="1">
        <f t="array" ref="AG162">IF(OR(Y162:AA162="TRUE", AE162="true"), "Threatened")</f>
        <v>0</v>
      </c>
      <c r="AH162" s="11" t="s">
        <v>576</v>
      </c>
      <c r="AI162" s="8" t="b">
        <v>1</v>
      </c>
    </row>
    <row r="163" spans="1:35" ht="31.2">
      <c r="A163" s="8">
        <v>-73.957219199999997</v>
      </c>
      <c r="B163" s="8">
        <v>40.793152910000003</v>
      </c>
      <c r="C163" s="8" t="s">
        <v>577</v>
      </c>
      <c r="D163" s="8" t="s">
        <v>493</v>
      </c>
      <c r="E163" s="8" t="b">
        <f t="shared" si="2"/>
        <v>0</v>
      </c>
      <c r="F163" s="8" t="b" cm="1">
        <f t="array" ref="F163">_xlfn._xlws.FILTER(E163:E3361, C163:C3361= "6D-PM-1020-01", "No Squirrels Found")</f>
        <v>0</v>
      </c>
      <c r="G163" s="8" t="s">
        <v>34</v>
      </c>
      <c r="H163" s="10">
        <v>10062018</v>
      </c>
      <c r="I163" s="10">
        <v>1</v>
      </c>
      <c r="J163" s="8" t="s">
        <v>39</v>
      </c>
      <c r="K163" s="8" t="s">
        <v>40</v>
      </c>
      <c r="L163" s="8" t="s">
        <v>117</v>
      </c>
      <c r="M163" s="8" t="s">
        <v>118</v>
      </c>
      <c r="O163" s="8" t="s">
        <v>43</v>
      </c>
      <c r="P163" s="8" t="b">
        <v>0</v>
      </c>
      <c r="R163" s="8" t="b">
        <v>0</v>
      </c>
      <c r="S163" s="8" t="b">
        <v>0</v>
      </c>
      <c r="T163" s="8" t="b">
        <v>0</v>
      </c>
      <c r="U163" s="8" t="b">
        <v>0</v>
      </c>
      <c r="V163" s="8" t="b">
        <v>1</v>
      </c>
      <c r="X163" s="8" t="b">
        <v>0</v>
      </c>
      <c r="Y163" s="8" t="b">
        <v>0</v>
      </c>
      <c r="Z163" s="8" t="b">
        <v>0</v>
      </c>
      <c r="AA163" s="8" t="b">
        <v>0</v>
      </c>
      <c r="AB163" s="8" t="b">
        <v>0</v>
      </c>
      <c r="AC163" s="8" t="b">
        <v>1</v>
      </c>
      <c r="AD163" s="8" t="b">
        <v>0</v>
      </c>
      <c r="AE163" s="8" t="b">
        <v>0</v>
      </c>
      <c r="AF163" s="11" t="s">
        <v>578</v>
      </c>
      <c r="AG163" s="11" t="b" cm="1">
        <f t="array" ref="AG163">IF(OR(Y163:AA163="TRUE", AE163="true"), "Threatened")</f>
        <v>0</v>
      </c>
      <c r="AH163" s="11" t="s">
        <v>579</v>
      </c>
      <c r="AI163" s="8" t="b">
        <v>1</v>
      </c>
    </row>
    <row r="164" spans="1:35" ht="31.2">
      <c r="A164" s="8">
        <v>-73.971230890000001</v>
      </c>
      <c r="B164" s="8">
        <v>40.771453479999998</v>
      </c>
      <c r="C164" s="8" t="s">
        <v>580</v>
      </c>
      <c r="D164" s="8" t="s">
        <v>581</v>
      </c>
      <c r="E164" s="8" t="b">
        <f t="shared" si="2"/>
        <v>0</v>
      </c>
      <c r="F164" s="8" t="b" cm="1">
        <f t="array" ref="F164">_xlfn._xlws.FILTER(E164:E3362, C164:C3362= "6D-PM-1020-01", "No Squirrels Found")</f>
        <v>0</v>
      </c>
      <c r="G164" s="8" t="s">
        <v>48</v>
      </c>
      <c r="H164" s="10">
        <v>10072018</v>
      </c>
      <c r="I164" s="10">
        <v>4</v>
      </c>
      <c r="J164" s="8" t="s">
        <v>39</v>
      </c>
      <c r="K164" s="8" t="s">
        <v>40</v>
      </c>
      <c r="L164" s="8" t="s">
        <v>84</v>
      </c>
      <c r="M164" s="8" t="s">
        <v>103</v>
      </c>
      <c r="O164" s="8" t="s">
        <v>50</v>
      </c>
      <c r="P164" s="8">
        <v>15</v>
      </c>
      <c r="R164" s="8" t="b">
        <v>0</v>
      </c>
      <c r="S164" s="8" t="b">
        <v>0</v>
      </c>
      <c r="T164" s="8" t="b">
        <v>0</v>
      </c>
      <c r="U164" s="8" t="b">
        <v>0</v>
      </c>
      <c r="V164" s="8" t="b">
        <v>0</v>
      </c>
      <c r="W164" s="11" t="s">
        <v>99</v>
      </c>
      <c r="X164" s="8" t="b">
        <v>0</v>
      </c>
      <c r="Y164" s="8" t="b">
        <v>0</v>
      </c>
      <c r="Z164" s="8" t="b">
        <v>0</v>
      </c>
      <c r="AA164" s="8" t="b">
        <v>0</v>
      </c>
      <c r="AB164" s="8" t="b">
        <v>0</v>
      </c>
      <c r="AC164" s="8" t="b">
        <v>0</v>
      </c>
      <c r="AD164" s="8" t="b">
        <v>1</v>
      </c>
      <c r="AE164" s="8" t="b">
        <v>0</v>
      </c>
      <c r="AG164" s="11" t="b" cm="1">
        <f t="array" ref="AG164">IF(OR(Y164:AA164="TRUE", AE164="true"), "Threatened")</f>
        <v>0</v>
      </c>
      <c r="AH164" s="11" t="s">
        <v>582</v>
      </c>
      <c r="AI164" s="8" t="b">
        <v>0</v>
      </c>
    </row>
    <row r="165" spans="1:35" ht="31.2">
      <c r="A165" s="8">
        <v>-73.975867609999995</v>
      </c>
      <c r="B165" s="8">
        <v>40.77016716</v>
      </c>
      <c r="C165" s="8" t="s">
        <v>583</v>
      </c>
      <c r="D165" s="8" t="s">
        <v>53</v>
      </c>
      <c r="E165" s="8" t="b">
        <f t="shared" si="2"/>
        <v>1</v>
      </c>
      <c r="F165" s="8" t="b" cm="1">
        <f t="array" ref="F165">_xlfn._xlws.FILTER(E165:E3363, C165:C3363= "6D-PM-1020-01", "No Squirrels Found")</f>
        <v>0</v>
      </c>
      <c r="G165" s="8" t="s">
        <v>34</v>
      </c>
      <c r="H165" s="10">
        <v>10182018</v>
      </c>
      <c r="I165" s="10">
        <v>3</v>
      </c>
      <c r="J165" s="8" t="s">
        <v>39</v>
      </c>
      <c r="K165" s="8" t="s">
        <v>40</v>
      </c>
      <c r="L165" s="8" t="s">
        <v>84</v>
      </c>
      <c r="M165" s="8" t="s">
        <v>103</v>
      </c>
      <c r="O165" s="8" t="s">
        <v>43</v>
      </c>
      <c r="P165" s="8" t="b">
        <v>0</v>
      </c>
      <c r="R165" s="8" t="b">
        <v>0</v>
      </c>
      <c r="S165" s="8" t="b">
        <v>0</v>
      </c>
      <c r="T165" s="8" t="b">
        <v>0</v>
      </c>
      <c r="U165" s="8" t="b">
        <v>0</v>
      </c>
      <c r="V165" s="8" t="b">
        <v>1</v>
      </c>
      <c r="X165" s="8" t="b">
        <v>0</v>
      </c>
      <c r="Y165" s="8" t="b">
        <v>0</v>
      </c>
      <c r="Z165" s="8" t="b">
        <v>0</v>
      </c>
      <c r="AA165" s="8" t="b">
        <v>0</v>
      </c>
      <c r="AB165" s="8" t="b">
        <v>0</v>
      </c>
      <c r="AC165" s="8" t="b">
        <v>0</v>
      </c>
      <c r="AD165" s="8" t="b">
        <v>1</v>
      </c>
      <c r="AE165" s="8" t="b">
        <v>0</v>
      </c>
      <c r="AG165" s="11" t="b" cm="1">
        <f t="array" ref="AG165">IF(OR(Y165:AA165="TRUE", AE165="true"), "Threatened")</f>
        <v>0</v>
      </c>
      <c r="AH165" s="11" t="s">
        <v>584</v>
      </c>
      <c r="AI165" s="8" t="b">
        <v>1</v>
      </c>
    </row>
    <row r="166" spans="1:35" ht="31.2">
      <c r="A166" s="8">
        <v>-73.969058860000004</v>
      </c>
      <c r="B166" s="8">
        <v>40.77663562</v>
      </c>
      <c r="C166" s="8" t="s">
        <v>585</v>
      </c>
      <c r="D166" s="8" t="s">
        <v>239</v>
      </c>
      <c r="E166" s="8" t="b">
        <f t="shared" si="2"/>
        <v>0</v>
      </c>
      <c r="F166" s="8" t="b" cm="1">
        <f t="array" ref="F166">_xlfn._xlws.FILTER(E166:E3364, C166:C3364= "6D-PM-1020-01", "No Squirrels Found")</f>
        <v>0</v>
      </c>
      <c r="G166" s="8" t="s">
        <v>34</v>
      </c>
      <c r="H166" s="10">
        <v>10122018</v>
      </c>
      <c r="I166" s="10">
        <v>6</v>
      </c>
      <c r="J166" s="8" t="s">
        <v>39</v>
      </c>
      <c r="K166" s="8" t="s">
        <v>41</v>
      </c>
      <c r="L166" s="8" t="s">
        <v>135</v>
      </c>
      <c r="M166" s="8" t="s">
        <v>136</v>
      </c>
      <c r="O166" s="8" t="s">
        <v>43</v>
      </c>
      <c r="P166" s="8" t="b">
        <v>0</v>
      </c>
      <c r="R166" s="8" t="b">
        <v>0</v>
      </c>
      <c r="S166" s="8" t="b">
        <v>0</v>
      </c>
      <c r="T166" s="8" t="b">
        <v>0</v>
      </c>
      <c r="U166" s="8" t="b">
        <v>1</v>
      </c>
      <c r="V166" s="8" t="b">
        <v>1</v>
      </c>
      <c r="X166" s="8" t="b">
        <v>0</v>
      </c>
      <c r="Y166" s="8" t="b">
        <v>0</v>
      </c>
      <c r="Z166" s="8" t="b">
        <v>0</v>
      </c>
      <c r="AA166" s="8" t="b">
        <v>0</v>
      </c>
      <c r="AB166" s="8" t="b">
        <v>1</v>
      </c>
      <c r="AC166" s="8" t="b">
        <v>0</v>
      </c>
      <c r="AD166" s="8" t="b">
        <v>1</v>
      </c>
      <c r="AE166" s="8" t="b">
        <v>0</v>
      </c>
      <c r="AG166" s="11" t="b" cm="1">
        <f t="array" ref="AG166">IF(OR(Y166:AA166="TRUE", AE166="true"), "Threatened")</f>
        <v>0</v>
      </c>
      <c r="AH166" s="11" t="s">
        <v>586</v>
      </c>
      <c r="AI166" s="8" t="b">
        <v>1</v>
      </c>
    </row>
    <row r="167" spans="1:35" ht="31.2">
      <c r="A167" s="8">
        <v>-73.963846340000003</v>
      </c>
      <c r="B167" s="8">
        <v>40.783405170000002</v>
      </c>
      <c r="C167" s="8" t="s">
        <v>587</v>
      </c>
      <c r="D167" s="8" t="s">
        <v>588</v>
      </c>
      <c r="E167" s="8" t="b">
        <f t="shared" si="2"/>
        <v>0</v>
      </c>
      <c r="F167" s="8" t="b" cm="1">
        <f t="array" ref="F167">_xlfn._xlws.FILTER(E167:E3365, C167:C3365= "6D-PM-1020-01", "No Squirrels Found")</f>
        <v>0</v>
      </c>
      <c r="G167" s="8" t="s">
        <v>48</v>
      </c>
      <c r="H167" s="10">
        <v>10182018</v>
      </c>
      <c r="I167" s="10">
        <v>1</v>
      </c>
      <c r="J167" s="8" t="s">
        <v>39</v>
      </c>
      <c r="K167" s="8" t="s">
        <v>41</v>
      </c>
      <c r="L167" s="8" t="s">
        <v>40</v>
      </c>
      <c r="M167" s="8" t="s">
        <v>110</v>
      </c>
      <c r="O167" s="8" t="s">
        <v>50</v>
      </c>
      <c r="P167" s="8">
        <v>30</v>
      </c>
      <c r="R167" s="8" t="b">
        <v>0</v>
      </c>
      <c r="S167" s="8" t="b">
        <v>0</v>
      </c>
      <c r="T167" s="8" t="b">
        <v>1</v>
      </c>
      <c r="U167" s="8" t="b">
        <v>0</v>
      </c>
      <c r="V167" s="8" t="b">
        <v>0</v>
      </c>
      <c r="X167" s="8" t="b">
        <v>0</v>
      </c>
      <c r="Y167" s="8" t="b">
        <v>0</v>
      </c>
      <c r="Z167" s="8" t="b">
        <v>0</v>
      </c>
      <c r="AA167" s="8" t="b">
        <v>0</v>
      </c>
      <c r="AB167" s="8" t="b">
        <v>0</v>
      </c>
      <c r="AC167" s="8" t="b">
        <v>0</v>
      </c>
      <c r="AD167" s="8" t="b">
        <v>1</v>
      </c>
      <c r="AE167" s="8" t="b">
        <v>0</v>
      </c>
      <c r="AG167" s="11" t="b" cm="1">
        <f t="array" ref="AG167">IF(OR(Y167:AA167="TRUE", AE167="true"), "Threatened")</f>
        <v>0</v>
      </c>
      <c r="AH167" s="11" t="s">
        <v>589</v>
      </c>
      <c r="AI167" s="8" t="b">
        <v>1</v>
      </c>
    </row>
    <row r="168" spans="1:35" ht="31.2">
      <c r="A168" s="8">
        <v>-73.959764280000002</v>
      </c>
      <c r="B168" s="8">
        <v>40.797636799999999</v>
      </c>
      <c r="C168" s="8" t="s">
        <v>590</v>
      </c>
      <c r="D168" s="8" t="s">
        <v>591</v>
      </c>
      <c r="E168" s="8" t="b">
        <f t="shared" si="2"/>
        <v>0</v>
      </c>
      <c r="F168" s="8" t="b" cm="1">
        <f t="array" ref="F168">_xlfn._xlws.FILTER(E168:E3366, C168:C3366= "6D-PM-1020-01", "No Squirrels Found")</f>
        <v>0</v>
      </c>
      <c r="G168" s="8" t="s">
        <v>34</v>
      </c>
      <c r="H168" s="10">
        <v>10142018</v>
      </c>
      <c r="I168" s="10">
        <v>2</v>
      </c>
      <c r="J168" s="8" t="s">
        <v>39</v>
      </c>
      <c r="K168" s="8" t="s">
        <v>40</v>
      </c>
      <c r="L168" s="8" t="s">
        <v>84</v>
      </c>
      <c r="M168" s="8" t="s">
        <v>103</v>
      </c>
      <c r="O168" s="8" t="s">
        <v>43</v>
      </c>
      <c r="P168" s="8" t="b">
        <v>0</v>
      </c>
      <c r="R168" s="8" t="b">
        <v>0</v>
      </c>
      <c r="S168" s="8" t="b">
        <v>1</v>
      </c>
      <c r="T168" s="8" t="b">
        <v>0</v>
      </c>
      <c r="U168" s="8" t="b">
        <v>0</v>
      </c>
      <c r="V168" s="8" t="b">
        <v>0</v>
      </c>
      <c r="X168" s="8" t="b">
        <v>0</v>
      </c>
      <c r="Y168" s="8" t="b">
        <v>0</v>
      </c>
      <c r="Z168" s="8" t="b">
        <v>0</v>
      </c>
      <c r="AA168" s="8" t="b">
        <v>0</v>
      </c>
      <c r="AB168" s="8" t="b">
        <v>0</v>
      </c>
      <c r="AC168" s="8" t="b">
        <v>0</v>
      </c>
      <c r="AD168" s="8" t="b">
        <v>0</v>
      </c>
      <c r="AE168" s="8" t="b">
        <v>0</v>
      </c>
      <c r="AG168" s="11" t="b" cm="1">
        <f t="array" ref="AG168">IF(OR(Y168:AA168="TRUE", AE168="true"), "Threatened")</f>
        <v>0</v>
      </c>
      <c r="AH168" s="11" t="s">
        <v>592</v>
      </c>
      <c r="AI168" s="8" t="b">
        <v>1</v>
      </c>
    </row>
    <row r="169" spans="1:35" ht="31.2">
      <c r="A169" s="8">
        <v>-73.97456914</v>
      </c>
      <c r="B169" s="8">
        <v>40.77710356</v>
      </c>
      <c r="C169" s="8" t="s">
        <v>593</v>
      </c>
      <c r="D169" s="8" t="s">
        <v>594</v>
      </c>
      <c r="E169" s="8" t="b">
        <f t="shared" si="2"/>
        <v>0</v>
      </c>
      <c r="F169" s="8" t="b" cm="1">
        <f t="array" ref="F169">_xlfn._xlws.FILTER(E169:E3367, C169:C3367= "6D-PM-1020-01", "No Squirrels Found")</f>
        <v>0</v>
      </c>
      <c r="G169" s="8" t="s">
        <v>34</v>
      </c>
      <c r="H169" s="10">
        <v>10142018</v>
      </c>
      <c r="I169" s="10">
        <v>3</v>
      </c>
      <c r="J169" s="8" t="s">
        <v>39</v>
      </c>
      <c r="K169" s="8" t="s">
        <v>40</v>
      </c>
      <c r="L169" s="8" t="s">
        <v>41</v>
      </c>
      <c r="M169" s="8" t="s">
        <v>42</v>
      </c>
      <c r="O169" s="8" t="s">
        <v>50</v>
      </c>
      <c r="P169" s="8">
        <v>6</v>
      </c>
      <c r="R169" s="8" t="b">
        <v>0</v>
      </c>
      <c r="S169" s="8" t="b">
        <v>0</v>
      </c>
      <c r="T169" s="8" t="b">
        <v>1</v>
      </c>
      <c r="U169" s="8" t="b">
        <v>0</v>
      </c>
      <c r="V169" s="8" t="b">
        <v>0</v>
      </c>
      <c r="X169" s="8" t="b">
        <v>0</v>
      </c>
      <c r="Y169" s="8" t="b">
        <v>0</v>
      </c>
      <c r="Z169" s="8" t="b">
        <v>0</v>
      </c>
      <c r="AA169" s="8" t="b">
        <v>0</v>
      </c>
      <c r="AB169" s="8" t="b">
        <v>0</v>
      </c>
      <c r="AC169" s="8" t="b">
        <v>0</v>
      </c>
      <c r="AD169" s="8" t="b">
        <v>0</v>
      </c>
      <c r="AE169" s="8" t="b">
        <v>1</v>
      </c>
      <c r="AF169" s="11" t="s">
        <v>595</v>
      </c>
      <c r="AG169" s="11" t="b" cm="1">
        <f t="array" ref="AG169">IF(OR(Y169:AA169="TRUE", AE169="true"), "Threatened")</f>
        <v>0</v>
      </c>
      <c r="AH169" s="11" t="s">
        <v>596</v>
      </c>
      <c r="AI169" s="8" t="b">
        <v>1</v>
      </c>
    </row>
    <row r="170" spans="1:35" ht="31.2">
      <c r="A170" s="8">
        <v>-73.974870640000006</v>
      </c>
      <c r="B170" s="8">
        <v>40.774417499999998</v>
      </c>
      <c r="C170" s="8" t="s">
        <v>597</v>
      </c>
      <c r="D170" s="8" t="s">
        <v>472</v>
      </c>
      <c r="E170" s="8" t="b">
        <f t="shared" si="2"/>
        <v>0</v>
      </c>
      <c r="F170" s="8" t="b" cm="1">
        <f t="array" ref="F170">_xlfn._xlws.FILTER(E170:E3368, C170:C3368= "6D-PM-1020-01", "No Squirrels Found")</f>
        <v>0</v>
      </c>
      <c r="G170" s="8" t="s">
        <v>48</v>
      </c>
      <c r="H170" s="10">
        <v>10062018</v>
      </c>
      <c r="I170" s="10">
        <v>2</v>
      </c>
      <c r="J170" s="8" t="s">
        <v>54</v>
      </c>
      <c r="K170" s="8" t="s">
        <v>40</v>
      </c>
      <c r="L170" s="8" t="s">
        <v>41</v>
      </c>
      <c r="M170" s="8" t="s">
        <v>42</v>
      </c>
      <c r="O170" s="8" t="s">
        <v>50</v>
      </c>
      <c r="Q170" s="8" t="s">
        <v>598</v>
      </c>
      <c r="R170" s="8" t="b">
        <v>0</v>
      </c>
      <c r="S170" s="8" t="b">
        <v>0</v>
      </c>
      <c r="T170" s="8" t="b">
        <v>1</v>
      </c>
      <c r="U170" s="8" t="b">
        <v>0</v>
      </c>
      <c r="V170" s="8" t="b">
        <v>0</v>
      </c>
      <c r="X170" s="8" t="b">
        <v>0</v>
      </c>
      <c r="Y170" s="8" t="b">
        <v>0</v>
      </c>
      <c r="Z170" s="8" t="b">
        <v>0</v>
      </c>
      <c r="AA170" s="8" t="b">
        <v>0</v>
      </c>
      <c r="AB170" s="8" t="b">
        <v>0</v>
      </c>
      <c r="AC170" s="8" t="b">
        <v>0</v>
      </c>
      <c r="AD170" s="8" t="b">
        <v>1</v>
      </c>
      <c r="AE170" s="8" t="b">
        <v>0</v>
      </c>
      <c r="AG170" s="11" t="b" cm="1">
        <f t="array" ref="AG170">IF(OR(Y170:AA170="TRUE", AE170="true"), "Threatened")</f>
        <v>0</v>
      </c>
      <c r="AH170" s="11" t="s">
        <v>599</v>
      </c>
      <c r="AI170" s="8" t="b">
        <v>1</v>
      </c>
    </row>
    <row r="171" spans="1:35" ht="31.2">
      <c r="A171" s="8">
        <v>-73.959720599999997</v>
      </c>
      <c r="B171" s="8">
        <v>40.79694095</v>
      </c>
      <c r="C171" s="8" t="s">
        <v>600</v>
      </c>
      <c r="D171" s="8" t="s">
        <v>442</v>
      </c>
      <c r="E171" s="8" t="b">
        <f t="shared" si="2"/>
        <v>0</v>
      </c>
      <c r="F171" s="8" t="b" cm="1">
        <f t="array" ref="F171">_xlfn._xlws.FILTER(E171:E3369, C171:C3369= "6D-PM-1020-01", "No Squirrels Found")</f>
        <v>0</v>
      </c>
      <c r="G171" s="8" t="s">
        <v>48</v>
      </c>
      <c r="H171" s="10">
        <v>10192018</v>
      </c>
      <c r="I171" s="10">
        <v>1</v>
      </c>
      <c r="J171" s="8" t="s">
        <v>39</v>
      </c>
      <c r="K171" s="8" t="s">
        <v>40</v>
      </c>
      <c r="L171" s="8" t="s">
        <v>84</v>
      </c>
      <c r="M171" s="8" t="s">
        <v>103</v>
      </c>
      <c r="O171" s="8" t="s">
        <v>43</v>
      </c>
      <c r="P171" s="8" t="b">
        <v>0</v>
      </c>
      <c r="R171" s="8" t="b">
        <v>1</v>
      </c>
      <c r="S171" s="8" t="b">
        <v>0</v>
      </c>
      <c r="T171" s="8" t="b">
        <v>0</v>
      </c>
      <c r="U171" s="8" t="b">
        <v>0</v>
      </c>
      <c r="V171" s="8" t="b">
        <v>0</v>
      </c>
      <c r="X171" s="8" t="b">
        <v>0</v>
      </c>
      <c r="Y171" s="8" t="b">
        <v>0</v>
      </c>
      <c r="Z171" s="8" t="b">
        <v>0</v>
      </c>
      <c r="AA171" s="8" t="b">
        <v>0</v>
      </c>
      <c r="AB171" s="8" t="b">
        <v>0</v>
      </c>
      <c r="AC171" s="8" t="b">
        <v>0</v>
      </c>
      <c r="AD171" s="8" t="b">
        <v>0</v>
      </c>
      <c r="AE171" s="8" t="b">
        <v>1</v>
      </c>
      <c r="AG171" s="11" t="b" cm="1">
        <f t="array" ref="AG171">IF(OR(Y171:AA171="TRUE", AE171="true"), "Threatened")</f>
        <v>0</v>
      </c>
      <c r="AH171" s="11" t="s">
        <v>601</v>
      </c>
      <c r="AI171" s="8" t="b">
        <v>1</v>
      </c>
    </row>
    <row r="172" spans="1:35" ht="31.2">
      <c r="A172" s="8">
        <v>-73.971086589999999</v>
      </c>
      <c r="B172" s="8">
        <v>40.771970320000001</v>
      </c>
      <c r="C172" s="8" t="s">
        <v>602</v>
      </c>
      <c r="D172" s="8" t="s">
        <v>581</v>
      </c>
      <c r="E172" s="8" t="b">
        <f t="shared" si="2"/>
        <v>0</v>
      </c>
      <c r="F172" s="8" t="b" cm="1">
        <f t="array" ref="F172">_xlfn._xlws.FILTER(E172:E3370, C172:C3370= "6D-PM-1020-01", "No Squirrels Found")</f>
        <v>0</v>
      </c>
      <c r="G172" s="8" t="s">
        <v>34</v>
      </c>
      <c r="H172" s="10">
        <v>10072018</v>
      </c>
      <c r="I172" s="10">
        <v>6</v>
      </c>
      <c r="J172" s="8" t="s">
        <v>39</v>
      </c>
      <c r="K172" s="8" t="s">
        <v>40</v>
      </c>
      <c r="M172" s="8" t="s">
        <v>55</v>
      </c>
      <c r="O172" s="8" t="s">
        <v>43</v>
      </c>
      <c r="P172" s="8" t="b">
        <v>0</v>
      </c>
      <c r="R172" s="8" t="b">
        <v>0</v>
      </c>
      <c r="S172" s="8" t="b">
        <v>0</v>
      </c>
      <c r="T172" s="8" t="b">
        <v>0</v>
      </c>
      <c r="U172" s="8" t="b">
        <v>1</v>
      </c>
      <c r="V172" s="8" t="b">
        <v>0</v>
      </c>
      <c r="X172" s="8" t="b">
        <v>0</v>
      </c>
      <c r="Y172" s="8" t="b">
        <v>0</v>
      </c>
      <c r="Z172" s="8" t="b">
        <v>0</v>
      </c>
      <c r="AA172" s="8" t="b">
        <v>0</v>
      </c>
      <c r="AB172" s="8" t="b">
        <v>0</v>
      </c>
      <c r="AC172" s="8" t="b">
        <v>0</v>
      </c>
      <c r="AD172" s="8" t="b">
        <v>0</v>
      </c>
      <c r="AE172" s="8" t="b">
        <v>0</v>
      </c>
      <c r="AG172" s="11" t="b" cm="1">
        <f t="array" ref="AG172">IF(OR(Y172:AA172="TRUE", AE172="true"), "Threatened")</f>
        <v>0</v>
      </c>
      <c r="AH172" s="11" t="s">
        <v>603</v>
      </c>
      <c r="AI172" s="8" t="b">
        <v>1</v>
      </c>
    </row>
    <row r="173" spans="1:35" ht="31.2">
      <c r="A173" s="8">
        <v>-73.958535639999994</v>
      </c>
      <c r="B173" s="8">
        <v>40.798273790000003</v>
      </c>
      <c r="C173" s="8" t="s">
        <v>604</v>
      </c>
      <c r="D173" s="8" t="s">
        <v>227</v>
      </c>
      <c r="E173" s="8" t="b">
        <f t="shared" si="2"/>
        <v>0</v>
      </c>
      <c r="F173" s="8" t="b" cm="1">
        <f t="array" ref="F173">_xlfn._xlws.FILTER(E173:E3371, C173:C3371= "6D-PM-1020-01", "No Squirrels Found")</f>
        <v>0</v>
      </c>
      <c r="G173" s="8" t="s">
        <v>48</v>
      </c>
      <c r="H173" s="10">
        <v>10192018</v>
      </c>
      <c r="I173" s="10">
        <v>2</v>
      </c>
      <c r="J173" s="8" t="s">
        <v>54</v>
      </c>
      <c r="K173" s="8" t="s">
        <v>40</v>
      </c>
      <c r="L173" s="8" t="s">
        <v>84</v>
      </c>
      <c r="M173" s="8" t="s">
        <v>103</v>
      </c>
      <c r="O173" s="8" t="s">
        <v>43</v>
      </c>
      <c r="P173" s="8" t="b">
        <v>0</v>
      </c>
      <c r="R173" s="8" t="b">
        <v>1</v>
      </c>
      <c r="S173" s="8" t="b">
        <v>1</v>
      </c>
      <c r="T173" s="8" t="b">
        <v>0</v>
      </c>
      <c r="U173" s="8" t="b">
        <v>0</v>
      </c>
      <c r="V173" s="8" t="b">
        <v>0</v>
      </c>
      <c r="X173" s="8" t="b">
        <v>0</v>
      </c>
      <c r="Y173" s="8" t="b">
        <v>0</v>
      </c>
      <c r="Z173" s="8" t="b">
        <v>0</v>
      </c>
      <c r="AA173" s="8" t="b">
        <v>0</v>
      </c>
      <c r="AB173" s="8" t="b">
        <v>1</v>
      </c>
      <c r="AC173" s="8" t="b">
        <v>0</v>
      </c>
      <c r="AD173" s="8" t="b">
        <v>0</v>
      </c>
      <c r="AE173" s="8" t="b">
        <v>0</v>
      </c>
      <c r="AG173" s="11" t="b" cm="1">
        <f t="array" ref="AG173">IF(OR(Y173:AA173="TRUE", AE173="true"), "Threatened")</f>
        <v>0</v>
      </c>
      <c r="AH173" s="11" t="s">
        <v>605</v>
      </c>
      <c r="AI173" s="8" t="b">
        <v>1</v>
      </c>
    </row>
    <row r="174" spans="1:35" ht="31.2">
      <c r="A174" s="8">
        <v>-73.958770180000002</v>
      </c>
      <c r="B174" s="8">
        <v>40.79341239</v>
      </c>
      <c r="C174" s="8" t="s">
        <v>606</v>
      </c>
      <c r="D174" s="8" t="s">
        <v>515</v>
      </c>
      <c r="E174" s="8" t="b">
        <f t="shared" si="2"/>
        <v>0</v>
      </c>
      <c r="F174" s="8" t="b" cm="1">
        <f t="array" ref="F174">_xlfn._xlws.FILTER(E174:E3372, C174:C3372= "6D-PM-1020-01", "No Squirrels Found")</f>
        <v>0</v>
      </c>
      <c r="G174" s="8" t="s">
        <v>34</v>
      </c>
      <c r="H174" s="10">
        <v>10132018</v>
      </c>
      <c r="I174" s="10">
        <v>4</v>
      </c>
      <c r="J174" s="8" t="s">
        <v>54</v>
      </c>
      <c r="K174" s="8" t="s">
        <v>40</v>
      </c>
      <c r="L174" s="8" t="s">
        <v>84</v>
      </c>
      <c r="M174" s="8" t="s">
        <v>103</v>
      </c>
      <c r="R174" s="8" t="b">
        <v>0</v>
      </c>
      <c r="S174" s="8" t="b">
        <v>0</v>
      </c>
      <c r="T174" s="8" t="b">
        <v>0</v>
      </c>
      <c r="U174" s="8" t="b">
        <v>0</v>
      </c>
      <c r="V174" s="8" t="b">
        <v>0</v>
      </c>
      <c r="X174" s="8" t="b">
        <v>0</v>
      </c>
      <c r="Y174" s="8" t="b">
        <v>0</v>
      </c>
      <c r="Z174" s="8" t="b">
        <v>0</v>
      </c>
      <c r="AA174" s="8" t="b">
        <v>0</v>
      </c>
      <c r="AB174" s="8" t="b">
        <v>0</v>
      </c>
      <c r="AC174" s="8" t="b">
        <v>0</v>
      </c>
      <c r="AD174" s="8" t="b">
        <v>0</v>
      </c>
      <c r="AE174" s="8" t="b">
        <v>0</v>
      </c>
      <c r="AG174" s="11" t="b" cm="1">
        <f t="array" ref="AG174">IF(OR(Y174:AA174="TRUE", AE174="true"), "Threatened")</f>
        <v>0</v>
      </c>
      <c r="AH174" s="11" t="s">
        <v>607</v>
      </c>
      <c r="AI174" s="8" t="b">
        <v>1</v>
      </c>
    </row>
    <row r="175" spans="1:35" ht="31.2">
      <c r="A175" s="8">
        <v>-73.970727409999995</v>
      </c>
      <c r="B175" s="8">
        <v>40.772388909999997</v>
      </c>
      <c r="C175" s="8" t="s">
        <v>608</v>
      </c>
      <c r="D175" s="8" t="s">
        <v>609</v>
      </c>
      <c r="E175" s="8" t="b">
        <f t="shared" si="2"/>
        <v>0</v>
      </c>
      <c r="F175" s="8" t="b" cm="1">
        <f t="array" ref="F175">_xlfn._xlws.FILTER(E175:E3373, C175:C3373= "6D-PM-1020-01", "No Squirrels Found")</f>
        <v>0</v>
      </c>
      <c r="G175" s="8" t="s">
        <v>34</v>
      </c>
      <c r="H175" s="10">
        <v>10172018</v>
      </c>
      <c r="I175" s="10">
        <v>10</v>
      </c>
      <c r="J175" s="8" t="s">
        <v>39</v>
      </c>
      <c r="K175" s="8" t="s">
        <v>40</v>
      </c>
      <c r="M175" s="8" t="s">
        <v>55</v>
      </c>
      <c r="O175" s="8" t="s">
        <v>43</v>
      </c>
      <c r="P175" s="8" t="b">
        <v>0</v>
      </c>
      <c r="R175" s="8" t="b">
        <v>0</v>
      </c>
      <c r="S175" s="8" t="b">
        <v>1</v>
      </c>
      <c r="T175" s="8" t="b">
        <v>0</v>
      </c>
      <c r="U175" s="8" t="b">
        <v>0</v>
      </c>
      <c r="V175" s="8" t="b">
        <v>0</v>
      </c>
      <c r="W175" s="11" t="s">
        <v>610</v>
      </c>
      <c r="X175" s="8" t="b">
        <v>0</v>
      </c>
      <c r="Y175" s="8" t="b">
        <v>0</v>
      </c>
      <c r="Z175" s="8" t="b">
        <v>0</v>
      </c>
      <c r="AA175" s="8" t="b">
        <v>0</v>
      </c>
      <c r="AB175" s="8" t="b">
        <v>0</v>
      </c>
      <c r="AC175" s="8" t="b">
        <v>0</v>
      </c>
      <c r="AD175" s="8" t="b">
        <v>1</v>
      </c>
      <c r="AE175" s="8" t="b">
        <v>0</v>
      </c>
      <c r="AG175" s="11" t="b" cm="1">
        <f t="array" ref="AG175">IF(OR(Y175:AA175="TRUE", AE175="true"), "Threatened")</f>
        <v>0</v>
      </c>
      <c r="AH175" s="11" t="s">
        <v>611</v>
      </c>
      <c r="AI175" s="8" t="b">
        <v>0</v>
      </c>
    </row>
    <row r="176" spans="1:35" ht="31.2">
      <c r="A176" s="8">
        <v>-73.97200651</v>
      </c>
      <c r="B176" s="8">
        <v>40.776404380000002</v>
      </c>
      <c r="C176" s="8" t="s">
        <v>612</v>
      </c>
      <c r="D176" s="8" t="s">
        <v>613</v>
      </c>
      <c r="E176" s="8" t="b">
        <f t="shared" si="2"/>
        <v>0</v>
      </c>
      <c r="F176" s="8" t="b" cm="1">
        <f t="array" ref="F176">_xlfn._xlws.FILTER(E176:E3374, C176:C3374= "6D-PM-1020-01", "No Squirrels Found")</f>
        <v>0</v>
      </c>
      <c r="G176" s="8" t="s">
        <v>48</v>
      </c>
      <c r="H176" s="10">
        <v>10102018</v>
      </c>
      <c r="I176" s="10">
        <v>4</v>
      </c>
      <c r="J176" s="8" t="s">
        <v>39</v>
      </c>
      <c r="K176" s="8" t="s">
        <v>40</v>
      </c>
      <c r="M176" s="8" t="s">
        <v>55</v>
      </c>
      <c r="O176" s="8" t="s">
        <v>43</v>
      </c>
      <c r="P176" s="8" t="b">
        <v>0</v>
      </c>
      <c r="R176" s="8" t="b">
        <v>0</v>
      </c>
      <c r="S176" s="8" t="b">
        <v>0</v>
      </c>
      <c r="T176" s="8" t="b">
        <v>0</v>
      </c>
      <c r="U176" s="8" t="b">
        <v>0</v>
      </c>
      <c r="V176" s="8" t="b">
        <v>1</v>
      </c>
      <c r="X176" s="8" t="b">
        <v>0</v>
      </c>
      <c r="Y176" s="8" t="b">
        <v>0</v>
      </c>
      <c r="Z176" s="8" t="b">
        <v>0</v>
      </c>
      <c r="AA176" s="8" t="b">
        <v>0</v>
      </c>
      <c r="AB176" s="8" t="b">
        <v>1</v>
      </c>
      <c r="AC176" s="8" t="b">
        <v>0</v>
      </c>
      <c r="AD176" s="8" t="b">
        <v>1</v>
      </c>
      <c r="AE176" s="8" t="b">
        <v>0</v>
      </c>
      <c r="AG176" s="11" t="b" cm="1">
        <f t="array" ref="AG176">IF(OR(Y176:AA176="TRUE", AE176="true"), "Threatened")</f>
        <v>0</v>
      </c>
      <c r="AH176" s="11" t="s">
        <v>614</v>
      </c>
      <c r="AI176" s="8" t="b">
        <v>1</v>
      </c>
    </row>
    <row r="177" spans="1:35" ht="31.2">
      <c r="A177" s="8">
        <v>-73.961806460000005</v>
      </c>
      <c r="B177" s="8">
        <v>40.792158440000001</v>
      </c>
      <c r="C177" s="8" t="s">
        <v>615</v>
      </c>
      <c r="D177" s="8" t="s">
        <v>616</v>
      </c>
      <c r="E177" s="8" t="b">
        <f t="shared" si="2"/>
        <v>0</v>
      </c>
      <c r="F177" s="8" t="b" cm="1">
        <f t="array" ref="F177">_xlfn._xlws.FILTER(E177:E3375, C177:C3375= "6D-PM-1020-01", "No Squirrels Found")</f>
        <v>0</v>
      </c>
      <c r="G177" s="8" t="s">
        <v>34</v>
      </c>
      <c r="H177" s="10">
        <v>10132018</v>
      </c>
      <c r="I177" s="10">
        <v>12</v>
      </c>
      <c r="J177" s="8" t="s">
        <v>39</v>
      </c>
      <c r="K177" s="8" t="s">
        <v>40</v>
      </c>
      <c r="M177" s="8" t="s">
        <v>55</v>
      </c>
      <c r="O177" s="8" t="s">
        <v>43</v>
      </c>
      <c r="P177" s="8" t="b">
        <v>0</v>
      </c>
      <c r="R177" s="8" t="b">
        <v>1</v>
      </c>
      <c r="S177" s="8" t="b">
        <v>0</v>
      </c>
      <c r="T177" s="8" t="b">
        <v>0</v>
      </c>
      <c r="U177" s="8" t="b">
        <v>0</v>
      </c>
      <c r="V177" s="8" t="b">
        <v>1</v>
      </c>
      <c r="X177" s="8" t="b">
        <v>0</v>
      </c>
      <c r="Y177" s="8" t="b">
        <v>0</v>
      </c>
      <c r="Z177" s="8" t="b">
        <v>0</v>
      </c>
      <c r="AA177" s="8" t="b">
        <v>0</v>
      </c>
      <c r="AB177" s="8" t="b">
        <v>1</v>
      </c>
      <c r="AC177" s="8" t="b">
        <v>1</v>
      </c>
      <c r="AD177" s="8" t="b">
        <v>0</v>
      </c>
      <c r="AE177" s="8" t="b">
        <v>0</v>
      </c>
      <c r="AG177" s="11" t="b" cm="1">
        <f t="array" ref="AG177">IF(OR(Y177:AA177="TRUE", AE177="true"), "Threatened")</f>
        <v>0</v>
      </c>
      <c r="AH177" s="11" t="s">
        <v>617</v>
      </c>
      <c r="AI177" s="8" t="b">
        <v>1</v>
      </c>
    </row>
    <row r="178" spans="1:35" ht="31.2">
      <c r="A178" s="8">
        <v>-73.955443239999994</v>
      </c>
      <c r="B178" s="8">
        <v>40.79456691</v>
      </c>
      <c r="C178" s="8" t="s">
        <v>618</v>
      </c>
      <c r="D178" s="8" t="s">
        <v>33</v>
      </c>
      <c r="E178" s="8" t="b">
        <f t="shared" si="2"/>
        <v>0</v>
      </c>
      <c r="F178" s="8" t="b" cm="1">
        <f t="array" ref="F178">_xlfn._xlws.FILTER(E178:E3376, C178:C3376= "6D-PM-1020-01", "No Squirrels Found")</f>
        <v>0</v>
      </c>
      <c r="G178" s="8" t="s">
        <v>34</v>
      </c>
      <c r="H178" s="10">
        <v>10142018</v>
      </c>
      <c r="I178" s="10">
        <v>1</v>
      </c>
      <c r="K178" s="8" t="s">
        <v>40</v>
      </c>
      <c r="M178" s="8" t="s">
        <v>55</v>
      </c>
      <c r="O178" s="8" t="s">
        <v>43</v>
      </c>
      <c r="P178" s="8" t="b">
        <v>0</v>
      </c>
      <c r="R178" s="8" t="b">
        <v>0</v>
      </c>
      <c r="S178" s="8" t="b">
        <v>0</v>
      </c>
      <c r="T178" s="8" t="b">
        <v>0</v>
      </c>
      <c r="U178" s="8" t="b">
        <v>0</v>
      </c>
      <c r="V178" s="8" t="b">
        <v>1</v>
      </c>
      <c r="X178" s="8" t="b">
        <v>0</v>
      </c>
      <c r="Y178" s="8" t="b">
        <v>0</v>
      </c>
      <c r="Z178" s="8" t="b">
        <v>0</v>
      </c>
      <c r="AA178" s="8" t="b">
        <v>0</v>
      </c>
      <c r="AB178" s="8" t="b">
        <v>0</v>
      </c>
      <c r="AC178" s="8" t="b">
        <v>0</v>
      </c>
      <c r="AD178" s="8" t="b">
        <v>0</v>
      </c>
      <c r="AE178" s="8" t="b">
        <v>1</v>
      </c>
      <c r="AG178" s="11" t="b" cm="1">
        <f t="array" ref="AG178">IF(OR(Y178:AA178="TRUE", AE178="true"), "Threatened")</f>
        <v>0</v>
      </c>
      <c r="AH178" s="11" t="s">
        <v>619</v>
      </c>
      <c r="AI178" s="8" t="b">
        <v>1</v>
      </c>
    </row>
    <row r="179" spans="1:35" ht="31.2">
      <c r="A179" s="8">
        <v>-73.961378049999993</v>
      </c>
      <c r="B179" s="8">
        <v>40.790786199999999</v>
      </c>
      <c r="C179" s="8" t="s">
        <v>620</v>
      </c>
      <c r="D179" s="8" t="s">
        <v>621</v>
      </c>
      <c r="E179" s="8" t="b">
        <f t="shared" si="2"/>
        <v>0</v>
      </c>
      <c r="F179" s="8" t="b" cm="1">
        <f t="array" ref="F179">_xlfn._xlws.FILTER(E179:E3377, C179:C3377= "6D-PM-1020-01", "No Squirrels Found")</f>
        <v>0</v>
      </c>
      <c r="G179" s="8" t="s">
        <v>34</v>
      </c>
      <c r="H179" s="10">
        <v>10062018</v>
      </c>
      <c r="I179" s="10">
        <v>4</v>
      </c>
      <c r="J179" s="8" t="s">
        <v>39</v>
      </c>
      <c r="K179" s="8" t="s">
        <v>40</v>
      </c>
      <c r="M179" s="8" t="s">
        <v>55</v>
      </c>
      <c r="O179" s="8" t="s">
        <v>50</v>
      </c>
      <c r="P179" s="8">
        <v>30</v>
      </c>
      <c r="R179" s="8" t="b">
        <v>0</v>
      </c>
      <c r="S179" s="8" t="b">
        <v>0</v>
      </c>
      <c r="T179" s="8" t="b">
        <v>0</v>
      </c>
      <c r="U179" s="8" t="b">
        <v>1</v>
      </c>
      <c r="V179" s="8" t="b">
        <v>0</v>
      </c>
      <c r="X179" s="8" t="b">
        <v>0</v>
      </c>
      <c r="Y179" s="8" t="b">
        <v>0</v>
      </c>
      <c r="Z179" s="8" t="b">
        <v>0</v>
      </c>
      <c r="AA179" s="8" t="b">
        <v>0</v>
      </c>
      <c r="AB179" s="8" t="b">
        <v>0</v>
      </c>
      <c r="AC179" s="8" t="b">
        <v>0</v>
      </c>
      <c r="AD179" s="8" t="b">
        <v>1</v>
      </c>
      <c r="AE179" s="8" t="b">
        <v>0</v>
      </c>
      <c r="AG179" s="11" t="b" cm="1">
        <f t="array" ref="AG179">IF(OR(Y179:AA179="TRUE", AE179="true"), "Threatened")</f>
        <v>0</v>
      </c>
      <c r="AH179" s="11" t="s">
        <v>622</v>
      </c>
      <c r="AI179" s="8" t="b">
        <v>1</v>
      </c>
    </row>
    <row r="180" spans="1:35" ht="31.2">
      <c r="A180" s="8">
        <v>-73.964690140000002</v>
      </c>
      <c r="B180" s="8">
        <v>40.775995870000003</v>
      </c>
      <c r="C180" s="8" t="s">
        <v>623</v>
      </c>
      <c r="D180" s="8" t="s">
        <v>419</v>
      </c>
      <c r="E180" s="8" t="b">
        <f t="shared" si="2"/>
        <v>0</v>
      </c>
      <c r="F180" s="8" t="b" cm="1">
        <f t="array" ref="F180">_xlfn._xlws.FILTER(E180:E3378, C180:C3378= "6D-PM-1020-01", "No Squirrels Found")</f>
        <v>0</v>
      </c>
      <c r="G180" s="8" t="s">
        <v>34</v>
      </c>
      <c r="H180" s="10">
        <v>10122018</v>
      </c>
      <c r="I180" s="10">
        <v>3</v>
      </c>
      <c r="J180" s="8" t="s">
        <v>39</v>
      </c>
      <c r="K180" s="8" t="s">
        <v>40</v>
      </c>
      <c r="M180" s="8" t="s">
        <v>55</v>
      </c>
      <c r="O180" s="8" t="s">
        <v>43</v>
      </c>
      <c r="P180" s="8" t="b">
        <v>0</v>
      </c>
      <c r="R180" s="8" t="b">
        <v>0</v>
      </c>
      <c r="S180" s="8" t="b">
        <v>0</v>
      </c>
      <c r="T180" s="8" t="b">
        <v>0</v>
      </c>
      <c r="U180" s="8" t="b">
        <v>0</v>
      </c>
      <c r="V180" s="8" t="b">
        <v>1</v>
      </c>
      <c r="X180" s="8" t="b">
        <v>0</v>
      </c>
      <c r="Y180" s="8" t="b">
        <v>0</v>
      </c>
      <c r="Z180" s="8" t="b">
        <v>0</v>
      </c>
      <c r="AA180" s="8" t="b">
        <v>0</v>
      </c>
      <c r="AB180" s="8" t="b">
        <v>0</v>
      </c>
      <c r="AC180" s="8" t="b">
        <v>0</v>
      </c>
      <c r="AD180" s="8" t="b">
        <v>0</v>
      </c>
      <c r="AE180" s="8" t="b">
        <v>0</v>
      </c>
      <c r="AG180" s="11" t="b" cm="1">
        <f t="array" ref="AG180">IF(OR(Y180:AA180="TRUE", AE180="true"), "Threatened")</f>
        <v>0</v>
      </c>
      <c r="AH180" s="11" t="s">
        <v>624</v>
      </c>
      <c r="AI180" s="8" t="b">
        <v>1</v>
      </c>
    </row>
    <row r="181" spans="1:35" ht="31.2">
      <c r="A181" s="8">
        <v>-73.969082830000005</v>
      </c>
      <c r="B181" s="8">
        <v>40.78180382</v>
      </c>
      <c r="C181" s="8" t="s">
        <v>625</v>
      </c>
      <c r="D181" s="8" t="s">
        <v>319</v>
      </c>
      <c r="E181" s="8" t="b">
        <f t="shared" si="2"/>
        <v>0</v>
      </c>
      <c r="F181" s="8" t="b" cm="1">
        <f t="array" ref="F181">_xlfn._xlws.FILTER(E181:E3379, C181:C3379= "6D-PM-1020-01", "No Squirrels Found")</f>
        <v>0</v>
      </c>
      <c r="G181" s="8" t="s">
        <v>34</v>
      </c>
      <c r="H181" s="10">
        <v>10182018</v>
      </c>
      <c r="I181" s="10">
        <v>4</v>
      </c>
      <c r="J181" s="8" t="s">
        <v>39</v>
      </c>
      <c r="K181" s="8" t="s">
        <v>40</v>
      </c>
      <c r="L181" s="8" t="s">
        <v>41</v>
      </c>
      <c r="M181" s="8" t="s">
        <v>42</v>
      </c>
      <c r="O181" s="8" t="s">
        <v>43</v>
      </c>
      <c r="P181" s="8" t="b">
        <v>0</v>
      </c>
      <c r="R181" s="8" t="b">
        <v>0</v>
      </c>
      <c r="S181" s="8" t="b">
        <v>0</v>
      </c>
      <c r="T181" s="8" t="b">
        <v>0</v>
      </c>
      <c r="U181" s="8" t="b">
        <v>0</v>
      </c>
      <c r="V181" s="8" t="b">
        <v>1</v>
      </c>
      <c r="X181" s="8" t="b">
        <v>0</v>
      </c>
      <c r="Y181" s="8" t="b">
        <v>0</v>
      </c>
      <c r="Z181" s="8" t="b">
        <v>0</v>
      </c>
      <c r="AA181" s="8" t="b">
        <v>0</v>
      </c>
      <c r="AB181" s="8" t="b">
        <v>0</v>
      </c>
      <c r="AC181" s="8" t="b">
        <v>0</v>
      </c>
      <c r="AD181" s="8" t="b">
        <v>0</v>
      </c>
      <c r="AE181" s="8" t="b">
        <v>0</v>
      </c>
      <c r="AG181" s="11" t="b" cm="1">
        <f t="array" ref="AG181">IF(OR(Y181:AA181="TRUE", AE181="true"), "Threatened")</f>
        <v>0</v>
      </c>
      <c r="AH181" s="11" t="s">
        <v>626</v>
      </c>
      <c r="AI181" s="8" t="b">
        <v>1</v>
      </c>
    </row>
    <row r="182" spans="1:35" ht="31.2">
      <c r="A182" s="8">
        <v>-73.970877590000001</v>
      </c>
      <c r="B182" s="8">
        <v>40.77247363</v>
      </c>
      <c r="C182" s="8" t="s">
        <v>627</v>
      </c>
      <c r="D182" s="8" t="s">
        <v>329</v>
      </c>
      <c r="E182" s="8" t="b">
        <f t="shared" si="2"/>
        <v>0</v>
      </c>
      <c r="F182" s="8" t="b" cm="1">
        <f t="array" ref="F182">_xlfn._xlws.FILTER(E182:E3380, C182:C3380= "6D-PM-1020-01", "No Squirrels Found")</f>
        <v>0</v>
      </c>
      <c r="G182" s="8" t="s">
        <v>34</v>
      </c>
      <c r="H182" s="10">
        <v>10192018</v>
      </c>
      <c r="I182" s="10">
        <v>12</v>
      </c>
      <c r="J182" s="8" t="s">
        <v>39</v>
      </c>
      <c r="K182" s="8" t="s">
        <v>192</v>
      </c>
      <c r="L182" s="8" t="s">
        <v>84</v>
      </c>
      <c r="M182" s="8" t="s">
        <v>628</v>
      </c>
      <c r="O182" s="8" t="s">
        <v>43</v>
      </c>
      <c r="P182" s="8" t="b">
        <v>0</v>
      </c>
      <c r="R182" s="8" t="b">
        <v>1</v>
      </c>
      <c r="S182" s="8" t="b">
        <v>0</v>
      </c>
      <c r="T182" s="8" t="b">
        <v>0</v>
      </c>
      <c r="U182" s="8" t="b">
        <v>0</v>
      </c>
      <c r="V182" s="8" t="b">
        <v>1</v>
      </c>
      <c r="X182" s="8" t="b">
        <v>0</v>
      </c>
      <c r="Y182" s="8" t="b">
        <v>0</v>
      </c>
      <c r="Z182" s="8" t="b">
        <v>0</v>
      </c>
      <c r="AA182" s="8" t="b">
        <v>0</v>
      </c>
      <c r="AB182" s="8" t="b">
        <v>0</v>
      </c>
      <c r="AC182" s="8" t="b">
        <v>0</v>
      </c>
      <c r="AD182" s="8" t="b">
        <v>0</v>
      </c>
      <c r="AE182" s="8" t="b">
        <v>1</v>
      </c>
      <c r="AG182" s="11" t="b" cm="1">
        <f t="array" ref="AG182">IF(OR(Y182:AA182="TRUE", AE182="true"), "Threatened")</f>
        <v>0</v>
      </c>
      <c r="AH182" s="11" t="s">
        <v>629</v>
      </c>
      <c r="AI182" s="8" t="b">
        <v>1</v>
      </c>
    </row>
    <row r="183" spans="1:35" ht="31.2">
      <c r="A183" s="8">
        <v>-73.969105069999998</v>
      </c>
      <c r="B183" s="8">
        <v>40.780813950000002</v>
      </c>
      <c r="C183" s="8" t="s">
        <v>630</v>
      </c>
      <c r="D183" s="8" t="s">
        <v>631</v>
      </c>
      <c r="E183" s="8" t="b">
        <f t="shared" si="2"/>
        <v>0</v>
      </c>
      <c r="F183" s="8" t="b" cm="1">
        <f t="array" ref="F183">_xlfn._xlws.FILTER(E183:E3381, C183:C3381= "6D-PM-1020-01", "No Squirrels Found")</f>
        <v>0</v>
      </c>
      <c r="G183" s="8" t="s">
        <v>34</v>
      </c>
      <c r="H183" s="10">
        <v>10182018</v>
      </c>
      <c r="I183" s="10">
        <v>1</v>
      </c>
      <c r="K183" s="8" t="s">
        <v>192</v>
      </c>
      <c r="M183" s="8" t="s">
        <v>193</v>
      </c>
      <c r="O183" s="8" t="s">
        <v>43</v>
      </c>
      <c r="P183" s="8" t="b">
        <v>0</v>
      </c>
      <c r="R183" s="8" t="b">
        <v>0</v>
      </c>
      <c r="S183" s="8" t="b">
        <v>0</v>
      </c>
      <c r="T183" s="8" t="b">
        <v>0</v>
      </c>
      <c r="U183" s="8" t="b">
        <v>0</v>
      </c>
      <c r="V183" s="8" t="b">
        <v>1</v>
      </c>
      <c r="X183" s="8" t="b">
        <v>0</v>
      </c>
      <c r="Y183" s="8" t="b">
        <v>0</v>
      </c>
      <c r="Z183" s="8" t="b">
        <v>0</v>
      </c>
      <c r="AA183" s="8" t="b">
        <v>0</v>
      </c>
      <c r="AB183" s="8" t="b">
        <v>0</v>
      </c>
      <c r="AC183" s="8" t="b">
        <v>0</v>
      </c>
      <c r="AD183" s="8" t="b">
        <v>1</v>
      </c>
      <c r="AE183" s="8" t="b">
        <v>0</v>
      </c>
      <c r="AG183" s="11" t="b" cm="1">
        <f t="array" ref="AG183">IF(OR(Y183:AA183="TRUE", AE183="true"), "Threatened")</f>
        <v>0</v>
      </c>
      <c r="AH183" s="11" t="s">
        <v>632</v>
      </c>
      <c r="AI183" s="8" t="b">
        <v>1</v>
      </c>
    </row>
    <row r="184" spans="1:35" ht="31.2">
      <c r="A184" s="8">
        <v>-73.976843459999998</v>
      </c>
      <c r="B184" s="8">
        <v>40.772849399999998</v>
      </c>
      <c r="C184" s="8" t="s">
        <v>633</v>
      </c>
      <c r="D184" s="8" t="s">
        <v>72</v>
      </c>
      <c r="E184" s="8" t="b">
        <f t="shared" si="2"/>
        <v>0</v>
      </c>
      <c r="F184" s="8" t="b" cm="1">
        <f t="array" ref="F184">_xlfn._xlws.FILTER(E184:E3382, C184:C3382= "6D-PM-1020-01", "No Squirrels Found")</f>
        <v>0</v>
      </c>
      <c r="G184" s="8" t="s">
        <v>48</v>
      </c>
      <c r="H184" s="10">
        <v>10082018</v>
      </c>
      <c r="I184" s="10">
        <v>11</v>
      </c>
      <c r="J184" s="8" t="s">
        <v>39</v>
      </c>
      <c r="K184" s="8" t="s">
        <v>40</v>
      </c>
      <c r="M184" s="8" t="s">
        <v>55</v>
      </c>
      <c r="O184" s="8" t="s">
        <v>43</v>
      </c>
      <c r="P184" s="8" t="b">
        <v>0</v>
      </c>
      <c r="R184" s="8" t="b">
        <v>0</v>
      </c>
      <c r="S184" s="8" t="b">
        <v>0</v>
      </c>
      <c r="T184" s="8" t="b">
        <v>0</v>
      </c>
      <c r="U184" s="8" t="b">
        <v>0</v>
      </c>
      <c r="V184" s="8" t="b">
        <v>1</v>
      </c>
      <c r="X184" s="8" t="b">
        <v>0</v>
      </c>
      <c r="Y184" s="8" t="b">
        <v>0</v>
      </c>
      <c r="Z184" s="8" t="b">
        <v>0</v>
      </c>
      <c r="AA184" s="8" t="b">
        <v>0</v>
      </c>
      <c r="AB184" s="8" t="b">
        <v>0</v>
      </c>
      <c r="AC184" s="8" t="b">
        <v>0</v>
      </c>
      <c r="AD184" s="8" t="b">
        <v>1</v>
      </c>
      <c r="AE184" s="8" t="b">
        <v>0</v>
      </c>
      <c r="AG184" s="11" t="b" cm="1">
        <f t="array" ref="AG184">IF(OR(Y184:AA184="TRUE", AE184="true"), "Threatened")</f>
        <v>0</v>
      </c>
      <c r="AH184" s="11" t="s">
        <v>634</v>
      </c>
      <c r="AI184" s="8" t="b">
        <v>1</v>
      </c>
    </row>
    <row r="185" spans="1:35" ht="31.2">
      <c r="A185" s="8">
        <v>-73.955381180000003</v>
      </c>
      <c r="B185" s="8">
        <v>40.797089499999998</v>
      </c>
      <c r="C185" s="8" t="s">
        <v>635</v>
      </c>
      <c r="D185" s="8" t="s">
        <v>636</v>
      </c>
      <c r="E185" s="8" t="b">
        <f t="shared" si="2"/>
        <v>0</v>
      </c>
      <c r="F185" s="8" t="b" cm="1">
        <f t="array" ref="F185">_xlfn._xlws.FILTER(E185:E3383, C185:C3383= "6D-PM-1020-01", "No Squirrels Found")</f>
        <v>0</v>
      </c>
      <c r="G185" s="8" t="s">
        <v>48</v>
      </c>
      <c r="H185" s="10">
        <v>10142018</v>
      </c>
      <c r="I185" s="10">
        <v>2</v>
      </c>
      <c r="J185" s="8" t="s">
        <v>39</v>
      </c>
      <c r="K185" s="8" t="s">
        <v>40</v>
      </c>
      <c r="L185" s="8" t="s">
        <v>84</v>
      </c>
      <c r="M185" s="8" t="s">
        <v>103</v>
      </c>
      <c r="O185" s="8" t="s">
        <v>43</v>
      </c>
      <c r="P185" s="8" t="b">
        <v>0</v>
      </c>
      <c r="R185" s="8" t="b">
        <v>1</v>
      </c>
      <c r="S185" s="8" t="b">
        <v>0</v>
      </c>
      <c r="T185" s="8" t="b">
        <v>0</v>
      </c>
      <c r="U185" s="8" t="b">
        <v>0</v>
      </c>
      <c r="V185" s="8" t="b">
        <v>1</v>
      </c>
      <c r="X185" s="8" t="b">
        <v>0</v>
      </c>
      <c r="Y185" s="8" t="b">
        <v>0</v>
      </c>
      <c r="Z185" s="8" t="b">
        <v>0</v>
      </c>
      <c r="AA185" s="8" t="b">
        <v>0</v>
      </c>
      <c r="AB185" s="8" t="b">
        <v>1</v>
      </c>
      <c r="AC185" s="8" t="b">
        <v>0</v>
      </c>
      <c r="AD185" s="8" t="b">
        <v>1</v>
      </c>
      <c r="AE185" s="8" t="b">
        <v>0</v>
      </c>
      <c r="AG185" s="11" t="b" cm="1">
        <f t="array" ref="AG185">IF(OR(Y185:AA185="TRUE", AE185="true"), "Threatened")</f>
        <v>0</v>
      </c>
      <c r="AH185" s="11" t="s">
        <v>637</v>
      </c>
      <c r="AI185" s="8" t="b">
        <v>1</v>
      </c>
    </row>
    <row r="186" spans="1:35" ht="31.2">
      <c r="A186" s="8">
        <v>-73.958846840000007</v>
      </c>
      <c r="B186" s="8">
        <v>40.796385229999999</v>
      </c>
      <c r="C186" s="8" t="s">
        <v>638</v>
      </c>
      <c r="D186" s="8" t="s">
        <v>442</v>
      </c>
      <c r="E186" s="8" t="b">
        <f t="shared" si="2"/>
        <v>0</v>
      </c>
      <c r="F186" s="8" t="b" cm="1">
        <f t="array" ref="F186">_xlfn._xlws.FILTER(E186:E3384, C186:C3384= "6D-PM-1020-01", "No Squirrels Found")</f>
        <v>0</v>
      </c>
      <c r="G186" s="8" t="s">
        <v>48</v>
      </c>
      <c r="H186" s="10">
        <v>10192018</v>
      </c>
      <c r="I186" s="10">
        <v>5</v>
      </c>
      <c r="J186" s="8" t="s">
        <v>39</v>
      </c>
      <c r="K186" s="8" t="s">
        <v>40</v>
      </c>
      <c r="M186" s="8" t="s">
        <v>55</v>
      </c>
      <c r="O186" s="8" t="s">
        <v>50</v>
      </c>
      <c r="P186" s="8">
        <v>28</v>
      </c>
      <c r="R186" s="8" t="b">
        <v>0</v>
      </c>
      <c r="S186" s="8" t="b">
        <v>0</v>
      </c>
      <c r="T186" s="8" t="b">
        <v>1</v>
      </c>
      <c r="U186" s="8" t="b">
        <v>0</v>
      </c>
      <c r="V186" s="8" t="b">
        <v>0</v>
      </c>
      <c r="W186" s="11" t="s">
        <v>639</v>
      </c>
      <c r="X186" s="8" t="b">
        <v>0</v>
      </c>
      <c r="Y186" s="8" t="b">
        <v>1</v>
      </c>
      <c r="Z186" s="8" t="b">
        <v>0</v>
      </c>
      <c r="AA186" s="8" t="b">
        <v>0</v>
      </c>
      <c r="AB186" s="8" t="b">
        <v>0</v>
      </c>
      <c r="AC186" s="8" t="b">
        <v>0</v>
      </c>
      <c r="AD186" s="8" t="b">
        <v>0</v>
      </c>
      <c r="AE186" s="8" t="b">
        <v>0</v>
      </c>
      <c r="AG186" s="11" t="b" cm="1">
        <f t="array" ref="AG186">IF(OR(Y186:AA186="TRUE", AE186="true"), "Threatened")</f>
        <v>0</v>
      </c>
      <c r="AH186" s="11" t="s">
        <v>640</v>
      </c>
      <c r="AI186" s="8" t="b">
        <v>0</v>
      </c>
    </row>
    <row r="187" spans="1:35" ht="31.2">
      <c r="A187" s="8">
        <v>-73.978813819999999</v>
      </c>
      <c r="B187" s="8">
        <v>40.769300180000002</v>
      </c>
      <c r="C187" s="8" t="s">
        <v>641</v>
      </c>
      <c r="D187" s="8" t="s">
        <v>465</v>
      </c>
      <c r="E187" s="8" t="b">
        <f t="shared" si="2"/>
        <v>0</v>
      </c>
      <c r="F187" s="8" t="b" cm="1">
        <f t="array" ref="F187">_xlfn._xlws.FILTER(E187:E3385, C187:C3385= "6D-PM-1020-01", "No Squirrels Found")</f>
        <v>0</v>
      </c>
      <c r="G187" s="8" t="s">
        <v>48</v>
      </c>
      <c r="H187" s="10">
        <v>10102018</v>
      </c>
      <c r="I187" s="10">
        <v>9</v>
      </c>
      <c r="J187" s="8" t="s">
        <v>54</v>
      </c>
      <c r="K187" s="8" t="s">
        <v>40</v>
      </c>
      <c r="M187" s="8" t="s">
        <v>55</v>
      </c>
      <c r="O187" s="8" t="s">
        <v>43</v>
      </c>
      <c r="P187" s="8" t="b">
        <v>0</v>
      </c>
      <c r="R187" s="8" t="b">
        <v>0</v>
      </c>
      <c r="S187" s="8" t="b">
        <v>0</v>
      </c>
      <c r="T187" s="8" t="b">
        <v>0</v>
      </c>
      <c r="U187" s="8" t="b">
        <v>0</v>
      </c>
      <c r="V187" s="8" t="b">
        <v>1</v>
      </c>
      <c r="X187" s="8" t="b">
        <v>0</v>
      </c>
      <c r="Y187" s="8" t="b">
        <v>0</v>
      </c>
      <c r="Z187" s="8" t="b">
        <v>0</v>
      </c>
      <c r="AA187" s="8" t="b">
        <v>0</v>
      </c>
      <c r="AB187" s="8" t="b">
        <v>0</v>
      </c>
      <c r="AC187" s="8" t="b">
        <v>0</v>
      </c>
      <c r="AD187" s="8" t="b">
        <v>0</v>
      </c>
      <c r="AE187" s="8" t="b">
        <v>1</v>
      </c>
      <c r="AG187" s="11" t="b" cm="1">
        <f t="array" ref="AG187">IF(OR(Y187:AA187="TRUE", AE187="true"), "Threatened")</f>
        <v>0</v>
      </c>
      <c r="AH187" s="11" t="s">
        <v>642</v>
      </c>
      <c r="AI187" s="8" t="b">
        <v>1</v>
      </c>
    </row>
    <row r="188" spans="1:35" ht="31.2">
      <c r="A188" s="8">
        <v>-73.970016200000003</v>
      </c>
      <c r="B188" s="8">
        <v>40.781527750000002</v>
      </c>
      <c r="C188" s="8" t="s">
        <v>643</v>
      </c>
      <c r="D188" s="8" t="s">
        <v>422</v>
      </c>
      <c r="E188" s="8" t="b">
        <f t="shared" si="2"/>
        <v>0</v>
      </c>
      <c r="F188" s="8" t="b" cm="1">
        <f t="array" ref="F188">_xlfn._xlws.FILTER(E188:E3386, C188:C3386= "6D-PM-1020-01", "No Squirrels Found")</f>
        <v>0</v>
      </c>
      <c r="G188" s="8" t="s">
        <v>48</v>
      </c>
      <c r="H188" s="10">
        <v>10192018</v>
      </c>
      <c r="I188" s="10">
        <v>2</v>
      </c>
      <c r="J188" s="8" t="s">
        <v>54</v>
      </c>
      <c r="K188" s="8" t="s">
        <v>40</v>
      </c>
      <c r="L188" s="8" t="s">
        <v>117</v>
      </c>
      <c r="M188" s="8" t="s">
        <v>118</v>
      </c>
      <c r="O188" s="8" t="s">
        <v>43</v>
      </c>
      <c r="P188" s="8" t="b">
        <v>0</v>
      </c>
      <c r="R188" s="8" t="b">
        <v>1</v>
      </c>
      <c r="S188" s="8" t="b">
        <v>0</v>
      </c>
      <c r="T188" s="8" t="b">
        <v>0</v>
      </c>
      <c r="U188" s="8" t="b">
        <v>1</v>
      </c>
      <c r="V188" s="8" t="b">
        <v>0</v>
      </c>
      <c r="W188" s="11" t="s">
        <v>644</v>
      </c>
      <c r="X188" s="8" t="b">
        <v>0</v>
      </c>
      <c r="Y188" s="8" t="b">
        <v>0</v>
      </c>
      <c r="Z188" s="8" t="b">
        <v>0</v>
      </c>
      <c r="AA188" s="8" t="b">
        <v>0</v>
      </c>
      <c r="AB188" s="8" t="b">
        <v>0</v>
      </c>
      <c r="AC188" s="8" t="b">
        <v>0</v>
      </c>
      <c r="AD188" s="8" t="b">
        <v>1</v>
      </c>
      <c r="AE188" s="8" t="b">
        <v>1</v>
      </c>
      <c r="AF188" s="11" t="s">
        <v>645</v>
      </c>
      <c r="AG188" s="11" t="b" cm="1">
        <f t="array" ref="AG188">IF(OR(Y188:AA188="TRUE", AE188="true"), "Threatened")</f>
        <v>0</v>
      </c>
      <c r="AH188" s="11" t="s">
        <v>646</v>
      </c>
      <c r="AI188" s="8" t="b">
        <v>0</v>
      </c>
    </row>
    <row r="189" spans="1:35" ht="31.2">
      <c r="A189" s="8">
        <v>-73.957052880000006</v>
      </c>
      <c r="B189" s="8">
        <v>40.799097379999999</v>
      </c>
      <c r="C189" s="8" t="s">
        <v>647</v>
      </c>
      <c r="D189" s="8" t="s">
        <v>382</v>
      </c>
      <c r="E189" s="8" t="b">
        <f t="shared" si="2"/>
        <v>0</v>
      </c>
      <c r="F189" s="8" t="b" cm="1">
        <f t="array" ref="F189">_xlfn._xlws.FILTER(E189:E3387, C189:C3387= "6D-PM-1020-01", "No Squirrels Found")</f>
        <v>0</v>
      </c>
      <c r="G189" s="8" t="s">
        <v>48</v>
      </c>
      <c r="H189" s="10">
        <v>10102018</v>
      </c>
      <c r="I189" s="10">
        <v>7</v>
      </c>
      <c r="J189" s="8" t="s">
        <v>39</v>
      </c>
      <c r="K189" s="8" t="s">
        <v>41</v>
      </c>
      <c r="L189" s="8" t="s">
        <v>135</v>
      </c>
      <c r="M189" s="8" t="s">
        <v>136</v>
      </c>
      <c r="O189" s="8" t="s">
        <v>50</v>
      </c>
      <c r="P189" s="8">
        <v>10</v>
      </c>
      <c r="R189" s="8" t="b">
        <v>0</v>
      </c>
      <c r="S189" s="8" t="b">
        <v>0</v>
      </c>
      <c r="T189" s="8" t="b">
        <v>0</v>
      </c>
      <c r="U189" s="8" t="b">
        <v>0</v>
      </c>
      <c r="V189" s="8" t="b">
        <v>0</v>
      </c>
      <c r="X189" s="8" t="b">
        <v>1</v>
      </c>
      <c r="Y189" s="8" t="b">
        <v>0</v>
      </c>
      <c r="Z189" s="8" t="b">
        <v>0</v>
      </c>
      <c r="AA189" s="8" t="b">
        <v>1</v>
      </c>
      <c r="AB189" s="8" t="b">
        <v>0</v>
      </c>
      <c r="AC189" s="8" t="b">
        <v>1</v>
      </c>
      <c r="AD189" s="8" t="b">
        <v>0</v>
      </c>
      <c r="AE189" s="8" t="b">
        <v>0</v>
      </c>
      <c r="AF189" s="11" t="s">
        <v>648</v>
      </c>
      <c r="AG189" s="11" t="b" cm="1">
        <f t="array" ref="AG189">IF(OR(Y189:AA189="TRUE", AE189="true"), "Threatened")</f>
        <v>0</v>
      </c>
      <c r="AH189" s="11" t="s">
        <v>649</v>
      </c>
      <c r="AI189" s="8" t="b">
        <v>1</v>
      </c>
    </row>
    <row r="190" spans="1:35" ht="31.2">
      <c r="A190" s="8">
        <v>-73.973548949999994</v>
      </c>
      <c r="B190" s="8">
        <v>40.768125789999999</v>
      </c>
      <c r="C190" s="8" t="s">
        <v>650</v>
      </c>
      <c r="D190" s="8" t="s">
        <v>651</v>
      </c>
      <c r="E190" s="8" t="b">
        <f t="shared" si="2"/>
        <v>0</v>
      </c>
      <c r="F190" s="8" t="b" cm="1">
        <f t="array" ref="F190">_xlfn._xlws.FILTER(E190:E3388, C190:C3388= "6D-PM-1020-01", "No Squirrels Found")</f>
        <v>0</v>
      </c>
      <c r="G190" s="8" t="s">
        <v>48</v>
      </c>
      <c r="H190" s="10">
        <v>10062018</v>
      </c>
      <c r="I190" s="10">
        <v>2</v>
      </c>
      <c r="K190" s="8" t="s">
        <v>40</v>
      </c>
      <c r="L190" s="8" t="s">
        <v>84</v>
      </c>
      <c r="M190" s="8" t="s">
        <v>103</v>
      </c>
      <c r="O190" s="8" t="s">
        <v>50</v>
      </c>
      <c r="P190" s="8">
        <v>12</v>
      </c>
      <c r="Q190" s="8" t="s">
        <v>206</v>
      </c>
      <c r="R190" s="8" t="b">
        <v>0</v>
      </c>
      <c r="S190" s="8" t="b">
        <v>0</v>
      </c>
      <c r="T190" s="8" t="b">
        <v>0</v>
      </c>
      <c r="U190" s="8" t="b">
        <v>0</v>
      </c>
      <c r="V190" s="8" t="b">
        <v>0</v>
      </c>
      <c r="W190" s="11" t="s">
        <v>652</v>
      </c>
      <c r="X190" s="8" t="b">
        <v>0</v>
      </c>
      <c r="Y190" s="8" t="b">
        <v>0</v>
      </c>
      <c r="Z190" s="8" t="b">
        <v>0</v>
      </c>
      <c r="AA190" s="8" t="b">
        <v>0</v>
      </c>
      <c r="AB190" s="8" t="b">
        <v>0</v>
      </c>
      <c r="AC190" s="8" t="b">
        <v>0</v>
      </c>
      <c r="AD190" s="8" t="b">
        <v>1</v>
      </c>
      <c r="AE190" s="8" t="b">
        <v>0</v>
      </c>
      <c r="AG190" s="11" t="b" cm="1">
        <f t="array" ref="AG190">IF(OR(Y190:AA190="TRUE", AE190="true"), "Threatened")</f>
        <v>0</v>
      </c>
      <c r="AH190" s="11" t="s">
        <v>653</v>
      </c>
      <c r="AI190" s="8" t="b">
        <v>0</v>
      </c>
    </row>
    <row r="191" spans="1:35" ht="31.2">
      <c r="A191" s="8">
        <v>-73.969550799999993</v>
      </c>
      <c r="B191" s="8">
        <v>40.774307039999997</v>
      </c>
      <c r="C191" s="8" t="s">
        <v>654</v>
      </c>
      <c r="D191" s="8" t="s">
        <v>655</v>
      </c>
      <c r="E191" s="8" t="b">
        <f t="shared" si="2"/>
        <v>0</v>
      </c>
      <c r="F191" s="8" t="b" cm="1">
        <f t="array" ref="F191">_xlfn._xlws.FILTER(E191:E3389, C191:C3389= "6D-PM-1020-01", "No Squirrels Found")</f>
        <v>0</v>
      </c>
      <c r="G191" s="8" t="s">
        <v>34</v>
      </c>
      <c r="H191" s="10">
        <v>10072018</v>
      </c>
      <c r="I191" s="10">
        <v>4</v>
      </c>
      <c r="J191" s="8" t="s">
        <v>39</v>
      </c>
      <c r="K191" s="8" t="s">
        <v>40</v>
      </c>
      <c r="L191" s="8" t="s">
        <v>41</v>
      </c>
      <c r="M191" s="8" t="s">
        <v>42</v>
      </c>
      <c r="O191" s="8" t="s">
        <v>43</v>
      </c>
      <c r="P191" s="8" t="b">
        <v>0</v>
      </c>
      <c r="R191" s="8" t="b">
        <v>0</v>
      </c>
      <c r="S191" s="8" t="b">
        <v>0</v>
      </c>
      <c r="T191" s="8" t="b">
        <v>0</v>
      </c>
      <c r="U191" s="8" t="b">
        <v>0</v>
      </c>
      <c r="V191" s="8" t="b">
        <v>1</v>
      </c>
      <c r="X191" s="8" t="b">
        <v>0</v>
      </c>
      <c r="Y191" s="8" t="b">
        <v>0</v>
      </c>
      <c r="Z191" s="8" t="b">
        <v>0</v>
      </c>
      <c r="AA191" s="8" t="b">
        <v>0</v>
      </c>
      <c r="AB191" s="8" t="b">
        <v>0</v>
      </c>
      <c r="AC191" s="8" t="b">
        <v>0</v>
      </c>
      <c r="AD191" s="8" t="b">
        <v>1</v>
      </c>
      <c r="AE191" s="8" t="b">
        <v>0</v>
      </c>
      <c r="AF191" s="11" t="s">
        <v>656</v>
      </c>
      <c r="AG191" s="11" t="b" cm="1">
        <f t="array" ref="AG191">IF(OR(Y191:AA191="TRUE", AE191="true"), "Threatened")</f>
        <v>0</v>
      </c>
      <c r="AH191" s="11" t="s">
        <v>657</v>
      </c>
      <c r="AI191" s="8" t="b">
        <v>1</v>
      </c>
    </row>
    <row r="192" spans="1:35" ht="31.2">
      <c r="A192" s="8">
        <v>-73.978710509999999</v>
      </c>
      <c r="B192" s="8">
        <v>40.769370809999998</v>
      </c>
      <c r="C192" s="8" t="s">
        <v>658</v>
      </c>
      <c r="D192" s="8" t="s">
        <v>465</v>
      </c>
      <c r="E192" s="8" t="b">
        <f t="shared" si="2"/>
        <v>0</v>
      </c>
      <c r="F192" s="8" t="b" cm="1">
        <f t="array" ref="F192">_xlfn._xlws.FILTER(E192:E3390, C192:C3390= "6D-PM-1020-01", "No Squirrels Found")</f>
        <v>0</v>
      </c>
      <c r="G192" s="8" t="s">
        <v>48</v>
      </c>
      <c r="H192" s="10">
        <v>10102018</v>
      </c>
      <c r="I192" s="10">
        <v>8</v>
      </c>
      <c r="J192" s="8" t="s">
        <v>54</v>
      </c>
      <c r="K192" s="8" t="s">
        <v>40</v>
      </c>
      <c r="L192" s="8" t="s">
        <v>41</v>
      </c>
      <c r="M192" s="8" t="s">
        <v>42</v>
      </c>
      <c r="O192" s="8" t="s">
        <v>50</v>
      </c>
      <c r="P192" s="8">
        <v>10</v>
      </c>
      <c r="R192" s="8" t="b">
        <v>0</v>
      </c>
      <c r="S192" s="8" t="b">
        <v>0</v>
      </c>
      <c r="T192" s="8" t="b">
        <v>1</v>
      </c>
      <c r="U192" s="8" t="b">
        <v>0</v>
      </c>
      <c r="V192" s="8" t="b">
        <v>0</v>
      </c>
      <c r="W192" s="11" t="s">
        <v>659</v>
      </c>
      <c r="X192" s="8" t="b">
        <v>0</v>
      </c>
      <c r="Y192" s="8" t="b">
        <v>0</v>
      </c>
      <c r="Z192" s="8" t="b">
        <v>0</v>
      </c>
      <c r="AA192" s="8" t="b">
        <v>0</v>
      </c>
      <c r="AB192" s="8" t="b">
        <v>0</v>
      </c>
      <c r="AC192" s="8" t="b">
        <v>0</v>
      </c>
      <c r="AD192" s="8" t="b">
        <v>1</v>
      </c>
      <c r="AE192" s="8" t="b">
        <v>0</v>
      </c>
      <c r="AG192" s="11" t="b" cm="1">
        <f t="array" ref="AG192">IF(OR(Y192:AA192="TRUE", AE192="true"), "Threatened")</f>
        <v>0</v>
      </c>
      <c r="AH192" s="11" t="s">
        <v>660</v>
      </c>
      <c r="AI192" s="8" t="b">
        <v>0</v>
      </c>
    </row>
    <row r="193" spans="1:35" ht="31.2">
      <c r="A193" s="8">
        <v>-73.965165490000004</v>
      </c>
      <c r="B193" s="8">
        <v>40.7777806</v>
      </c>
      <c r="C193" s="8" t="s">
        <v>661</v>
      </c>
      <c r="D193" s="8" t="s">
        <v>662</v>
      </c>
      <c r="E193" s="8" t="b">
        <f t="shared" si="2"/>
        <v>0</v>
      </c>
      <c r="F193" s="8" t="b" cm="1">
        <f t="array" ref="F193">_xlfn._xlws.FILTER(E193:E3391, C193:C3391= "6D-PM-1020-01", "No Squirrels Found")</f>
        <v>0</v>
      </c>
      <c r="G193" s="8" t="s">
        <v>34</v>
      </c>
      <c r="H193" s="10">
        <v>10072018</v>
      </c>
      <c r="I193" s="10">
        <v>2</v>
      </c>
      <c r="J193" s="8" t="s">
        <v>39</v>
      </c>
      <c r="K193" s="8" t="s">
        <v>40</v>
      </c>
      <c r="M193" s="8" t="s">
        <v>55</v>
      </c>
      <c r="O193" s="8" t="s">
        <v>43</v>
      </c>
      <c r="P193" s="8" t="b">
        <v>0</v>
      </c>
      <c r="R193" s="8" t="b">
        <v>0</v>
      </c>
      <c r="S193" s="8" t="b">
        <v>0</v>
      </c>
      <c r="T193" s="8" t="b">
        <v>0</v>
      </c>
      <c r="U193" s="8" t="b">
        <v>0</v>
      </c>
      <c r="V193" s="8" t="b">
        <v>1</v>
      </c>
      <c r="X193" s="8" t="b">
        <v>0</v>
      </c>
      <c r="Y193" s="8" t="b">
        <v>0</v>
      </c>
      <c r="Z193" s="8" t="b">
        <v>0</v>
      </c>
      <c r="AA193" s="8" t="b">
        <v>1</v>
      </c>
      <c r="AB193" s="8" t="b">
        <v>0</v>
      </c>
      <c r="AC193" s="8" t="b">
        <v>0</v>
      </c>
      <c r="AD193" s="8" t="b">
        <v>1</v>
      </c>
      <c r="AE193" s="8" t="b">
        <v>0</v>
      </c>
      <c r="AG193" s="11" t="b" cm="1">
        <f t="array" ref="AG193">IF(OR(Y193:AA193="TRUE", AE193="true"), "Threatened")</f>
        <v>0</v>
      </c>
      <c r="AH193" s="11" t="s">
        <v>663</v>
      </c>
      <c r="AI193" s="8" t="b">
        <v>1</v>
      </c>
    </row>
    <row r="194" spans="1:35" ht="31.2">
      <c r="A194" s="8">
        <v>-73.953769129999998</v>
      </c>
      <c r="B194" s="8">
        <v>40.794127260000003</v>
      </c>
      <c r="C194" s="8" t="s">
        <v>664</v>
      </c>
      <c r="D194" s="8" t="s">
        <v>293</v>
      </c>
      <c r="E194" s="8" t="b">
        <f t="shared" si="2"/>
        <v>0</v>
      </c>
      <c r="F194" s="8" t="b" cm="1">
        <f t="array" ref="F194">_xlfn._xlws.FILTER(E194:E3392, C194:C3392= "6D-PM-1020-01", "No Squirrels Found")</f>
        <v>0</v>
      </c>
      <c r="G194" s="8" t="s">
        <v>34</v>
      </c>
      <c r="H194" s="10">
        <v>10202018</v>
      </c>
      <c r="I194" s="10">
        <v>1</v>
      </c>
      <c r="J194" s="8" t="s">
        <v>39</v>
      </c>
      <c r="K194" s="8" t="s">
        <v>40</v>
      </c>
      <c r="L194" s="8" t="s">
        <v>41</v>
      </c>
      <c r="M194" s="8" t="s">
        <v>42</v>
      </c>
      <c r="O194" s="8" t="s">
        <v>43</v>
      </c>
      <c r="P194" s="8" t="b">
        <v>0</v>
      </c>
      <c r="R194" s="8" t="b">
        <v>1</v>
      </c>
      <c r="S194" s="8" t="b">
        <v>0</v>
      </c>
      <c r="T194" s="8" t="b">
        <v>0</v>
      </c>
      <c r="U194" s="8" t="b">
        <v>0</v>
      </c>
      <c r="V194" s="8" t="b">
        <v>0</v>
      </c>
      <c r="X194" s="8" t="b">
        <v>0</v>
      </c>
      <c r="Y194" s="8" t="b">
        <v>0</v>
      </c>
      <c r="Z194" s="8" t="b">
        <v>0</v>
      </c>
      <c r="AA194" s="8" t="b">
        <v>1</v>
      </c>
      <c r="AB194" s="8" t="b">
        <v>0</v>
      </c>
      <c r="AC194" s="8" t="b">
        <v>0</v>
      </c>
      <c r="AD194" s="8" t="b">
        <v>0</v>
      </c>
      <c r="AE194" s="8" t="b">
        <v>1</v>
      </c>
      <c r="AG194" s="11" t="b" cm="1">
        <f t="array" ref="AG194">IF(OR(Y194:AA194="TRUE", AE194="true"), "Threatened")</f>
        <v>0</v>
      </c>
      <c r="AH194" s="11" t="s">
        <v>665</v>
      </c>
      <c r="AI194" s="8" t="b">
        <v>1</v>
      </c>
    </row>
    <row r="195" spans="1:35" ht="31.2">
      <c r="A195" s="8">
        <v>-73.976483999999999</v>
      </c>
      <c r="B195" s="8">
        <v>40.769172529999999</v>
      </c>
      <c r="C195" s="8" t="s">
        <v>666</v>
      </c>
      <c r="D195" s="8" t="s">
        <v>544</v>
      </c>
      <c r="E195" s="8" t="b">
        <f t="shared" ref="E195:E258" si="3">OR(D195 = "05D", D195 = "07D", D195 = "06C", D195 = "06E")</f>
        <v>0</v>
      </c>
      <c r="F195" s="8" t="b" cm="1">
        <f t="array" ref="F195">_xlfn._xlws.FILTER(E195:E3393, C195:C3393= "6D-PM-1020-01", "No Squirrels Found")</f>
        <v>0</v>
      </c>
      <c r="G195" s="8" t="s">
        <v>34</v>
      </c>
      <c r="H195" s="10">
        <v>10082018</v>
      </c>
      <c r="I195" s="10">
        <v>6</v>
      </c>
      <c r="J195" s="8" t="s">
        <v>39</v>
      </c>
      <c r="K195" s="8" t="s">
        <v>41</v>
      </c>
      <c r="L195" s="8" t="s">
        <v>135</v>
      </c>
      <c r="M195" s="8" t="s">
        <v>136</v>
      </c>
      <c r="O195" s="8" t="s">
        <v>43</v>
      </c>
      <c r="P195" s="8" t="b">
        <v>0</v>
      </c>
      <c r="R195" s="8" t="b">
        <v>0</v>
      </c>
      <c r="S195" s="8" t="b">
        <v>0</v>
      </c>
      <c r="T195" s="8" t="b">
        <v>0</v>
      </c>
      <c r="U195" s="8" t="b">
        <v>0</v>
      </c>
      <c r="V195" s="8" t="b">
        <v>1</v>
      </c>
      <c r="X195" s="8" t="b">
        <v>0</v>
      </c>
      <c r="Y195" s="8" t="b">
        <v>0</v>
      </c>
      <c r="Z195" s="8" t="b">
        <v>0</v>
      </c>
      <c r="AA195" s="8" t="b">
        <v>1</v>
      </c>
      <c r="AB195" s="8" t="b">
        <v>0</v>
      </c>
      <c r="AC195" s="8" t="b">
        <v>0</v>
      </c>
      <c r="AD195" s="8" t="b">
        <v>1</v>
      </c>
      <c r="AE195" s="8" t="b">
        <v>0</v>
      </c>
      <c r="AG195" s="11" t="b" cm="1">
        <f t="array" ref="AG195">IF(OR(Y195:AA195="TRUE", AE195="true"), "Threatened")</f>
        <v>0</v>
      </c>
      <c r="AH195" s="11" t="s">
        <v>667</v>
      </c>
      <c r="AI195" s="8" t="b">
        <v>1</v>
      </c>
    </row>
    <row r="196" spans="1:35" ht="31.2">
      <c r="A196" s="8">
        <v>-73.97377736</v>
      </c>
      <c r="B196" s="8">
        <v>40.767366260000003</v>
      </c>
      <c r="C196" s="8" t="s">
        <v>668</v>
      </c>
      <c r="D196" s="8" t="s">
        <v>669</v>
      </c>
      <c r="E196" s="8" t="b">
        <f t="shared" si="3"/>
        <v>0</v>
      </c>
      <c r="F196" s="8" t="b" cm="1">
        <f t="array" ref="F196">_xlfn._xlws.FILTER(E196:E3394, C196:C3394= "6D-PM-1020-01", "No Squirrels Found")</f>
        <v>0</v>
      </c>
      <c r="G196" s="8" t="s">
        <v>34</v>
      </c>
      <c r="H196" s="10">
        <v>10132018</v>
      </c>
      <c r="I196" s="10">
        <v>1</v>
      </c>
      <c r="J196" s="8" t="s">
        <v>39</v>
      </c>
      <c r="K196" s="8" t="s">
        <v>40</v>
      </c>
      <c r="L196" s="8" t="s">
        <v>41</v>
      </c>
      <c r="M196" s="8" t="s">
        <v>42</v>
      </c>
      <c r="O196" s="8" t="s">
        <v>43</v>
      </c>
      <c r="P196" s="8" t="b">
        <v>0</v>
      </c>
      <c r="R196" s="8" t="b">
        <v>0</v>
      </c>
      <c r="S196" s="8" t="b">
        <v>0</v>
      </c>
      <c r="T196" s="8" t="b">
        <v>0</v>
      </c>
      <c r="U196" s="8" t="b">
        <v>0</v>
      </c>
      <c r="V196" s="8" t="b">
        <v>1</v>
      </c>
      <c r="X196" s="8" t="b">
        <v>0</v>
      </c>
      <c r="Y196" s="8" t="b">
        <v>0</v>
      </c>
      <c r="Z196" s="8" t="b">
        <v>0</v>
      </c>
      <c r="AA196" s="8" t="b">
        <v>0</v>
      </c>
      <c r="AB196" s="8" t="b">
        <v>0</v>
      </c>
      <c r="AC196" s="8" t="b">
        <v>0</v>
      </c>
      <c r="AD196" s="8" t="b">
        <v>0</v>
      </c>
      <c r="AE196" s="8" t="b">
        <v>1</v>
      </c>
      <c r="AG196" s="11" t="b" cm="1">
        <f t="array" ref="AG196">IF(OR(Y196:AA196="TRUE", AE196="true"), "Threatened")</f>
        <v>0</v>
      </c>
      <c r="AH196" s="11" t="s">
        <v>670</v>
      </c>
      <c r="AI196" s="8" t="b">
        <v>1</v>
      </c>
    </row>
    <row r="197" spans="1:35" ht="31.2">
      <c r="A197" s="8">
        <v>-73.965796979999993</v>
      </c>
      <c r="B197" s="8">
        <v>40.776040279999997</v>
      </c>
      <c r="C197" s="8" t="s">
        <v>671</v>
      </c>
      <c r="D197" s="8" t="s">
        <v>672</v>
      </c>
      <c r="E197" s="8" t="b">
        <f t="shared" si="3"/>
        <v>0</v>
      </c>
      <c r="F197" s="8" t="b" cm="1">
        <f t="array" ref="F197">_xlfn._xlws.FILTER(E197:E3395, C197:C3395= "6D-PM-1020-01", "No Squirrels Found")</f>
        <v>0</v>
      </c>
      <c r="G197" s="8" t="s">
        <v>34</v>
      </c>
      <c r="H197" s="10">
        <v>10082018</v>
      </c>
      <c r="I197" s="10">
        <v>3</v>
      </c>
      <c r="J197" s="8" t="s">
        <v>39</v>
      </c>
      <c r="K197" s="8" t="s">
        <v>40</v>
      </c>
      <c r="M197" s="8" t="s">
        <v>55</v>
      </c>
      <c r="O197" s="8" t="s">
        <v>43</v>
      </c>
      <c r="P197" s="8" t="b">
        <v>0</v>
      </c>
      <c r="Q197" s="8" t="s">
        <v>673</v>
      </c>
      <c r="R197" s="8" t="b">
        <v>0</v>
      </c>
      <c r="S197" s="8" t="b">
        <v>0</v>
      </c>
      <c r="T197" s="8" t="b">
        <v>0</v>
      </c>
      <c r="U197" s="8" t="b">
        <v>0</v>
      </c>
      <c r="V197" s="8" t="b">
        <v>0</v>
      </c>
      <c r="W197" s="11" t="s">
        <v>674</v>
      </c>
      <c r="X197" s="8" t="b">
        <v>0</v>
      </c>
      <c r="Y197" s="8" t="b">
        <v>0</v>
      </c>
      <c r="Z197" s="8" t="b">
        <v>0</v>
      </c>
      <c r="AA197" s="8" t="b">
        <v>0</v>
      </c>
      <c r="AB197" s="8" t="b">
        <v>0</v>
      </c>
      <c r="AC197" s="8" t="b">
        <v>0</v>
      </c>
      <c r="AD197" s="8" t="b">
        <v>1</v>
      </c>
      <c r="AE197" s="8" t="b">
        <v>0</v>
      </c>
      <c r="AG197" s="11" t="b" cm="1">
        <f t="array" ref="AG197">IF(OR(Y197:AA197="TRUE", AE197="true"), "Threatened")</f>
        <v>0</v>
      </c>
      <c r="AH197" s="11" t="s">
        <v>675</v>
      </c>
      <c r="AI197" s="8" t="b">
        <v>0</v>
      </c>
    </row>
    <row r="198" spans="1:35" ht="31.2">
      <c r="A198" s="8">
        <v>-73.967933630000005</v>
      </c>
      <c r="B198" s="8">
        <v>40.77541866</v>
      </c>
      <c r="C198" s="8" t="s">
        <v>676</v>
      </c>
      <c r="D198" s="8" t="s">
        <v>677</v>
      </c>
      <c r="E198" s="8" t="b">
        <f t="shared" si="3"/>
        <v>0</v>
      </c>
      <c r="F198" s="8" t="b" cm="1">
        <f t="array" ref="F198">_xlfn._xlws.FILTER(E198:E3396, C198:C3396= "6D-PM-1020-01", "No Squirrels Found")</f>
        <v>0</v>
      </c>
      <c r="G198" s="8" t="s">
        <v>34</v>
      </c>
      <c r="H198" s="10">
        <v>10132018</v>
      </c>
      <c r="I198" s="10">
        <v>1</v>
      </c>
      <c r="J198" s="8" t="s">
        <v>39</v>
      </c>
      <c r="K198" s="8" t="s">
        <v>40</v>
      </c>
      <c r="L198" s="8" t="s">
        <v>41</v>
      </c>
      <c r="M198" s="8" t="s">
        <v>42</v>
      </c>
      <c r="O198" s="8" t="s">
        <v>43</v>
      </c>
      <c r="P198" s="8" t="b">
        <v>0</v>
      </c>
      <c r="R198" s="8" t="b">
        <v>0</v>
      </c>
      <c r="S198" s="8" t="b">
        <v>0</v>
      </c>
      <c r="T198" s="8" t="b">
        <v>1</v>
      </c>
      <c r="U198" s="8" t="b">
        <v>0</v>
      </c>
      <c r="V198" s="8" t="b">
        <v>0</v>
      </c>
      <c r="X198" s="8" t="b">
        <v>0</v>
      </c>
      <c r="Y198" s="8" t="b">
        <v>0</v>
      </c>
      <c r="Z198" s="8" t="b">
        <v>0</v>
      </c>
      <c r="AA198" s="8" t="b">
        <v>0</v>
      </c>
      <c r="AB198" s="8" t="b">
        <v>0</v>
      </c>
      <c r="AC198" s="8" t="b">
        <v>0</v>
      </c>
      <c r="AD198" s="8" t="b">
        <v>0</v>
      </c>
      <c r="AE198" s="8" t="b">
        <v>0</v>
      </c>
      <c r="AF198" s="11" t="s">
        <v>678</v>
      </c>
      <c r="AG198" s="11" t="b" cm="1">
        <f t="array" ref="AG198">IF(OR(Y198:AA198="TRUE", AE198="true"), "Threatened")</f>
        <v>0</v>
      </c>
      <c r="AH198" s="11" t="s">
        <v>679</v>
      </c>
      <c r="AI198" s="8" t="b">
        <v>1</v>
      </c>
    </row>
    <row r="199" spans="1:35" ht="31.2">
      <c r="A199" s="8">
        <v>-73.97611071</v>
      </c>
      <c r="B199" s="8">
        <v>40.769642060000002</v>
      </c>
      <c r="C199" s="8" t="s">
        <v>680</v>
      </c>
      <c r="D199" s="8" t="s">
        <v>53</v>
      </c>
      <c r="E199" s="8" t="b">
        <f t="shared" si="3"/>
        <v>1</v>
      </c>
      <c r="F199" s="8" t="b" cm="1">
        <f t="array" ref="F199">_xlfn._xlws.FILTER(E199:E3397, C199:C3397= "6D-PM-1020-01", "No Squirrels Found")</f>
        <v>0</v>
      </c>
      <c r="G199" s="8" t="s">
        <v>48</v>
      </c>
      <c r="H199" s="10">
        <v>10202018</v>
      </c>
      <c r="I199" s="10">
        <v>1</v>
      </c>
      <c r="J199" s="8" t="s">
        <v>39</v>
      </c>
      <c r="M199" s="8" t="s">
        <v>35</v>
      </c>
      <c r="N199" s="11" t="s">
        <v>681</v>
      </c>
      <c r="O199" s="8" t="s">
        <v>50</v>
      </c>
      <c r="P199" s="8">
        <v>30</v>
      </c>
      <c r="R199" s="8" t="b">
        <v>0</v>
      </c>
      <c r="S199" s="8" t="b">
        <v>0</v>
      </c>
      <c r="T199" s="8" t="b">
        <v>0</v>
      </c>
      <c r="U199" s="8" t="b">
        <v>0</v>
      </c>
      <c r="V199" s="8" t="b">
        <v>1</v>
      </c>
      <c r="X199" s="8" t="b">
        <v>0</v>
      </c>
      <c r="Y199" s="8" t="b">
        <v>0</v>
      </c>
      <c r="Z199" s="8" t="b">
        <v>0</v>
      </c>
      <c r="AA199" s="8" t="b">
        <v>0</v>
      </c>
      <c r="AB199" s="8" t="b">
        <v>0</v>
      </c>
      <c r="AC199" s="8" t="b">
        <v>0</v>
      </c>
      <c r="AD199" s="8" t="b">
        <v>0</v>
      </c>
      <c r="AE199" s="8" t="b">
        <v>0</v>
      </c>
      <c r="AG199" s="11" t="b" cm="1">
        <f t="array" ref="AG199">IF(OR(Y199:AA199="TRUE", AE199="true"), "Threatened")</f>
        <v>0</v>
      </c>
      <c r="AH199" s="11" t="s">
        <v>682</v>
      </c>
      <c r="AI199" s="8" t="b">
        <v>1</v>
      </c>
    </row>
    <row r="200" spans="1:35" ht="31.2">
      <c r="A200" s="8">
        <v>-73.977161469999999</v>
      </c>
      <c r="B200" s="8">
        <v>40.770967800000001</v>
      </c>
      <c r="C200" s="8" t="s">
        <v>683</v>
      </c>
      <c r="D200" s="8" t="s">
        <v>109</v>
      </c>
      <c r="E200" s="8" t="b">
        <f t="shared" si="3"/>
        <v>0</v>
      </c>
      <c r="F200" s="8" t="b" cm="1">
        <f t="array" ref="F200">_xlfn._xlws.FILTER(E200:E3398, C200:C3398= "6D-PM-1020-01", "No Squirrels Found")</f>
        <v>0</v>
      </c>
      <c r="G200" s="8" t="s">
        <v>48</v>
      </c>
      <c r="H200" s="10">
        <v>10062018</v>
      </c>
      <c r="I200" s="10">
        <v>2</v>
      </c>
      <c r="J200" s="8" t="s">
        <v>39</v>
      </c>
      <c r="K200" s="8" t="s">
        <v>41</v>
      </c>
      <c r="L200" s="8" t="s">
        <v>84</v>
      </c>
      <c r="M200" s="8" t="s">
        <v>85</v>
      </c>
      <c r="O200" s="8" t="s">
        <v>50</v>
      </c>
      <c r="P200" s="8">
        <v>10</v>
      </c>
      <c r="R200" s="8" t="b">
        <v>1</v>
      </c>
      <c r="S200" s="8" t="b">
        <v>0</v>
      </c>
      <c r="T200" s="8" t="b">
        <v>1</v>
      </c>
      <c r="U200" s="8" t="b">
        <v>1</v>
      </c>
      <c r="V200" s="8" t="b">
        <v>0</v>
      </c>
      <c r="X200" s="8" t="b">
        <v>0</v>
      </c>
      <c r="Y200" s="8" t="b">
        <v>0</v>
      </c>
      <c r="Z200" s="8" t="b">
        <v>0</v>
      </c>
      <c r="AA200" s="8" t="b">
        <v>0</v>
      </c>
      <c r="AB200" s="8" t="b">
        <v>0</v>
      </c>
      <c r="AC200" s="8" t="b">
        <v>0</v>
      </c>
      <c r="AD200" s="8" t="b">
        <v>1</v>
      </c>
      <c r="AE200" s="8" t="b">
        <v>0</v>
      </c>
      <c r="AG200" s="11" t="b" cm="1">
        <f t="array" ref="AG200">IF(OR(Y200:AA200="TRUE", AE200="true"), "Threatened")</f>
        <v>0</v>
      </c>
      <c r="AH200" s="11" t="s">
        <v>684</v>
      </c>
      <c r="AI200" s="8" t="b">
        <v>1</v>
      </c>
    </row>
    <row r="201" spans="1:35" ht="31.2">
      <c r="A201" s="8">
        <v>-73.951074759999997</v>
      </c>
      <c r="B201" s="8">
        <v>40.797310680000002</v>
      </c>
      <c r="C201" s="8" t="s">
        <v>685</v>
      </c>
      <c r="D201" s="8" t="s">
        <v>686</v>
      </c>
      <c r="E201" s="8" t="b">
        <f t="shared" si="3"/>
        <v>0</v>
      </c>
      <c r="F201" s="8" t="b" cm="1">
        <f t="array" ref="F201">_xlfn._xlws.FILTER(E201:E3399, C201:C3399= "6D-PM-1020-01", "No Squirrels Found")</f>
        <v>0</v>
      </c>
      <c r="G201" s="8" t="s">
        <v>48</v>
      </c>
      <c r="H201" s="10">
        <v>10192018</v>
      </c>
      <c r="I201" s="10">
        <v>2</v>
      </c>
      <c r="J201" s="8" t="s">
        <v>39</v>
      </c>
      <c r="K201" s="8" t="s">
        <v>40</v>
      </c>
      <c r="L201" s="8" t="s">
        <v>41</v>
      </c>
      <c r="M201" s="8" t="s">
        <v>42</v>
      </c>
      <c r="O201" s="8" t="s">
        <v>43</v>
      </c>
      <c r="P201" s="8" t="b">
        <v>0</v>
      </c>
      <c r="R201" s="8" t="b">
        <v>0</v>
      </c>
      <c r="S201" s="8" t="b">
        <v>0</v>
      </c>
      <c r="T201" s="8" t="b">
        <v>0</v>
      </c>
      <c r="U201" s="8" t="b">
        <v>0</v>
      </c>
      <c r="V201" s="8" t="b">
        <v>1</v>
      </c>
      <c r="X201" s="8" t="b">
        <v>0</v>
      </c>
      <c r="Y201" s="8" t="b">
        <v>0</v>
      </c>
      <c r="Z201" s="8" t="b">
        <v>0</v>
      </c>
      <c r="AA201" s="8" t="b">
        <v>0</v>
      </c>
      <c r="AB201" s="8" t="b">
        <v>0</v>
      </c>
      <c r="AC201" s="8" t="b">
        <v>0</v>
      </c>
      <c r="AD201" s="8" t="b">
        <v>1</v>
      </c>
      <c r="AE201" s="8" t="b">
        <v>0</v>
      </c>
      <c r="AG201" s="11" t="b" cm="1">
        <f t="array" ref="AG201">IF(OR(Y201:AA201="TRUE", AE201="true"), "Threatened")</f>
        <v>0</v>
      </c>
      <c r="AH201" s="11" t="s">
        <v>687</v>
      </c>
      <c r="AI201" s="8" t="b">
        <v>1</v>
      </c>
    </row>
    <row r="202" spans="1:35" ht="31.2">
      <c r="A202" s="8">
        <v>-73.959801580000004</v>
      </c>
      <c r="B202" s="8">
        <v>40.797352269999998</v>
      </c>
      <c r="C202" s="8" t="s">
        <v>688</v>
      </c>
      <c r="D202" s="8" t="s">
        <v>689</v>
      </c>
      <c r="E202" s="8" t="b">
        <f t="shared" si="3"/>
        <v>0</v>
      </c>
      <c r="F202" s="8" t="b" cm="1">
        <f t="array" ref="F202">_xlfn._xlws.FILTER(E202:E3400, C202:C3400= "6D-PM-1020-01", "No Squirrels Found")</f>
        <v>0</v>
      </c>
      <c r="G202" s="8" t="s">
        <v>34</v>
      </c>
      <c r="H202" s="10">
        <v>10132018</v>
      </c>
      <c r="I202" s="10">
        <v>3</v>
      </c>
      <c r="J202" s="8" t="s">
        <v>39</v>
      </c>
      <c r="K202" s="8" t="s">
        <v>40</v>
      </c>
      <c r="L202" s="8" t="s">
        <v>41</v>
      </c>
      <c r="M202" s="8" t="s">
        <v>42</v>
      </c>
      <c r="O202" s="8" t="s">
        <v>50</v>
      </c>
      <c r="P202" s="8">
        <v>5</v>
      </c>
      <c r="R202" s="8" t="b">
        <v>0</v>
      </c>
      <c r="S202" s="8" t="b">
        <v>0</v>
      </c>
      <c r="T202" s="8" t="b">
        <v>1</v>
      </c>
      <c r="U202" s="8" t="b">
        <v>0</v>
      </c>
      <c r="V202" s="8" t="b">
        <v>0</v>
      </c>
      <c r="X202" s="8" t="b">
        <v>0</v>
      </c>
      <c r="Y202" s="8" t="b">
        <v>0</v>
      </c>
      <c r="Z202" s="8" t="b">
        <v>0</v>
      </c>
      <c r="AA202" s="8" t="b">
        <v>0</v>
      </c>
      <c r="AB202" s="8" t="b">
        <v>0</v>
      </c>
      <c r="AC202" s="8" t="b">
        <v>0</v>
      </c>
      <c r="AD202" s="8" t="b">
        <v>1</v>
      </c>
      <c r="AE202" s="8" t="b">
        <v>0</v>
      </c>
      <c r="AG202" s="11" t="b" cm="1">
        <f t="array" ref="AG202">IF(OR(Y202:AA202="TRUE", AE202="true"), "Threatened")</f>
        <v>0</v>
      </c>
      <c r="AH202" s="11" t="s">
        <v>690</v>
      </c>
      <c r="AI202" s="8" t="b">
        <v>1</v>
      </c>
    </row>
    <row r="203" spans="1:35" ht="31.2">
      <c r="A203" s="8">
        <v>-73.971872910000002</v>
      </c>
      <c r="B203" s="8">
        <v>40.770369260000002</v>
      </c>
      <c r="C203" s="8" t="s">
        <v>691</v>
      </c>
      <c r="D203" s="8" t="s">
        <v>413</v>
      </c>
      <c r="E203" s="8" t="b">
        <f t="shared" si="3"/>
        <v>0</v>
      </c>
      <c r="F203" s="8" t="b" cm="1">
        <f t="array" ref="F203">_xlfn._xlws.FILTER(E203:E3401, C203:C3401= "6D-PM-1020-01", "No Squirrels Found")</f>
        <v>0</v>
      </c>
      <c r="G203" s="8" t="s">
        <v>34</v>
      </c>
      <c r="H203" s="10">
        <v>10182018</v>
      </c>
      <c r="I203" s="10">
        <v>5</v>
      </c>
      <c r="J203" s="8" t="s">
        <v>39</v>
      </c>
      <c r="K203" s="8" t="s">
        <v>40</v>
      </c>
      <c r="M203" s="8" t="s">
        <v>55</v>
      </c>
      <c r="O203" s="8" t="s">
        <v>43</v>
      </c>
      <c r="P203" s="8" t="b">
        <v>0</v>
      </c>
      <c r="R203" s="8" t="b">
        <v>0</v>
      </c>
      <c r="S203" s="8" t="b">
        <v>0</v>
      </c>
      <c r="T203" s="8" t="b">
        <v>0</v>
      </c>
      <c r="U203" s="8" t="b">
        <v>0</v>
      </c>
      <c r="V203" s="8" t="b">
        <v>1</v>
      </c>
      <c r="X203" s="8" t="b">
        <v>0</v>
      </c>
      <c r="Y203" s="8" t="b">
        <v>0</v>
      </c>
      <c r="Z203" s="8" t="b">
        <v>0</v>
      </c>
      <c r="AA203" s="8" t="b">
        <v>0</v>
      </c>
      <c r="AB203" s="8" t="b">
        <v>0</v>
      </c>
      <c r="AC203" s="8" t="b">
        <v>0</v>
      </c>
      <c r="AD203" s="8" t="b">
        <v>0</v>
      </c>
      <c r="AE203" s="8" t="b">
        <v>0</v>
      </c>
      <c r="AG203" s="11" t="b" cm="1">
        <f t="array" ref="AG203">IF(OR(Y203:AA203="TRUE", AE203="true"), "Threatened")</f>
        <v>0</v>
      </c>
      <c r="AH203" s="11" t="s">
        <v>692</v>
      </c>
      <c r="AI203" s="8" t="b">
        <v>1</v>
      </c>
    </row>
    <row r="204" spans="1:35" ht="46.8">
      <c r="A204" s="8">
        <v>-73.963877460000006</v>
      </c>
      <c r="B204" s="8">
        <v>40.791353209999997</v>
      </c>
      <c r="C204" s="8" t="s">
        <v>693</v>
      </c>
      <c r="D204" s="8" t="s">
        <v>398</v>
      </c>
      <c r="E204" s="8" t="b">
        <f t="shared" si="3"/>
        <v>0</v>
      </c>
      <c r="F204" s="8" t="b" cm="1">
        <f t="array" ref="F204">_xlfn._xlws.FILTER(E204:E3402, C204:C3402= "6D-PM-1020-01", "No Squirrels Found")</f>
        <v>0</v>
      </c>
      <c r="G204" s="8" t="s">
        <v>48</v>
      </c>
      <c r="H204" s="10">
        <v>10102018</v>
      </c>
      <c r="I204" s="10">
        <v>5</v>
      </c>
      <c r="J204" s="8" t="s">
        <v>39</v>
      </c>
      <c r="K204" s="8" t="s">
        <v>40</v>
      </c>
      <c r="M204" s="8" t="s">
        <v>55</v>
      </c>
      <c r="O204" s="8" t="s">
        <v>43</v>
      </c>
      <c r="P204" s="8" t="b">
        <v>0</v>
      </c>
      <c r="R204" s="8" t="b">
        <v>0</v>
      </c>
      <c r="S204" s="8" t="b">
        <v>0</v>
      </c>
      <c r="T204" s="8" t="b">
        <v>0</v>
      </c>
      <c r="U204" s="8" t="b">
        <v>1</v>
      </c>
      <c r="V204" s="8" t="b">
        <v>1</v>
      </c>
      <c r="W204" s="11" t="s">
        <v>694</v>
      </c>
      <c r="X204" s="8" t="b">
        <v>0</v>
      </c>
      <c r="Y204" s="8" t="b">
        <v>0</v>
      </c>
      <c r="Z204" s="8" t="b">
        <v>0</v>
      </c>
      <c r="AA204" s="8" t="b">
        <v>1</v>
      </c>
      <c r="AB204" s="8" t="b">
        <v>1</v>
      </c>
      <c r="AC204" s="8" t="b">
        <v>0</v>
      </c>
      <c r="AD204" s="8" t="b">
        <v>1</v>
      </c>
      <c r="AE204" s="8" t="b">
        <v>0</v>
      </c>
      <c r="AF204" s="11" t="s">
        <v>695</v>
      </c>
      <c r="AG204" s="11" t="b" cm="1">
        <f t="array" ref="AG204">IF(OR(Y204:AA204="TRUE", AE204="true"), "Threatened")</f>
        <v>0</v>
      </c>
      <c r="AH204" s="11" t="s">
        <v>696</v>
      </c>
      <c r="AI204" s="8" t="b">
        <v>0</v>
      </c>
    </row>
    <row r="205" spans="1:35" ht="31.2">
      <c r="A205" s="8">
        <v>-73.967953820000005</v>
      </c>
      <c r="B205" s="8">
        <v>40.783710370000001</v>
      </c>
      <c r="C205" s="8" t="s">
        <v>697</v>
      </c>
      <c r="D205" s="8" t="s">
        <v>698</v>
      </c>
      <c r="E205" s="8" t="b">
        <f t="shared" si="3"/>
        <v>0</v>
      </c>
      <c r="F205" s="8" t="b" cm="1">
        <f t="array" ref="F205">_xlfn._xlws.FILTER(E205:E3403, C205:C3403= "6D-PM-1020-01", "No Squirrels Found")</f>
        <v>0</v>
      </c>
      <c r="G205" s="8" t="s">
        <v>48</v>
      </c>
      <c r="H205" s="10">
        <v>10132018</v>
      </c>
      <c r="I205" s="10">
        <v>3</v>
      </c>
      <c r="J205" s="8" t="s">
        <v>54</v>
      </c>
      <c r="K205" s="8" t="s">
        <v>41</v>
      </c>
      <c r="L205" s="8" t="s">
        <v>40</v>
      </c>
      <c r="M205" s="8" t="s">
        <v>110</v>
      </c>
      <c r="O205" s="8" t="s">
        <v>43</v>
      </c>
      <c r="P205" s="8" t="b">
        <v>0</v>
      </c>
      <c r="R205" s="8" t="b">
        <v>0</v>
      </c>
      <c r="S205" s="8" t="b">
        <v>0</v>
      </c>
      <c r="T205" s="8" t="b">
        <v>0</v>
      </c>
      <c r="U205" s="8" t="b">
        <v>1</v>
      </c>
      <c r="V205" s="8" t="b">
        <v>1</v>
      </c>
      <c r="W205" s="11" t="s">
        <v>699</v>
      </c>
      <c r="X205" s="8" t="b">
        <v>0</v>
      </c>
      <c r="Y205" s="8" t="b">
        <v>0</v>
      </c>
      <c r="Z205" s="8" t="b">
        <v>0</v>
      </c>
      <c r="AA205" s="8" t="b">
        <v>0</v>
      </c>
      <c r="AB205" s="8" t="b">
        <v>0</v>
      </c>
      <c r="AC205" s="8" t="b">
        <v>0</v>
      </c>
      <c r="AD205" s="8" t="b">
        <v>0</v>
      </c>
      <c r="AE205" s="8" t="b">
        <v>1</v>
      </c>
      <c r="AG205" s="11" t="b" cm="1">
        <f t="array" ref="AG205">IF(OR(Y205:AA205="TRUE", AE205="true"), "Threatened")</f>
        <v>0</v>
      </c>
      <c r="AH205" s="11" t="s">
        <v>700</v>
      </c>
      <c r="AI205" s="8" t="b">
        <v>0</v>
      </c>
    </row>
    <row r="206" spans="1:35" ht="31.2">
      <c r="A206" s="8">
        <v>-73.956472410000003</v>
      </c>
      <c r="B206" s="8">
        <v>40.793605550000002</v>
      </c>
      <c r="C206" s="8" t="s">
        <v>701</v>
      </c>
      <c r="D206" s="8" t="s">
        <v>702</v>
      </c>
      <c r="E206" s="8" t="b">
        <f t="shared" si="3"/>
        <v>0</v>
      </c>
      <c r="F206" s="8" t="b" cm="1">
        <f t="array" ref="F206">_xlfn._xlws.FILTER(E206:E3404, C206:C3404= "6D-PM-1020-01", "No Squirrels Found")</f>
        <v>0</v>
      </c>
      <c r="G206" s="8" t="s">
        <v>34</v>
      </c>
      <c r="H206" s="10">
        <v>10122018</v>
      </c>
      <c r="I206" s="10">
        <v>4</v>
      </c>
      <c r="J206" s="8" t="s">
        <v>39</v>
      </c>
      <c r="K206" s="8" t="s">
        <v>40</v>
      </c>
      <c r="L206" s="8" t="s">
        <v>84</v>
      </c>
      <c r="M206" s="8" t="s">
        <v>103</v>
      </c>
      <c r="O206" s="8" t="s">
        <v>43</v>
      </c>
      <c r="P206" s="8" t="b">
        <v>0</v>
      </c>
      <c r="R206" s="8" t="b">
        <v>0</v>
      </c>
      <c r="S206" s="8" t="b">
        <v>0</v>
      </c>
      <c r="T206" s="8" t="b">
        <v>0</v>
      </c>
      <c r="U206" s="8" t="b">
        <v>0</v>
      </c>
      <c r="V206" s="8" t="b">
        <v>1</v>
      </c>
      <c r="X206" s="8" t="b">
        <v>0</v>
      </c>
      <c r="Y206" s="8" t="b">
        <v>0</v>
      </c>
      <c r="Z206" s="8" t="b">
        <v>0</v>
      </c>
      <c r="AA206" s="8" t="b">
        <v>0</v>
      </c>
      <c r="AB206" s="8" t="b">
        <v>0</v>
      </c>
      <c r="AC206" s="8" t="b">
        <v>0</v>
      </c>
      <c r="AD206" s="8" t="b">
        <v>0</v>
      </c>
      <c r="AE206" s="8" t="b">
        <v>1</v>
      </c>
      <c r="AG206" s="11" t="b" cm="1">
        <f t="array" ref="AG206">IF(OR(Y206:AA206="TRUE", AE206="true"), "Threatened")</f>
        <v>0</v>
      </c>
      <c r="AH206" s="11" t="s">
        <v>703</v>
      </c>
      <c r="AI206" s="8" t="b">
        <v>1</v>
      </c>
    </row>
    <row r="207" spans="1:35" ht="31.2">
      <c r="A207" s="8">
        <v>-73.961364340000003</v>
      </c>
      <c r="B207" s="8">
        <v>40.789243190000001</v>
      </c>
      <c r="C207" s="8" t="s">
        <v>704</v>
      </c>
      <c r="D207" s="8" t="s">
        <v>705</v>
      </c>
      <c r="E207" s="8" t="b">
        <f t="shared" si="3"/>
        <v>0</v>
      </c>
      <c r="F207" s="8" t="b" cm="1">
        <f t="array" ref="F207">_xlfn._xlws.FILTER(E207:E3405, C207:C3405= "6D-PM-1020-01", "No Squirrels Found")</f>
        <v>0</v>
      </c>
      <c r="G207" s="8" t="s">
        <v>48</v>
      </c>
      <c r="H207" s="10">
        <v>10172018</v>
      </c>
      <c r="I207" s="10">
        <v>2</v>
      </c>
      <c r="J207" s="8" t="s">
        <v>39</v>
      </c>
      <c r="K207" s="8" t="s">
        <v>40</v>
      </c>
      <c r="M207" s="8" t="s">
        <v>55</v>
      </c>
      <c r="O207" s="8" t="s">
        <v>43</v>
      </c>
      <c r="P207" s="8" t="b">
        <v>0</v>
      </c>
      <c r="R207" s="8" t="b">
        <v>0</v>
      </c>
      <c r="S207" s="8" t="b">
        <v>0</v>
      </c>
      <c r="T207" s="8" t="b">
        <v>0</v>
      </c>
      <c r="U207" s="8" t="b">
        <v>0</v>
      </c>
      <c r="V207" s="8" t="b">
        <v>1</v>
      </c>
      <c r="X207" s="8" t="b">
        <v>0</v>
      </c>
      <c r="Y207" s="8" t="b">
        <v>0</v>
      </c>
      <c r="Z207" s="8" t="b">
        <v>0</v>
      </c>
      <c r="AA207" s="8" t="b">
        <v>0</v>
      </c>
      <c r="AB207" s="8" t="b">
        <v>0</v>
      </c>
      <c r="AC207" s="8" t="b">
        <v>0</v>
      </c>
      <c r="AD207" s="8" t="b">
        <v>1</v>
      </c>
      <c r="AE207" s="8" t="b">
        <v>0</v>
      </c>
      <c r="AG207" s="11" t="b" cm="1">
        <f t="array" ref="AG207">IF(OR(Y207:AA207="TRUE", AE207="true"), "Threatened")</f>
        <v>0</v>
      </c>
      <c r="AH207" s="11" t="s">
        <v>706</v>
      </c>
      <c r="AI207" s="8" t="b">
        <v>1</v>
      </c>
    </row>
    <row r="208" spans="1:35" ht="31.2">
      <c r="A208" s="8">
        <v>-73.977082440000004</v>
      </c>
      <c r="B208" s="8">
        <v>40.77099613</v>
      </c>
      <c r="C208" s="8" t="s">
        <v>707</v>
      </c>
      <c r="D208" s="8" t="s">
        <v>109</v>
      </c>
      <c r="E208" s="8" t="b">
        <f t="shared" si="3"/>
        <v>0</v>
      </c>
      <c r="F208" s="8" t="b" cm="1">
        <f t="array" ref="F208">_xlfn._xlws.FILTER(E208:E3406, C208:C3406= "6D-PM-1020-01", "No Squirrels Found")</f>
        <v>0</v>
      </c>
      <c r="G208" s="8" t="s">
        <v>48</v>
      </c>
      <c r="H208" s="10">
        <v>10062018</v>
      </c>
      <c r="I208" s="10">
        <v>3</v>
      </c>
      <c r="J208" s="8" t="s">
        <v>39</v>
      </c>
      <c r="K208" s="8" t="s">
        <v>40</v>
      </c>
      <c r="L208" s="8" t="s">
        <v>41</v>
      </c>
      <c r="M208" s="8" t="s">
        <v>42</v>
      </c>
      <c r="O208" s="8" t="s">
        <v>50</v>
      </c>
      <c r="P208" s="8">
        <v>15</v>
      </c>
      <c r="R208" s="8" t="b">
        <v>0</v>
      </c>
      <c r="S208" s="8" t="b">
        <v>0</v>
      </c>
      <c r="T208" s="8" t="b">
        <v>1</v>
      </c>
      <c r="U208" s="8" t="b">
        <v>0</v>
      </c>
      <c r="V208" s="8" t="b">
        <v>0</v>
      </c>
      <c r="X208" s="8" t="b">
        <v>0</v>
      </c>
      <c r="Y208" s="8" t="b">
        <v>0</v>
      </c>
      <c r="Z208" s="8" t="b">
        <v>0</v>
      </c>
      <c r="AA208" s="8" t="b">
        <v>0</v>
      </c>
      <c r="AB208" s="8" t="b">
        <v>0</v>
      </c>
      <c r="AC208" s="8" t="b">
        <v>0</v>
      </c>
      <c r="AD208" s="8" t="b">
        <v>1</v>
      </c>
      <c r="AE208" s="8" t="b">
        <v>0</v>
      </c>
      <c r="AG208" s="11" t="b" cm="1">
        <f t="array" ref="AG208">IF(OR(Y208:AA208="TRUE", AE208="true"), "Threatened")</f>
        <v>0</v>
      </c>
      <c r="AH208" s="11" t="s">
        <v>708</v>
      </c>
      <c r="AI208" s="8" t="b">
        <v>1</v>
      </c>
    </row>
    <row r="209" spans="1:35" ht="31.2">
      <c r="A209" s="8">
        <v>-73.967764619999997</v>
      </c>
      <c r="B209" s="8">
        <v>40.774649279999998</v>
      </c>
      <c r="C209" s="8" t="s">
        <v>709</v>
      </c>
      <c r="D209" s="8" t="s">
        <v>205</v>
      </c>
      <c r="E209" s="8" t="b">
        <f t="shared" si="3"/>
        <v>0</v>
      </c>
      <c r="F209" s="8" t="b" cm="1">
        <f t="array" ref="F209">_xlfn._xlws.FILTER(E209:E3407, C209:C3407= "6D-PM-1020-01", "No Squirrels Found")</f>
        <v>0</v>
      </c>
      <c r="G209" s="8" t="s">
        <v>34</v>
      </c>
      <c r="H209" s="10">
        <v>10102018</v>
      </c>
      <c r="I209" s="10">
        <v>5</v>
      </c>
      <c r="J209" s="8" t="s">
        <v>39</v>
      </c>
      <c r="K209" s="8" t="s">
        <v>40</v>
      </c>
      <c r="M209" s="8" t="s">
        <v>55</v>
      </c>
      <c r="O209" s="8" t="s">
        <v>43</v>
      </c>
      <c r="P209" s="8" t="b">
        <v>0</v>
      </c>
      <c r="R209" s="8" t="b">
        <v>0</v>
      </c>
      <c r="S209" s="8" t="b">
        <v>0</v>
      </c>
      <c r="T209" s="8" t="b">
        <v>0</v>
      </c>
      <c r="U209" s="8" t="b">
        <v>0</v>
      </c>
      <c r="V209" s="8" t="b">
        <v>1</v>
      </c>
      <c r="X209" s="8" t="b">
        <v>0</v>
      </c>
      <c r="Y209" s="8" t="b">
        <v>0</v>
      </c>
      <c r="Z209" s="8" t="b">
        <v>0</v>
      </c>
      <c r="AA209" s="8" t="b">
        <v>0</v>
      </c>
      <c r="AB209" s="8" t="b">
        <v>0</v>
      </c>
      <c r="AC209" s="8" t="b">
        <v>0</v>
      </c>
      <c r="AD209" s="8" t="b">
        <v>1</v>
      </c>
      <c r="AE209" s="8" t="b">
        <v>0</v>
      </c>
      <c r="AG209" s="11" t="b" cm="1">
        <f t="array" ref="AG209">IF(OR(Y209:AA209="TRUE", AE209="true"), "Threatened")</f>
        <v>0</v>
      </c>
      <c r="AH209" s="11" t="s">
        <v>710</v>
      </c>
      <c r="AI209" s="8" t="b">
        <v>1</v>
      </c>
    </row>
    <row r="210" spans="1:35" ht="31.2">
      <c r="A210" s="8">
        <v>-73.971076019999998</v>
      </c>
      <c r="B210" s="8">
        <v>40.772550600000002</v>
      </c>
      <c r="C210" s="8" t="s">
        <v>711</v>
      </c>
      <c r="D210" s="8" t="s">
        <v>329</v>
      </c>
      <c r="E210" s="8" t="b">
        <f t="shared" si="3"/>
        <v>0</v>
      </c>
      <c r="F210" s="8" t="b" cm="1">
        <f t="array" ref="F210">_xlfn._xlws.FILTER(E210:E3408, C210:C3408= "6D-PM-1020-01", "No Squirrels Found")</f>
        <v>0</v>
      </c>
      <c r="G210" s="8" t="s">
        <v>34</v>
      </c>
      <c r="H210" s="10">
        <v>10192018</v>
      </c>
      <c r="I210" s="10">
        <v>2</v>
      </c>
      <c r="J210" s="8" t="s">
        <v>54</v>
      </c>
      <c r="K210" s="8" t="s">
        <v>40</v>
      </c>
      <c r="L210" s="8" t="s">
        <v>41</v>
      </c>
      <c r="M210" s="8" t="s">
        <v>42</v>
      </c>
      <c r="N210" s="11" t="s">
        <v>712</v>
      </c>
      <c r="O210" s="8" t="s">
        <v>43</v>
      </c>
      <c r="P210" s="8" t="b">
        <v>0</v>
      </c>
      <c r="Q210" s="8" t="s">
        <v>713</v>
      </c>
      <c r="R210" s="8" t="b">
        <v>1</v>
      </c>
      <c r="S210" s="8" t="b">
        <v>0</v>
      </c>
      <c r="T210" s="8" t="b">
        <v>0</v>
      </c>
      <c r="U210" s="8" t="b">
        <v>0</v>
      </c>
      <c r="V210" s="8" t="b">
        <v>0</v>
      </c>
      <c r="X210" s="8" t="b">
        <v>0</v>
      </c>
      <c r="Y210" s="8" t="b">
        <v>0</v>
      </c>
      <c r="Z210" s="8" t="b">
        <v>0</v>
      </c>
      <c r="AA210" s="8" t="b">
        <v>0</v>
      </c>
      <c r="AB210" s="8" t="b">
        <v>1</v>
      </c>
      <c r="AC210" s="8" t="b">
        <v>0</v>
      </c>
      <c r="AD210" s="8" t="b">
        <v>0</v>
      </c>
      <c r="AE210" s="8" t="b">
        <v>1</v>
      </c>
      <c r="AG210" s="11" t="b" cm="1">
        <f t="array" ref="AG210">IF(OR(Y210:AA210="TRUE", AE210="true"), "Threatened")</f>
        <v>0</v>
      </c>
      <c r="AH210" s="11" t="s">
        <v>714</v>
      </c>
      <c r="AI210" s="8" t="b">
        <v>1</v>
      </c>
    </row>
    <row r="211" spans="1:35" ht="31.2">
      <c r="A211" s="8">
        <v>-73.971129849999997</v>
      </c>
      <c r="B211" s="8">
        <v>40.767690260000002</v>
      </c>
      <c r="C211" s="8" t="s">
        <v>715</v>
      </c>
      <c r="D211" s="8" t="s">
        <v>716</v>
      </c>
      <c r="E211" s="8" t="b">
        <f t="shared" si="3"/>
        <v>0</v>
      </c>
      <c r="F211" s="8" t="b" cm="1">
        <f t="array" ref="F211">_xlfn._xlws.FILTER(E211:E3409, C211:C3409= "6D-PM-1020-01", "No Squirrels Found")</f>
        <v>0</v>
      </c>
      <c r="G211" s="8" t="s">
        <v>34</v>
      </c>
      <c r="H211" s="10">
        <v>10082018</v>
      </c>
      <c r="I211" s="10">
        <v>1</v>
      </c>
      <c r="J211" s="8" t="s">
        <v>39</v>
      </c>
      <c r="K211" s="8" t="s">
        <v>192</v>
      </c>
      <c r="L211" s="8" t="s">
        <v>41</v>
      </c>
      <c r="M211" s="8" t="s">
        <v>717</v>
      </c>
      <c r="O211" s="8" t="s">
        <v>50</v>
      </c>
      <c r="P211" s="8">
        <v>15</v>
      </c>
      <c r="Q211" s="8" t="s">
        <v>718</v>
      </c>
      <c r="R211" s="8" t="b">
        <v>0</v>
      </c>
      <c r="S211" s="8" t="b">
        <v>0</v>
      </c>
      <c r="T211" s="8" t="b">
        <v>1</v>
      </c>
      <c r="U211" s="8" t="b">
        <v>1</v>
      </c>
      <c r="V211" s="8" t="b">
        <v>0</v>
      </c>
      <c r="X211" s="8" t="b">
        <v>0</v>
      </c>
      <c r="Y211" s="8" t="b">
        <v>0</v>
      </c>
      <c r="Z211" s="8" t="b">
        <v>0</v>
      </c>
      <c r="AA211" s="8" t="b">
        <v>1</v>
      </c>
      <c r="AB211" s="8" t="b">
        <v>0</v>
      </c>
      <c r="AC211" s="8" t="b">
        <v>0</v>
      </c>
      <c r="AD211" s="8" t="b">
        <v>0</v>
      </c>
      <c r="AE211" s="8" t="b">
        <v>0</v>
      </c>
      <c r="AG211" s="11" t="b" cm="1">
        <f t="array" ref="AG211">IF(OR(Y211:AA211="TRUE", AE211="true"), "Threatened")</f>
        <v>0</v>
      </c>
      <c r="AH211" s="11" t="s">
        <v>719</v>
      </c>
      <c r="AI211" s="8" t="b">
        <v>1</v>
      </c>
    </row>
    <row r="212" spans="1:35" ht="31.2">
      <c r="A212" s="8">
        <v>-73.970275580000006</v>
      </c>
      <c r="B212" s="8">
        <v>40.778354780000001</v>
      </c>
      <c r="C212" s="8" t="s">
        <v>720</v>
      </c>
      <c r="D212" s="8" t="s">
        <v>721</v>
      </c>
      <c r="E212" s="8" t="b">
        <f t="shared" si="3"/>
        <v>0</v>
      </c>
      <c r="F212" s="8" t="b" cm="1">
        <f t="array" ref="F212">_xlfn._xlws.FILTER(E212:E3410, C212:C3410= "6D-PM-1020-01", "No Squirrels Found")</f>
        <v>0</v>
      </c>
      <c r="G212" s="8" t="s">
        <v>34</v>
      </c>
      <c r="H212" s="10">
        <v>10102018</v>
      </c>
      <c r="I212" s="10">
        <v>13</v>
      </c>
      <c r="J212" s="8" t="s">
        <v>39</v>
      </c>
      <c r="K212" s="8" t="s">
        <v>40</v>
      </c>
      <c r="M212" s="8" t="s">
        <v>55</v>
      </c>
      <c r="O212" s="8" t="s">
        <v>43</v>
      </c>
      <c r="P212" s="8" t="b">
        <v>0</v>
      </c>
      <c r="R212" s="8" t="b">
        <v>0</v>
      </c>
      <c r="S212" s="8" t="b">
        <v>0</v>
      </c>
      <c r="T212" s="8" t="b">
        <v>0</v>
      </c>
      <c r="U212" s="8" t="b">
        <v>0</v>
      </c>
      <c r="V212" s="8" t="b">
        <v>1</v>
      </c>
      <c r="X212" s="8" t="b">
        <v>0</v>
      </c>
      <c r="Y212" s="8" t="b">
        <v>0</v>
      </c>
      <c r="Z212" s="8" t="b">
        <v>0</v>
      </c>
      <c r="AA212" s="8" t="b">
        <v>0</v>
      </c>
      <c r="AB212" s="8" t="b">
        <v>0</v>
      </c>
      <c r="AC212" s="8" t="b">
        <v>0</v>
      </c>
      <c r="AD212" s="8" t="b">
        <v>1</v>
      </c>
      <c r="AE212" s="8" t="b">
        <v>0</v>
      </c>
      <c r="AG212" s="11" t="b" cm="1">
        <f t="array" ref="AG212">IF(OR(Y212:AA212="TRUE", AE212="true"), "Threatened")</f>
        <v>0</v>
      </c>
      <c r="AH212" s="11" t="s">
        <v>722</v>
      </c>
      <c r="AI212" s="8" t="b">
        <v>1</v>
      </c>
    </row>
    <row r="213" spans="1:35" ht="31.2">
      <c r="A213" s="8">
        <v>-73.963883719999998</v>
      </c>
      <c r="B213" s="8">
        <v>40.780974790000002</v>
      </c>
      <c r="C213" s="8" t="s">
        <v>723</v>
      </c>
      <c r="D213" s="8" t="s">
        <v>358</v>
      </c>
      <c r="E213" s="8" t="b">
        <f t="shared" si="3"/>
        <v>0</v>
      </c>
      <c r="F213" s="8" t="b" cm="1">
        <f t="array" ref="F213">_xlfn._xlws.FILTER(E213:E3411, C213:C3411= "6D-PM-1020-01", "No Squirrels Found")</f>
        <v>0</v>
      </c>
      <c r="G213" s="8" t="s">
        <v>48</v>
      </c>
      <c r="H213" s="10">
        <v>10142018</v>
      </c>
      <c r="I213" s="10">
        <v>7</v>
      </c>
      <c r="J213" s="8" t="s">
        <v>39</v>
      </c>
      <c r="K213" s="8" t="s">
        <v>40</v>
      </c>
      <c r="L213" s="8" t="s">
        <v>84</v>
      </c>
      <c r="M213" s="8" t="s">
        <v>103</v>
      </c>
      <c r="O213" s="8" t="s">
        <v>50</v>
      </c>
      <c r="P213" s="8">
        <v>5</v>
      </c>
      <c r="R213" s="8" t="b">
        <v>0</v>
      </c>
      <c r="S213" s="8" t="b">
        <v>1</v>
      </c>
      <c r="T213" s="8" t="b">
        <v>1</v>
      </c>
      <c r="U213" s="8" t="b">
        <v>0</v>
      </c>
      <c r="V213" s="8" t="b">
        <v>0</v>
      </c>
      <c r="X213" s="8" t="b">
        <v>0</v>
      </c>
      <c r="Y213" s="8" t="b">
        <v>0</v>
      </c>
      <c r="Z213" s="8" t="b">
        <v>0</v>
      </c>
      <c r="AA213" s="8" t="b">
        <v>0</v>
      </c>
      <c r="AB213" s="8" t="b">
        <v>0</v>
      </c>
      <c r="AC213" s="8" t="b">
        <v>0</v>
      </c>
      <c r="AD213" s="8" t="b">
        <v>0</v>
      </c>
      <c r="AE213" s="8" t="b">
        <v>0</v>
      </c>
      <c r="AG213" s="11" t="b" cm="1">
        <f t="array" ref="AG213">IF(OR(Y213:AA213="TRUE", AE213="true"), "Threatened")</f>
        <v>0</v>
      </c>
      <c r="AH213" s="11" t="s">
        <v>724</v>
      </c>
      <c r="AI213" s="8" t="b">
        <v>1</v>
      </c>
    </row>
    <row r="214" spans="1:35" ht="31.2">
      <c r="A214" s="8">
        <v>-73.968367490000006</v>
      </c>
      <c r="B214" s="8">
        <v>40.783847260000002</v>
      </c>
      <c r="C214" s="8" t="s">
        <v>725</v>
      </c>
      <c r="D214" s="8" t="s">
        <v>335</v>
      </c>
      <c r="E214" s="8" t="b">
        <f t="shared" si="3"/>
        <v>0</v>
      </c>
      <c r="F214" s="8" t="b" cm="1">
        <f t="array" ref="F214">_xlfn._xlws.FILTER(E214:E3412, C214:C3412= "6D-PM-1020-01", "No Squirrels Found")</f>
        <v>0</v>
      </c>
      <c r="G214" s="8" t="s">
        <v>34</v>
      </c>
      <c r="H214" s="10">
        <v>10142018</v>
      </c>
      <c r="I214" s="10">
        <v>5</v>
      </c>
      <c r="K214" s="8" t="s">
        <v>40</v>
      </c>
      <c r="L214" s="8" t="s">
        <v>41</v>
      </c>
      <c r="M214" s="8" t="s">
        <v>42</v>
      </c>
      <c r="O214" s="8" t="s">
        <v>43</v>
      </c>
      <c r="P214" s="8" t="b">
        <v>0</v>
      </c>
      <c r="R214" s="8" t="b">
        <v>0</v>
      </c>
      <c r="S214" s="8" t="b">
        <v>0</v>
      </c>
      <c r="T214" s="8" t="b">
        <v>0</v>
      </c>
      <c r="U214" s="8" t="b">
        <v>1</v>
      </c>
      <c r="V214" s="8" t="b">
        <v>0</v>
      </c>
      <c r="W214" s="11" t="s">
        <v>726</v>
      </c>
      <c r="X214" s="8" t="b">
        <v>0</v>
      </c>
      <c r="Y214" s="8" t="b">
        <v>0</v>
      </c>
      <c r="Z214" s="8" t="b">
        <v>0</v>
      </c>
      <c r="AA214" s="8" t="b">
        <v>0</v>
      </c>
      <c r="AB214" s="8" t="b">
        <v>0</v>
      </c>
      <c r="AC214" s="8" t="b">
        <v>0</v>
      </c>
      <c r="AD214" s="8" t="b">
        <v>0</v>
      </c>
      <c r="AE214" s="8" t="b">
        <v>0</v>
      </c>
      <c r="AG214" s="11" t="b" cm="1">
        <f t="array" ref="AG214">IF(OR(Y214:AA214="TRUE", AE214="true"), "Threatened")</f>
        <v>0</v>
      </c>
      <c r="AH214" s="11" t="s">
        <v>727</v>
      </c>
      <c r="AI214" s="8" t="b">
        <v>0</v>
      </c>
    </row>
    <row r="215" spans="1:35" ht="31.2">
      <c r="A215" s="8">
        <v>-73.977257660000006</v>
      </c>
      <c r="B215" s="8">
        <v>40.76798951</v>
      </c>
      <c r="C215" s="8" t="s">
        <v>728</v>
      </c>
      <c r="D215" s="8" t="s">
        <v>512</v>
      </c>
      <c r="E215" s="8" t="b">
        <f t="shared" si="3"/>
        <v>0</v>
      </c>
      <c r="F215" s="8" t="b" cm="1">
        <f t="array" ref="F215">_xlfn._xlws.FILTER(E215:E3413, C215:C3413= "6D-PM-1020-01", "No Squirrels Found")</f>
        <v>0</v>
      </c>
      <c r="G215" s="8" t="s">
        <v>48</v>
      </c>
      <c r="H215" s="10">
        <v>10062018</v>
      </c>
      <c r="I215" s="10">
        <v>8</v>
      </c>
      <c r="J215" s="8" t="s">
        <v>39</v>
      </c>
      <c r="K215" s="8" t="s">
        <v>41</v>
      </c>
      <c r="L215" s="8" t="s">
        <v>40</v>
      </c>
      <c r="M215" s="8" t="s">
        <v>110</v>
      </c>
      <c r="O215" s="8" t="s">
        <v>43</v>
      </c>
      <c r="P215" s="8" t="b">
        <v>0</v>
      </c>
      <c r="R215" s="8" t="b">
        <v>0</v>
      </c>
      <c r="S215" s="8" t="b">
        <v>0</v>
      </c>
      <c r="T215" s="8" t="b">
        <v>0</v>
      </c>
      <c r="U215" s="8" t="b">
        <v>1</v>
      </c>
      <c r="V215" s="8" t="b">
        <v>1</v>
      </c>
      <c r="X215" s="8" t="b">
        <v>0</v>
      </c>
      <c r="Y215" s="8" t="b">
        <v>0</v>
      </c>
      <c r="Z215" s="8" t="b">
        <v>0</v>
      </c>
      <c r="AA215" s="8" t="b">
        <v>0</v>
      </c>
      <c r="AB215" s="8" t="b">
        <v>0</v>
      </c>
      <c r="AC215" s="8" t="b">
        <v>1</v>
      </c>
      <c r="AD215" s="8" t="b">
        <v>0</v>
      </c>
      <c r="AE215" s="8" t="b">
        <v>0</v>
      </c>
      <c r="AF215" s="11" t="s">
        <v>729</v>
      </c>
      <c r="AG215" s="11" t="b" cm="1">
        <f t="array" ref="AG215">IF(OR(Y215:AA215="TRUE", AE215="true"), "Threatened")</f>
        <v>0</v>
      </c>
      <c r="AH215" s="11" t="s">
        <v>730</v>
      </c>
      <c r="AI215" s="8" t="b">
        <v>1</v>
      </c>
    </row>
    <row r="216" spans="1:35" ht="31.2">
      <c r="A216" s="8">
        <v>-73.951963989999996</v>
      </c>
      <c r="B216" s="8">
        <v>40.794991170000003</v>
      </c>
      <c r="C216" s="8" t="s">
        <v>731</v>
      </c>
      <c r="D216" s="8" t="s">
        <v>559</v>
      </c>
      <c r="E216" s="8" t="b">
        <f t="shared" si="3"/>
        <v>0</v>
      </c>
      <c r="F216" s="8" t="b" cm="1">
        <f t="array" ref="F216">_xlfn._xlws.FILTER(E216:E3414, C216:C3414= "6D-PM-1020-01", "No Squirrels Found")</f>
        <v>0</v>
      </c>
      <c r="G216" s="8" t="s">
        <v>48</v>
      </c>
      <c r="H216" s="10">
        <v>10072018</v>
      </c>
      <c r="I216" s="10">
        <v>1</v>
      </c>
      <c r="J216" s="8" t="s">
        <v>39</v>
      </c>
      <c r="K216" s="8" t="s">
        <v>40</v>
      </c>
      <c r="M216" s="8" t="s">
        <v>55</v>
      </c>
      <c r="O216" s="8" t="s">
        <v>43</v>
      </c>
      <c r="P216" s="8" t="b">
        <v>0</v>
      </c>
      <c r="R216" s="8" t="b">
        <v>0</v>
      </c>
      <c r="S216" s="8" t="b">
        <v>0</v>
      </c>
      <c r="T216" s="8" t="b">
        <v>0</v>
      </c>
      <c r="U216" s="8" t="b">
        <v>0</v>
      </c>
      <c r="V216" s="8" t="b">
        <v>1</v>
      </c>
      <c r="X216" s="8" t="b">
        <v>0</v>
      </c>
      <c r="Y216" s="8" t="b">
        <v>0</v>
      </c>
      <c r="Z216" s="8" t="b">
        <v>0</v>
      </c>
      <c r="AA216" s="8" t="b">
        <v>0</v>
      </c>
      <c r="AB216" s="8" t="b">
        <v>0</v>
      </c>
      <c r="AC216" s="8" t="b">
        <v>0</v>
      </c>
      <c r="AD216" s="8" t="b">
        <v>1</v>
      </c>
      <c r="AE216" s="8" t="b">
        <v>0</v>
      </c>
      <c r="AG216" s="11" t="b" cm="1">
        <f t="array" ref="AG216">IF(OR(Y216:AA216="TRUE", AE216="true"), "Threatened")</f>
        <v>0</v>
      </c>
      <c r="AH216" s="11" t="s">
        <v>732</v>
      </c>
      <c r="AI216" s="8" t="b">
        <v>1</v>
      </c>
    </row>
    <row r="217" spans="1:35" ht="31.2">
      <c r="A217" s="8">
        <v>-73.97542704</v>
      </c>
      <c r="B217" s="8">
        <v>40.770241149999997</v>
      </c>
      <c r="C217" s="8" t="s">
        <v>733</v>
      </c>
      <c r="D217" s="8" t="s">
        <v>734</v>
      </c>
      <c r="E217" s="8" t="b">
        <f t="shared" si="3"/>
        <v>0</v>
      </c>
      <c r="F217" s="8" t="b" cm="1">
        <f t="array" ref="F217">_xlfn._xlws.FILTER(E217:E3415, C217:C3415= "6D-PM-1020-01", "No Squirrels Found")</f>
        <v>0</v>
      </c>
      <c r="G217" s="8" t="s">
        <v>34</v>
      </c>
      <c r="H217" s="10">
        <v>10202018</v>
      </c>
      <c r="I217" s="10">
        <v>1</v>
      </c>
      <c r="J217" s="8" t="s">
        <v>39</v>
      </c>
      <c r="K217" s="8" t="s">
        <v>40</v>
      </c>
      <c r="M217" s="8" t="s">
        <v>55</v>
      </c>
      <c r="O217" s="8" t="s">
        <v>43</v>
      </c>
      <c r="P217" s="8" t="b">
        <v>0</v>
      </c>
      <c r="Q217" s="8" t="s">
        <v>735</v>
      </c>
      <c r="R217" s="8" t="b">
        <v>0</v>
      </c>
      <c r="S217" s="8" t="b">
        <v>0</v>
      </c>
      <c r="T217" s="8" t="b">
        <v>0</v>
      </c>
      <c r="U217" s="8" t="b">
        <v>0</v>
      </c>
      <c r="V217" s="8" t="b">
        <v>1</v>
      </c>
      <c r="X217" s="8" t="b">
        <v>0</v>
      </c>
      <c r="Y217" s="8" t="b">
        <v>0</v>
      </c>
      <c r="Z217" s="8" t="b">
        <v>0</v>
      </c>
      <c r="AA217" s="8" t="b">
        <v>0</v>
      </c>
      <c r="AB217" s="8" t="b">
        <v>0</v>
      </c>
      <c r="AC217" s="8" t="b">
        <v>0</v>
      </c>
      <c r="AD217" s="8" t="b">
        <v>1</v>
      </c>
      <c r="AE217" s="8" t="b">
        <v>0</v>
      </c>
      <c r="AG217" s="11" t="b" cm="1">
        <f t="array" ref="AG217">IF(OR(Y217:AA217="TRUE", AE217="true"), "Threatened")</f>
        <v>0</v>
      </c>
      <c r="AH217" s="11" t="s">
        <v>736</v>
      </c>
      <c r="AI217" s="8" t="b">
        <v>1</v>
      </c>
    </row>
    <row r="218" spans="1:35" ht="31.2">
      <c r="A218" s="8">
        <v>-73.971232729999997</v>
      </c>
      <c r="B218" s="8">
        <v>40.774870290000003</v>
      </c>
      <c r="C218" s="8" t="s">
        <v>737</v>
      </c>
      <c r="D218" s="8" t="s">
        <v>738</v>
      </c>
      <c r="E218" s="8" t="b">
        <f t="shared" si="3"/>
        <v>0</v>
      </c>
      <c r="F218" s="8" t="str" cm="1">
        <f t="array" ref="F218">_xlfn._xlws.FILTER(E218:E3416, C218:C3416= "6D-PM-1020-01", "No Squirrels Found")</f>
        <v>No Squirrels Found</v>
      </c>
      <c r="G218" s="8" t="s">
        <v>34</v>
      </c>
      <c r="H218" s="10">
        <v>10182018</v>
      </c>
      <c r="I218" s="10">
        <v>6</v>
      </c>
      <c r="J218" s="8" t="s">
        <v>54</v>
      </c>
      <c r="K218" s="8" t="s">
        <v>41</v>
      </c>
      <c r="M218" s="8" t="s">
        <v>49</v>
      </c>
      <c r="O218" s="8" t="s">
        <v>43</v>
      </c>
      <c r="P218" s="8" t="b">
        <v>0</v>
      </c>
      <c r="R218" s="8" t="b">
        <v>0</v>
      </c>
      <c r="S218" s="8" t="b">
        <v>0</v>
      </c>
      <c r="T218" s="8" t="b">
        <v>0</v>
      </c>
      <c r="U218" s="8" t="b">
        <v>0</v>
      </c>
      <c r="V218" s="8" t="b">
        <v>1</v>
      </c>
      <c r="X218" s="8" t="b">
        <v>0</v>
      </c>
      <c r="Y218" s="8" t="b">
        <v>0</v>
      </c>
      <c r="Z218" s="8" t="b">
        <v>0</v>
      </c>
      <c r="AA218" s="8" t="b">
        <v>0</v>
      </c>
      <c r="AB218" s="8" t="b">
        <v>1</v>
      </c>
      <c r="AC218" s="8" t="b">
        <v>0</v>
      </c>
      <c r="AD218" s="8" t="b">
        <v>1</v>
      </c>
      <c r="AE218" s="8" t="b">
        <v>0</v>
      </c>
      <c r="AG218" s="11" t="b" cm="1">
        <f t="array" ref="AG218">IF(OR(Y218:AA218="TRUE", AE218="true"), "Threatened")</f>
        <v>0</v>
      </c>
      <c r="AH218" s="11" t="s">
        <v>739</v>
      </c>
      <c r="AI218" s="8" t="b">
        <v>1</v>
      </c>
    </row>
    <row r="219" spans="1:35" ht="31.2">
      <c r="A219" s="8">
        <v>-73.971231869999997</v>
      </c>
      <c r="B219" s="8">
        <v>40.777305310000003</v>
      </c>
      <c r="C219" s="8" t="s">
        <v>740</v>
      </c>
      <c r="D219" s="8" t="s">
        <v>741</v>
      </c>
      <c r="E219" s="8" t="b">
        <f t="shared" si="3"/>
        <v>0</v>
      </c>
      <c r="F219" s="8" t="str" cm="1">
        <f t="array" ref="F219">_xlfn._xlws.FILTER(E219:E3417, C219:C3417= "6D-PM-1020-01", "No Squirrels Found")</f>
        <v>No Squirrels Found</v>
      </c>
      <c r="G219" s="8" t="s">
        <v>34</v>
      </c>
      <c r="H219" s="10">
        <v>10192018</v>
      </c>
      <c r="I219" s="10">
        <v>4</v>
      </c>
      <c r="J219" s="8" t="s">
        <v>39</v>
      </c>
      <c r="K219" s="8" t="s">
        <v>40</v>
      </c>
      <c r="M219" s="8" t="s">
        <v>55</v>
      </c>
      <c r="O219" s="8" t="s">
        <v>43</v>
      </c>
      <c r="P219" s="8" t="b">
        <v>0</v>
      </c>
      <c r="R219" s="8" t="b">
        <v>0</v>
      </c>
      <c r="S219" s="8" t="b">
        <v>0</v>
      </c>
      <c r="T219" s="8" t="b">
        <v>0</v>
      </c>
      <c r="U219" s="8" t="b">
        <v>1</v>
      </c>
      <c r="V219" s="8" t="b">
        <v>0</v>
      </c>
      <c r="X219" s="8" t="b">
        <v>0</v>
      </c>
      <c r="Y219" s="8" t="b">
        <v>0</v>
      </c>
      <c r="Z219" s="8" t="b">
        <v>0</v>
      </c>
      <c r="AA219" s="8" t="b">
        <v>0</v>
      </c>
      <c r="AB219" s="8" t="b">
        <v>0</v>
      </c>
      <c r="AC219" s="8" t="b">
        <v>0</v>
      </c>
      <c r="AD219" s="8" t="b">
        <v>0</v>
      </c>
      <c r="AE219" s="8" t="b">
        <v>0</v>
      </c>
      <c r="AG219" s="11" t="b" cm="1">
        <f t="array" ref="AG219">IF(OR(Y219:AA219="TRUE", AE219="true"), "Threatened")</f>
        <v>0</v>
      </c>
      <c r="AH219" s="11" t="s">
        <v>742</v>
      </c>
      <c r="AI219" s="8" t="b">
        <v>1</v>
      </c>
    </row>
    <row r="220" spans="1:35" ht="31.2">
      <c r="A220" s="8">
        <v>-73.976120989999998</v>
      </c>
      <c r="B220" s="8">
        <v>40.76824045</v>
      </c>
      <c r="C220" s="8" t="s">
        <v>743</v>
      </c>
      <c r="D220" s="8" t="s">
        <v>230</v>
      </c>
      <c r="E220" s="8" t="b">
        <f t="shared" si="3"/>
        <v>0</v>
      </c>
      <c r="F220" s="8" t="str" cm="1">
        <f t="array" ref="F220">_xlfn._xlws.FILTER(E220:E3418, C220:C3418= "6D-PM-1020-01", "No Squirrels Found")</f>
        <v>No Squirrels Found</v>
      </c>
      <c r="G220" s="8" t="s">
        <v>34</v>
      </c>
      <c r="H220" s="10">
        <v>10082018</v>
      </c>
      <c r="I220" s="10">
        <v>3</v>
      </c>
      <c r="J220" s="8" t="s">
        <v>39</v>
      </c>
      <c r="K220" s="8" t="s">
        <v>40</v>
      </c>
      <c r="L220" s="8" t="s">
        <v>41</v>
      </c>
      <c r="M220" s="8" t="s">
        <v>42</v>
      </c>
      <c r="O220" s="8" t="s">
        <v>43</v>
      </c>
      <c r="P220" s="8" t="b">
        <v>0</v>
      </c>
      <c r="R220" s="8" t="b">
        <v>0</v>
      </c>
      <c r="S220" s="8" t="b">
        <v>0</v>
      </c>
      <c r="T220" s="8" t="b">
        <v>0</v>
      </c>
      <c r="U220" s="8" t="b">
        <v>0</v>
      </c>
      <c r="V220" s="8" t="b">
        <v>1</v>
      </c>
      <c r="X220" s="8" t="b">
        <v>0</v>
      </c>
      <c r="Y220" s="8" t="b">
        <v>0</v>
      </c>
      <c r="Z220" s="8" t="b">
        <v>0</v>
      </c>
      <c r="AA220" s="8" t="b">
        <v>0</v>
      </c>
      <c r="AB220" s="8" t="b">
        <v>0</v>
      </c>
      <c r="AC220" s="8" t="b">
        <v>0</v>
      </c>
      <c r="AD220" s="8" t="b">
        <v>0</v>
      </c>
      <c r="AE220" s="8" t="b">
        <v>1</v>
      </c>
      <c r="AG220" s="11" t="b" cm="1">
        <f t="array" ref="AG220">IF(OR(Y220:AA220="TRUE", AE220="true"), "Threatened")</f>
        <v>0</v>
      </c>
      <c r="AH220" s="11" t="s">
        <v>744</v>
      </c>
      <c r="AI220" s="8" t="b">
        <v>1</v>
      </c>
    </row>
    <row r="221" spans="1:35" ht="31.2">
      <c r="A221" s="8">
        <v>-73.967181609999997</v>
      </c>
      <c r="B221" s="8">
        <v>40.778775230000001</v>
      </c>
      <c r="C221" s="8" t="s">
        <v>745</v>
      </c>
      <c r="D221" s="8" t="s">
        <v>131</v>
      </c>
      <c r="E221" s="8" t="b">
        <f t="shared" si="3"/>
        <v>0</v>
      </c>
      <c r="F221" s="8" t="str" cm="1">
        <f t="array" ref="F221">_xlfn._xlws.FILTER(E221:E3419, C221:C3419= "6D-PM-1020-01", "No Squirrels Found")</f>
        <v>No Squirrels Found</v>
      </c>
      <c r="G221" s="8" t="s">
        <v>34</v>
      </c>
      <c r="H221" s="10">
        <v>10202018</v>
      </c>
      <c r="I221" s="10">
        <v>3</v>
      </c>
      <c r="J221" s="8" t="s">
        <v>39</v>
      </c>
      <c r="K221" s="8" t="s">
        <v>40</v>
      </c>
      <c r="L221" s="8" t="s">
        <v>41</v>
      </c>
      <c r="M221" s="8" t="s">
        <v>42</v>
      </c>
      <c r="O221" s="8" t="s">
        <v>50</v>
      </c>
      <c r="P221" s="8">
        <v>35</v>
      </c>
      <c r="R221" s="8" t="b">
        <v>0</v>
      </c>
      <c r="S221" s="8" t="b">
        <v>0</v>
      </c>
      <c r="T221" s="8" t="b">
        <v>1</v>
      </c>
      <c r="U221" s="8" t="b">
        <v>1</v>
      </c>
      <c r="V221" s="8" t="b">
        <v>0</v>
      </c>
      <c r="X221" s="8" t="b">
        <v>0</v>
      </c>
      <c r="Y221" s="8" t="b">
        <v>0</v>
      </c>
      <c r="Z221" s="8" t="b">
        <v>0</v>
      </c>
      <c r="AA221" s="8" t="b">
        <v>0</v>
      </c>
      <c r="AB221" s="8" t="b">
        <v>0</v>
      </c>
      <c r="AC221" s="8" t="b">
        <v>0</v>
      </c>
      <c r="AD221" s="8" t="b">
        <v>0</v>
      </c>
      <c r="AE221" s="8" t="b">
        <v>0</v>
      </c>
      <c r="AG221" s="11" t="b" cm="1">
        <f t="array" ref="AG221">IF(OR(Y221:AA221="TRUE", AE221="true"), "Threatened")</f>
        <v>0</v>
      </c>
      <c r="AH221" s="11" t="s">
        <v>746</v>
      </c>
      <c r="AI221" s="8" t="b">
        <v>1</v>
      </c>
    </row>
    <row r="222" spans="1:35" ht="31.2">
      <c r="A222" s="8">
        <v>-73.966570910000002</v>
      </c>
      <c r="B222" s="8">
        <v>40.783938429999999</v>
      </c>
      <c r="C222" s="8" t="s">
        <v>747</v>
      </c>
      <c r="D222" s="8" t="s">
        <v>748</v>
      </c>
      <c r="E222" s="8" t="b">
        <f t="shared" si="3"/>
        <v>0</v>
      </c>
      <c r="F222" s="8" t="str" cm="1">
        <f t="array" ref="F222">_xlfn._xlws.FILTER(E222:E3420, C222:C3420= "6D-PM-1020-01", "No Squirrels Found")</f>
        <v>No Squirrels Found</v>
      </c>
      <c r="G222" s="8" t="s">
        <v>34</v>
      </c>
      <c r="H222" s="10">
        <v>10122018</v>
      </c>
      <c r="I222" s="10">
        <v>4</v>
      </c>
      <c r="J222" s="8" t="s">
        <v>39</v>
      </c>
      <c r="K222" s="8" t="s">
        <v>40</v>
      </c>
      <c r="L222" s="8" t="s">
        <v>749</v>
      </c>
      <c r="M222" s="8" t="s">
        <v>750</v>
      </c>
      <c r="O222" s="8" t="s">
        <v>43</v>
      </c>
      <c r="P222" s="8" t="b">
        <v>0</v>
      </c>
      <c r="R222" s="8" t="b">
        <v>0</v>
      </c>
      <c r="S222" s="8" t="b">
        <v>0</v>
      </c>
      <c r="T222" s="8" t="b">
        <v>0</v>
      </c>
      <c r="U222" s="8" t="b">
        <v>0</v>
      </c>
      <c r="V222" s="8" t="b">
        <v>1</v>
      </c>
      <c r="X222" s="8" t="b">
        <v>0</v>
      </c>
      <c r="Y222" s="8" t="b">
        <v>0</v>
      </c>
      <c r="Z222" s="8" t="b">
        <v>0</v>
      </c>
      <c r="AA222" s="8" t="b">
        <v>0</v>
      </c>
      <c r="AB222" s="8" t="b">
        <v>0</v>
      </c>
      <c r="AC222" s="8" t="b">
        <v>0</v>
      </c>
      <c r="AD222" s="8" t="b">
        <v>1</v>
      </c>
      <c r="AE222" s="8" t="b">
        <v>0</v>
      </c>
      <c r="AG222" s="11" t="b" cm="1">
        <f t="array" ref="AG222">IF(OR(Y222:AA222="TRUE", AE222="true"), "Threatened")</f>
        <v>0</v>
      </c>
      <c r="AH222" s="11" t="s">
        <v>751</v>
      </c>
      <c r="AI222" s="8" t="b">
        <v>1</v>
      </c>
    </row>
    <row r="223" spans="1:35" ht="31.2">
      <c r="A223" s="8">
        <v>-73.977027359999994</v>
      </c>
      <c r="B223" s="8">
        <v>40.773239949999997</v>
      </c>
      <c r="C223" s="8" t="s">
        <v>752</v>
      </c>
      <c r="D223" s="8" t="s">
        <v>753</v>
      </c>
      <c r="E223" s="8" t="b">
        <f t="shared" si="3"/>
        <v>0</v>
      </c>
      <c r="F223" s="8" t="str" cm="1">
        <f t="array" ref="F223">_xlfn._xlws.FILTER(E223:E3421, C223:C3421= "6D-PM-1020-01", "No Squirrels Found")</f>
        <v>No Squirrels Found</v>
      </c>
      <c r="G223" s="8" t="s">
        <v>48</v>
      </c>
      <c r="H223" s="10">
        <v>10132018</v>
      </c>
      <c r="I223" s="10">
        <v>3</v>
      </c>
      <c r="J223" s="8" t="s">
        <v>54</v>
      </c>
      <c r="M223" s="8" t="s">
        <v>35</v>
      </c>
      <c r="O223" s="8" t="s">
        <v>50</v>
      </c>
      <c r="P223" s="8">
        <v>3</v>
      </c>
      <c r="Q223" s="8" t="s">
        <v>754</v>
      </c>
      <c r="R223" s="8" t="b">
        <v>1</v>
      </c>
      <c r="S223" s="8" t="b">
        <v>1</v>
      </c>
      <c r="T223" s="8" t="b">
        <v>1</v>
      </c>
      <c r="U223" s="8" t="b">
        <v>1</v>
      </c>
      <c r="V223" s="8" t="b">
        <v>0</v>
      </c>
      <c r="W223" s="11" t="s">
        <v>755</v>
      </c>
      <c r="X223" s="8" t="b">
        <v>0</v>
      </c>
      <c r="Y223" s="8" t="b">
        <v>0</v>
      </c>
      <c r="Z223" s="8" t="b">
        <v>0</v>
      </c>
      <c r="AA223" s="8" t="b">
        <v>0</v>
      </c>
      <c r="AB223" s="8" t="b">
        <v>0</v>
      </c>
      <c r="AC223" s="8" t="b">
        <v>1</v>
      </c>
      <c r="AD223" s="8" t="b">
        <v>0</v>
      </c>
      <c r="AE223" s="8" t="b">
        <v>0</v>
      </c>
      <c r="AG223" s="11" t="b" cm="1">
        <f t="array" ref="AG223">IF(OR(Y223:AA223="TRUE", AE223="true"), "Threatened")</f>
        <v>0</v>
      </c>
      <c r="AH223" s="11" t="s">
        <v>756</v>
      </c>
      <c r="AI223" s="8" t="b">
        <v>0</v>
      </c>
    </row>
    <row r="224" spans="1:35" ht="31.2">
      <c r="A224" s="8">
        <v>-73.973709170000006</v>
      </c>
      <c r="B224" s="8">
        <v>40.771373259999997</v>
      </c>
      <c r="C224" s="8" t="s">
        <v>757</v>
      </c>
      <c r="D224" s="8" t="s">
        <v>159</v>
      </c>
      <c r="E224" s="8" t="b">
        <f t="shared" si="3"/>
        <v>0</v>
      </c>
      <c r="F224" s="8" t="str" cm="1">
        <f t="array" ref="F224">_xlfn._xlws.FILTER(E224:E3422, C224:C3422= "6D-PM-1020-01", "No Squirrels Found")</f>
        <v>No Squirrels Found</v>
      </c>
      <c r="G224" s="8" t="s">
        <v>48</v>
      </c>
      <c r="H224" s="10">
        <v>10062018</v>
      </c>
      <c r="I224" s="10">
        <v>3</v>
      </c>
      <c r="J224" s="8" t="s">
        <v>39</v>
      </c>
      <c r="K224" s="8" t="s">
        <v>40</v>
      </c>
      <c r="M224" s="8" t="s">
        <v>55</v>
      </c>
      <c r="O224" s="8" t="s">
        <v>43</v>
      </c>
      <c r="P224" s="8" t="b">
        <v>0</v>
      </c>
      <c r="Q224" s="8" t="s">
        <v>160</v>
      </c>
      <c r="R224" s="8" t="b">
        <v>0</v>
      </c>
      <c r="S224" s="8" t="b">
        <v>0</v>
      </c>
      <c r="T224" s="8" t="b">
        <v>0</v>
      </c>
      <c r="U224" s="8" t="b">
        <v>1</v>
      </c>
      <c r="V224" s="8" t="b">
        <v>0</v>
      </c>
      <c r="X224" s="8" t="b">
        <v>0</v>
      </c>
      <c r="Y224" s="8" t="b">
        <v>0</v>
      </c>
      <c r="Z224" s="8" t="b">
        <v>0</v>
      </c>
      <c r="AA224" s="8" t="b">
        <v>0</v>
      </c>
      <c r="AB224" s="8" t="b">
        <v>0</v>
      </c>
      <c r="AC224" s="8" t="b">
        <v>0</v>
      </c>
      <c r="AD224" s="8" t="b">
        <v>0</v>
      </c>
      <c r="AE224" s="8" t="b">
        <v>0</v>
      </c>
      <c r="AG224" s="11" t="b" cm="1">
        <f t="array" ref="AG224">IF(OR(Y224:AA224="TRUE", AE224="true"), "Threatened")</f>
        <v>0</v>
      </c>
      <c r="AH224" s="11" t="s">
        <v>758</v>
      </c>
      <c r="AI224" s="8" t="b">
        <v>1</v>
      </c>
    </row>
    <row r="225" spans="1:35" ht="31.2">
      <c r="A225" s="8">
        <v>-73.952059250000005</v>
      </c>
      <c r="B225" s="8">
        <v>40.797507629999998</v>
      </c>
      <c r="C225" s="8" t="s">
        <v>759</v>
      </c>
      <c r="D225" s="8" t="s">
        <v>401</v>
      </c>
      <c r="E225" s="8" t="b">
        <f t="shared" si="3"/>
        <v>0</v>
      </c>
      <c r="F225" s="8" t="str" cm="1">
        <f t="array" ref="F225">_xlfn._xlws.FILTER(E225:E3423, C225:C3423= "6D-PM-1020-01", "No Squirrels Found")</f>
        <v>No Squirrels Found</v>
      </c>
      <c r="G225" s="8" t="s">
        <v>34</v>
      </c>
      <c r="H225" s="10">
        <v>10142018</v>
      </c>
      <c r="I225" s="10">
        <v>3</v>
      </c>
      <c r="J225" s="8" t="s">
        <v>39</v>
      </c>
      <c r="K225" s="8" t="s">
        <v>41</v>
      </c>
      <c r="L225" s="8" t="s">
        <v>40</v>
      </c>
      <c r="M225" s="8" t="s">
        <v>110</v>
      </c>
      <c r="O225" s="8" t="s">
        <v>50</v>
      </c>
      <c r="P225" s="8">
        <v>4</v>
      </c>
      <c r="Q225" s="8" t="s">
        <v>760</v>
      </c>
      <c r="R225" s="8" t="b">
        <v>1</v>
      </c>
      <c r="S225" s="8" t="b">
        <v>0</v>
      </c>
      <c r="T225" s="8" t="b">
        <v>0</v>
      </c>
      <c r="U225" s="8" t="b">
        <v>0</v>
      </c>
      <c r="V225" s="8" t="b">
        <v>0</v>
      </c>
      <c r="W225" s="11" t="s">
        <v>761</v>
      </c>
      <c r="X225" s="8" t="b">
        <v>0</v>
      </c>
      <c r="Y225" s="8" t="b">
        <v>0</v>
      </c>
      <c r="Z225" s="8" t="b">
        <v>0</v>
      </c>
      <c r="AA225" s="8" t="b">
        <v>0</v>
      </c>
      <c r="AB225" s="8" t="b">
        <v>0</v>
      </c>
      <c r="AC225" s="8" t="b">
        <v>0</v>
      </c>
      <c r="AD225" s="8" t="b">
        <v>0</v>
      </c>
      <c r="AE225" s="8" t="b">
        <v>1</v>
      </c>
      <c r="AG225" s="11" t="b" cm="1">
        <f t="array" ref="AG225">IF(OR(Y225:AA225="TRUE", AE225="true"), "Threatened")</f>
        <v>0</v>
      </c>
      <c r="AH225" s="11" t="s">
        <v>762</v>
      </c>
      <c r="AI225" s="8" t="b">
        <v>0</v>
      </c>
    </row>
    <row r="226" spans="1:35" ht="31.2">
      <c r="A226" s="8">
        <v>-73.963842270000001</v>
      </c>
      <c r="B226" s="8">
        <v>40.788734089999998</v>
      </c>
      <c r="C226" s="8" t="s">
        <v>763</v>
      </c>
      <c r="D226" s="8" t="s">
        <v>304</v>
      </c>
      <c r="E226" s="8" t="b">
        <f t="shared" si="3"/>
        <v>0</v>
      </c>
      <c r="F226" s="8" t="str" cm="1">
        <f t="array" ref="F226">_xlfn._xlws.FILTER(E226:E3424, C226:C3424= "6D-PM-1020-01", "No Squirrels Found")</f>
        <v>No Squirrels Found</v>
      </c>
      <c r="G226" s="8" t="s">
        <v>34</v>
      </c>
      <c r="H226" s="10">
        <v>10062018</v>
      </c>
      <c r="I226" s="10">
        <v>2</v>
      </c>
      <c r="J226" s="8" t="s">
        <v>39</v>
      </c>
      <c r="K226" s="8" t="s">
        <v>40</v>
      </c>
      <c r="M226" s="8" t="s">
        <v>55</v>
      </c>
      <c r="O226" s="8" t="s">
        <v>43</v>
      </c>
      <c r="P226" s="8" t="b">
        <v>0</v>
      </c>
      <c r="Q226" s="8" t="s">
        <v>764</v>
      </c>
      <c r="R226" s="8" t="b">
        <v>1</v>
      </c>
      <c r="S226" s="8" t="b">
        <v>0</v>
      </c>
      <c r="T226" s="8" t="b">
        <v>0</v>
      </c>
      <c r="U226" s="8" t="b">
        <v>0</v>
      </c>
      <c r="V226" s="8" t="b">
        <v>0</v>
      </c>
      <c r="X226" s="8" t="b">
        <v>0</v>
      </c>
      <c r="Y226" s="8" t="b">
        <v>0</v>
      </c>
      <c r="Z226" s="8" t="b">
        <v>0</v>
      </c>
      <c r="AA226" s="8" t="b">
        <v>0</v>
      </c>
      <c r="AB226" s="8" t="b">
        <v>0</v>
      </c>
      <c r="AC226" s="8" t="b">
        <v>0</v>
      </c>
      <c r="AD226" s="8" t="b">
        <v>0</v>
      </c>
      <c r="AE226" s="8" t="b">
        <v>1</v>
      </c>
      <c r="AF226" s="11" t="s">
        <v>765</v>
      </c>
      <c r="AG226" s="11" t="b" cm="1">
        <f t="array" ref="AG226">IF(OR(Y226:AA226="TRUE", AE226="true"), "Threatened")</f>
        <v>0</v>
      </c>
      <c r="AH226" s="11" t="s">
        <v>766</v>
      </c>
      <c r="AI226" s="8" t="b">
        <v>1</v>
      </c>
    </row>
    <row r="227" spans="1:35" ht="31.2">
      <c r="A227" s="8">
        <v>-73.977568169999998</v>
      </c>
      <c r="B227" s="8">
        <v>40.767642119999998</v>
      </c>
      <c r="C227" s="8" t="s">
        <v>767</v>
      </c>
      <c r="D227" s="8" t="s">
        <v>768</v>
      </c>
      <c r="E227" s="8" t="b">
        <f t="shared" si="3"/>
        <v>0</v>
      </c>
      <c r="F227" s="8" t="str" cm="1">
        <f t="array" ref="F227">_xlfn._xlws.FILTER(E227:E3425, C227:C3425= "6D-PM-1020-01", "No Squirrels Found")</f>
        <v>No Squirrels Found</v>
      </c>
      <c r="G227" s="8" t="s">
        <v>48</v>
      </c>
      <c r="H227" s="10">
        <v>10072018</v>
      </c>
      <c r="I227" s="10">
        <v>3</v>
      </c>
      <c r="J227" s="8" t="s">
        <v>39</v>
      </c>
      <c r="K227" s="8" t="s">
        <v>40</v>
      </c>
      <c r="M227" s="8" t="s">
        <v>55</v>
      </c>
      <c r="O227" s="8" t="s">
        <v>50</v>
      </c>
      <c r="P227" s="8">
        <v>100</v>
      </c>
      <c r="R227" s="8" t="b">
        <v>0</v>
      </c>
      <c r="S227" s="8" t="b">
        <v>0</v>
      </c>
      <c r="T227" s="8" t="b">
        <v>1</v>
      </c>
      <c r="U227" s="8" t="b">
        <v>0</v>
      </c>
      <c r="V227" s="8" t="b">
        <v>0</v>
      </c>
      <c r="X227" s="8" t="b">
        <v>0</v>
      </c>
      <c r="Y227" s="8" t="b">
        <v>0</v>
      </c>
      <c r="Z227" s="8" t="b">
        <v>0</v>
      </c>
      <c r="AA227" s="8" t="b">
        <v>0</v>
      </c>
      <c r="AB227" s="8" t="b">
        <v>0</v>
      </c>
      <c r="AC227" s="8" t="b">
        <v>0</v>
      </c>
      <c r="AD227" s="8" t="b">
        <v>0</v>
      </c>
      <c r="AE227" s="8" t="b">
        <v>0</v>
      </c>
      <c r="AG227" s="11" t="b" cm="1">
        <f t="array" ref="AG227">IF(OR(Y227:AA227="TRUE", AE227="true"), "Threatened")</f>
        <v>0</v>
      </c>
      <c r="AH227" s="11" t="s">
        <v>769</v>
      </c>
      <c r="AI227" s="8" t="b">
        <v>1</v>
      </c>
    </row>
    <row r="228" spans="1:35" ht="31.2">
      <c r="A228" s="8">
        <v>-73.95981553</v>
      </c>
      <c r="B228" s="8">
        <v>40.79058878</v>
      </c>
      <c r="C228" s="8" t="s">
        <v>770</v>
      </c>
      <c r="D228" s="8" t="s">
        <v>75</v>
      </c>
      <c r="E228" s="8" t="b">
        <f t="shared" si="3"/>
        <v>0</v>
      </c>
      <c r="F228" s="8" t="str" cm="1">
        <f t="array" ref="F228">_xlfn._xlws.FILTER(E228:E3426, C228:C3426= "6D-PM-1020-01", "No Squirrels Found")</f>
        <v>No Squirrels Found</v>
      </c>
      <c r="G228" s="8" t="s">
        <v>48</v>
      </c>
      <c r="H228" s="10">
        <v>10072018</v>
      </c>
      <c r="I228" s="10">
        <v>10</v>
      </c>
      <c r="J228" s="8" t="s">
        <v>39</v>
      </c>
      <c r="K228" s="8" t="s">
        <v>192</v>
      </c>
      <c r="M228" s="8" t="s">
        <v>193</v>
      </c>
      <c r="O228" s="8" t="s">
        <v>43</v>
      </c>
      <c r="P228" s="8" t="b">
        <v>0</v>
      </c>
      <c r="R228" s="8" t="b">
        <v>0</v>
      </c>
      <c r="S228" s="8" t="b">
        <v>0</v>
      </c>
      <c r="T228" s="8" t="b">
        <v>0</v>
      </c>
      <c r="U228" s="8" t="b">
        <v>0</v>
      </c>
      <c r="V228" s="8" t="b">
        <v>1</v>
      </c>
      <c r="X228" s="8" t="b">
        <v>0</v>
      </c>
      <c r="Y228" s="8" t="b">
        <v>0</v>
      </c>
      <c r="Z228" s="8" t="b">
        <v>0</v>
      </c>
      <c r="AA228" s="8" t="b">
        <v>0</v>
      </c>
      <c r="AB228" s="8" t="b">
        <v>0</v>
      </c>
      <c r="AC228" s="8" t="b">
        <v>0</v>
      </c>
      <c r="AD228" s="8" t="b">
        <v>0</v>
      </c>
      <c r="AE228" s="8" t="b">
        <v>0</v>
      </c>
      <c r="AG228" s="11" t="b" cm="1">
        <f t="array" ref="AG228">IF(OR(Y228:AA228="TRUE", AE228="true"), "Threatened")</f>
        <v>0</v>
      </c>
      <c r="AH228" s="11" t="s">
        <v>771</v>
      </c>
      <c r="AI228" s="8" t="b">
        <v>1</v>
      </c>
    </row>
    <row r="229" spans="1:35" ht="31.2">
      <c r="A229" s="8">
        <v>-73.972866080000003</v>
      </c>
      <c r="B229" s="8">
        <v>40.775329450000001</v>
      </c>
      <c r="C229" s="8" t="s">
        <v>772</v>
      </c>
      <c r="D229" s="8" t="s">
        <v>773</v>
      </c>
      <c r="E229" s="8" t="b">
        <f t="shared" si="3"/>
        <v>0</v>
      </c>
      <c r="F229" s="8" t="str" cm="1">
        <f t="array" ref="F229">_xlfn._xlws.FILTER(E229:E3427, C229:C3427= "6D-PM-1020-01", "No Squirrels Found")</f>
        <v>No Squirrels Found</v>
      </c>
      <c r="G229" s="8" t="s">
        <v>48</v>
      </c>
      <c r="H229" s="10">
        <v>10132018</v>
      </c>
      <c r="I229" s="10">
        <v>3</v>
      </c>
      <c r="J229" s="8" t="s">
        <v>39</v>
      </c>
      <c r="K229" s="8" t="s">
        <v>40</v>
      </c>
      <c r="M229" s="8" t="s">
        <v>55</v>
      </c>
      <c r="O229" s="8" t="s">
        <v>43</v>
      </c>
      <c r="P229" s="8" t="b">
        <v>0</v>
      </c>
      <c r="R229" s="8" t="b">
        <v>0</v>
      </c>
      <c r="S229" s="8" t="b">
        <v>0</v>
      </c>
      <c r="T229" s="8" t="b">
        <v>0</v>
      </c>
      <c r="U229" s="8" t="b">
        <v>0</v>
      </c>
      <c r="V229" s="8" t="b">
        <v>1</v>
      </c>
      <c r="W229" s="11" t="s">
        <v>521</v>
      </c>
      <c r="X229" s="8" t="b">
        <v>0</v>
      </c>
      <c r="Y229" s="8" t="b">
        <v>0</v>
      </c>
      <c r="Z229" s="8" t="b">
        <v>0</v>
      </c>
      <c r="AA229" s="8" t="b">
        <v>0</v>
      </c>
      <c r="AB229" s="8" t="b">
        <v>0</v>
      </c>
      <c r="AC229" s="8" t="b">
        <v>0</v>
      </c>
      <c r="AD229" s="8" t="b">
        <v>1</v>
      </c>
      <c r="AE229" s="8" t="b">
        <v>0</v>
      </c>
      <c r="AG229" s="11" t="b" cm="1">
        <f t="array" ref="AG229">IF(OR(Y229:AA229="TRUE", AE229="true"), "Threatened")</f>
        <v>0</v>
      </c>
      <c r="AH229" s="11" t="s">
        <v>774</v>
      </c>
      <c r="AI229" s="8" t="b">
        <v>0</v>
      </c>
    </row>
    <row r="230" spans="1:35" ht="31.2">
      <c r="A230" s="8">
        <v>-73.972416240000001</v>
      </c>
      <c r="B230" s="8">
        <v>40.77142602</v>
      </c>
      <c r="C230" s="8" t="s">
        <v>775</v>
      </c>
      <c r="D230" s="8" t="s">
        <v>776</v>
      </c>
      <c r="E230" s="8" t="b">
        <f t="shared" si="3"/>
        <v>0</v>
      </c>
      <c r="F230" s="8" t="str" cm="1">
        <f t="array" ref="F230">_xlfn._xlws.FILTER(E230:E3428, C230:C3428= "6D-PM-1020-01", "No Squirrels Found")</f>
        <v>No Squirrels Found</v>
      </c>
      <c r="G230" s="8" t="s">
        <v>34</v>
      </c>
      <c r="H230" s="10">
        <v>10122018</v>
      </c>
      <c r="I230" s="10">
        <v>4</v>
      </c>
      <c r="J230" s="8" t="s">
        <v>39</v>
      </c>
      <c r="K230" s="8" t="s">
        <v>40</v>
      </c>
      <c r="M230" s="8" t="s">
        <v>55</v>
      </c>
      <c r="O230" s="8" t="s">
        <v>50</v>
      </c>
      <c r="P230" s="8">
        <v>6</v>
      </c>
      <c r="R230" s="8" t="b">
        <v>0</v>
      </c>
      <c r="S230" s="8" t="b">
        <v>0</v>
      </c>
      <c r="T230" s="8" t="b">
        <v>0</v>
      </c>
      <c r="U230" s="8" t="b">
        <v>0</v>
      </c>
      <c r="V230" s="8" t="b">
        <v>0</v>
      </c>
      <c r="X230" s="8" t="b">
        <v>0</v>
      </c>
      <c r="Y230" s="8" t="b">
        <v>0</v>
      </c>
      <c r="Z230" s="8" t="b">
        <v>0</v>
      </c>
      <c r="AA230" s="8" t="b">
        <v>0</v>
      </c>
      <c r="AB230" s="8" t="b">
        <v>0</v>
      </c>
      <c r="AC230" s="8" t="b">
        <v>0</v>
      </c>
      <c r="AD230" s="8" t="b">
        <v>0</v>
      </c>
      <c r="AE230" s="8" t="b">
        <v>0</v>
      </c>
      <c r="AG230" s="11" t="b" cm="1">
        <f t="array" ref="AG230">IF(OR(Y230:AA230="TRUE", AE230="true"), "Threatened")</f>
        <v>0</v>
      </c>
      <c r="AH230" s="11" t="s">
        <v>777</v>
      </c>
      <c r="AI230" s="8" t="b">
        <v>1</v>
      </c>
    </row>
    <row r="231" spans="1:35" ht="31.2">
      <c r="A231" s="8">
        <v>-73.973149809999995</v>
      </c>
      <c r="B231" s="8">
        <v>40.765996319999999</v>
      </c>
      <c r="C231" s="8" t="s">
        <v>778</v>
      </c>
      <c r="D231" s="8" t="s">
        <v>779</v>
      </c>
      <c r="E231" s="8" t="b">
        <f t="shared" si="3"/>
        <v>0</v>
      </c>
      <c r="F231" s="8" t="str" cm="1">
        <f t="array" ref="F231">_xlfn._xlws.FILTER(E231:E3429, C231:C3429= "6D-PM-1020-01", "No Squirrels Found")</f>
        <v>No Squirrels Found</v>
      </c>
      <c r="G231" s="8" t="s">
        <v>48</v>
      </c>
      <c r="H231" s="10">
        <v>10062018</v>
      </c>
      <c r="I231" s="10">
        <v>2</v>
      </c>
      <c r="J231" s="8" t="s">
        <v>39</v>
      </c>
      <c r="K231" s="8" t="s">
        <v>40</v>
      </c>
      <c r="L231" s="8" t="s">
        <v>117</v>
      </c>
      <c r="M231" s="8" t="s">
        <v>118</v>
      </c>
      <c r="O231" s="8" t="s">
        <v>43</v>
      </c>
      <c r="P231" s="8" t="b">
        <v>0</v>
      </c>
      <c r="R231" s="8" t="b">
        <v>0</v>
      </c>
      <c r="S231" s="8" t="b">
        <v>1</v>
      </c>
      <c r="T231" s="8" t="b">
        <v>1</v>
      </c>
      <c r="U231" s="8" t="b">
        <v>0</v>
      </c>
      <c r="V231" s="8" t="b">
        <v>0</v>
      </c>
      <c r="X231" s="8" t="b">
        <v>0</v>
      </c>
      <c r="Y231" s="8" t="b">
        <v>0</v>
      </c>
      <c r="Z231" s="8" t="b">
        <v>0</v>
      </c>
      <c r="AA231" s="8" t="b">
        <v>0</v>
      </c>
      <c r="AB231" s="8" t="b">
        <v>0</v>
      </c>
      <c r="AC231" s="8" t="b">
        <v>1</v>
      </c>
      <c r="AD231" s="8" t="b">
        <v>0</v>
      </c>
      <c r="AE231" s="8" t="b">
        <v>0</v>
      </c>
      <c r="AG231" s="11" t="b" cm="1">
        <f t="array" ref="AG231">IF(OR(Y231:AA231="TRUE", AE231="true"), "Threatened")</f>
        <v>0</v>
      </c>
      <c r="AH231" s="11" t="s">
        <v>780</v>
      </c>
      <c r="AI231" s="8" t="b">
        <v>1</v>
      </c>
    </row>
    <row r="232" spans="1:35" ht="31.2">
      <c r="A232" s="8">
        <v>-73.952780820000001</v>
      </c>
      <c r="B232" s="8">
        <v>40.792416719999999</v>
      </c>
      <c r="C232" s="8" t="s">
        <v>781</v>
      </c>
      <c r="D232" s="8" t="s">
        <v>106</v>
      </c>
      <c r="E232" s="8" t="b">
        <f t="shared" si="3"/>
        <v>0</v>
      </c>
      <c r="F232" s="8" t="str" cm="1">
        <f t="array" ref="F232">_xlfn._xlws.FILTER(E232:E3430, C232:C3430= "6D-PM-1020-01", "No Squirrels Found")</f>
        <v>No Squirrels Found</v>
      </c>
      <c r="G232" s="8" t="s">
        <v>48</v>
      </c>
      <c r="H232" s="10">
        <v>10172018</v>
      </c>
      <c r="I232" s="10">
        <v>5</v>
      </c>
      <c r="J232" s="8" t="s">
        <v>39</v>
      </c>
      <c r="K232" s="8" t="s">
        <v>40</v>
      </c>
      <c r="L232" s="8" t="s">
        <v>41</v>
      </c>
      <c r="M232" s="8" t="s">
        <v>42</v>
      </c>
      <c r="O232" s="8" t="s">
        <v>43</v>
      </c>
      <c r="P232" s="8" t="b">
        <v>0</v>
      </c>
      <c r="R232" s="8" t="b">
        <v>0</v>
      </c>
      <c r="S232" s="8" t="b">
        <v>0</v>
      </c>
      <c r="T232" s="8" t="b">
        <v>0</v>
      </c>
      <c r="U232" s="8" t="b">
        <v>1</v>
      </c>
      <c r="V232" s="8" t="b">
        <v>1</v>
      </c>
      <c r="X232" s="8" t="b">
        <v>0</v>
      </c>
      <c r="Y232" s="8" t="b">
        <v>0</v>
      </c>
      <c r="Z232" s="8" t="b">
        <v>0</v>
      </c>
      <c r="AA232" s="8" t="b">
        <v>0</v>
      </c>
      <c r="AB232" s="8" t="b">
        <v>0</v>
      </c>
      <c r="AC232" s="8" t="b">
        <v>0</v>
      </c>
      <c r="AD232" s="8" t="b">
        <v>0</v>
      </c>
      <c r="AE232" s="8" t="b">
        <v>1</v>
      </c>
      <c r="AF232" s="11" t="s">
        <v>782</v>
      </c>
      <c r="AG232" s="11" t="b" cm="1">
        <f t="array" ref="AG232">IF(OR(Y232:AA232="TRUE", AE232="true"), "Threatened")</f>
        <v>0</v>
      </c>
      <c r="AH232" s="11" t="s">
        <v>783</v>
      </c>
      <c r="AI232" s="8" t="b">
        <v>1</v>
      </c>
    </row>
    <row r="233" spans="1:35" ht="62.4">
      <c r="A233" s="8">
        <v>-73.962418459999995</v>
      </c>
      <c r="B233" s="8">
        <v>40.792152489999999</v>
      </c>
      <c r="C233" s="8" t="s">
        <v>784</v>
      </c>
      <c r="D233" s="8" t="s">
        <v>785</v>
      </c>
      <c r="E233" s="8" t="b">
        <f t="shared" si="3"/>
        <v>0</v>
      </c>
      <c r="F233" s="8" t="str" cm="1">
        <f t="array" ref="F233">_xlfn._xlws.FILTER(E233:E3431, C233:C3431= "6D-PM-1020-01", "No Squirrels Found")</f>
        <v>No Squirrels Found</v>
      </c>
      <c r="G233" s="8" t="s">
        <v>48</v>
      </c>
      <c r="H233" s="10">
        <v>10172018</v>
      </c>
      <c r="I233" s="10">
        <v>3</v>
      </c>
      <c r="J233" s="8" t="s">
        <v>39</v>
      </c>
      <c r="K233" s="8" t="s">
        <v>40</v>
      </c>
      <c r="L233" s="8" t="s">
        <v>41</v>
      </c>
      <c r="M233" s="8" t="s">
        <v>42</v>
      </c>
      <c r="O233" s="8" t="s">
        <v>43</v>
      </c>
      <c r="P233" s="8" t="b">
        <v>0</v>
      </c>
      <c r="R233" s="8" t="b">
        <v>0</v>
      </c>
      <c r="S233" s="8" t="b">
        <v>0</v>
      </c>
      <c r="T233" s="8" t="b">
        <v>0</v>
      </c>
      <c r="U233" s="8" t="b">
        <v>0</v>
      </c>
      <c r="V233" s="8" t="b">
        <v>1</v>
      </c>
      <c r="X233" s="8" t="b">
        <v>0</v>
      </c>
      <c r="Y233" s="8" t="b">
        <v>0</v>
      </c>
      <c r="Z233" s="8" t="b">
        <v>0</v>
      </c>
      <c r="AA233" s="8" t="b">
        <v>0</v>
      </c>
      <c r="AB233" s="8" t="b">
        <v>1</v>
      </c>
      <c r="AC233" s="8" t="b">
        <v>1</v>
      </c>
      <c r="AD233" s="8" t="b">
        <v>1</v>
      </c>
      <c r="AE233" s="8" t="b">
        <v>1</v>
      </c>
      <c r="AF233" s="11" t="s">
        <v>786</v>
      </c>
      <c r="AG233" s="11" t="b" cm="1">
        <f t="array" ref="AG233">IF(OR(Y233:AA233="TRUE", AE233="true"), "Threatened")</f>
        <v>0</v>
      </c>
      <c r="AH233" s="11" t="s">
        <v>787</v>
      </c>
      <c r="AI233" s="8" t="b">
        <v>1</v>
      </c>
    </row>
    <row r="234" spans="1:35" ht="31.2">
      <c r="A234" s="8">
        <v>-73.956834310000005</v>
      </c>
      <c r="B234" s="8">
        <v>40.794940140000001</v>
      </c>
      <c r="C234" s="8" t="s">
        <v>788</v>
      </c>
      <c r="D234" s="8" t="s">
        <v>38</v>
      </c>
      <c r="E234" s="8" t="b">
        <f t="shared" si="3"/>
        <v>0</v>
      </c>
      <c r="F234" s="8" t="str" cm="1">
        <f t="array" ref="F234">_xlfn._xlws.FILTER(E234:E3432, C234:C3432= "6D-PM-1020-01", "No Squirrels Found")</f>
        <v>No Squirrels Found</v>
      </c>
      <c r="G234" s="8" t="s">
        <v>34</v>
      </c>
      <c r="H234" s="10">
        <v>10062018</v>
      </c>
      <c r="I234" s="10">
        <v>4</v>
      </c>
      <c r="J234" s="8" t="s">
        <v>39</v>
      </c>
      <c r="K234" s="8" t="s">
        <v>41</v>
      </c>
      <c r="L234" s="8" t="s">
        <v>135</v>
      </c>
      <c r="M234" s="8" t="s">
        <v>136</v>
      </c>
      <c r="O234" s="8" t="s">
        <v>43</v>
      </c>
      <c r="P234" s="8" t="b">
        <v>0</v>
      </c>
      <c r="R234" s="8" t="b">
        <v>0</v>
      </c>
      <c r="S234" s="8" t="b">
        <v>0</v>
      </c>
      <c r="T234" s="8" t="b">
        <v>0</v>
      </c>
      <c r="U234" s="8" t="b">
        <v>0</v>
      </c>
      <c r="V234" s="8" t="b">
        <v>1</v>
      </c>
      <c r="X234" s="8" t="b">
        <v>0</v>
      </c>
      <c r="Y234" s="8" t="b">
        <v>0</v>
      </c>
      <c r="Z234" s="8" t="b">
        <v>0</v>
      </c>
      <c r="AA234" s="8" t="b">
        <v>0</v>
      </c>
      <c r="AB234" s="8" t="b">
        <v>0</v>
      </c>
      <c r="AC234" s="8" t="b">
        <v>0</v>
      </c>
      <c r="AD234" s="8" t="b">
        <v>0</v>
      </c>
      <c r="AE234" s="8" t="b">
        <v>0</v>
      </c>
      <c r="AF234" s="11" t="s">
        <v>789</v>
      </c>
      <c r="AG234" s="11" t="b" cm="1">
        <f t="array" ref="AG234">IF(OR(Y234:AA234="TRUE", AE234="true"), "Threatened")</f>
        <v>0</v>
      </c>
      <c r="AH234" s="11" t="s">
        <v>790</v>
      </c>
      <c r="AI234" s="8" t="b">
        <v>1</v>
      </c>
    </row>
    <row r="235" spans="1:35" ht="31.2">
      <c r="A235" s="8">
        <v>-73.974140140000003</v>
      </c>
      <c r="B235" s="8">
        <v>40.775813429999999</v>
      </c>
      <c r="C235" s="8" t="s">
        <v>791</v>
      </c>
      <c r="D235" s="8" t="s">
        <v>180</v>
      </c>
      <c r="E235" s="8" t="b">
        <f t="shared" si="3"/>
        <v>0</v>
      </c>
      <c r="F235" s="8" t="str" cm="1">
        <f t="array" ref="F235">_xlfn._xlws.FILTER(E235:E3433, C235:C3433= "6D-PM-1020-01", "No Squirrels Found")</f>
        <v>No Squirrels Found</v>
      </c>
      <c r="G235" s="8" t="s">
        <v>48</v>
      </c>
      <c r="H235" s="10">
        <v>10072018</v>
      </c>
      <c r="I235" s="10">
        <v>2</v>
      </c>
      <c r="J235" s="8" t="s">
        <v>39</v>
      </c>
      <c r="K235" s="8" t="s">
        <v>40</v>
      </c>
      <c r="L235" s="8" t="s">
        <v>41</v>
      </c>
      <c r="M235" s="8" t="s">
        <v>42</v>
      </c>
      <c r="O235" s="8" t="s">
        <v>43</v>
      </c>
      <c r="P235" s="8" t="b">
        <v>0</v>
      </c>
      <c r="R235" s="8" t="b">
        <v>0</v>
      </c>
      <c r="S235" s="8" t="b">
        <v>1</v>
      </c>
      <c r="T235" s="8" t="b">
        <v>0</v>
      </c>
      <c r="U235" s="8" t="b">
        <v>0</v>
      </c>
      <c r="V235" s="8" t="b">
        <v>0</v>
      </c>
      <c r="X235" s="8" t="b">
        <v>0</v>
      </c>
      <c r="Y235" s="8" t="b">
        <v>0</v>
      </c>
      <c r="Z235" s="8" t="b">
        <v>0</v>
      </c>
      <c r="AA235" s="8" t="b">
        <v>1</v>
      </c>
      <c r="AB235" s="8" t="b">
        <v>0</v>
      </c>
      <c r="AC235" s="8" t="b">
        <v>0</v>
      </c>
      <c r="AD235" s="8" t="b">
        <v>1</v>
      </c>
      <c r="AE235" s="8" t="b">
        <v>0</v>
      </c>
      <c r="AG235" s="11" t="b" cm="1">
        <f t="array" ref="AG235">IF(OR(Y235:AA235="TRUE", AE235="true"), "Threatened")</f>
        <v>0</v>
      </c>
      <c r="AH235" s="11" t="s">
        <v>792</v>
      </c>
      <c r="AI235" s="8" t="b">
        <v>1</v>
      </c>
    </row>
    <row r="236" spans="1:35" ht="31.2">
      <c r="A236" s="8">
        <v>-73.975357430000003</v>
      </c>
      <c r="B236" s="8">
        <v>40.76832117</v>
      </c>
      <c r="C236" s="8" t="s">
        <v>793</v>
      </c>
      <c r="D236" s="8" t="s">
        <v>794</v>
      </c>
      <c r="E236" s="8" t="b">
        <f t="shared" si="3"/>
        <v>0</v>
      </c>
      <c r="F236" s="8" t="str" cm="1">
        <f t="array" ref="F236">_xlfn._xlws.FILTER(E236:E3434, C236:C3434= "6D-PM-1020-01", "No Squirrels Found")</f>
        <v>No Squirrels Found</v>
      </c>
      <c r="G236" s="8" t="s">
        <v>34</v>
      </c>
      <c r="H236" s="10">
        <v>10082018</v>
      </c>
      <c r="I236" s="10">
        <v>8</v>
      </c>
      <c r="J236" s="8" t="s">
        <v>39</v>
      </c>
      <c r="K236" s="8" t="s">
        <v>40</v>
      </c>
      <c r="M236" s="8" t="s">
        <v>55</v>
      </c>
      <c r="O236" s="8" t="s">
        <v>43</v>
      </c>
      <c r="P236" s="8" t="b">
        <v>0</v>
      </c>
      <c r="R236" s="8" t="b">
        <v>0</v>
      </c>
      <c r="S236" s="8" t="b">
        <v>0</v>
      </c>
      <c r="T236" s="8" t="b">
        <v>1</v>
      </c>
      <c r="U236" s="8" t="b">
        <v>0</v>
      </c>
      <c r="V236" s="8" t="b">
        <v>0</v>
      </c>
      <c r="X236" s="8" t="b">
        <v>0</v>
      </c>
      <c r="Y236" s="8" t="b">
        <v>0</v>
      </c>
      <c r="Z236" s="8" t="b">
        <v>0</v>
      </c>
      <c r="AA236" s="8" t="b">
        <v>0</v>
      </c>
      <c r="AB236" s="8" t="b">
        <v>0</v>
      </c>
      <c r="AC236" s="8" t="b">
        <v>0</v>
      </c>
      <c r="AD236" s="8" t="b">
        <v>0</v>
      </c>
      <c r="AE236" s="8" t="b">
        <v>1</v>
      </c>
      <c r="AG236" s="11" t="b" cm="1">
        <f t="array" ref="AG236">IF(OR(Y236:AA236="TRUE", AE236="true"), "Threatened")</f>
        <v>0</v>
      </c>
      <c r="AH236" s="11" t="s">
        <v>795</v>
      </c>
      <c r="AI236" s="8" t="b">
        <v>1</v>
      </c>
    </row>
    <row r="237" spans="1:35" ht="31.2">
      <c r="A237" s="8">
        <v>-73.97372661</v>
      </c>
      <c r="B237" s="8">
        <v>40.778633839999998</v>
      </c>
      <c r="C237" s="8" t="s">
        <v>796</v>
      </c>
      <c r="D237" s="8" t="s">
        <v>797</v>
      </c>
      <c r="E237" s="8" t="b">
        <f t="shared" si="3"/>
        <v>0</v>
      </c>
      <c r="F237" s="8" t="str" cm="1">
        <f t="array" ref="F237">_xlfn._xlws.FILTER(E237:E3435, C237:C3435= "6D-PM-1020-01", "No Squirrels Found")</f>
        <v>No Squirrels Found</v>
      </c>
      <c r="G237" s="8" t="s">
        <v>34</v>
      </c>
      <c r="H237" s="10">
        <v>10142018</v>
      </c>
      <c r="I237" s="10">
        <v>1</v>
      </c>
      <c r="J237" s="8" t="s">
        <v>39</v>
      </c>
      <c r="K237" s="8" t="s">
        <v>40</v>
      </c>
      <c r="L237" s="8" t="s">
        <v>117</v>
      </c>
      <c r="M237" s="8" t="s">
        <v>118</v>
      </c>
      <c r="O237" s="8" t="s">
        <v>43</v>
      </c>
      <c r="P237" s="8" t="b">
        <v>0</v>
      </c>
      <c r="R237" s="8" t="b">
        <v>0</v>
      </c>
      <c r="S237" s="8" t="b">
        <v>0</v>
      </c>
      <c r="T237" s="8" t="b">
        <v>1</v>
      </c>
      <c r="U237" s="8" t="b">
        <v>0</v>
      </c>
      <c r="V237" s="8" t="b">
        <v>0</v>
      </c>
      <c r="X237" s="8" t="b">
        <v>0</v>
      </c>
      <c r="Y237" s="8" t="b">
        <v>0</v>
      </c>
      <c r="Z237" s="8" t="b">
        <v>0</v>
      </c>
      <c r="AA237" s="8" t="b">
        <v>0</v>
      </c>
      <c r="AB237" s="8" t="b">
        <v>0</v>
      </c>
      <c r="AC237" s="8" t="b">
        <v>0</v>
      </c>
      <c r="AD237" s="8" t="b">
        <v>0</v>
      </c>
      <c r="AE237" s="8" t="b">
        <v>1</v>
      </c>
      <c r="AG237" s="11" t="b" cm="1">
        <f t="array" ref="AG237">IF(OR(Y237:AA237="TRUE", AE237="true"), "Threatened")</f>
        <v>0</v>
      </c>
      <c r="AH237" s="11" t="s">
        <v>798</v>
      </c>
      <c r="AI237" s="8" t="b">
        <v>1</v>
      </c>
    </row>
    <row r="238" spans="1:35" ht="31.2">
      <c r="A238" s="8">
        <v>-73.967895659999996</v>
      </c>
      <c r="B238" s="8">
        <v>40.776740959999998</v>
      </c>
      <c r="C238" s="8" t="s">
        <v>799</v>
      </c>
      <c r="D238" s="8" t="s">
        <v>246</v>
      </c>
      <c r="E238" s="8" t="b">
        <f t="shared" si="3"/>
        <v>0</v>
      </c>
      <c r="F238" s="8" t="str" cm="1">
        <f t="array" ref="F238">_xlfn._xlws.FILTER(E238:E3436, C238:C3436= "6D-PM-1020-01", "No Squirrels Found")</f>
        <v>No Squirrels Found</v>
      </c>
      <c r="G238" s="8" t="s">
        <v>34</v>
      </c>
      <c r="H238" s="10">
        <v>10102018</v>
      </c>
      <c r="I238" s="10">
        <v>7</v>
      </c>
      <c r="J238" s="8" t="s">
        <v>39</v>
      </c>
      <c r="K238" s="8" t="s">
        <v>40</v>
      </c>
      <c r="M238" s="8" t="s">
        <v>55</v>
      </c>
      <c r="O238" s="8" t="s">
        <v>50</v>
      </c>
      <c r="P238" s="8">
        <v>3</v>
      </c>
      <c r="Q238" s="8" t="s">
        <v>760</v>
      </c>
      <c r="R238" s="8" t="b">
        <v>1</v>
      </c>
      <c r="S238" s="8" t="b">
        <v>0</v>
      </c>
      <c r="T238" s="8" t="b">
        <v>0</v>
      </c>
      <c r="U238" s="8" t="b">
        <v>0</v>
      </c>
      <c r="V238" s="8" t="b">
        <v>0</v>
      </c>
      <c r="X238" s="8" t="b">
        <v>0</v>
      </c>
      <c r="Y238" s="8" t="b">
        <v>0</v>
      </c>
      <c r="Z238" s="8" t="b">
        <v>0</v>
      </c>
      <c r="AA238" s="8" t="b">
        <v>0</v>
      </c>
      <c r="AB238" s="8" t="b">
        <v>0</v>
      </c>
      <c r="AC238" s="8" t="b">
        <v>0</v>
      </c>
      <c r="AD238" s="8" t="b">
        <v>0</v>
      </c>
      <c r="AE238" s="8" t="b">
        <v>1</v>
      </c>
      <c r="AG238" s="11" t="b" cm="1">
        <f t="array" ref="AG238">IF(OR(Y238:AA238="TRUE", AE238="true"), "Threatened")</f>
        <v>0</v>
      </c>
      <c r="AH238" s="11" t="s">
        <v>800</v>
      </c>
      <c r="AI238" s="8" t="b">
        <v>1</v>
      </c>
    </row>
    <row r="239" spans="1:35" ht="31.2">
      <c r="A239" s="8">
        <v>-73.976094230000001</v>
      </c>
      <c r="B239" s="8">
        <v>40.774203569999997</v>
      </c>
      <c r="C239" s="8" t="s">
        <v>801</v>
      </c>
      <c r="D239" s="8" t="s">
        <v>802</v>
      </c>
      <c r="E239" s="8" t="b">
        <f t="shared" si="3"/>
        <v>0</v>
      </c>
      <c r="F239" s="8" t="str" cm="1">
        <f t="array" ref="F239">_xlfn._xlws.FILTER(E239:E3437, C239:C3437= "6D-PM-1020-01", "No Squirrels Found")</f>
        <v>No Squirrels Found</v>
      </c>
      <c r="G239" s="8" t="s">
        <v>34</v>
      </c>
      <c r="H239" s="10">
        <v>10132018</v>
      </c>
      <c r="I239" s="10">
        <v>7</v>
      </c>
      <c r="J239" s="8" t="s">
        <v>54</v>
      </c>
      <c r="K239" s="8" t="s">
        <v>40</v>
      </c>
      <c r="L239" s="8" t="s">
        <v>84</v>
      </c>
      <c r="M239" s="8" t="s">
        <v>103</v>
      </c>
      <c r="O239" s="8" t="s">
        <v>43</v>
      </c>
      <c r="P239" s="8" t="b">
        <v>0</v>
      </c>
      <c r="R239" s="8" t="b">
        <v>0</v>
      </c>
      <c r="S239" s="8" t="b">
        <v>0</v>
      </c>
      <c r="T239" s="8" t="b">
        <v>0</v>
      </c>
      <c r="U239" s="8" t="b">
        <v>0</v>
      </c>
      <c r="V239" s="8" t="b">
        <v>1</v>
      </c>
      <c r="X239" s="8" t="b">
        <v>0</v>
      </c>
      <c r="Y239" s="8" t="b">
        <v>0</v>
      </c>
      <c r="Z239" s="8" t="b">
        <v>0</v>
      </c>
      <c r="AA239" s="8" t="b">
        <v>0</v>
      </c>
      <c r="AB239" s="8" t="b">
        <v>1</v>
      </c>
      <c r="AC239" s="8" t="b">
        <v>0</v>
      </c>
      <c r="AD239" s="8" t="b">
        <v>1</v>
      </c>
      <c r="AE239" s="8" t="b">
        <v>0</v>
      </c>
      <c r="AG239" s="11" t="b" cm="1">
        <f t="array" ref="AG239">IF(OR(Y239:AA239="TRUE", AE239="true"), "Threatened")</f>
        <v>0</v>
      </c>
      <c r="AH239" s="11" t="s">
        <v>803</v>
      </c>
      <c r="AI239" s="8" t="b">
        <v>1</v>
      </c>
    </row>
    <row r="240" spans="1:35" ht="31.2">
      <c r="A240" s="8">
        <v>-73.975846489999995</v>
      </c>
      <c r="B240" s="8">
        <v>40.77259574</v>
      </c>
      <c r="C240" s="8" t="s">
        <v>804</v>
      </c>
      <c r="D240" s="8" t="s">
        <v>805</v>
      </c>
      <c r="E240" s="8" t="b">
        <f t="shared" si="3"/>
        <v>0</v>
      </c>
      <c r="F240" s="8" t="str" cm="1">
        <f t="array" ref="F240">_xlfn._xlws.FILTER(E240:E3438, C240:C3438= "6D-PM-1020-01", "No Squirrels Found")</f>
        <v>No Squirrels Found</v>
      </c>
      <c r="G240" s="8" t="s">
        <v>34</v>
      </c>
      <c r="H240" s="10">
        <v>10132018</v>
      </c>
      <c r="I240" s="10">
        <v>5</v>
      </c>
      <c r="J240" s="8" t="s">
        <v>39</v>
      </c>
      <c r="K240" s="8" t="s">
        <v>40</v>
      </c>
      <c r="L240" s="8" t="s">
        <v>84</v>
      </c>
      <c r="M240" s="8" t="s">
        <v>103</v>
      </c>
      <c r="O240" s="8" t="s">
        <v>43</v>
      </c>
      <c r="P240" s="8" t="b">
        <v>0</v>
      </c>
      <c r="R240" s="8" t="b">
        <v>0</v>
      </c>
      <c r="S240" s="8" t="b">
        <v>0</v>
      </c>
      <c r="T240" s="8" t="b">
        <v>0</v>
      </c>
      <c r="U240" s="8" t="b">
        <v>0</v>
      </c>
      <c r="V240" s="8" t="b">
        <v>1</v>
      </c>
      <c r="X240" s="8" t="b">
        <v>0</v>
      </c>
      <c r="Y240" s="8" t="b">
        <v>0</v>
      </c>
      <c r="Z240" s="8" t="b">
        <v>0</v>
      </c>
      <c r="AA240" s="8" t="b">
        <v>1</v>
      </c>
      <c r="AB240" s="8" t="b">
        <v>0</v>
      </c>
      <c r="AC240" s="8" t="b">
        <v>0</v>
      </c>
      <c r="AD240" s="8" t="b">
        <v>1</v>
      </c>
      <c r="AE240" s="8" t="b">
        <v>0</v>
      </c>
      <c r="AG240" s="11" t="b" cm="1">
        <f t="array" ref="AG240">IF(OR(Y240:AA240="TRUE", AE240="true"), "Threatened")</f>
        <v>0</v>
      </c>
      <c r="AH240" s="11" t="s">
        <v>806</v>
      </c>
      <c r="AI240" s="8" t="b">
        <v>1</v>
      </c>
    </row>
    <row r="241" spans="1:35" ht="31.2">
      <c r="A241" s="8">
        <v>-73.976708049999999</v>
      </c>
      <c r="B241" s="8">
        <v>40.771770879999998</v>
      </c>
      <c r="C241" s="8" t="s">
        <v>807</v>
      </c>
      <c r="D241" s="8" t="s">
        <v>808</v>
      </c>
      <c r="E241" s="8" t="b">
        <f t="shared" si="3"/>
        <v>0</v>
      </c>
      <c r="F241" s="8" t="str" cm="1">
        <f t="array" ref="F241">_xlfn._xlws.FILTER(E241:E3439, C241:C3439= "6D-PM-1020-01", "No Squirrels Found")</f>
        <v>No Squirrels Found</v>
      </c>
      <c r="G241" s="8" t="s">
        <v>34</v>
      </c>
      <c r="H241" s="10">
        <v>10172018</v>
      </c>
      <c r="I241" s="10">
        <v>4</v>
      </c>
      <c r="J241" s="8" t="s">
        <v>39</v>
      </c>
      <c r="K241" s="8" t="s">
        <v>40</v>
      </c>
      <c r="L241" s="8" t="s">
        <v>41</v>
      </c>
      <c r="M241" s="8" t="s">
        <v>42</v>
      </c>
      <c r="O241" s="8" t="s">
        <v>43</v>
      </c>
      <c r="P241" s="8" t="b">
        <v>0</v>
      </c>
      <c r="R241" s="8" t="b">
        <v>1</v>
      </c>
      <c r="S241" s="8" t="b">
        <v>1</v>
      </c>
      <c r="T241" s="8" t="b">
        <v>0</v>
      </c>
      <c r="U241" s="8" t="b">
        <v>0</v>
      </c>
      <c r="V241" s="8" t="b">
        <v>1</v>
      </c>
      <c r="X241" s="8" t="b">
        <v>0</v>
      </c>
      <c r="Y241" s="8" t="b">
        <v>0</v>
      </c>
      <c r="Z241" s="8" t="b">
        <v>0</v>
      </c>
      <c r="AA241" s="8" t="b">
        <v>0</v>
      </c>
      <c r="AB241" s="8" t="b">
        <v>0</v>
      </c>
      <c r="AC241" s="8" t="b">
        <v>0</v>
      </c>
      <c r="AD241" s="8" t="b">
        <v>0</v>
      </c>
      <c r="AE241" s="8" t="b">
        <v>0</v>
      </c>
      <c r="AG241" s="11" t="b" cm="1">
        <f t="array" ref="AG241">IF(OR(Y241:AA241="TRUE", AE241="true"), "Threatened")</f>
        <v>0</v>
      </c>
      <c r="AH241" s="11" t="s">
        <v>809</v>
      </c>
      <c r="AI241" s="8" t="b">
        <v>1</v>
      </c>
    </row>
    <row r="242" spans="1:35" ht="31.2">
      <c r="A242" s="8">
        <v>-73.976025649999997</v>
      </c>
      <c r="B242" s="8">
        <v>40.770357310000001</v>
      </c>
      <c r="C242" s="8" t="s">
        <v>810</v>
      </c>
      <c r="D242" s="8" t="s">
        <v>53</v>
      </c>
      <c r="E242" s="8" t="b">
        <f t="shared" si="3"/>
        <v>1</v>
      </c>
      <c r="F242" s="8" t="str" cm="1">
        <f t="array" ref="F242">_xlfn._xlws.FILTER(E242:E3440, C242:C3440= "6D-PM-1020-01", "No Squirrels Found")</f>
        <v>No Squirrels Found</v>
      </c>
      <c r="G242" s="8" t="s">
        <v>48</v>
      </c>
      <c r="H242" s="10">
        <v>10202018</v>
      </c>
      <c r="I242" s="10">
        <v>2</v>
      </c>
      <c r="J242" s="8" t="s">
        <v>39</v>
      </c>
      <c r="K242" s="8" t="s">
        <v>40</v>
      </c>
      <c r="L242" s="8" t="s">
        <v>41</v>
      </c>
      <c r="M242" s="8" t="s">
        <v>42</v>
      </c>
      <c r="O242" s="8" t="s">
        <v>43</v>
      </c>
      <c r="P242" s="8" t="b">
        <v>0</v>
      </c>
      <c r="R242" s="8" t="b">
        <v>0</v>
      </c>
      <c r="S242" s="8" t="b">
        <v>0</v>
      </c>
      <c r="T242" s="8" t="b">
        <v>1</v>
      </c>
      <c r="U242" s="8" t="b">
        <v>0</v>
      </c>
      <c r="V242" s="8" t="b">
        <v>1</v>
      </c>
      <c r="W242" s="11" t="s">
        <v>811</v>
      </c>
      <c r="X242" s="8" t="b">
        <v>0</v>
      </c>
      <c r="Y242" s="8" t="b">
        <v>0</v>
      </c>
      <c r="Z242" s="8" t="b">
        <v>0</v>
      </c>
      <c r="AA242" s="8" t="b">
        <v>0</v>
      </c>
      <c r="AB242" s="8" t="b">
        <v>0</v>
      </c>
      <c r="AC242" s="8" t="b">
        <v>0</v>
      </c>
      <c r="AD242" s="8" t="b">
        <v>0</v>
      </c>
      <c r="AE242" s="8" t="b">
        <v>0</v>
      </c>
      <c r="AG242" s="11" t="b" cm="1">
        <f t="array" ref="AG242">IF(OR(Y242:AA242="TRUE", AE242="true"), "Threatened")</f>
        <v>0</v>
      </c>
      <c r="AH242" s="11" t="s">
        <v>812</v>
      </c>
      <c r="AI242" s="8" t="b">
        <v>0</v>
      </c>
    </row>
    <row r="243" spans="1:35" ht="31.2">
      <c r="A243" s="8">
        <v>-73.95902366</v>
      </c>
      <c r="B243" s="8">
        <v>40.798263249999998</v>
      </c>
      <c r="C243" s="8" t="s">
        <v>813</v>
      </c>
      <c r="D243" s="8" t="s">
        <v>458</v>
      </c>
      <c r="E243" s="8" t="b">
        <f t="shared" si="3"/>
        <v>0</v>
      </c>
      <c r="F243" s="8" t="str" cm="1">
        <f t="array" ref="F243">_xlfn._xlws.FILTER(E243:E3441, C243:C3441= "6D-PM-1020-01", "No Squirrels Found")</f>
        <v>No Squirrels Found</v>
      </c>
      <c r="G243" s="8" t="s">
        <v>48</v>
      </c>
      <c r="H243" s="10">
        <v>10102018</v>
      </c>
      <c r="I243" s="10">
        <v>4</v>
      </c>
      <c r="J243" s="8" t="s">
        <v>39</v>
      </c>
      <c r="K243" s="8" t="s">
        <v>40</v>
      </c>
      <c r="L243" s="8" t="s">
        <v>41</v>
      </c>
      <c r="M243" s="8" t="s">
        <v>42</v>
      </c>
      <c r="O243" s="8" t="s">
        <v>43</v>
      </c>
      <c r="P243" s="8" t="b">
        <v>0</v>
      </c>
      <c r="Q243" s="8" t="s">
        <v>814</v>
      </c>
      <c r="R243" s="8" t="b">
        <v>0</v>
      </c>
      <c r="S243" s="8" t="b">
        <v>0</v>
      </c>
      <c r="T243" s="8" t="b">
        <v>0</v>
      </c>
      <c r="U243" s="8" t="b">
        <v>0</v>
      </c>
      <c r="V243" s="8" t="b">
        <v>1</v>
      </c>
      <c r="X243" s="8" t="b">
        <v>0</v>
      </c>
      <c r="Y243" s="8" t="b">
        <v>0</v>
      </c>
      <c r="Z243" s="8" t="b">
        <v>0</v>
      </c>
      <c r="AA243" s="8" t="b">
        <v>1</v>
      </c>
      <c r="AB243" s="8" t="b">
        <v>0</v>
      </c>
      <c r="AC243" s="8" t="b">
        <v>0</v>
      </c>
      <c r="AD243" s="8" t="b">
        <v>1</v>
      </c>
      <c r="AE243" s="8" t="b">
        <v>1</v>
      </c>
      <c r="AF243" s="11" t="s">
        <v>460</v>
      </c>
      <c r="AG243" s="11" t="b" cm="1">
        <f t="array" ref="AG243">IF(OR(Y243:AA243="TRUE", AE243="true"), "Threatened")</f>
        <v>0</v>
      </c>
      <c r="AH243" s="11" t="s">
        <v>815</v>
      </c>
      <c r="AI243" s="8" t="b">
        <v>1</v>
      </c>
    </row>
    <row r="244" spans="1:35" ht="31.2">
      <c r="A244" s="8">
        <v>-73.97547788</v>
      </c>
      <c r="B244" s="8">
        <v>40.768561900000002</v>
      </c>
      <c r="C244" s="8" t="s">
        <v>816</v>
      </c>
      <c r="D244" s="8" t="s">
        <v>794</v>
      </c>
      <c r="E244" s="8" t="b">
        <f t="shared" si="3"/>
        <v>0</v>
      </c>
      <c r="F244" s="8" t="str" cm="1">
        <f t="array" ref="F244">_xlfn._xlws.FILTER(E244:E3442, C244:C3442= "6D-PM-1020-01", "No Squirrels Found")</f>
        <v>No Squirrels Found</v>
      </c>
      <c r="G244" s="8" t="s">
        <v>48</v>
      </c>
      <c r="H244" s="10">
        <v>10202018</v>
      </c>
      <c r="I244" s="10">
        <v>1</v>
      </c>
      <c r="J244" s="8" t="s">
        <v>39</v>
      </c>
      <c r="K244" s="8" t="s">
        <v>40</v>
      </c>
      <c r="L244" s="8" t="s">
        <v>117</v>
      </c>
      <c r="M244" s="8" t="s">
        <v>118</v>
      </c>
      <c r="N244" s="11" t="s">
        <v>817</v>
      </c>
      <c r="O244" s="8" t="s">
        <v>50</v>
      </c>
      <c r="P244" s="8">
        <v>7</v>
      </c>
      <c r="R244" s="8" t="b">
        <v>0</v>
      </c>
      <c r="S244" s="8" t="b">
        <v>0</v>
      </c>
      <c r="T244" s="8" t="b">
        <v>1</v>
      </c>
      <c r="U244" s="8" t="b">
        <v>0</v>
      </c>
      <c r="V244" s="8" t="b">
        <v>0</v>
      </c>
      <c r="W244" s="11" t="s">
        <v>818</v>
      </c>
      <c r="X244" s="8" t="b">
        <v>0</v>
      </c>
      <c r="Y244" s="8" t="b">
        <v>0</v>
      </c>
      <c r="Z244" s="8" t="b">
        <v>0</v>
      </c>
      <c r="AA244" s="8" t="b">
        <v>0</v>
      </c>
      <c r="AB244" s="8" t="b">
        <v>0</v>
      </c>
      <c r="AC244" s="8" t="b">
        <v>0</v>
      </c>
      <c r="AD244" s="8" t="b">
        <v>1</v>
      </c>
      <c r="AE244" s="8" t="b">
        <v>0</v>
      </c>
      <c r="AG244" s="11" t="b" cm="1">
        <f t="array" ref="AG244">IF(OR(Y244:AA244="TRUE", AE244="true"), "Threatened")</f>
        <v>0</v>
      </c>
      <c r="AH244" s="11" t="s">
        <v>819</v>
      </c>
      <c r="AI244" s="8" t="b">
        <v>0</v>
      </c>
    </row>
    <row r="245" spans="1:35" ht="31.2">
      <c r="A245" s="8">
        <v>-73.959764879999994</v>
      </c>
      <c r="B245" s="8">
        <v>40.790344300000001</v>
      </c>
      <c r="C245" s="8" t="s">
        <v>820</v>
      </c>
      <c r="D245" s="8" t="s">
        <v>75</v>
      </c>
      <c r="E245" s="8" t="b">
        <f t="shared" si="3"/>
        <v>0</v>
      </c>
      <c r="F245" s="8" t="str" cm="1">
        <f t="array" ref="F245">_xlfn._xlws.FILTER(E245:E3443, C245:C3443= "6D-PM-1020-01", "No Squirrels Found")</f>
        <v>No Squirrels Found</v>
      </c>
      <c r="G245" s="8" t="s">
        <v>48</v>
      </c>
      <c r="H245" s="10">
        <v>10072018</v>
      </c>
      <c r="I245" s="10">
        <v>1</v>
      </c>
      <c r="J245" s="8" t="s">
        <v>39</v>
      </c>
      <c r="K245" s="8" t="s">
        <v>40</v>
      </c>
      <c r="M245" s="8" t="s">
        <v>55</v>
      </c>
      <c r="O245" s="8" t="s">
        <v>43</v>
      </c>
      <c r="P245" s="8" t="b">
        <v>0</v>
      </c>
      <c r="R245" s="8" t="b">
        <v>0</v>
      </c>
      <c r="S245" s="8" t="b">
        <v>0</v>
      </c>
      <c r="T245" s="8" t="b">
        <v>0</v>
      </c>
      <c r="U245" s="8" t="b">
        <v>1</v>
      </c>
      <c r="V245" s="8" t="b">
        <v>0</v>
      </c>
      <c r="X245" s="8" t="b">
        <v>0</v>
      </c>
      <c r="Y245" s="8" t="b">
        <v>0</v>
      </c>
      <c r="Z245" s="8" t="b">
        <v>0</v>
      </c>
      <c r="AA245" s="8" t="b">
        <v>0</v>
      </c>
      <c r="AB245" s="8" t="b">
        <v>0</v>
      </c>
      <c r="AC245" s="8" t="b">
        <v>0</v>
      </c>
      <c r="AD245" s="8" t="b">
        <v>0</v>
      </c>
      <c r="AE245" s="8" t="b">
        <v>1</v>
      </c>
      <c r="AG245" s="11" t="b" cm="1">
        <f t="array" ref="AG245">IF(OR(Y245:AA245="TRUE", AE245="true"), "Threatened")</f>
        <v>0</v>
      </c>
      <c r="AH245" s="11" t="s">
        <v>821</v>
      </c>
      <c r="AI245" s="8" t="b">
        <v>1</v>
      </c>
    </row>
    <row r="246" spans="1:35" ht="31.2">
      <c r="A246" s="8">
        <v>-73.958941429999996</v>
      </c>
      <c r="B246" s="8">
        <v>40.790707390000001</v>
      </c>
      <c r="C246" s="8" t="s">
        <v>822</v>
      </c>
      <c r="D246" s="8" t="s">
        <v>75</v>
      </c>
      <c r="E246" s="8" t="b">
        <f t="shared" si="3"/>
        <v>0</v>
      </c>
      <c r="F246" s="8" t="str" cm="1">
        <f t="array" ref="F246">_xlfn._xlws.FILTER(E246:E3444, C246:C3444= "6D-PM-1020-01", "No Squirrels Found")</f>
        <v>No Squirrels Found</v>
      </c>
      <c r="G246" s="8" t="s">
        <v>34</v>
      </c>
      <c r="H246" s="10">
        <v>10172018</v>
      </c>
      <c r="I246" s="10">
        <v>4</v>
      </c>
      <c r="J246" s="8" t="s">
        <v>39</v>
      </c>
      <c r="K246" s="8" t="s">
        <v>40</v>
      </c>
      <c r="M246" s="8" t="s">
        <v>55</v>
      </c>
      <c r="O246" s="8" t="s">
        <v>43</v>
      </c>
      <c r="P246" s="8" t="b">
        <v>0</v>
      </c>
      <c r="Q246" s="8" t="s">
        <v>823</v>
      </c>
      <c r="R246" s="8" t="b">
        <v>0</v>
      </c>
      <c r="S246" s="8" t="b">
        <v>0</v>
      </c>
      <c r="T246" s="8" t="b">
        <v>0</v>
      </c>
      <c r="U246" s="8" t="b">
        <v>1</v>
      </c>
      <c r="V246" s="8" t="b">
        <v>1</v>
      </c>
      <c r="X246" s="8" t="b">
        <v>0</v>
      </c>
      <c r="Y246" s="8" t="b">
        <v>0</v>
      </c>
      <c r="Z246" s="8" t="b">
        <v>0</v>
      </c>
      <c r="AA246" s="8" t="b">
        <v>0</v>
      </c>
      <c r="AB246" s="8" t="b">
        <v>0</v>
      </c>
      <c r="AC246" s="8" t="b">
        <v>0</v>
      </c>
      <c r="AD246" s="8" t="b">
        <v>0</v>
      </c>
      <c r="AE246" s="8" t="b">
        <v>1</v>
      </c>
      <c r="AG246" s="11" t="b" cm="1">
        <f t="array" ref="AG246">IF(OR(Y246:AA246="TRUE", AE246="true"), "Threatened")</f>
        <v>0</v>
      </c>
      <c r="AH246" s="11" t="s">
        <v>824</v>
      </c>
      <c r="AI246" s="8" t="b">
        <v>1</v>
      </c>
    </row>
    <row r="247" spans="1:35" ht="31.2">
      <c r="A247" s="8">
        <v>-73.97798057</v>
      </c>
      <c r="B247" s="8">
        <v>40.768093159999999</v>
      </c>
      <c r="C247" s="8" t="s">
        <v>825</v>
      </c>
      <c r="D247" s="8" t="s">
        <v>768</v>
      </c>
      <c r="E247" s="8" t="b">
        <f t="shared" si="3"/>
        <v>0</v>
      </c>
      <c r="F247" s="8" t="str" cm="1">
        <f t="array" ref="F247">_xlfn._xlws.FILTER(E247:E3445, C247:C3445= "6D-PM-1020-01", "No Squirrels Found")</f>
        <v>No Squirrels Found</v>
      </c>
      <c r="G247" s="8" t="s">
        <v>34</v>
      </c>
      <c r="H247" s="10">
        <v>10122018</v>
      </c>
      <c r="I247" s="10">
        <v>2</v>
      </c>
      <c r="J247" s="8" t="s">
        <v>39</v>
      </c>
      <c r="K247" s="8" t="s">
        <v>40</v>
      </c>
      <c r="L247" s="8" t="s">
        <v>117</v>
      </c>
      <c r="M247" s="8" t="s">
        <v>118</v>
      </c>
      <c r="O247" s="8" t="s">
        <v>43</v>
      </c>
      <c r="P247" s="8" t="b">
        <v>0</v>
      </c>
      <c r="R247" s="8" t="b">
        <v>0</v>
      </c>
      <c r="S247" s="8" t="b">
        <v>0</v>
      </c>
      <c r="T247" s="8" t="b">
        <v>0</v>
      </c>
      <c r="U247" s="8" t="b">
        <v>1</v>
      </c>
      <c r="V247" s="8" t="b">
        <v>1</v>
      </c>
      <c r="X247" s="8" t="b">
        <v>0</v>
      </c>
      <c r="Y247" s="8" t="b">
        <v>0</v>
      </c>
      <c r="Z247" s="8" t="b">
        <v>0</v>
      </c>
      <c r="AA247" s="8" t="b">
        <v>0</v>
      </c>
      <c r="AB247" s="8" t="b">
        <v>0</v>
      </c>
      <c r="AC247" s="8" t="b">
        <v>1</v>
      </c>
      <c r="AD247" s="8" t="b">
        <v>0</v>
      </c>
      <c r="AE247" s="8" t="b">
        <v>0</v>
      </c>
      <c r="AG247" s="11" t="b" cm="1">
        <f t="array" ref="AG247">IF(OR(Y247:AA247="TRUE", AE247="true"), "Threatened")</f>
        <v>0</v>
      </c>
      <c r="AH247" s="11" t="s">
        <v>826</v>
      </c>
      <c r="AI247" s="8" t="b">
        <v>1</v>
      </c>
    </row>
    <row r="248" spans="1:35" ht="31.2">
      <c r="A248" s="8">
        <v>-73.973311769999995</v>
      </c>
      <c r="B248" s="8">
        <v>40.769458460000003</v>
      </c>
      <c r="C248" s="8" t="s">
        <v>827</v>
      </c>
      <c r="D248" s="8" t="s">
        <v>524</v>
      </c>
      <c r="E248" s="8" t="b">
        <f t="shared" si="3"/>
        <v>0</v>
      </c>
      <c r="F248" s="8" t="str" cm="1">
        <f t="array" ref="F248">_xlfn._xlws.FILTER(E248:E3446, C248:C3446= "6D-PM-1020-01", "No Squirrels Found")</f>
        <v>No Squirrels Found</v>
      </c>
      <c r="G248" s="8" t="s">
        <v>34</v>
      </c>
      <c r="H248" s="10">
        <v>10082018</v>
      </c>
      <c r="I248" s="10">
        <v>5</v>
      </c>
      <c r="J248" s="8" t="s">
        <v>39</v>
      </c>
      <c r="K248" s="8" t="s">
        <v>41</v>
      </c>
      <c r="L248" s="8" t="s">
        <v>84</v>
      </c>
      <c r="M248" s="8" t="s">
        <v>85</v>
      </c>
      <c r="N248" s="11" t="s">
        <v>828</v>
      </c>
      <c r="O248" s="8" t="s">
        <v>43</v>
      </c>
      <c r="P248" s="8" t="b">
        <v>0</v>
      </c>
      <c r="R248" s="8" t="b">
        <v>0</v>
      </c>
      <c r="S248" s="8" t="b">
        <v>0</v>
      </c>
      <c r="T248" s="8" t="b">
        <v>0</v>
      </c>
      <c r="U248" s="8" t="b">
        <v>0</v>
      </c>
      <c r="V248" s="8" t="b">
        <v>1</v>
      </c>
      <c r="X248" s="8" t="b">
        <v>0</v>
      </c>
      <c r="Y248" s="8" t="b">
        <v>0</v>
      </c>
      <c r="Z248" s="8" t="b">
        <v>0</v>
      </c>
      <c r="AA248" s="8" t="b">
        <v>0</v>
      </c>
      <c r="AB248" s="8" t="b">
        <v>0</v>
      </c>
      <c r="AC248" s="8" t="b">
        <v>0</v>
      </c>
      <c r="AD248" s="8" t="b">
        <v>1</v>
      </c>
      <c r="AE248" s="8" t="b">
        <v>0</v>
      </c>
      <c r="AG248" s="11" t="b" cm="1">
        <f t="array" ref="AG248">IF(OR(Y248:AA248="TRUE", AE248="true"), "Threatened")</f>
        <v>0</v>
      </c>
      <c r="AH248" s="11" t="s">
        <v>829</v>
      </c>
      <c r="AI248" s="8" t="b">
        <v>1</v>
      </c>
    </row>
    <row r="249" spans="1:35" ht="46.8">
      <c r="A249" s="8">
        <v>-73.975172939999993</v>
      </c>
      <c r="B249" s="8">
        <v>40.774328410000003</v>
      </c>
      <c r="C249" s="8" t="s">
        <v>830</v>
      </c>
      <c r="D249" s="8" t="s">
        <v>472</v>
      </c>
      <c r="E249" s="8" t="b">
        <f t="shared" si="3"/>
        <v>0</v>
      </c>
      <c r="F249" s="8" t="str" cm="1">
        <f t="array" ref="F249">_xlfn._xlws.FILTER(E249:E3447, C249:C3447= "6D-PM-1020-01", "No Squirrels Found")</f>
        <v>No Squirrels Found</v>
      </c>
      <c r="G249" s="8" t="s">
        <v>34</v>
      </c>
      <c r="H249" s="10">
        <v>10142018</v>
      </c>
      <c r="I249" s="10">
        <v>2</v>
      </c>
      <c r="J249" s="8" t="s">
        <v>39</v>
      </c>
      <c r="K249" s="8" t="s">
        <v>40</v>
      </c>
      <c r="L249" s="8" t="s">
        <v>84</v>
      </c>
      <c r="M249" s="8" t="s">
        <v>103</v>
      </c>
      <c r="O249" s="8" t="s">
        <v>50</v>
      </c>
      <c r="Q249" s="8" t="s">
        <v>831</v>
      </c>
      <c r="R249" s="8" t="b">
        <v>0</v>
      </c>
      <c r="S249" s="8" t="b">
        <v>0</v>
      </c>
      <c r="T249" s="8" t="b">
        <v>0</v>
      </c>
      <c r="U249" s="8" t="b">
        <v>0</v>
      </c>
      <c r="V249" s="8" t="b">
        <v>1</v>
      </c>
      <c r="X249" s="8" t="b">
        <v>0</v>
      </c>
      <c r="Y249" s="8" t="b">
        <v>0</v>
      </c>
      <c r="Z249" s="8" t="b">
        <v>0</v>
      </c>
      <c r="AA249" s="8" t="b">
        <v>0</v>
      </c>
      <c r="AB249" s="8" t="b">
        <v>1</v>
      </c>
      <c r="AC249" s="8" t="b">
        <v>0</v>
      </c>
      <c r="AD249" s="8" t="b">
        <v>0</v>
      </c>
      <c r="AE249" s="8" t="b">
        <v>0</v>
      </c>
      <c r="AF249" s="11" t="s">
        <v>832</v>
      </c>
      <c r="AG249" s="11" t="b" cm="1">
        <f t="array" ref="AG249">IF(OR(Y249:AA249="TRUE", AE249="true"), "Threatened")</f>
        <v>0</v>
      </c>
      <c r="AH249" s="11" t="s">
        <v>833</v>
      </c>
      <c r="AI249" s="8" t="b">
        <v>1</v>
      </c>
    </row>
    <row r="250" spans="1:35" ht="31.2">
      <c r="A250" s="8">
        <v>-73.978633930000001</v>
      </c>
      <c r="B250" s="8">
        <v>40.768491859999997</v>
      </c>
      <c r="C250" s="8" t="s">
        <v>834</v>
      </c>
      <c r="D250" s="8" t="s">
        <v>835</v>
      </c>
      <c r="E250" s="8" t="b">
        <f t="shared" si="3"/>
        <v>0</v>
      </c>
      <c r="F250" s="8" t="str" cm="1">
        <f t="array" ref="F250">_xlfn._xlws.FILTER(E250:E3448, C250:C3448= "6D-PM-1020-01", "No Squirrels Found")</f>
        <v>No Squirrels Found</v>
      </c>
      <c r="G250" s="8" t="s">
        <v>34</v>
      </c>
      <c r="H250" s="10">
        <v>10082018</v>
      </c>
      <c r="I250" s="10">
        <v>2</v>
      </c>
      <c r="J250" s="8" t="s">
        <v>39</v>
      </c>
      <c r="K250" s="8" t="s">
        <v>41</v>
      </c>
      <c r="L250" s="8" t="s">
        <v>135</v>
      </c>
      <c r="M250" s="8" t="s">
        <v>136</v>
      </c>
      <c r="O250" s="8" t="s">
        <v>43</v>
      </c>
      <c r="P250" s="8" t="b">
        <v>0</v>
      </c>
      <c r="R250" s="8" t="b">
        <v>0</v>
      </c>
      <c r="S250" s="8" t="b">
        <v>0</v>
      </c>
      <c r="T250" s="8" t="b">
        <v>0</v>
      </c>
      <c r="U250" s="8" t="b">
        <v>0</v>
      </c>
      <c r="V250" s="8" t="b">
        <v>1</v>
      </c>
      <c r="X250" s="8" t="b">
        <v>0</v>
      </c>
      <c r="Y250" s="8" t="b">
        <v>0</v>
      </c>
      <c r="Z250" s="8" t="b">
        <v>0</v>
      </c>
      <c r="AA250" s="8" t="b">
        <v>0</v>
      </c>
      <c r="AB250" s="8" t="b">
        <v>0</v>
      </c>
      <c r="AC250" s="8" t="b">
        <v>0</v>
      </c>
      <c r="AD250" s="8" t="b">
        <v>1</v>
      </c>
      <c r="AE250" s="8" t="b">
        <v>0</v>
      </c>
      <c r="AG250" s="11" t="b" cm="1">
        <f t="array" ref="AG250">IF(OR(Y250:AA250="TRUE", AE250="true"), "Threatened")</f>
        <v>0</v>
      </c>
      <c r="AH250" s="11" t="s">
        <v>836</v>
      </c>
      <c r="AI250" s="8" t="b">
        <v>1</v>
      </c>
    </row>
    <row r="251" spans="1:35" ht="31.2">
      <c r="A251" s="8">
        <v>-73.972674769999998</v>
      </c>
      <c r="B251" s="8">
        <v>40.770302270000002</v>
      </c>
      <c r="C251" s="8" t="s">
        <v>837</v>
      </c>
      <c r="D251" s="8" t="s">
        <v>368</v>
      </c>
      <c r="E251" s="8" t="b">
        <f t="shared" si="3"/>
        <v>0</v>
      </c>
      <c r="F251" s="8" t="str" cm="1">
        <f t="array" ref="F251">_xlfn._xlws.FILTER(E251:E3449, C251:C3449= "6D-PM-1020-01", "No Squirrels Found")</f>
        <v>No Squirrels Found</v>
      </c>
      <c r="G251" s="8" t="s">
        <v>48</v>
      </c>
      <c r="H251" s="10">
        <v>10082018</v>
      </c>
      <c r="I251" s="10">
        <v>2</v>
      </c>
      <c r="J251" s="8" t="s">
        <v>39</v>
      </c>
      <c r="K251" s="8" t="s">
        <v>40</v>
      </c>
      <c r="L251" s="8" t="s">
        <v>41</v>
      </c>
      <c r="M251" s="8" t="s">
        <v>42</v>
      </c>
      <c r="O251" s="8" t="s">
        <v>43</v>
      </c>
      <c r="P251" s="8" t="b">
        <v>0</v>
      </c>
      <c r="R251" s="8" t="b">
        <v>1</v>
      </c>
      <c r="S251" s="8" t="b">
        <v>0</v>
      </c>
      <c r="T251" s="8" t="b">
        <v>0</v>
      </c>
      <c r="U251" s="8" t="b">
        <v>0</v>
      </c>
      <c r="V251" s="8" t="b">
        <v>0</v>
      </c>
      <c r="X251" s="8" t="b">
        <v>0</v>
      </c>
      <c r="Y251" s="8" t="b">
        <v>0</v>
      </c>
      <c r="Z251" s="8" t="b">
        <v>0</v>
      </c>
      <c r="AA251" s="8" t="b">
        <v>0</v>
      </c>
      <c r="AB251" s="8" t="b">
        <v>0</v>
      </c>
      <c r="AC251" s="8" t="b">
        <v>0</v>
      </c>
      <c r="AD251" s="8" t="b">
        <v>0</v>
      </c>
      <c r="AE251" s="8" t="b">
        <v>1</v>
      </c>
      <c r="AF251" s="11" t="s">
        <v>838</v>
      </c>
      <c r="AG251" s="11" t="b" cm="1">
        <f t="array" ref="AG251">IF(OR(Y251:AA251="TRUE", AE251="true"), "Threatened")</f>
        <v>0</v>
      </c>
      <c r="AH251" s="11" t="s">
        <v>839</v>
      </c>
      <c r="AI251" s="8" t="b">
        <v>1</v>
      </c>
    </row>
    <row r="252" spans="1:35" ht="31.2">
      <c r="A252" s="8">
        <v>-73.957081759999994</v>
      </c>
      <c r="B252" s="8">
        <v>40.796422110000002</v>
      </c>
      <c r="C252" s="8" t="s">
        <v>840</v>
      </c>
      <c r="D252" s="8" t="s">
        <v>841</v>
      </c>
      <c r="E252" s="8" t="b">
        <f t="shared" si="3"/>
        <v>0</v>
      </c>
      <c r="F252" s="8" t="str" cm="1">
        <f t="array" ref="F252">_xlfn._xlws.FILTER(E252:E3450, C252:C3450= "6D-PM-1020-01", "No Squirrels Found")</f>
        <v>No Squirrels Found</v>
      </c>
      <c r="G252" s="8" t="s">
        <v>48</v>
      </c>
      <c r="H252" s="10">
        <v>10172018</v>
      </c>
      <c r="I252" s="10">
        <v>2</v>
      </c>
      <c r="J252" s="8" t="s">
        <v>39</v>
      </c>
      <c r="K252" s="8" t="s">
        <v>40</v>
      </c>
      <c r="L252" s="8" t="s">
        <v>41</v>
      </c>
      <c r="M252" s="8" t="s">
        <v>42</v>
      </c>
      <c r="O252" s="8" t="s">
        <v>43</v>
      </c>
      <c r="P252" s="8" t="b">
        <v>0</v>
      </c>
      <c r="R252" s="8" t="b">
        <v>0</v>
      </c>
      <c r="S252" s="8" t="b">
        <v>0</v>
      </c>
      <c r="T252" s="8" t="b">
        <v>0</v>
      </c>
      <c r="U252" s="8" t="b">
        <v>0</v>
      </c>
      <c r="V252" s="8" t="b">
        <v>0</v>
      </c>
      <c r="W252" s="11" t="s">
        <v>842</v>
      </c>
      <c r="X252" s="8" t="b">
        <v>0</v>
      </c>
      <c r="Y252" s="8" t="b">
        <v>0</v>
      </c>
      <c r="Z252" s="8" t="b">
        <v>0</v>
      </c>
      <c r="AA252" s="8" t="b">
        <v>0</v>
      </c>
      <c r="AB252" s="8" t="b">
        <v>0</v>
      </c>
      <c r="AC252" s="8" t="b">
        <v>0</v>
      </c>
      <c r="AD252" s="8" t="b">
        <v>1</v>
      </c>
      <c r="AE252" s="8" t="b">
        <v>0</v>
      </c>
      <c r="AG252" s="11" t="b" cm="1">
        <f t="array" ref="AG252">IF(OR(Y252:AA252="TRUE", AE252="true"), "Threatened")</f>
        <v>0</v>
      </c>
      <c r="AH252" s="11" t="s">
        <v>843</v>
      </c>
      <c r="AI252" s="8" t="b">
        <v>0</v>
      </c>
    </row>
    <row r="253" spans="1:35" ht="31.2">
      <c r="A253" s="8">
        <v>-73.974420670000001</v>
      </c>
      <c r="B253" s="8">
        <v>40.774962860000002</v>
      </c>
      <c r="C253" s="8" t="s">
        <v>844</v>
      </c>
      <c r="D253" s="8" t="s">
        <v>845</v>
      </c>
      <c r="E253" s="8" t="b">
        <f t="shared" si="3"/>
        <v>0</v>
      </c>
      <c r="F253" s="8" t="str" cm="1">
        <f t="array" ref="F253">_xlfn._xlws.FILTER(E253:E3451, C253:C3451= "6D-PM-1020-01", "No Squirrels Found")</f>
        <v>No Squirrels Found</v>
      </c>
      <c r="G253" s="8" t="s">
        <v>34</v>
      </c>
      <c r="H253" s="10">
        <v>10132018</v>
      </c>
      <c r="I253" s="10">
        <v>4</v>
      </c>
      <c r="K253" s="8" t="s">
        <v>40</v>
      </c>
      <c r="L253" s="8" t="s">
        <v>41</v>
      </c>
      <c r="M253" s="8" t="s">
        <v>42</v>
      </c>
      <c r="O253" s="8" t="s">
        <v>43</v>
      </c>
      <c r="P253" s="8" t="b">
        <v>0</v>
      </c>
      <c r="R253" s="8" t="b">
        <v>0</v>
      </c>
      <c r="S253" s="8" t="b">
        <v>0</v>
      </c>
      <c r="T253" s="8" t="b">
        <v>0</v>
      </c>
      <c r="U253" s="8" t="b">
        <v>1</v>
      </c>
      <c r="V253" s="8" t="b">
        <v>1</v>
      </c>
      <c r="X253" s="8" t="b">
        <v>0</v>
      </c>
      <c r="Y253" s="8" t="b">
        <v>0</v>
      </c>
      <c r="Z253" s="8" t="b">
        <v>0</v>
      </c>
      <c r="AA253" s="8" t="b">
        <v>0</v>
      </c>
      <c r="AB253" s="8" t="b">
        <v>0</v>
      </c>
      <c r="AC253" s="8" t="b">
        <v>0</v>
      </c>
      <c r="AD253" s="8" t="b">
        <v>1</v>
      </c>
      <c r="AE253" s="8" t="b">
        <v>0</v>
      </c>
      <c r="AG253" s="11" t="b" cm="1">
        <f t="array" ref="AG253">IF(OR(Y253:AA253="TRUE", AE253="true"), "Threatened")</f>
        <v>0</v>
      </c>
      <c r="AH253" s="11" t="s">
        <v>846</v>
      </c>
      <c r="AI253" s="8" t="b">
        <v>1</v>
      </c>
    </row>
    <row r="254" spans="1:35" ht="31.2">
      <c r="A254" s="8">
        <v>-73.958962709999994</v>
      </c>
      <c r="B254" s="8">
        <v>40.78475916</v>
      </c>
      <c r="C254" s="8" t="s">
        <v>847</v>
      </c>
      <c r="D254" s="8" t="s">
        <v>848</v>
      </c>
      <c r="E254" s="8" t="b">
        <f t="shared" si="3"/>
        <v>0</v>
      </c>
      <c r="F254" s="8" t="str" cm="1">
        <f t="array" ref="F254">_xlfn._xlws.FILTER(E254:E3452, C254:C3452= "6D-PM-1020-01", "No Squirrels Found")</f>
        <v>No Squirrels Found</v>
      </c>
      <c r="G254" s="8" t="s">
        <v>34</v>
      </c>
      <c r="H254" s="10">
        <v>10102018</v>
      </c>
      <c r="I254" s="10">
        <v>2</v>
      </c>
      <c r="J254" s="8" t="s">
        <v>39</v>
      </c>
      <c r="K254" s="8" t="s">
        <v>40</v>
      </c>
      <c r="L254" s="8" t="s">
        <v>41</v>
      </c>
      <c r="M254" s="8" t="s">
        <v>42</v>
      </c>
      <c r="O254" s="8" t="s">
        <v>43</v>
      </c>
      <c r="P254" s="8" t="b">
        <v>0</v>
      </c>
      <c r="R254" s="8" t="b">
        <v>0</v>
      </c>
      <c r="S254" s="8" t="b">
        <v>0</v>
      </c>
      <c r="T254" s="8" t="b">
        <v>0</v>
      </c>
      <c r="U254" s="8" t="b">
        <v>0</v>
      </c>
      <c r="V254" s="8" t="b">
        <v>1</v>
      </c>
      <c r="W254" s="11" t="s">
        <v>849</v>
      </c>
      <c r="X254" s="8" t="b">
        <v>0</v>
      </c>
      <c r="Y254" s="8" t="b">
        <v>0</v>
      </c>
      <c r="Z254" s="8" t="b">
        <v>0</v>
      </c>
      <c r="AA254" s="8" t="b">
        <v>0</v>
      </c>
      <c r="AB254" s="8" t="b">
        <v>1</v>
      </c>
      <c r="AC254" s="8" t="b">
        <v>0</v>
      </c>
      <c r="AD254" s="8" t="b">
        <v>1</v>
      </c>
      <c r="AE254" s="8" t="b">
        <v>0</v>
      </c>
      <c r="AG254" s="11" t="b" cm="1">
        <f t="array" ref="AG254">IF(OR(Y254:AA254="TRUE", AE254="true"), "Threatened")</f>
        <v>0</v>
      </c>
      <c r="AH254" s="11" t="s">
        <v>850</v>
      </c>
      <c r="AI254" s="8" t="b">
        <v>0</v>
      </c>
    </row>
    <row r="255" spans="1:35" ht="31.2">
      <c r="A255" s="8">
        <v>-73.97622466</v>
      </c>
      <c r="B255" s="8">
        <v>40.775164080000003</v>
      </c>
      <c r="C255" s="8" t="s">
        <v>851</v>
      </c>
      <c r="D255" s="8" t="s">
        <v>167</v>
      </c>
      <c r="E255" s="8" t="b">
        <f t="shared" si="3"/>
        <v>0</v>
      </c>
      <c r="F255" s="8" t="str" cm="1">
        <f t="array" ref="F255">_xlfn._xlws.FILTER(E255:E3453, C255:C3453= "6D-PM-1020-01", "No Squirrels Found")</f>
        <v>No Squirrels Found</v>
      </c>
      <c r="G255" s="8" t="s">
        <v>48</v>
      </c>
      <c r="H255" s="10">
        <v>10062018</v>
      </c>
      <c r="I255" s="10">
        <v>3</v>
      </c>
      <c r="J255" s="8" t="s">
        <v>54</v>
      </c>
      <c r="K255" s="8" t="s">
        <v>41</v>
      </c>
      <c r="M255" s="8" t="s">
        <v>49</v>
      </c>
      <c r="O255" s="8" t="s">
        <v>43</v>
      </c>
      <c r="P255" s="8" t="b">
        <v>0</v>
      </c>
      <c r="Q255" s="8" t="s">
        <v>852</v>
      </c>
      <c r="R255" s="8" t="b">
        <v>0</v>
      </c>
      <c r="S255" s="8" t="b">
        <v>0</v>
      </c>
      <c r="T255" s="8" t="b">
        <v>0</v>
      </c>
      <c r="U255" s="8" t="b">
        <v>1</v>
      </c>
      <c r="V255" s="8" t="b">
        <v>0</v>
      </c>
      <c r="X255" s="8" t="b">
        <v>0</v>
      </c>
      <c r="Y255" s="8" t="b">
        <v>0</v>
      </c>
      <c r="Z255" s="8" t="b">
        <v>0</v>
      </c>
      <c r="AA255" s="8" t="b">
        <v>0</v>
      </c>
      <c r="AB255" s="8" t="b">
        <v>0</v>
      </c>
      <c r="AC255" s="8" t="b">
        <v>0</v>
      </c>
      <c r="AD255" s="8" t="b">
        <v>0</v>
      </c>
      <c r="AE255" s="8" t="b">
        <v>0</v>
      </c>
      <c r="AG255" s="11" t="b" cm="1">
        <f t="array" ref="AG255">IF(OR(Y255:AA255="TRUE", AE255="true"), "Threatened")</f>
        <v>0</v>
      </c>
      <c r="AH255" s="11" t="s">
        <v>853</v>
      </c>
      <c r="AI255" s="8" t="b">
        <v>1</v>
      </c>
    </row>
    <row r="256" spans="1:35" ht="31.2">
      <c r="A256" s="8">
        <v>-73.980066910000005</v>
      </c>
      <c r="B256" s="8">
        <v>40.76768251</v>
      </c>
      <c r="C256" s="8" t="s">
        <v>854</v>
      </c>
      <c r="D256" s="8" t="s">
        <v>855</v>
      </c>
      <c r="E256" s="8" t="b">
        <f t="shared" si="3"/>
        <v>0</v>
      </c>
      <c r="F256" s="8" t="str" cm="1">
        <f t="array" ref="F256">_xlfn._xlws.FILTER(E256:E3454, C256:C3454= "6D-PM-1020-01", "No Squirrels Found")</f>
        <v>No Squirrels Found</v>
      </c>
      <c r="G256" s="8" t="s">
        <v>48</v>
      </c>
      <c r="H256" s="10">
        <v>10122018</v>
      </c>
      <c r="I256" s="10">
        <v>7</v>
      </c>
      <c r="J256" s="8" t="s">
        <v>39</v>
      </c>
      <c r="K256" s="8" t="s">
        <v>41</v>
      </c>
      <c r="M256" s="8" t="s">
        <v>49</v>
      </c>
      <c r="O256" s="8" t="s">
        <v>50</v>
      </c>
      <c r="P256" s="8">
        <v>2</v>
      </c>
      <c r="Q256" s="8" t="s">
        <v>856</v>
      </c>
      <c r="R256" s="8" t="b">
        <v>0</v>
      </c>
      <c r="S256" s="8" t="b">
        <v>1</v>
      </c>
      <c r="T256" s="8" t="b">
        <v>1</v>
      </c>
      <c r="U256" s="8" t="b">
        <v>0</v>
      </c>
      <c r="V256" s="8" t="b">
        <v>0</v>
      </c>
      <c r="X256" s="8" t="b">
        <v>0</v>
      </c>
      <c r="Y256" s="8" t="b">
        <v>0</v>
      </c>
      <c r="Z256" s="8" t="b">
        <v>0</v>
      </c>
      <c r="AA256" s="8" t="b">
        <v>0</v>
      </c>
      <c r="AB256" s="8" t="b">
        <v>0</v>
      </c>
      <c r="AC256" s="8" t="b">
        <v>0</v>
      </c>
      <c r="AD256" s="8" t="b">
        <v>1</v>
      </c>
      <c r="AE256" s="8" t="b">
        <v>0</v>
      </c>
      <c r="AG256" s="11" t="b" cm="1">
        <f t="array" ref="AG256">IF(OR(Y256:AA256="TRUE", AE256="true"), "Threatened")</f>
        <v>0</v>
      </c>
      <c r="AH256" s="11" t="s">
        <v>857</v>
      </c>
      <c r="AI256" s="8" t="b">
        <v>1</v>
      </c>
    </row>
    <row r="257" spans="1:35" ht="31.2">
      <c r="A257" s="8">
        <v>-73.976798119999998</v>
      </c>
      <c r="B257" s="8">
        <v>40.774131660000002</v>
      </c>
      <c r="C257" s="8" t="s">
        <v>858</v>
      </c>
      <c r="D257" s="8" t="s">
        <v>859</v>
      </c>
      <c r="E257" s="8" t="b">
        <f t="shared" si="3"/>
        <v>0</v>
      </c>
      <c r="F257" s="8" t="str" cm="1">
        <f t="array" ref="F257">_xlfn._xlws.FILTER(E257:E3455, C257:C3455= "6D-PM-1020-01", "No Squirrels Found")</f>
        <v>No Squirrels Found</v>
      </c>
      <c r="G257" s="8" t="s">
        <v>34</v>
      </c>
      <c r="H257" s="10">
        <v>10102018</v>
      </c>
      <c r="I257" s="10">
        <v>4</v>
      </c>
      <c r="K257" s="8" t="s">
        <v>41</v>
      </c>
      <c r="M257" s="8" t="s">
        <v>49</v>
      </c>
      <c r="O257" s="8" t="s">
        <v>50</v>
      </c>
      <c r="P257" s="8">
        <v>20</v>
      </c>
      <c r="R257" s="8" t="b">
        <v>1</v>
      </c>
      <c r="S257" s="8" t="b">
        <v>0</v>
      </c>
      <c r="T257" s="8" t="b">
        <v>1</v>
      </c>
      <c r="U257" s="8" t="b">
        <v>0</v>
      </c>
      <c r="V257" s="8" t="b">
        <v>0</v>
      </c>
      <c r="X257" s="8" t="b">
        <v>0</v>
      </c>
      <c r="Y257" s="8" t="b">
        <v>0</v>
      </c>
      <c r="Z257" s="8" t="b">
        <v>0</v>
      </c>
      <c r="AA257" s="8" t="b">
        <v>0</v>
      </c>
      <c r="AB257" s="8" t="b">
        <v>0</v>
      </c>
      <c r="AC257" s="8" t="b">
        <v>0</v>
      </c>
      <c r="AD257" s="8" t="b">
        <v>1</v>
      </c>
      <c r="AE257" s="8" t="b">
        <v>0</v>
      </c>
      <c r="AG257" s="11" t="b" cm="1">
        <f t="array" ref="AG257">IF(OR(Y257:AA257="TRUE", AE257="true"), "Threatened")</f>
        <v>0</v>
      </c>
      <c r="AH257" s="11" t="s">
        <v>860</v>
      </c>
      <c r="AI257" s="8" t="b">
        <v>1</v>
      </c>
    </row>
    <row r="258" spans="1:35" ht="46.8">
      <c r="A258" s="8">
        <v>-73.977331710000001</v>
      </c>
      <c r="B258" s="8">
        <v>40.768403599999999</v>
      </c>
      <c r="C258" s="8" t="s">
        <v>861</v>
      </c>
      <c r="D258" s="8" t="s">
        <v>512</v>
      </c>
      <c r="E258" s="8" t="b">
        <f t="shared" si="3"/>
        <v>0</v>
      </c>
      <c r="F258" s="8" t="str" cm="1">
        <f t="array" ref="F258">_xlfn._xlws.FILTER(E258:E3456, C258:C3456= "6D-PM-1020-01", "No Squirrels Found")</f>
        <v>No Squirrels Found</v>
      </c>
      <c r="G258" s="8" t="s">
        <v>48</v>
      </c>
      <c r="H258" s="10">
        <v>10062018</v>
      </c>
      <c r="I258" s="10">
        <v>3</v>
      </c>
      <c r="J258" s="8" t="s">
        <v>54</v>
      </c>
      <c r="K258" s="8" t="s">
        <v>41</v>
      </c>
      <c r="L258" s="8" t="s">
        <v>40</v>
      </c>
      <c r="M258" s="8" t="s">
        <v>110</v>
      </c>
      <c r="O258" s="8" t="s">
        <v>43</v>
      </c>
      <c r="P258" s="8" t="b">
        <v>0</v>
      </c>
      <c r="Q258" s="8" t="s">
        <v>862</v>
      </c>
      <c r="R258" s="8" t="b">
        <v>1</v>
      </c>
      <c r="S258" s="8" t="b">
        <v>0</v>
      </c>
      <c r="T258" s="8" t="b">
        <v>1</v>
      </c>
      <c r="U258" s="8" t="b">
        <v>0</v>
      </c>
      <c r="V258" s="8" t="b">
        <v>0</v>
      </c>
      <c r="W258" s="11" t="s">
        <v>863</v>
      </c>
      <c r="X258" s="8" t="b">
        <v>0</v>
      </c>
      <c r="Y258" s="8" t="b">
        <v>0</v>
      </c>
      <c r="Z258" s="8" t="b">
        <v>0</v>
      </c>
      <c r="AA258" s="8" t="b">
        <v>0</v>
      </c>
      <c r="AB258" s="8" t="b">
        <v>0</v>
      </c>
      <c r="AC258" s="8" t="b">
        <v>1</v>
      </c>
      <c r="AD258" s="8" t="b">
        <v>0</v>
      </c>
      <c r="AE258" s="8" t="b">
        <v>0</v>
      </c>
      <c r="AF258" s="11" t="s">
        <v>864</v>
      </c>
      <c r="AG258" s="11" t="b" cm="1">
        <f t="array" ref="AG258">IF(OR(Y258:AA258="TRUE", AE258="true"), "Threatened")</f>
        <v>0</v>
      </c>
      <c r="AH258" s="11" t="s">
        <v>865</v>
      </c>
      <c r="AI258" s="8" t="b">
        <v>0</v>
      </c>
    </row>
    <row r="259" spans="1:35" ht="31.2">
      <c r="A259" s="8">
        <v>-73.953433340000004</v>
      </c>
      <c r="B259" s="8">
        <v>40.793256419999999</v>
      </c>
      <c r="C259" s="8" t="s">
        <v>866</v>
      </c>
      <c r="D259" s="8" t="s">
        <v>867</v>
      </c>
      <c r="E259" s="8" t="b">
        <f t="shared" ref="E259:E322" si="4">OR(D259 = "05D", D259 = "07D", D259 = "06C", D259 = "06E")</f>
        <v>0</v>
      </c>
      <c r="F259" s="8" t="str" cm="1">
        <f t="array" ref="F259">_xlfn._xlws.FILTER(E259:E3457, C259:C3457= "6D-PM-1020-01", "No Squirrels Found")</f>
        <v>No Squirrels Found</v>
      </c>
      <c r="G259" s="8" t="s">
        <v>48</v>
      </c>
      <c r="H259" s="10">
        <v>10182018</v>
      </c>
      <c r="I259" s="10">
        <v>3</v>
      </c>
      <c r="J259" s="8" t="s">
        <v>39</v>
      </c>
      <c r="K259" s="8" t="s">
        <v>40</v>
      </c>
      <c r="L259" s="8" t="s">
        <v>84</v>
      </c>
      <c r="M259" s="8" t="s">
        <v>103</v>
      </c>
      <c r="O259" s="8" t="s">
        <v>50</v>
      </c>
      <c r="P259" s="8">
        <v>10</v>
      </c>
      <c r="Q259" s="8" t="s">
        <v>868</v>
      </c>
      <c r="R259" s="8" t="b">
        <v>0</v>
      </c>
      <c r="S259" s="8" t="b">
        <v>0</v>
      </c>
      <c r="T259" s="8" t="b">
        <v>0</v>
      </c>
      <c r="U259" s="8" t="b">
        <v>1</v>
      </c>
      <c r="V259" s="8" t="b">
        <v>0</v>
      </c>
      <c r="X259" s="8" t="b">
        <v>0</v>
      </c>
      <c r="Y259" s="8" t="b">
        <v>1</v>
      </c>
      <c r="Z259" s="8" t="b">
        <v>0</v>
      </c>
      <c r="AA259" s="8" t="b">
        <v>0</v>
      </c>
      <c r="AB259" s="8" t="b">
        <v>0</v>
      </c>
      <c r="AC259" s="8" t="b">
        <v>0</v>
      </c>
      <c r="AD259" s="8" t="b">
        <v>0</v>
      </c>
      <c r="AE259" s="8" t="b">
        <v>1</v>
      </c>
      <c r="AG259" s="11" t="b" cm="1">
        <f t="array" ref="AG259">IF(OR(Y259:AA259="TRUE", AE259="true"), "Threatened")</f>
        <v>0</v>
      </c>
      <c r="AH259" s="11" t="s">
        <v>869</v>
      </c>
      <c r="AI259" s="8" t="b">
        <v>1</v>
      </c>
    </row>
    <row r="260" spans="1:35" ht="31.2">
      <c r="A260" s="8">
        <v>-73.972695810000005</v>
      </c>
      <c r="B260" s="8">
        <v>40.770609610000001</v>
      </c>
      <c r="C260" s="8" t="s">
        <v>870</v>
      </c>
      <c r="D260" s="8" t="s">
        <v>368</v>
      </c>
      <c r="E260" s="8" t="b">
        <f t="shared" si="4"/>
        <v>0</v>
      </c>
      <c r="F260" s="8" t="str" cm="1">
        <f t="array" ref="F260">_xlfn._xlws.FILTER(E260:E3458, C260:C3458= "6D-PM-1020-01", "No Squirrels Found")</f>
        <v>No Squirrels Found</v>
      </c>
      <c r="G260" s="8" t="s">
        <v>48</v>
      </c>
      <c r="H260" s="10">
        <v>10082018</v>
      </c>
      <c r="I260" s="10">
        <v>9</v>
      </c>
      <c r="J260" s="8" t="s">
        <v>39</v>
      </c>
      <c r="K260" s="8" t="s">
        <v>40</v>
      </c>
      <c r="M260" s="8" t="s">
        <v>55</v>
      </c>
      <c r="O260" s="8" t="s">
        <v>50</v>
      </c>
      <c r="P260" s="8">
        <v>20</v>
      </c>
      <c r="R260" s="8" t="b">
        <v>0</v>
      </c>
      <c r="S260" s="8" t="b">
        <v>0</v>
      </c>
      <c r="T260" s="8" t="b">
        <v>1</v>
      </c>
      <c r="U260" s="8" t="b">
        <v>0</v>
      </c>
      <c r="V260" s="8" t="b">
        <v>0</v>
      </c>
      <c r="W260" s="11" t="s">
        <v>871</v>
      </c>
      <c r="X260" s="8" t="b">
        <v>0</v>
      </c>
      <c r="Y260" s="8" t="b">
        <v>0</v>
      </c>
      <c r="Z260" s="8" t="b">
        <v>0</v>
      </c>
      <c r="AA260" s="8" t="b">
        <v>0</v>
      </c>
      <c r="AB260" s="8" t="b">
        <v>0</v>
      </c>
      <c r="AC260" s="8" t="b">
        <v>0</v>
      </c>
      <c r="AD260" s="8" t="b">
        <v>1</v>
      </c>
      <c r="AE260" s="8" t="b">
        <v>0</v>
      </c>
      <c r="AG260" s="11" t="b" cm="1">
        <f t="array" ref="AG260">IF(OR(Y260:AA260="TRUE", AE260="true"), "Threatened")</f>
        <v>0</v>
      </c>
      <c r="AH260" s="11" t="s">
        <v>872</v>
      </c>
      <c r="AI260" s="8" t="b">
        <v>0</v>
      </c>
    </row>
    <row r="261" spans="1:35" ht="31.2">
      <c r="A261" s="8">
        <v>-73.978436119999998</v>
      </c>
      <c r="B261" s="8">
        <v>40.772476920000003</v>
      </c>
      <c r="C261" s="8" t="s">
        <v>873</v>
      </c>
      <c r="D261" s="8" t="s">
        <v>874</v>
      </c>
      <c r="E261" s="8" t="b">
        <f t="shared" si="4"/>
        <v>0</v>
      </c>
      <c r="F261" s="8" t="str" cm="1">
        <f t="array" ref="F261">_xlfn._xlws.FILTER(E261:E3459, C261:C3459= "6D-PM-1020-01", "No Squirrels Found")</f>
        <v>No Squirrels Found</v>
      </c>
      <c r="G261" s="8" t="s">
        <v>48</v>
      </c>
      <c r="H261" s="10">
        <v>10062018</v>
      </c>
      <c r="I261" s="10">
        <v>6</v>
      </c>
      <c r="J261" s="8" t="s">
        <v>39</v>
      </c>
      <c r="K261" s="8" t="s">
        <v>40</v>
      </c>
      <c r="L261" s="8" t="s">
        <v>117</v>
      </c>
      <c r="M261" s="8" t="s">
        <v>118</v>
      </c>
      <c r="O261" s="8" t="s">
        <v>50</v>
      </c>
      <c r="P261" s="8">
        <v>15</v>
      </c>
      <c r="Q261" s="8" t="s">
        <v>206</v>
      </c>
      <c r="R261" s="8" t="b">
        <v>0</v>
      </c>
      <c r="S261" s="8" t="b">
        <v>0</v>
      </c>
      <c r="T261" s="8" t="b">
        <v>1</v>
      </c>
      <c r="U261" s="8" t="b">
        <v>0</v>
      </c>
      <c r="V261" s="8" t="b">
        <v>0</v>
      </c>
      <c r="X261" s="8" t="b">
        <v>1</v>
      </c>
      <c r="Y261" s="8" t="b">
        <v>0</v>
      </c>
      <c r="Z261" s="8" t="b">
        <v>0</v>
      </c>
      <c r="AA261" s="8" t="b">
        <v>0</v>
      </c>
      <c r="AB261" s="8" t="b">
        <v>0</v>
      </c>
      <c r="AC261" s="8" t="b">
        <v>0</v>
      </c>
      <c r="AD261" s="8" t="b">
        <v>0</v>
      </c>
      <c r="AE261" s="8" t="b">
        <v>0</v>
      </c>
      <c r="AG261" s="11" t="b" cm="1">
        <f t="array" ref="AG261">IF(OR(Y261:AA261="TRUE", AE261="true"), "Threatened")</f>
        <v>0</v>
      </c>
      <c r="AH261" s="11" t="s">
        <v>875</v>
      </c>
      <c r="AI261" s="8" t="b">
        <v>1</v>
      </c>
    </row>
    <row r="262" spans="1:35" ht="31.2">
      <c r="A262" s="8">
        <v>-73.955286119999997</v>
      </c>
      <c r="B262" s="8">
        <v>40.788973929999997</v>
      </c>
      <c r="C262" s="8" t="s">
        <v>876</v>
      </c>
      <c r="D262" s="8" t="s">
        <v>877</v>
      </c>
      <c r="E262" s="8" t="b">
        <f t="shared" si="4"/>
        <v>0</v>
      </c>
      <c r="F262" s="8" t="str" cm="1">
        <f t="array" ref="F262">_xlfn._xlws.FILTER(E262:E3460, C262:C3460= "6D-PM-1020-01", "No Squirrels Found")</f>
        <v>No Squirrels Found</v>
      </c>
      <c r="G262" s="8" t="s">
        <v>48</v>
      </c>
      <c r="H262" s="10">
        <v>10132018</v>
      </c>
      <c r="I262" s="10">
        <v>5</v>
      </c>
      <c r="J262" s="8" t="s">
        <v>39</v>
      </c>
      <c r="K262" s="8" t="s">
        <v>41</v>
      </c>
      <c r="L262" s="8" t="s">
        <v>40</v>
      </c>
      <c r="M262" s="8" t="s">
        <v>110</v>
      </c>
      <c r="O262" s="8" t="s">
        <v>50</v>
      </c>
      <c r="P262" s="8">
        <v>3</v>
      </c>
      <c r="Q262" s="8" t="s">
        <v>878</v>
      </c>
      <c r="R262" s="8" t="b">
        <v>0</v>
      </c>
      <c r="S262" s="8" t="b">
        <v>0</v>
      </c>
      <c r="T262" s="8" t="b">
        <v>1</v>
      </c>
      <c r="U262" s="8" t="b">
        <v>0</v>
      </c>
      <c r="V262" s="8" t="b">
        <v>1</v>
      </c>
      <c r="X262" s="8" t="b">
        <v>0</v>
      </c>
      <c r="Y262" s="8" t="b">
        <v>0</v>
      </c>
      <c r="Z262" s="8" t="b">
        <v>0</v>
      </c>
      <c r="AA262" s="8" t="b">
        <v>1</v>
      </c>
      <c r="AB262" s="8" t="b">
        <v>0</v>
      </c>
      <c r="AC262" s="8" t="b">
        <v>0</v>
      </c>
      <c r="AD262" s="8" t="b">
        <v>1</v>
      </c>
      <c r="AE262" s="8" t="b">
        <v>0</v>
      </c>
      <c r="AG262" s="11" t="b" cm="1">
        <f t="array" ref="AG262">IF(OR(Y262:AA262="TRUE", AE262="true"), "Threatened")</f>
        <v>0</v>
      </c>
      <c r="AH262" s="11" t="s">
        <v>879</v>
      </c>
      <c r="AI262" s="8" t="b">
        <v>1</v>
      </c>
    </row>
    <row r="263" spans="1:35" ht="31.2">
      <c r="A263" s="8">
        <v>-73.971287619999998</v>
      </c>
      <c r="B263" s="8">
        <v>40.769588550000002</v>
      </c>
      <c r="C263" s="8" t="s">
        <v>880</v>
      </c>
      <c r="D263" s="8" t="s">
        <v>113</v>
      </c>
      <c r="E263" s="8" t="b">
        <f t="shared" si="4"/>
        <v>0</v>
      </c>
      <c r="F263" s="8" t="str" cm="1">
        <f t="array" ref="F263">_xlfn._xlws.FILTER(E263:E3461, C263:C3461= "6D-PM-1020-01", "No Squirrels Found")</f>
        <v>No Squirrels Found</v>
      </c>
      <c r="G263" s="8" t="s">
        <v>34</v>
      </c>
      <c r="H263" s="10">
        <v>10062018</v>
      </c>
      <c r="I263" s="10">
        <v>2</v>
      </c>
      <c r="J263" s="8" t="s">
        <v>39</v>
      </c>
      <c r="K263" s="8" t="s">
        <v>40</v>
      </c>
      <c r="M263" s="8" t="s">
        <v>55</v>
      </c>
      <c r="O263" s="8" t="s">
        <v>50</v>
      </c>
      <c r="P263" s="8">
        <v>25</v>
      </c>
      <c r="Q263" s="8" t="s">
        <v>206</v>
      </c>
      <c r="R263" s="8" t="b">
        <v>1</v>
      </c>
      <c r="S263" s="8" t="b">
        <v>0</v>
      </c>
      <c r="T263" s="8" t="b">
        <v>1</v>
      </c>
      <c r="U263" s="8" t="b">
        <v>1</v>
      </c>
      <c r="V263" s="8" t="b">
        <v>1</v>
      </c>
      <c r="X263" s="8" t="b">
        <v>0</v>
      </c>
      <c r="Y263" s="8" t="b">
        <v>0</v>
      </c>
      <c r="Z263" s="8" t="b">
        <v>0</v>
      </c>
      <c r="AA263" s="8" t="b">
        <v>0</v>
      </c>
      <c r="AB263" s="8" t="b">
        <v>0</v>
      </c>
      <c r="AC263" s="8" t="b">
        <v>0</v>
      </c>
      <c r="AD263" s="8" t="b">
        <v>1</v>
      </c>
      <c r="AE263" s="8" t="b">
        <v>0</v>
      </c>
      <c r="AG263" s="11" t="b" cm="1">
        <f t="array" ref="AG263">IF(OR(Y263:AA263="TRUE", AE263="true"), "Threatened")</f>
        <v>0</v>
      </c>
      <c r="AH263" s="11" t="s">
        <v>881</v>
      </c>
      <c r="AI263" s="8" t="b">
        <v>1</v>
      </c>
    </row>
    <row r="264" spans="1:35" ht="31.2">
      <c r="A264" s="8">
        <v>-73.977106919999997</v>
      </c>
      <c r="B264" s="8">
        <v>40.767053820000001</v>
      </c>
      <c r="C264" s="8" t="s">
        <v>882</v>
      </c>
      <c r="D264" s="8" t="s">
        <v>47</v>
      </c>
      <c r="E264" s="8" t="b">
        <f t="shared" si="4"/>
        <v>0</v>
      </c>
      <c r="F264" s="8" t="str" cm="1">
        <f t="array" ref="F264">_xlfn._xlws.FILTER(E264:E3462, C264:C3462= "6D-PM-1020-01", "No Squirrels Found")</f>
        <v>No Squirrels Found</v>
      </c>
      <c r="G264" s="8" t="s">
        <v>34</v>
      </c>
      <c r="H264" s="10">
        <v>10142018</v>
      </c>
      <c r="I264" s="10">
        <v>5</v>
      </c>
      <c r="J264" s="8" t="s">
        <v>39</v>
      </c>
      <c r="K264" s="8" t="s">
        <v>41</v>
      </c>
      <c r="L264" s="8" t="s">
        <v>40</v>
      </c>
      <c r="M264" s="8" t="s">
        <v>110</v>
      </c>
      <c r="O264" s="8" t="s">
        <v>43</v>
      </c>
      <c r="P264" s="8" t="b">
        <v>0</v>
      </c>
      <c r="R264" s="8" t="b">
        <v>0</v>
      </c>
      <c r="S264" s="8" t="b">
        <v>0</v>
      </c>
      <c r="T264" s="8" t="b">
        <v>0</v>
      </c>
      <c r="U264" s="8" t="b">
        <v>0</v>
      </c>
      <c r="V264" s="8" t="b">
        <v>1</v>
      </c>
      <c r="X264" s="8" t="b">
        <v>0</v>
      </c>
      <c r="Y264" s="8" t="b">
        <v>0</v>
      </c>
      <c r="Z264" s="8" t="b">
        <v>0</v>
      </c>
      <c r="AA264" s="8" t="b">
        <v>0</v>
      </c>
      <c r="AB264" s="8" t="b">
        <v>0</v>
      </c>
      <c r="AC264" s="8" t="b">
        <v>0</v>
      </c>
      <c r="AD264" s="8" t="b">
        <v>1</v>
      </c>
      <c r="AE264" s="8" t="b">
        <v>0</v>
      </c>
      <c r="AG264" s="11" t="b" cm="1">
        <f t="array" ref="AG264">IF(OR(Y264:AA264="TRUE", AE264="true"), "Threatened")</f>
        <v>0</v>
      </c>
      <c r="AH264" s="11" t="s">
        <v>883</v>
      </c>
      <c r="AI264" s="8" t="b">
        <v>1</v>
      </c>
    </row>
    <row r="265" spans="1:35" ht="31.2">
      <c r="A265" s="8">
        <v>-73.969871470000001</v>
      </c>
      <c r="B265" s="8">
        <v>40.774381470000002</v>
      </c>
      <c r="C265" s="8" t="s">
        <v>884</v>
      </c>
      <c r="D265" s="8" t="s">
        <v>655</v>
      </c>
      <c r="E265" s="8" t="b">
        <f t="shared" si="4"/>
        <v>0</v>
      </c>
      <c r="F265" s="8" t="str" cm="1">
        <f t="array" ref="F265">_xlfn._xlws.FILTER(E265:E3463, C265:C3463= "6D-PM-1020-01", "No Squirrels Found")</f>
        <v>No Squirrels Found</v>
      </c>
      <c r="G265" s="8" t="s">
        <v>48</v>
      </c>
      <c r="H265" s="10">
        <v>10202018</v>
      </c>
      <c r="I265" s="10">
        <v>2</v>
      </c>
      <c r="J265" s="8" t="s">
        <v>39</v>
      </c>
      <c r="K265" s="8" t="s">
        <v>40</v>
      </c>
      <c r="M265" s="8" t="s">
        <v>55</v>
      </c>
      <c r="O265" s="8" t="s">
        <v>43</v>
      </c>
      <c r="P265" s="8" t="b">
        <v>0</v>
      </c>
      <c r="R265" s="8" t="b">
        <v>1</v>
      </c>
      <c r="S265" s="8" t="b">
        <v>0</v>
      </c>
      <c r="T265" s="8" t="b">
        <v>0</v>
      </c>
      <c r="U265" s="8" t="b">
        <v>0</v>
      </c>
      <c r="V265" s="8" t="b">
        <v>0</v>
      </c>
      <c r="X265" s="8" t="b">
        <v>0</v>
      </c>
      <c r="Y265" s="8" t="b">
        <v>0</v>
      </c>
      <c r="Z265" s="8" t="b">
        <v>0</v>
      </c>
      <c r="AA265" s="8" t="b">
        <v>0</v>
      </c>
      <c r="AB265" s="8" t="b">
        <v>0</v>
      </c>
      <c r="AC265" s="8" t="b">
        <v>0</v>
      </c>
      <c r="AD265" s="8" t="b">
        <v>0</v>
      </c>
      <c r="AE265" s="8" t="b">
        <v>0</v>
      </c>
      <c r="AG265" s="11" t="b" cm="1">
        <f t="array" ref="AG265">IF(OR(Y265:AA265="TRUE", AE265="true"), "Threatened")</f>
        <v>0</v>
      </c>
      <c r="AH265" s="11" t="s">
        <v>885</v>
      </c>
      <c r="AI265" s="8" t="b">
        <v>1</v>
      </c>
    </row>
    <row r="266" spans="1:35" ht="31.2">
      <c r="A266" s="8">
        <v>-73.969109489999994</v>
      </c>
      <c r="B266" s="8">
        <v>40.77676039</v>
      </c>
      <c r="C266" s="8" t="s">
        <v>886</v>
      </c>
      <c r="D266" s="8" t="s">
        <v>121</v>
      </c>
      <c r="E266" s="8" t="b">
        <f t="shared" si="4"/>
        <v>0</v>
      </c>
      <c r="F266" s="8" t="str" cm="1">
        <f t="array" ref="F266">_xlfn._xlws.FILTER(E266:E3464, C266:C3464= "6D-PM-1020-01", "No Squirrels Found")</f>
        <v>No Squirrels Found</v>
      </c>
      <c r="G266" s="8" t="s">
        <v>48</v>
      </c>
      <c r="H266" s="10">
        <v>10082018</v>
      </c>
      <c r="I266" s="10">
        <v>1</v>
      </c>
      <c r="J266" s="8" t="s">
        <v>39</v>
      </c>
      <c r="K266" s="8" t="s">
        <v>40</v>
      </c>
      <c r="M266" s="8" t="s">
        <v>55</v>
      </c>
      <c r="O266" s="8" t="s">
        <v>43</v>
      </c>
      <c r="P266" s="8" t="b">
        <v>0</v>
      </c>
      <c r="R266" s="8" t="b">
        <v>0</v>
      </c>
      <c r="S266" s="8" t="b">
        <v>0</v>
      </c>
      <c r="T266" s="8" t="b">
        <v>0</v>
      </c>
      <c r="U266" s="8" t="b">
        <v>1</v>
      </c>
      <c r="V266" s="8" t="b">
        <v>0</v>
      </c>
      <c r="W266" s="11" t="s">
        <v>122</v>
      </c>
      <c r="X266" s="8" t="b">
        <v>0</v>
      </c>
      <c r="Y266" s="8" t="b">
        <v>0</v>
      </c>
      <c r="Z266" s="8" t="b">
        <v>0</v>
      </c>
      <c r="AA266" s="8" t="b">
        <v>0</v>
      </c>
      <c r="AB266" s="8" t="b">
        <v>0</v>
      </c>
      <c r="AC266" s="8" t="b">
        <v>0</v>
      </c>
      <c r="AD266" s="8" t="b">
        <v>0</v>
      </c>
      <c r="AE266" s="8" t="b">
        <v>1</v>
      </c>
      <c r="AG266" s="11" t="b" cm="1">
        <f t="array" ref="AG266">IF(OR(Y266:AA266="TRUE", AE266="true"), "Threatened")</f>
        <v>0</v>
      </c>
      <c r="AH266" s="11" t="s">
        <v>887</v>
      </c>
      <c r="AI266" s="8" t="b">
        <v>0</v>
      </c>
    </row>
    <row r="267" spans="1:35" ht="31.2">
      <c r="A267" s="8">
        <v>-73.978648100000001</v>
      </c>
      <c r="B267" s="8">
        <v>40.769737280000001</v>
      </c>
      <c r="C267" s="8" t="s">
        <v>888</v>
      </c>
      <c r="D267" s="8" t="s">
        <v>889</v>
      </c>
      <c r="E267" s="8" t="b">
        <f t="shared" si="4"/>
        <v>0</v>
      </c>
      <c r="F267" s="8" t="str" cm="1">
        <f t="array" ref="F267">_xlfn._xlws.FILTER(E267:E3465, C267:C3465= "6D-PM-1020-01", "No Squirrels Found")</f>
        <v>No Squirrels Found</v>
      </c>
      <c r="G267" s="8" t="s">
        <v>34</v>
      </c>
      <c r="H267" s="10">
        <v>10182018</v>
      </c>
      <c r="I267" s="10">
        <v>3</v>
      </c>
      <c r="J267" s="8" t="s">
        <v>39</v>
      </c>
      <c r="K267" s="8" t="s">
        <v>40</v>
      </c>
      <c r="M267" s="8" t="s">
        <v>55</v>
      </c>
      <c r="O267" s="8" t="s">
        <v>43</v>
      </c>
      <c r="P267" s="8" t="b">
        <v>0</v>
      </c>
      <c r="R267" s="8" t="b">
        <v>0</v>
      </c>
      <c r="S267" s="8" t="b">
        <v>0</v>
      </c>
      <c r="T267" s="8" t="b">
        <v>0</v>
      </c>
      <c r="U267" s="8" t="b">
        <v>1</v>
      </c>
      <c r="V267" s="8" t="b">
        <v>0</v>
      </c>
      <c r="X267" s="8" t="b">
        <v>0</v>
      </c>
      <c r="Y267" s="8" t="b">
        <v>0</v>
      </c>
      <c r="Z267" s="8" t="b">
        <v>0</v>
      </c>
      <c r="AA267" s="8" t="b">
        <v>0</v>
      </c>
      <c r="AB267" s="8" t="b">
        <v>0</v>
      </c>
      <c r="AC267" s="8" t="b">
        <v>1</v>
      </c>
      <c r="AD267" s="8" t="b">
        <v>0</v>
      </c>
      <c r="AE267" s="8" t="b">
        <v>0</v>
      </c>
      <c r="AG267" s="11" t="b" cm="1">
        <f t="array" ref="AG267">IF(OR(Y267:AA267="TRUE", AE267="true"), "Threatened")</f>
        <v>0</v>
      </c>
      <c r="AH267" s="11" t="s">
        <v>890</v>
      </c>
      <c r="AI267" s="8" t="b">
        <v>1</v>
      </c>
    </row>
    <row r="268" spans="1:35" ht="31.2">
      <c r="A268" s="8">
        <v>-73.975474230000003</v>
      </c>
      <c r="B268" s="8">
        <v>40.76969983</v>
      </c>
      <c r="C268" s="8" t="s">
        <v>891</v>
      </c>
      <c r="D268" s="8" t="s">
        <v>259</v>
      </c>
      <c r="E268" s="8" t="b">
        <f t="shared" si="4"/>
        <v>0</v>
      </c>
      <c r="F268" s="8" t="str" cm="1">
        <f t="array" ref="F268">_xlfn._xlws.FILTER(E268:E3466, C268:C3466= "6D-PM-1020-01", "No Squirrels Found")</f>
        <v>No Squirrels Found</v>
      </c>
      <c r="G268" s="8" t="s">
        <v>34</v>
      </c>
      <c r="H268" s="10">
        <v>10122018</v>
      </c>
      <c r="I268" s="10">
        <v>2</v>
      </c>
      <c r="J268" s="8" t="s">
        <v>39</v>
      </c>
      <c r="K268" s="8" t="s">
        <v>41</v>
      </c>
      <c r="L268" s="8" t="s">
        <v>135</v>
      </c>
      <c r="M268" s="8" t="s">
        <v>136</v>
      </c>
      <c r="O268" s="8" t="s">
        <v>43</v>
      </c>
      <c r="P268" s="8" t="b">
        <v>0</v>
      </c>
      <c r="R268" s="8" t="b">
        <v>0</v>
      </c>
      <c r="S268" s="8" t="b">
        <v>0</v>
      </c>
      <c r="T268" s="8" t="b">
        <v>0</v>
      </c>
      <c r="U268" s="8" t="b">
        <v>1</v>
      </c>
      <c r="V268" s="8" t="b">
        <v>1</v>
      </c>
      <c r="X268" s="8" t="b">
        <v>0</v>
      </c>
      <c r="Y268" s="8" t="b">
        <v>0</v>
      </c>
      <c r="Z268" s="8" t="b">
        <v>0</v>
      </c>
      <c r="AA268" s="8" t="b">
        <v>0</v>
      </c>
      <c r="AB268" s="8" t="b">
        <v>0</v>
      </c>
      <c r="AC268" s="8" t="b">
        <v>0</v>
      </c>
      <c r="AD268" s="8" t="b">
        <v>1</v>
      </c>
      <c r="AE268" s="8" t="b">
        <v>0</v>
      </c>
      <c r="AG268" s="11" t="b" cm="1">
        <f t="array" ref="AG268">IF(OR(Y268:AA268="TRUE", AE268="true"), "Threatened")</f>
        <v>0</v>
      </c>
      <c r="AH268" s="11" t="s">
        <v>892</v>
      </c>
      <c r="AI268" s="8" t="b">
        <v>1</v>
      </c>
    </row>
    <row r="269" spans="1:35" ht="31.2">
      <c r="A269" s="8">
        <v>-73.968107279999998</v>
      </c>
      <c r="B269" s="8">
        <v>40.776861269999998</v>
      </c>
      <c r="C269" s="8" t="s">
        <v>893</v>
      </c>
      <c r="D269" s="8" t="s">
        <v>246</v>
      </c>
      <c r="E269" s="8" t="b">
        <f t="shared" si="4"/>
        <v>0</v>
      </c>
      <c r="F269" s="8" t="str" cm="1">
        <f t="array" ref="F269">_xlfn._xlws.FILTER(E269:E3467, C269:C3467= "6D-PM-1020-01", "No Squirrels Found")</f>
        <v>No Squirrels Found</v>
      </c>
      <c r="G269" s="8" t="s">
        <v>48</v>
      </c>
      <c r="H269" s="10">
        <v>10072018</v>
      </c>
      <c r="I269" s="10">
        <v>9</v>
      </c>
      <c r="J269" s="8" t="s">
        <v>39</v>
      </c>
      <c r="K269" s="8" t="s">
        <v>41</v>
      </c>
      <c r="L269" s="8" t="s">
        <v>84</v>
      </c>
      <c r="M269" s="8" t="s">
        <v>85</v>
      </c>
      <c r="O269" s="8" t="s">
        <v>50</v>
      </c>
      <c r="P269" s="8">
        <v>20</v>
      </c>
      <c r="R269" s="8" t="b">
        <v>0</v>
      </c>
      <c r="S269" s="8" t="b">
        <v>0</v>
      </c>
      <c r="T269" s="8" t="b">
        <v>1</v>
      </c>
      <c r="U269" s="8" t="b">
        <v>0</v>
      </c>
      <c r="V269" s="8" t="b">
        <v>1</v>
      </c>
      <c r="X269" s="8" t="b">
        <v>0</v>
      </c>
      <c r="Y269" s="8" t="b">
        <v>0</v>
      </c>
      <c r="Z269" s="8" t="b">
        <v>0</v>
      </c>
      <c r="AA269" s="8" t="b">
        <v>0</v>
      </c>
      <c r="AB269" s="8" t="b">
        <v>0</v>
      </c>
      <c r="AC269" s="8" t="b">
        <v>0</v>
      </c>
      <c r="AD269" s="8" t="b">
        <v>0</v>
      </c>
      <c r="AE269" s="8" t="b">
        <v>1</v>
      </c>
      <c r="AG269" s="11" t="b" cm="1">
        <f t="array" ref="AG269">IF(OR(Y269:AA269="TRUE", AE269="true"), "Threatened")</f>
        <v>0</v>
      </c>
      <c r="AH269" s="11" t="s">
        <v>894</v>
      </c>
      <c r="AI269" s="8" t="b">
        <v>1</v>
      </c>
    </row>
    <row r="270" spans="1:35" ht="31.2">
      <c r="A270" s="8">
        <v>-73.959140039999994</v>
      </c>
      <c r="B270" s="8">
        <v>40.789170859999999</v>
      </c>
      <c r="C270" s="8" t="s">
        <v>895</v>
      </c>
      <c r="D270" s="8" t="s">
        <v>896</v>
      </c>
      <c r="E270" s="8" t="b">
        <f t="shared" si="4"/>
        <v>0</v>
      </c>
      <c r="F270" s="8" t="str" cm="1">
        <f t="array" ref="F270">_xlfn._xlws.FILTER(E270:E3468, C270:C3468= "6D-PM-1020-01", "No Squirrels Found")</f>
        <v>No Squirrels Found</v>
      </c>
      <c r="G270" s="8" t="s">
        <v>34</v>
      </c>
      <c r="H270" s="10">
        <v>10072018</v>
      </c>
      <c r="I270" s="10">
        <v>1</v>
      </c>
      <c r="J270" s="8" t="s">
        <v>39</v>
      </c>
      <c r="K270" s="8" t="s">
        <v>40</v>
      </c>
      <c r="L270" s="8" t="s">
        <v>84</v>
      </c>
      <c r="M270" s="8" t="s">
        <v>103</v>
      </c>
      <c r="N270" s="11" t="s">
        <v>897</v>
      </c>
      <c r="O270" s="8" t="s">
        <v>43</v>
      </c>
      <c r="P270" s="8" t="b">
        <v>0</v>
      </c>
      <c r="R270" s="8" t="b">
        <v>0</v>
      </c>
      <c r="S270" s="8" t="b">
        <v>0</v>
      </c>
      <c r="T270" s="8" t="b">
        <v>0</v>
      </c>
      <c r="U270" s="8" t="b">
        <v>0</v>
      </c>
      <c r="V270" s="8" t="b">
        <v>0</v>
      </c>
      <c r="X270" s="8" t="b">
        <v>0</v>
      </c>
      <c r="Y270" s="8" t="b">
        <v>0</v>
      </c>
      <c r="Z270" s="8" t="b">
        <v>0</v>
      </c>
      <c r="AA270" s="8" t="b">
        <v>0</v>
      </c>
      <c r="AB270" s="8" t="b">
        <v>0</v>
      </c>
      <c r="AC270" s="8" t="b">
        <v>0</v>
      </c>
      <c r="AD270" s="8" t="b">
        <v>1</v>
      </c>
      <c r="AE270" s="8" t="b">
        <v>0</v>
      </c>
      <c r="AG270" s="11" t="b" cm="1">
        <f t="array" ref="AG270">IF(OR(Y270:AA270="TRUE", AE270="true"), "Threatened")</f>
        <v>0</v>
      </c>
      <c r="AH270" s="11" t="s">
        <v>898</v>
      </c>
      <c r="AI270" s="8" t="b">
        <v>1</v>
      </c>
    </row>
    <row r="271" spans="1:35" ht="31.2">
      <c r="A271" s="8">
        <v>-73.976719160000002</v>
      </c>
      <c r="B271" s="8">
        <v>40.773078630000001</v>
      </c>
      <c r="C271" s="8" t="s">
        <v>899</v>
      </c>
      <c r="D271" s="8" t="s">
        <v>249</v>
      </c>
      <c r="E271" s="8" t="b">
        <f t="shared" si="4"/>
        <v>0</v>
      </c>
      <c r="F271" s="8" t="str" cm="1">
        <f t="array" ref="F271">_xlfn._xlws.FILTER(E271:E3469, C271:C3469= "6D-PM-1020-01", "No Squirrels Found")</f>
        <v>No Squirrels Found</v>
      </c>
      <c r="G271" s="8" t="s">
        <v>34</v>
      </c>
      <c r="H271" s="10">
        <v>10122018</v>
      </c>
      <c r="I271" s="10">
        <v>3</v>
      </c>
      <c r="J271" s="8" t="s">
        <v>39</v>
      </c>
      <c r="K271" s="8" t="s">
        <v>40</v>
      </c>
      <c r="L271" s="8" t="s">
        <v>117</v>
      </c>
      <c r="M271" s="8" t="s">
        <v>118</v>
      </c>
      <c r="O271" s="8" t="s">
        <v>43</v>
      </c>
      <c r="P271" s="8" t="b">
        <v>0</v>
      </c>
      <c r="R271" s="8" t="b">
        <v>0</v>
      </c>
      <c r="S271" s="8" t="b">
        <v>0</v>
      </c>
      <c r="T271" s="8" t="b">
        <v>0</v>
      </c>
      <c r="U271" s="8" t="b">
        <v>0</v>
      </c>
      <c r="V271" s="8" t="b">
        <v>1</v>
      </c>
      <c r="X271" s="8" t="b">
        <v>0</v>
      </c>
      <c r="Y271" s="8" t="b">
        <v>0</v>
      </c>
      <c r="Z271" s="8" t="b">
        <v>0</v>
      </c>
      <c r="AA271" s="8" t="b">
        <v>0</v>
      </c>
      <c r="AB271" s="8" t="b">
        <v>0</v>
      </c>
      <c r="AC271" s="8" t="b">
        <v>0</v>
      </c>
      <c r="AD271" s="8" t="b">
        <v>0</v>
      </c>
      <c r="AE271" s="8" t="b">
        <v>1</v>
      </c>
      <c r="AG271" s="11" t="b" cm="1">
        <f t="array" ref="AG271">IF(OR(Y271:AA271="TRUE", AE271="true"), "Threatened")</f>
        <v>0</v>
      </c>
      <c r="AH271" s="11" t="s">
        <v>900</v>
      </c>
      <c r="AI271" s="8" t="b">
        <v>1</v>
      </c>
    </row>
    <row r="272" spans="1:35" ht="62.4">
      <c r="A272" s="8">
        <v>-73.966126290000005</v>
      </c>
      <c r="B272" s="8">
        <v>40.784408560000003</v>
      </c>
      <c r="C272" s="8" t="s">
        <v>901</v>
      </c>
      <c r="D272" s="8" t="s">
        <v>902</v>
      </c>
      <c r="E272" s="8" t="b">
        <f t="shared" si="4"/>
        <v>0</v>
      </c>
      <c r="F272" s="8" t="str" cm="1">
        <f t="array" ref="F272">_xlfn._xlws.FILTER(E272:E3470, C272:C3470= "6D-PM-1020-01", "No Squirrels Found")</f>
        <v>No Squirrels Found</v>
      </c>
      <c r="G272" s="8" t="s">
        <v>48</v>
      </c>
      <c r="H272" s="10">
        <v>10132018</v>
      </c>
      <c r="I272" s="10">
        <v>1</v>
      </c>
      <c r="J272" s="8" t="s">
        <v>39</v>
      </c>
      <c r="K272" s="8" t="s">
        <v>40</v>
      </c>
      <c r="L272" s="8" t="s">
        <v>41</v>
      </c>
      <c r="M272" s="8" t="s">
        <v>42</v>
      </c>
      <c r="O272" s="8" t="s">
        <v>50</v>
      </c>
      <c r="P272" s="8">
        <v>3</v>
      </c>
      <c r="R272" s="8" t="b">
        <v>0</v>
      </c>
      <c r="S272" s="8" t="b">
        <v>0</v>
      </c>
      <c r="T272" s="8" t="b">
        <v>1</v>
      </c>
      <c r="U272" s="8" t="b">
        <v>0</v>
      </c>
      <c r="V272" s="8" t="b">
        <v>0</v>
      </c>
      <c r="X272" s="8" t="b">
        <v>0</v>
      </c>
      <c r="Y272" s="8" t="b">
        <v>0</v>
      </c>
      <c r="Z272" s="8" t="b">
        <v>0</v>
      </c>
      <c r="AA272" s="8" t="b">
        <v>0</v>
      </c>
      <c r="AB272" s="8" t="b">
        <v>0</v>
      </c>
      <c r="AC272" s="8" t="b">
        <v>1</v>
      </c>
      <c r="AD272" s="8" t="b">
        <v>0</v>
      </c>
      <c r="AE272" s="8" t="b">
        <v>0</v>
      </c>
      <c r="AF272" s="11" t="s">
        <v>903</v>
      </c>
      <c r="AG272" s="11" t="b" cm="1">
        <f t="array" ref="AG272">IF(OR(Y272:AA272="TRUE", AE272="true"), "Threatened")</f>
        <v>0</v>
      </c>
      <c r="AH272" s="11" t="s">
        <v>904</v>
      </c>
      <c r="AI272" s="8" t="b">
        <v>1</v>
      </c>
    </row>
    <row r="273" spans="1:35" ht="46.8">
      <c r="A273" s="8">
        <v>-73.952195009999997</v>
      </c>
      <c r="B273" s="8">
        <v>40.794937339999997</v>
      </c>
      <c r="C273" s="8" t="s">
        <v>905</v>
      </c>
      <c r="D273" s="8" t="s">
        <v>559</v>
      </c>
      <c r="E273" s="8" t="b">
        <f t="shared" si="4"/>
        <v>0</v>
      </c>
      <c r="F273" s="8" t="str" cm="1">
        <f t="array" ref="F273">_xlfn._xlws.FILTER(E273:E3471, C273:C3471= "6D-PM-1020-01", "No Squirrels Found")</f>
        <v>No Squirrels Found</v>
      </c>
      <c r="G273" s="8" t="s">
        <v>34</v>
      </c>
      <c r="H273" s="10">
        <v>10132018</v>
      </c>
      <c r="I273" s="10">
        <v>1</v>
      </c>
      <c r="J273" s="8" t="s">
        <v>39</v>
      </c>
      <c r="K273" s="8" t="s">
        <v>40</v>
      </c>
      <c r="L273" s="8" t="s">
        <v>84</v>
      </c>
      <c r="M273" s="8" t="s">
        <v>103</v>
      </c>
      <c r="O273" s="8" t="s">
        <v>43</v>
      </c>
      <c r="P273" s="8" t="b">
        <v>0</v>
      </c>
      <c r="R273" s="8" t="b">
        <v>0</v>
      </c>
      <c r="S273" s="8" t="b">
        <v>0</v>
      </c>
      <c r="T273" s="8" t="b">
        <v>0</v>
      </c>
      <c r="U273" s="8" t="b">
        <v>1</v>
      </c>
      <c r="V273" s="8" t="b">
        <v>0</v>
      </c>
      <c r="X273" s="8" t="b">
        <v>0</v>
      </c>
      <c r="Y273" s="8" t="b">
        <v>0</v>
      </c>
      <c r="Z273" s="8" t="b">
        <v>0</v>
      </c>
      <c r="AA273" s="8" t="b">
        <v>0</v>
      </c>
      <c r="AB273" s="8" t="b">
        <v>0</v>
      </c>
      <c r="AC273" s="8" t="b">
        <v>0</v>
      </c>
      <c r="AD273" s="8" t="b">
        <v>1</v>
      </c>
      <c r="AE273" s="8" t="b">
        <v>0</v>
      </c>
      <c r="AF273" s="11" t="s">
        <v>906</v>
      </c>
      <c r="AG273" s="11" t="b" cm="1">
        <f t="array" ref="AG273">IF(OR(Y273:AA273="TRUE", AE273="true"), "Threatened")</f>
        <v>0</v>
      </c>
      <c r="AH273" s="11" t="s">
        <v>907</v>
      </c>
      <c r="AI273" s="8" t="b">
        <v>1</v>
      </c>
    </row>
    <row r="274" spans="1:35" ht="31.2">
      <c r="A274" s="8">
        <v>-73.957921859999999</v>
      </c>
      <c r="B274" s="8">
        <v>40.796060500000003</v>
      </c>
      <c r="C274" s="8" t="s">
        <v>908</v>
      </c>
      <c r="D274" s="8" t="s">
        <v>191</v>
      </c>
      <c r="E274" s="8" t="b">
        <f t="shared" si="4"/>
        <v>0</v>
      </c>
      <c r="F274" s="8" t="str" cm="1">
        <f t="array" ref="F274">_xlfn._xlws.FILTER(E274:E3472, C274:C3472= "6D-PM-1020-01", "No Squirrels Found")</f>
        <v>No Squirrels Found</v>
      </c>
      <c r="G274" s="8" t="s">
        <v>48</v>
      </c>
      <c r="H274" s="10">
        <v>10192018</v>
      </c>
      <c r="I274" s="10">
        <v>4</v>
      </c>
      <c r="J274" s="8" t="s">
        <v>39</v>
      </c>
      <c r="K274" s="8" t="s">
        <v>40</v>
      </c>
      <c r="M274" s="8" t="s">
        <v>55</v>
      </c>
      <c r="O274" s="8" t="s">
        <v>43</v>
      </c>
      <c r="P274" s="8" t="b">
        <v>0</v>
      </c>
      <c r="R274" s="8" t="b">
        <v>0</v>
      </c>
      <c r="S274" s="8" t="b">
        <v>0</v>
      </c>
      <c r="T274" s="8" t="b">
        <v>0</v>
      </c>
      <c r="U274" s="8" t="b">
        <v>0</v>
      </c>
      <c r="V274" s="8" t="b">
        <v>1</v>
      </c>
      <c r="X274" s="8" t="b">
        <v>1</v>
      </c>
      <c r="Y274" s="8" t="b">
        <v>1</v>
      </c>
      <c r="Z274" s="8" t="b">
        <v>0</v>
      </c>
      <c r="AA274" s="8" t="b">
        <v>0</v>
      </c>
      <c r="AB274" s="8" t="b">
        <v>0</v>
      </c>
      <c r="AC274" s="8" t="b">
        <v>0</v>
      </c>
      <c r="AD274" s="8" t="b">
        <v>1</v>
      </c>
      <c r="AE274" s="8" t="b">
        <v>0</v>
      </c>
      <c r="AG274" s="11" t="b" cm="1">
        <f t="array" ref="AG274">IF(OR(Y274:AA274="TRUE", AE274="true"), "Threatened")</f>
        <v>0</v>
      </c>
      <c r="AH274" s="11" t="s">
        <v>909</v>
      </c>
      <c r="AI274" s="8" t="b">
        <v>1</v>
      </c>
    </row>
    <row r="275" spans="1:35" ht="31.2">
      <c r="A275" s="8">
        <v>-73.963983290000002</v>
      </c>
      <c r="B275" s="8">
        <v>40.79095324</v>
      </c>
      <c r="C275" s="8" t="s">
        <v>910</v>
      </c>
      <c r="D275" s="8" t="s">
        <v>911</v>
      </c>
      <c r="E275" s="8" t="b">
        <f t="shared" si="4"/>
        <v>0</v>
      </c>
      <c r="F275" s="8" t="str" cm="1">
        <f t="array" ref="F275">_xlfn._xlws.FILTER(E275:E3473, C275:C3473= "6D-PM-1020-01", "No Squirrels Found")</f>
        <v>No Squirrels Found</v>
      </c>
      <c r="G275" s="8" t="s">
        <v>34</v>
      </c>
      <c r="H275" s="10">
        <v>10192018</v>
      </c>
      <c r="I275" s="10">
        <v>8</v>
      </c>
      <c r="J275" s="8" t="s">
        <v>39</v>
      </c>
      <c r="K275" s="8" t="s">
        <v>40</v>
      </c>
      <c r="L275" s="8" t="s">
        <v>117</v>
      </c>
      <c r="M275" s="8" t="s">
        <v>118</v>
      </c>
      <c r="O275" s="8" t="s">
        <v>43</v>
      </c>
      <c r="P275" s="8" t="b">
        <v>0</v>
      </c>
      <c r="R275" s="8" t="b">
        <v>0</v>
      </c>
      <c r="S275" s="8" t="b">
        <v>0</v>
      </c>
      <c r="T275" s="8" t="b">
        <v>1</v>
      </c>
      <c r="U275" s="8" t="b">
        <v>1</v>
      </c>
      <c r="V275" s="8" t="b">
        <v>1</v>
      </c>
      <c r="X275" s="8" t="b">
        <v>0</v>
      </c>
      <c r="Y275" s="8" t="b">
        <v>0</v>
      </c>
      <c r="Z275" s="8" t="b">
        <v>0</v>
      </c>
      <c r="AA275" s="8" t="b">
        <v>0</v>
      </c>
      <c r="AB275" s="8" t="b">
        <v>0</v>
      </c>
      <c r="AC275" s="8" t="b">
        <v>0</v>
      </c>
      <c r="AD275" s="8" t="b">
        <v>0</v>
      </c>
      <c r="AE275" s="8" t="b">
        <v>1</v>
      </c>
      <c r="AG275" s="11" t="b" cm="1">
        <f t="array" ref="AG275">IF(OR(Y275:AA275="TRUE", AE275="true"), "Threatened")</f>
        <v>0</v>
      </c>
      <c r="AH275" s="11" t="s">
        <v>912</v>
      </c>
      <c r="AI275" s="8" t="b">
        <v>1</v>
      </c>
    </row>
    <row r="276" spans="1:35" ht="31.2">
      <c r="A276" s="8">
        <v>-73.974467899999993</v>
      </c>
      <c r="B276" s="8">
        <v>40.768652039999999</v>
      </c>
      <c r="C276" s="8" t="s">
        <v>913</v>
      </c>
      <c r="D276" s="8" t="s">
        <v>914</v>
      </c>
      <c r="E276" s="8" t="b">
        <f t="shared" si="4"/>
        <v>0</v>
      </c>
      <c r="F276" s="8" t="str" cm="1">
        <f t="array" ref="F276">_xlfn._xlws.FILTER(E276:E3474, C276:C3474= "6D-PM-1020-01", "No Squirrels Found")</f>
        <v>No Squirrels Found</v>
      </c>
      <c r="G276" s="8" t="s">
        <v>34</v>
      </c>
      <c r="H276" s="10">
        <v>10132018</v>
      </c>
      <c r="I276" s="10">
        <v>4</v>
      </c>
      <c r="J276" s="8" t="s">
        <v>39</v>
      </c>
      <c r="K276" s="8" t="s">
        <v>40</v>
      </c>
      <c r="L276" s="8" t="s">
        <v>41</v>
      </c>
      <c r="M276" s="8" t="s">
        <v>42</v>
      </c>
      <c r="O276" s="8" t="s">
        <v>43</v>
      </c>
      <c r="P276" s="8" t="b">
        <v>0</v>
      </c>
      <c r="R276" s="8" t="b">
        <v>0</v>
      </c>
      <c r="S276" s="8" t="b">
        <v>0</v>
      </c>
      <c r="T276" s="8" t="b">
        <v>0</v>
      </c>
      <c r="U276" s="8" t="b">
        <v>1</v>
      </c>
      <c r="V276" s="8" t="b">
        <v>1</v>
      </c>
      <c r="X276" s="8" t="b">
        <v>0</v>
      </c>
      <c r="Y276" s="8" t="b">
        <v>0</v>
      </c>
      <c r="Z276" s="8" t="b">
        <v>0</v>
      </c>
      <c r="AA276" s="8" t="b">
        <v>0</v>
      </c>
      <c r="AB276" s="8" t="b">
        <v>0</v>
      </c>
      <c r="AC276" s="8" t="b">
        <v>0</v>
      </c>
      <c r="AD276" s="8" t="b">
        <v>1</v>
      </c>
      <c r="AE276" s="8" t="b">
        <v>0</v>
      </c>
      <c r="AG276" s="11" t="b" cm="1">
        <f t="array" ref="AG276">IF(OR(Y276:AA276="TRUE", AE276="true"), "Threatened")</f>
        <v>0</v>
      </c>
      <c r="AH276" s="11" t="s">
        <v>915</v>
      </c>
      <c r="AI276" s="8" t="b">
        <v>1</v>
      </c>
    </row>
    <row r="277" spans="1:35" ht="31.2">
      <c r="A277" s="8">
        <v>-73.975857970000007</v>
      </c>
      <c r="B277" s="8">
        <v>40.767932649999999</v>
      </c>
      <c r="C277" s="8" t="s">
        <v>916</v>
      </c>
      <c r="D277" s="8" t="s">
        <v>230</v>
      </c>
      <c r="E277" s="8" t="b">
        <f t="shared" si="4"/>
        <v>0</v>
      </c>
      <c r="F277" s="8" t="str" cm="1">
        <f t="array" ref="F277">_xlfn._xlws.FILTER(E277:E3475, C277:C3475= "6D-PM-1020-01", "No Squirrels Found")</f>
        <v>No Squirrels Found</v>
      </c>
      <c r="G277" s="8" t="s">
        <v>34</v>
      </c>
      <c r="H277" s="10">
        <v>10082018</v>
      </c>
      <c r="I277" s="10">
        <v>5</v>
      </c>
      <c r="J277" s="8" t="s">
        <v>39</v>
      </c>
      <c r="K277" s="8" t="s">
        <v>40</v>
      </c>
      <c r="M277" s="8" t="s">
        <v>55</v>
      </c>
      <c r="O277" s="8" t="s">
        <v>43</v>
      </c>
      <c r="P277" s="8" t="b">
        <v>0</v>
      </c>
      <c r="R277" s="8" t="b">
        <v>0</v>
      </c>
      <c r="S277" s="8" t="b">
        <v>0</v>
      </c>
      <c r="T277" s="8" t="b">
        <v>0</v>
      </c>
      <c r="U277" s="8" t="b">
        <v>1</v>
      </c>
      <c r="V277" s="8" t="b">
        <v>0</v>
      </c>
      <c r="W277" s="11" t="s">
        <v>917</v>
      </c>
      <c r="X277" s="8" t="b">
        <v>0</v>
      </c>
      <c r="Y277" s="8" t="b">
        <v>0</v>
      </c>
      <c r="Z277" s="8" t="b">
        <v>0</v>
      </c>
      <c r="AA277" s="8" t="b">
        <v>0</v>
      </c>
      <c r="AB277" s="8" t="b">
        <v>0</v>
      </c>
      <c r="AC277" s="8" t="b">
        <v>0</v>
      </c>
      <c r="AD277" s="8" t="b">
        <v>1</v>
      </c>
      <c r="AE277" s="8" t="b">
        <v>0</v>
      </c>
      <c r="AG277" s="11" t="b" cm="1">
        <f t="array" ref="AG277">IF(OR(Y277:AA277="TRUE", AE277="true"), "Threatened")</f>
        <v>0</v>
      </c>
      <c r="AH277" s="11" t="s">
        <v>918</v>
      </c>
      <c r="AI277" s="8" t="b">
        <v>0</v>
      </c>
    </row>
    <row r="278" spans="1:35" ht="31.2">
      <c r="A278" s="8">
        <v>-73.961907019999998</v>
      </c>
      <c r="B278" s="8">
        <v>40.795255670000003</v>
      </c>
      <c r="C278" s="8" t="s">
        <v>919</v>
      </c>
      <c r="D278" s="8" t="s">
        <v>301</v>
      </c>
      <c r="E278" s="8" t="b">
        <f t="shared" si="4"/>
        <v>0</v>
      </c>
      <c r="F278" s="8" t="str" cm="1">
        <f t="array" ref="F278">_xlfn._xlws.FILTER(E278:E3476, C278:C3476= "6D-PM-1020-01", "No Squirrels Found")</f>
        <v>No Squirrels Found</v>
      </c>
      <c r="G278" s="8" t="s">
        <v>48</v>
      </c>
      <c r="H278" s="10">
        <v>10142018</v>
      </c>
      <c r="I278" s="10">
        <v>5</v>
      </c>
      <c r="J278" s="8" t="s">
        <v>54</v>
      </c>
      <c r="K278" s="8" t="s">
        <v>40</v>
      </c>
      <c r="L278" s="8" t="s">
        <v>84</v>
      </c>
      <c r="M278" s="8" t="s">
        <v>103</v>
      </c>
      <c r="O278" s="8" t="s">
        <v>43</v>
      </c>
      <c r="P278" s="8" t="b">
        <v>0</v>
      </c>
      <c r="R278" s="8" t="b">
        <v>1</v>
      </c>
      <c r="S278" s="8" t="b">
        <v>0</v>
      </c>
      <c r="T278" s="8" t="b">
        <v>0</v>
      </c>
      <c r="U278" s="8" t="b">
        <v>0</v>
      </c>
      <c r="V278" s="8" t="b">
        <v>0</v>
      </c>
      <c r="X278" s="8" t="b">
        <v>0</v>
      </c>
      <c r="Y278" s="8" t="b">
        <v>0</v>
      </c>
      <c r="Z278" s="8" t="b">
        <v>0</v>
      </c>
      <c r="AA278" s="8" t="b">
        <v>0</v>
      </c>
      <c r="AB278" s="8" t="b">
        <v>0</v>
      </c>
      <c r="AC278" s="8" t="b">
        <v>0</v>
      </c>
      <c r="AD278" s="8" t="b">
        <v>0</v>
      </c>
      <c r="AE278" s="8" t="b">
        <v>1</v>
      </c>
      <c r="AG278" s="11" t="b" cm="1">
        <f t="array" ref="AG278">IF(OR(Y278:AA278="TRUE", AE278="true"), "Threatened")</f>
        <v>0</v>
      </c>
      <c r="AH278" s="11" t="s">
        <v>920</v>
      </c>
      <c r="AI278" s="8" t="b">
        <v>1</v>
      </c>
    </row>
    <row r="279" spans="1:35" ht="31.2">
      <c r="A279" s="8">
        <v>-73.978779689999996</v>
      </c>
      <c r="B279" s="8">
        <v>40.770752649999999</v>
      </c>
      <c r="C279" s="8" t="s">
        <v>921</v>
      </c>
      <c r="D279" s="8" t="s">
        <v>342</v>
      </c>
      <c r="E279" s="8" t="b">
        <f t="shared" si="4"/>
        <v>0</v>
      </c>
      <c r="F279" s="8" t="str" cm="1">
        <f t="array" ref="F279">_xlfn._xlws.FILTER(E279:E3477, C279:C3477= "6D-PM-1020-01", "No Squirrels Found")</f>
        <v>No Squirrels Found</v>
      </c>
      <c r="G279" s="8" t="s">
        <v>34</v>
      </c>
      <c r="H279" s="10">
        <v>10102018</v>
      </c>
      <c r="I279" s="10">
        <v>1</v>
      </c>
      <c r="J279" s="8" t="s">
        <v>39</v>
      </c>
      <c r="K279" s="8" t="s">
        <v>40</v>
      </c>
      <c r="L279" s="8" t="s">
        <v>84</v>
      </c>
      <c r="M279" s="8" t="s">
        <v>103</v>
      </c>
      <c r="O279" s="8" t="s">
        <v>43</v>
      </c>
      <c r="P279" s="8" t="b">
        <v>0</v>
      </c>
      <c r="R279" s="8" t="b">
        <v>0</v>
      </c>
      <c r="S279" s="8" t="b">
        <v>0</v>
      </c>
      <c r="T279" s="8" t="b">
        <v>0</v>
      </c>
      <c r="U279" s="8" t="b">
        <v>0</v>
      </c>
      <c r="V279" s="8" t="b">
        <v>1</v>
      </c>
      <c r="X279" s="8" t="b">
        <v>0</v>
      </c>
      <c r="Y279" s="8" t="b">
        <v>0</v>
      </c>
      <c r="Z279" s="8" t="b">
        <v>0</v>
      </c>
      <c r="AA279" s="8" t="b">
        <v>0</v>
      </c>
      <c r="AB279" s="8" t="b">
        <v>1</v>
      </c>
      <c r="AC279" s="8" t="b">
        <v>0</v>
      </c>
      <c r="AD279" s="8" t="b">
        <v>0</v>
      </c>
      <c r="AE279" s="8" t="b">
        <v>0</v>
      </c>
      <c r="AG279" s="11" t="b" cm="1">
        <f t="array" ref="AG279">IF(OR(Y279:AA279="TRUE", AE279="true"), "Threatened")</f>
        <v>0</v>
      </c>
      <c r="AH279" s="11" t="s">
        <v>922</v>
      </c>
      <c r="AI279" s="8" t="b">
        <v>1</v>
      </c>
    </row>
    <row r="280" spans="1:35" ht="31.2">
      <c r="A280" s="8">
        <v>-73.955008210000003</v>
      </c>
      <c r="B280" s="8">
        <v>40.789452150000002</v>
      </c>
      <c r="C280" s="8" t="s">
        <v>923</v>
      </c>
      <c r="D280" s="8" t="s">
        <v>924</v>
      </c>
      <c r="E280" s="8" t="b">
        <f t="shared" si="4"/>
        <v>0</v>
      </c>
      <c r="F280" s="8" t="str" cm="1">
        <f t="array" ref="F280">_xlfn._xlws.FILTER(E280:E3478, C280:C3478= "6D-PM-1020-01", "No Squirrels Found")</f>
        <v>No Squirrels Found</v>
      </c>
      <c r="G280" s="8" t="s">
        <v>48</v>
      </c>
      <c r="H280" s="10">
        <v>10082018</v>
      </c>
      <c r="I280" s="10">
        <v>3</v>
      </c>
      <c r="J280" s="8" t="s">
        <v>39</v>
      </c>
      <c r="K280" s="8" t="s">
        <v>40</v>
      </c>
      <c r="M280" s="8" t="s">
        <v>55</v>
      </c>
      <c r="O280" s="8" t="s">
        <v>50</v>
      </c>
      <c r="P280" s="8">
        <v>2</v>
      </c>
      <c r="Q280" s="8" t="s">
        <v>925</v>
      </c>
      <c r="R280" s="8" t="b">
        <v>0</v>
      </c>
      <c r="S280" s="8" t="b">
        <v>0</v>
      </c>
      <c r="T280" s="8" t="b">
        <v>1</v>
      </c>
      <c r="U280" s="8" t="b">
        <v>0</v>
      </c>
      <c r="V280" s="8" t="b">
        <v>0</v>
      </c>
      <c r="X280" s="8" t="b">
        <v>0</v>
      </c>
      <c r="Y280" s="8" t="b">
        <v>0</v>
      </c>
      <c r="Z280" s="8" t="b">
        <v>0</v>
      </c>
      <c r="AA280" s="8" t="b">
        <v>0</v>
      </c>
      <c r="AB280" s="8" t="b">
        <v>0</v>
      </c>
      <c r="AC280" s="8" t="b">
        <v>0</v>
      </c>
      <c r="AD280" s="8" t="b">
        <v>1</v>
      </c>
      <c r="AE280" s="8" t="b">
        <v>0</v>
      </c>
      <c r="AG280" s="11" t="b" cm="1">
        <f t="array" ref="AG280">IF(OR(Y280:AA280="TRUE", AE280="true"), "Threatened")</f>
        <v>0</v>
      </c>
      <c r="AH280" s="11" t="s">
        <v>926</v>
      </c>
      <c r="AI280" s="8" t="b">
        <v>1</v>
      </c>
    </row>
    <row r="281" spans="1:35" ht="31.2">
      <c r="A281" s="8">
        <v>-73.958740129999995</v>
      </c>
      <c r="B281" s="8">
        <v>40.796032220000001</v>
      </c>
      <c r="C281" s="8" t="s">
        <v>927</v>
      </c>
      <c r="D281" s="8" t="s">
        <v>928</v>
      </c>
      <c r="E281" s="8" t="b">
        <f t="shared" si="4"/>
        <v>0</v>
      </c>
      <c r="F281" s="8" t="str" cm="1">
        <f t="array" ref="F281">_xlfn._xlws.FILTER(E281:E3479, C281:C3479= "6D-PM-1020-01", "No Squirrels Found")</f>
        <v>No Squirrels Found</v>
      </c>
      <c r="G281" s="8" t="s">
        <v>34</v>
      </c>
      <c r="H281" s="10">
        <v>10132018</v>
      </c>
      <c r="I281" s="10">
        <v>3</v>
      </c>
      <c r="J281" s="8" t="s">
        <v>39</v>
      </c>
      <c r="K281" s="8" t="s">
        <v>40</v>
      </c>
      <c r="L281" s="8" t="s">
        <v>84</v>
      </c>
      <c r="M281" s="8" t="s">
        <v>103</v>
      </c>
      <c r="R281" s="8" t="b">
        <v>0</v>
      </c>
      <c r="S281" s="8" t="b">
        <v>0</v>
      </c>
      <c r="T281" s="8" t="b">
        <v>0</v>
      </c>
      <c r="U281" s="8" t="b">
        <v>0</v>
      </c>
      <c r="V281" s="8" t="b">
        <v>1</v>
      </c>
      <c r="X281" s="8" t="b">
        <v>0</v>
      </c>
      <c r="Y281" s="8" t="b">
        <v>0</v>
      </c>
      <c r="Z281" s="8" t="b">
        <v>0</v>
      </c>
      <c r="AA281" s="8" t="b">
        <v>0</v>
      </c>
      <c r="AB281" s="8" t="b">
        <v>0</v>
      </c>
      <c r="AC281" s="8" t="b">
        <v>0</v>
      </c>
      <c r="AD281" s="8" t="b">
        <v>1</v>
      </c>
      <c r="AE281" s="8" t="b">
        <v>0</v>
      </c>
      <c r="AG281" s="11" t="b" cm="1">
        <f t="array" ref="AG281">IF(OR(Y281:AA281="TRUE", AE281="true"), "Threatened")</f>
        <v>0</v>
      </c>
      <c r="AH281" s="11" t="s">
        <v>929</v>
      </c>
      <c r="AI281" s="8" t="b">
        <v>1</v>
      </c>
    </row>
    <row r="282" spans="1:35" ht="31.2">
      <c r="A282" s="8">
        <v>-73.961941190000005</v>
      </c>
      <c r="B282" s="8">
        <v>40.792353660000003</v>
      </c>
      <c r="C282" s="8" t="s">
        <v>930</v>
      </c>
      <c r="D282" s="8" t="s">
        <v>931</v>
      </c>
      <c r="E282" s="8" t="b">
        <f t="shared" si="4"/>
        <v>0</v>
      </c>
      <c r="F282" s="8" t="str" cm="1">
        <f t="array" ref="F282">_xlfn._xlws.FILTER(E282:E3480, C282:C3480= "6D-PM-1020-01", "No Squirrels Found")</f>
        <v>No Squirrels Found</v>
      </c>
      <c r="G282" s="8" t="s">
        <v>34</v>
      </c>
      <c r="H282" s="10">
        <v>10102018</v>
      </c>
      <c r="I282" s="10">
        <v>11</v>
      </c>
      <c r="J282" s="8" t="s">
        <v>39</v>
      </c>
      <c r="K282" s="8" t="s">
        <v>40</v>
      </c>
      <c r="M282" s="8" t="s">
        <v>55</v>
      </c>
      <c r="O282" s="8" t="s">
        <v>50</v>
      </c>
      <c r="P282" s="8">
        <v>10</v>
      </c>
      <c r="R282" s="8" t="b">
        <v>0</v>
      </c>
      <c r="S282" s="8" t="b">
        <v>0</v>
      </c>
      <c r="T282" s="8" t="b">
        <v>0</v>
      </c>
      <c r="U282" s="8" t="b">
        <v>0</v>
      </c>
      <c r="V282" s="8" t="b">
        <v>0</v>
      </c>
      <c r="X282" s="8" t="b">
        <v>0</v>
      </c>
      <c r="Y282" s="8" t="b">
        <v>0</v>
      </c>
      <c r="Z282" s="8" t="b">
        <v>0</v>
      </c>
      <c r="AA282" s="8" t="b">
        <v>0</v>
      </c>
      <c r="AB282" s="8" t="b">
        <v>0</v>
      </c>
      <c r="AC282" s="8" t="b">
        <v>0</v>
      </c>
      <c r="AD282" s="8" t="b">
        <v>0</v>
      </c>
      <c r="AE282" s="8" t="b">
        <v>0</v>
      </c>
      <c r="AG282" s="11" t="b" cm="1">
        <f t="array" ref="AG282">IF(OR(Y282:AA282="TRUE", AE282="true"), "Threatened")</f>
        <v>0</v>
      </c>
      <c r="AH282" s="11" t="s">
        <v>932</v>
      </c>
      <c r="AI282" s="8" t="b">
        <v>1</v>
      </c>
    </row>
    <row r="283" spans="1:35" ht="31.2">
      <c r="A283" s="8">
        <v>-73.970157589999999</v>
      </c>
      <c r="B283" s="8">
        <v>40.773097329999999</v>
      </c>
      <c r="C283" s="8" t="s">
        <v>933</v>
      </c>
      <c r="D283" s="8" t="s">
        <v>609</v>
      </c>
      <c r="E283" s="8" t="b">
        <f t="shared" si="4"/>
        <v>0</v>
      </c>
      <c r="F283" s="8" t="str" cm="1">
        <f t="array" ref="F283">_xlfn._xlws.FILTER(E283:E3481, C283:C3481= "6D-PM-1020-01", "No Squirrels Found")</f>
        <v>No Squirrels Found</v>
      </c>
      <c r="G283" s="8" t="s">
        <v>34</v>
      </c>
      <c r="H283" s="10">
        <v>10172018</v>
      </c>
      <c r="I283" s="10">
        <v>6</v>
      </c>
      <c r="J283" s="8" t="s">
        <v>39</v>
      </c>
      <c r="K283" s="8" t="s">
        <v>40</v>
      </c>
      <c r="L283" s="8" t="s">
        <v>41</v>
      </c>
      <c r="M283" s="8" t="s">
        <v>42</v>
      </c>
      <c r="O283" s="8" t="s">
        <v>43</v>
      </c>
      <c r="P283" s="8" t="b">
        <v>0</v>
      </c>
      <c r="R283" s="8" t="b">
        <v>0</v>
      </c>
      <c r="S283" s="8" t="b">
        <v>0</v>
      </c>
      <c r="T283" s="8" t="b">
        <v>0</v>
      </c>
      <c r="U283" s="8" t="b">
        <v>0</v>
      </c>
      <c r="V283" s="8" t="b">
        <v>1</v>
      </c>
      <c r="X283" s="8" t="b">
        <v>0</v>
      </c>
      <c r="Y283" s="8" t="b">
        <v>0</v>
      </c>
      <c r="Z283" s="8" t="b">
        <v>0</v>
      </c>
      <c r="AA283" s="8" t="b">
        <v>0</v>
      </c>
      <c r="AB283" s="8" t="b">
        <v>0</v>
      </c>
      <c r="AC283" s="8" t="b">
        <v>0</v>
      </c>
      <c r="AD283" s="8" t="b">
        <v>1</v>
      </c>
      <c r="AE283" s="8" t="b">
        <v>0</v>
      </c>
      <c r="AG283" s="11" t="b" cm="1">
        <f t="array" ref="AG283">IF(OR(Y283:AA283="TRUE", AE283="true"), "Threatened")</f>
        <v>0</v>
      </c>
      <c r="AH283" s="11" t="s">
        <v>934</v>
      </c>
      <c r="AI283" s="8" t="b">
        <v>1</v>
      </c>
    </row>
    <row r="284" spans="1:35" ht="31.2">
      <c r="A284" s="8">
        <v>-73.952906069999997</v>
      </c>
      <c r="B284" s="8">
        <v>40.792790969999999</v>
      </c>
      <c r="C284" s="8" t="s">
        <v>935</v>
      </c>
      <c r="D284" s="8" t="s">
        <v>936</v>
      </c>
      <c r="E284" s="8" t="b">
        <f t="shared" si="4"/>
        <v>0</v>
      </c>
      <c r="F284" s="8" t="str" cm="1">
        <f t="array" ref="F284">_xlfn._xlws.FILTER(E284:E3482, C284:C3482= "6D-PM-1020-01", "No Squirrels Found")</f>
        <v>No Squirrels Found</v>
      </c>
      <c r="G284" s="8" t="s">
        <v>48</v>
      </c>
      <c r="H284" s="10">
        <v>10102018</v>
      </c>
      <c r="I284" s="10">
        <v>1</v>
      </c>
      <c r="J284" s="8" t="s">
        <v>39</v>
      </c>
      <c r="K284" s="8" t="s">
        <v>40</v>
      </c>
      <c r="M284" s="8" t="s">
        <v>55</v>
      </c>
      <c r="O284" s="8" t="s">
        <v>43</v>
      </c>
      <c r="P284" s="8" t="b">
        <v>0</v>
      </c>
      <c r="R284" s="8" t="b">
        <v>0</v>
      </c>
      <c r="S284" s="8" t="b">
        <v>0</v>
      </c>
      <c r="T284" s="8" t="b">
        <v>0</v>
      </c>
      <c r="U284" s="8" t="b">
        <v>0</v>
      </c>
      <c r="V284" s="8" t="b">
        <v>1</v>
      </c>
      <c r="X284" s="8" t="b">
        <v>0</v>
      </c>
      <c r="Y284" s="8" t="b">
        <v>0</v>
      </c>
      <c r="Z284" s="8" t="b">
        <v>0</v>
      </c>
      <c r="AA284" s="8" t="b">
        <v>0</v>
      </c>
      <c r="AB284" s="8" t="b">
        <v>0</v>
      </c>
      <c r="AC284" s="8" t="b">
        <v>0</v>
      </c>
      <c r="AD284" s="8" t="b">
        <v>0</v>
      </c>
      <c r="AE284" s="8" t="b">
        <v>1</v>
      </c>
      <c r="AG284" s="11" t="b" cm="1">
        <f t="array" ref="AG284">IF(OR(Y284:AA284="TRUE", AE284="true"), "Threatened")</f>
        <v>0</v>
      </c>
      <c r="AH284" s="11" t="s">
        <v>937</v>
      </c>
      <c r="AI284" s="8" t="b">
        <v>1</v>
      </c>
    </row>
    <row r="285" spans="1:35" ht="31.2">
      <c r="A285" s="8">
        <v>-73.954733669999996</v>
      </c>
      <c r="B285" s="8">
        <v>40.793893779999998</v>
      </c>
      <c r="C285" s="8" t="s">
        <v>938</v>
      </c>
      <c r="D285" s="8" t="s">
        <v>939</v>
      </c>
      <c r="E285" s="8" t="b">
        <f t="shared" si="4"/>
        <v>0</v>
      </c>
      <c r="F285" s="8" t="str" cm="1">
        <f t="array" ref="F285">_xlfn._xlws.FILTER(E285:E3483, C285:C3483= "6D-PM-1020-01", "No Squirrels Found")</f>
        <v>No Squirrels Found</v>
      </c>
      <c r="G285" s="8" t="s">
        <v>34</v>
      </c>
      <c r="H285" s="10">
        <v>10072018</v>
      </c>
      <c r="I285" s="10">
        <v>7</v>
      </c>
      <c r="J285" s="8" t="s">
        <v>39</v>
      </c>
      <c r="K285" s="8" t="s">
        <v>40</v>
      </c>
      <c r="L285" s="8" t="s">
        <v>41</v>
      </c>
      <c r="M285" s="8" t="s">
        <v>42</v>
      </c>
      <c r="O285" s="8" t="s">
        <v>50</v>
      </c>
      <c r="P285" s="8">
        <v>5</v>
      </c>
      <c r="R285" s="8" t="b">
        <v>1</v>
      </c>
      <c r="S285" s="8" t="b">
        <v>0</v>
      </c>
      <c r="T285" s="8" t="b">
        <v>0</v>
      </c>
      <c r="U285" s="8" t="b">
        <v>0</v>
      </c>
      <c r="V285" s="8" t="b">
        <v>0</v>
      </c>
      <c r="X285" s="8" t="b">
        <v>0</v>
      </c>
      <c r="Y285" s="8" t="b">
        <v>0</v>
      </c>
      <c r="Z285" s="8" t="b">
        <v>0</v>
      </c>
      <c r="AA285" s="8" t="b">
        <v>0</v>
      </c>
      <c r="AB285" s="8" t="b">
        <v>0</v>
      </c>
      <c r="AC285" s="8" t="b">
        <v>0</v>
      </c>
      <c r="AD285" s="8" t="b">
        <v>0</v>
      </c>
      <c r="AE285" s="8" t="b">
        <v>1</v>
      </c>
      <c r="AG285" s="11" t="b" cm="1">
        <f t="array" ref="AG285">IF(OR(Y285:AA285="TRUE", AE285="true"), "Threatened")</f>
        <v>0</v>
      </c>
      <c r="AH285" s="11" t="s">
        <v>940</v>
      </c>
      <c r="AI285" s="8" t="b">
        <v>1</v>
      </c>
    </row>
    <row r="286" spans="1:35" ht="31.2">
      <c r="A286" s="8">
        <v>-73.969143340000002</v>
      </c>
      <c r="B286" s="8">
        <v>40.773170829999998</v>
      </c>
      <c r="C286" s="8" t="s">
        <v>941</v>
      </c>
      <c r="D286" s="8" t="s">
        <v>496</v>
      </c>
      <c r="E286" s="8" t="b">
        <f t="shared" si="4"/>
        <v>0</v>
      </c>
      <c r="F286" s="8" t="str" cm="1">
        <f t="array" ref="F286">_xlfn._xlws.FILTER(E286:E3484, C286:C3484= "6D-PM-1020-01", "No Squirrels Found")</f>
        <v>No Squirrels Found</v>
      </c>
      <c r="G286" s="8" t="s">
        <v>48</v>
      </c>
      <c r="H286" s="10">
        <v>10122018</v>
      </c>
      <c r="I286" s="10">
        <v>1</v>
      </c>
      <c r="J286" s="8" t="s">
        <v>39</v>
      </c>
      <c r="K286" s="8" t="s">
        <v>40</v>
      </c>
      <c r="L286" s="8" t="s">
        <v>41</v>
      </c>
      <c r="M286" s="8" t="s">
        <v>42</v>
      </c>
      <c r="O286" s="8" t="s">
        <v>43</v>
      </c>
      <c r="P286" s="8" t="b">
        <v>0</v>
      </c>
      <c r="R286" s="8" t="b">
        <v>1</v>
      </c>
      <c r="S286" s="8" t="b">
        <v>0</v>
      </c>
      <c r="T286" s="8" t="b">
        <v>0</v>
      </c>
      <c r="U286" s="8" t="b">
        <v>0</v>
      </c>
      <c r="V286" s="8" t="b">
        <v>0</v>
      </c>
      <c r="X286" s="8" t="b">
        <v>0</v>
      </c>
      <c r="Y286" s="8" t="b">
        <v>0</v>
      </c>
      <c r="Z286" s="8" t="b">
        <v>0</v>
      </c>
      <c r="AA286" s="8" t="b">
        <v>0</v>
      </c>
      <c r="AB286" s="8" t="b">
        <v>0</v>
      </c>
      <c r="AC286" s="8" t="b">
        <v>0</v>
      </c>
      <c r="AD286" s="8" t="b">
        <v>1</v>
      </c>
      <c r="AE286" s="8" t="b">
        <v>0</v>
      </c>
      <c r="AG286" s="11" t="b" cm="1">
        <f t="array" ref="AG286">IF(OR(Y286:AA286="TRUE", AE286="true"), "Threatened")</f>
        <v>0</v>
      </c>
      <c r="AH286" s="11" t="s">
        <v>942</v>
      </c>
      <c r="AI286" s="8" t="b">
        <v>1</v>
      </c>
    </row>
    <row r="287" spans="1:35" ht="31.2">
      <c r="A287" s="8">
        <v>-73.972090739999999</v>
      </c>
      <c r="B287" s="8">
        <v>40.776298779999998</v>
      </c>
      <c r="C287" s="8" t="s">
        <v>943</v>
      </c>
      <c r="D287" s="8" t="s">
        <v>613</v>
      </c>
      <c r="E287" s="8" t="b">
        <f t="shared" si="4"/>
        <v>0</v>
      </c>
      <c r="F287" s="8" t="str" cm="1">
        <f t="array" ref="F287">_xlfn._xlws.FILTER(E287:E3485, C287:C3485= "6D-PM-1020-01", "No Squirrels Found")</f>
        <v>No Squirrels Found</v>
      </c>
      <c r="G287" s="8" t="s">
        <v>34</v>
      </c>
      <c r="H287" s="10">
        <v>10192018</v>
      </c>
      <c r="I287" s="10">
        <v>1</v>
      </c>
      <c r="J287" s="8" t="s">
        <v>39</v>
      </c>
      <c r="K287" s="8" t="s">
        <v>40</v>
      </c>
      <c r="M287" s="8" t="s">
        <v>55</v>
      </c>
      <c r="O287" s="8" t="s">
        <v>50</v>
      </c>
      <c r="P287" s="8">
        <v>7</v>
      </c>
      <c r="R287" s="8" t="b">
        <v>0</v>
      </c>
      <c r="S287" s="8" t="b">
        <v>0</v>
      </c>
      <c r="T287" s="8" t="b">
        <v>1</v>
      </c>
      <c r="U287" s="8" t="b">
        <v>0</v>
      </c>
      <c r="V287" s="8" t="b">
        <v>0</v>
      </c>
      <c r="X287" s="8" t="b">
        <v>1</v>
      </c>
      <c r="Y287" s="8" t="b">
        <v>0</v>
      </c>
      <c r="Z287" s="8" t="b">
        <v>0</v>
      </c>
      <c r="AA287" s="8" t="b">
        <v>0</v>
      </c>
      <c r="AB287" s="8" t="b">
        <v>0</v>
      </c>
      <c r="AC287" s="8" t="b">
        <v>0</v>
      </c>
      <c r="AD287" s="8" t="b">
        <v>1</v>
      </c>
      <c r="AE287" s="8" t="b">
        <v>0</v>
      </c>
      <c r="AG287" s="11" t="b" cm="1">
        <f t="array" ref="AG287">IF(OR(Y287:AA287="TRUE", AE287="true"), "Threatened")</f>
        <v>0</v>
      </c>
      <c r="AH287" s="11" t="s">
        <v>944</v>
      </c>
      <c r="AI287" s="8" t="b">
        <v>1</v>
      </c>
    </row>
    <row r="288" spans="1:35" ht="31.2">
      <c r="A288" s="8">
        <v>-73.970928150000006</v>
      </c>
      <c r="B288" s="8">
        <v>40.782809790000002</v>
      </c>
      <c r="C288" s="8" t="s">
        <v>945</v>
      </c>
      <c r="D288" s="8" t="s">
        <v>946</v>
      </c>
      <c r="E288" s="8" t="b">
        <f t="shared" si="4"/>
        <v>0</v>
      </c>
      <c r="F288" s="8" t="str" cm="1">
        <f t="array" ref="F288">_xlfn._xlws.FILTER(E288:E3486, C288:C3486= "6D-PM-1020-01", "No Squirrels Found")</f>
        <v>No Squirrels Found</v>
      </c>
      <c r="G288" s="8" t="s">
        <v>48</v>
      </c>
      <c r="H288" s="10">
        <v>10102018</v>
      </c>
      <c r="I288" s="10">
        <v>2</v>
      </c>
      <c r="J288" s="8" t="s">
        <v>39</v>
      </c>
      <c r="K288" s="8" t="s">
        <v>40</v>
      </c>
      <c r="L288" s="8" t="s">
        <v>41</v>
      </c>
      <c r="M288" s="8" t="s">
        <v>42</v>
      </c>
      <c r="O288" s="8" t="s">
        <v>43</v>
      </c>
      <c r="P288" s="8" t="b">
        <v>0</v>
      </c>
      <c r="R288" s="8" t="b">
        <v>0</v>
      </c>
      <c r="S288" s="8" t="b">
        <v>0</v>
      </c>
      <c r="T288" s="8" t="b">
        <v>0</v>
      </c>
      <c r="U288" s="8" t="b">
        <v>0</v>
      </c>
      <c r="V288" s="8" t="b">
        <v>1</v>
      </c>
      <c r="X288" s="8" t="b">
        <v>0</v>
      </c>
      <c r="Y288" s="8" t="b">
        <v>0</v>
      </c>
      <c r="Z288" s="8" t="b">
        <v>0</v>
      </c>
      <c r="AA288" s="8" t="b">
        <v>0</v>
      </c>
      <c r="AB288" s="8" t="b">
        <v>0</v>
      </c>
      <c r="AC288" s="8" t="b">
        <v>0</v>
      </c>
      <c r="AD288" s="8" t="b">
        <v>1</v>
      </c>
      <c r="AE288" s="8" t="b">
        <v>0</v>
      </c>
      <c r="AG288" s="11" t="b" cm="1">
        <f t="array" ref="AG288">IF(OR(Y288:AA288="TRUE", AE288="true"), "Threatened")</f>
        <v>0</v>
      </c>
      <c r="AH288" s="11" t="s">
        <v>947</v>
      </c>
      <c r="AI288" s="8" t="b">
        <v>1</v>
      </c>
    </row>
    <row r="289" spans="1:35" ht="31.2">
      <c r="A289" s="8">
        <v>-73.973111329999995</v>
      </c>
      <c r="B289" s="8">
        <v>40.778664069999998</v>
      </c>
      <c r="C289" s="8" t="s">
        <v>948</v>
      </c>
      <c r="D289" s="8" t="s">
        <v>949</v>
      </c>
      <c r="E289" s="8" t="b">
        <f t="shared" si="4"/>
        <v>0</v>
      </c>
      <c r="F289" s="8" t="str" cm="1">
        <f t="array" ref="F289">_xlfn._xlws.FILTER(E289:E3487, C289:C3487= "6D-PM-1020-01", "No Squirrels Found")</f>
        <v>No Squirrels Found</v>
      </c>
      <c r="G289" s="8" t="s">
        <v>34</v>
      </c>
      <c r="H289" s="10">
        <v>10172018</v>
      </c>
      <c r="I289" s="10">
        <v>1</v>
      </c>
      <c r="J289" s="8" t="s">
        <v>39</v>
      </c>
      <c r="K289" s="8" t="s">
        <v>40</v>
      </c>
      <c r="L289" s="8" t="s">
        <v>117</v>
      </c>
      <c r="M289" s="8" t="s">
        <v>118</v>
      </c>
      <c r="O289" s="8" t="s">
        <v>50</v>
      </c>
      <c r="P289" s="8">
        <v>10</v>
      </c>
      <c r="R289" s="8" t="b">
        <v>0</v>
      </c>
      <c r="S289" s="8" t="b">
        <v>0</v>
      </c>
      <c r="T289" s="8" t="b">
        <v>1</v>
      </c>
      <c r="U289" s="8" t="b">
        <v>1</v>
      </c>
      <c r="V289" s="8" t="b">
        <v>0</v>
      </c>
      <c r="W289" s="11" t="s">
        <v>950</v>
      </c>
      <c r="X289" s="8" t="b">
        <v>0</v>
      </c>
      <c r="Y289" s="8" t="b">
        <v>0</v>
      </c>
      <c r="Z289" s="8" t="b">
        <v>0</v>
      </c>
      <c r="AA289" s="8" t="b">
        <v>0</v>
      </c>
      <c r="AB289" s="8" t="b">
        <v>0</v>
      </c>
      <c r="AC289" s="8" t="b">
        <v>0</v>
      </c>
      <c r="AD289" s="8" t="b">
        <v>1</v>
      </c>
      <c r="AE289" s="8" t="b">
        <v>0</v>
      </c>
      <c r="AG289" s="11" t="b" cm="1">
        <f t="array" ref="AG289">IF(OR(Y289:AA289="TRUE", AE289="true"), "Threatened")</f>
        <v>0</v>
      </c>
      <c r="AH289" s="11" t="s">
        <v>951</v>
      </c>
      <c r="AI289" s="8" t="b">
        <v>0</v>
      </c>
    </row>
    <row r="290" spans="1:35" ht="31.2">
      <c r="A290" s="8">
        <v>-73.968425420000003</v>
      </c>
      <c r="B290" s="8">
        <v>40.778090159999998</v>
      </c>
      <c r="C290" s="8" t="s">
        <v>952</v>
      </c>
      <c r="D290" s="8" t="s">
        <v>271</v>
      </c>
      <c r="E290" s="8" t="b">
        <f t="shared" si="4"/>
        <v>0</v>
      </c>
      <c r="F290" s="8" t="str" cm="1">
        <f t="array" ref="F290">_xlfn._xlws.FILTER(E290:E3488, C290:C3488= "6D-PM-1020-01", "No Squirrels Found")</f>
        <v>No Squirrels Found</v>
      </c>
      <c r="G290" s="8" t="s">
        <v>48</v>
      </c>
      <c r="H290" s="10">
        <v>10142018</v>
      </c>
      <c r="I290" s="10">
        <v>2</v>
      </c>
      <c r="J290" s="8" t="s">
        <v>39</v>
      </c>
      <c r="K290" s="8" t="s">
        <v>40</v>
      </c>
      <c r="L290" s="8" t="s">
        <v>41</v>
      </c>
      <c r="M290" s="8" t="s">
        <v>42</v>
      </c>
      <c r="O290" s="8" t="s">
        <v>43</v>
      </c>
      <c r="P290" s="8" t="b">
        <v>0</v>
      </c>
      <c r="R290" s="8" t="b">
        <v>0</v>
      </c>
      <c r="S290" s="8" t="b">
        <v>0</v>
      </c>
      <c r="T290" s="8" t="b">
        <v>0</v>
      </c>
      <c r="U290" s="8" t="b">
        <v>1</v>
      </c>
      <c r="V290" s="8" t="b">
        <v>1</v>
      </c>
      <c r="X290" s="8" t="b">
        <v>0</v>
      </c>
      <c r="Y290" s="8" t="b">
        <v>0</v>
      </c>
      <c r="Z290" s="8" t="b">
        <v>0</v>
      </c>
      <c r="AA290" s="8" t="b">
        <v>0</v>
      </c>
      <c r="AB290" s="8" t="b">
        <v>0</v>
      </c>
      <c r="AC290" s="8" t="b">
        <v>1</v>
      </c>
      <c r="AD290" s="8" t="b">
        <v>0</v>
      </c>
      <c r="AE290" s="8" t="b">
        <v>0</v>
      </c>
      <c r="AG290" s="11" t="b" cm="1">
        <f t="array" ref="AG290">IF(OR(Y290:AA290="TRUE", AE290="true"), "Threatened")</f>
        <v>0</v>
      </c>
      <c r="AH290" s="11" t="s">
        <v>953</v>
      </c>
      <c r="AI290" s="8" t="b">
        <v>1</v>
      </c>
    </row>
    <row r="291" spans="1:35" ht="31.2">
      <c r="A291" s="8">
        <v>-73.956067989999994</v>
      </c>
      <c r="B291" s="8">
        <v>40.794788709999999</v>
      </c>
      <c r="C291" s="8" t="s">
        <v>954</v>
      </c>
      <c r="D291" s="8" t="s">
        <v>38</v>
      </c>
      <c r="E291" s="8" t="b">
        <f t="shared" si="4"/>
        <v>0</v>
      </c>
      <c r="F291" s="8" t="str" cm="1">
        <f t="array" ref="F291">_xlfn._xlws.FILTER(E291:E3489, C291:C3489= "6D-PM-1020-01", "No Squirrels Found")</f>
        <v>No Squirrels Found</v>
      </c>
      <c r="G291" s="8" t="s">
        <v>34</v>
      </c>
      <c r="H291" s="10">
        <v>10062018</v>
      </c>
      <c r="I291" s="10">
        <v>6</v>
      </c>
      <c r="J291" s="8" t="s">
        <v>39</v>
      </c>
      <c r="K291" s="8" t="s">
        <v>41</v>
      </c>
      <c r="L291" s="8" t="s">
        <v>40</v>
      </c>
      <c r="M291" s="8" t="s">
        <v>110</v>
      </c>
      <c r="O291" s="8" t="s">
        <v>43</v>
      </c>
      <c r="P291" s="8" t="b">
        <v>0</v>
      </c>
      <c r="R291" s="8" t="b">
        <v>0</v>
      </c>
      <c r="S291" s="8" t="b">
        <v>0</v>
      </c>
      <c r="T291" s="8" t="b">
        <v>0</v>
      </c>
      <c r="U291" s="8" t="b">
        <v>1</v>
      </c>
      <c r="V291" s="8" t="b">
        <v>1</v>
      </c>
      <c r="X291" s="8" t="b">
        <v>0</v>
      </c>
      <c r="Y291" s="8" t="b">
        <v>0</v>
      </c>
      <c r="Z291" s="8" t="b">
        <v>0</v>
      </c>
      <c r="AA291" s="8" t="b">
        <v>0</v>
      </c>
      <c r="AB291" s="8" t="b">
        <v>0</v>
      </c>
      <c r="AC291" s="8" t="b">
        <v>0</v>
      </c>
      <c r="AD291" s="8" t="b">
        <v>1</v>
      </c>
      <c r="AE291" s="8" t="b">
        <v>0</v>
      </c>
      <c r="AG291" s="11" t="b" cm="1">
        <f t="array" ref="AG291">IF(OR(Y291:AA291="TRUE", AE291="true"), "Threatened")</f>
        <v>0</v>
      </c>
      <c r="AH291" s="11" t="s">
        <v>955</v>
      </c>
      <c r="AI291" s="8" t="b">
        <v>1</v>
      </c>
    </row>
    <row r="292" spans="1:35" ht="31.2">
      <c r="A292" s="8">
        <v>-73.967966129999994</v>
      </c>
      <c r="B292" s="8">
        <v>40.783738839999998</v>
      </c>
      <c r="C292" s="8" t="s">
        <v>956</v>
      </c>
      <c r="D292" s="8" t="s">
        <v>698</v>
      </c>
      <c r="E292" s="8" t="b">
        <f t="shared" si="4"/>
        <v>0</v>
      </c>
      <c r="F292" s="8" t="str" cm="1">
        <f t="array" ref="F292">_xlfn._xlws.FILTER(E292:E3490, C292:C3490= "6D-PM-1020-01", "No Squirrels Found")</f>
        <v>No Squirrels Found</v>
      </c>
      <c r="G292" s="8" t="s">
        <v>48</v>
      </c>
      <c r="H292" s="10">
        <v>10132018</v>
      </c>
      <c r="I292" s="10">
        <v>1</v>
      </c>
      <c r="J292" s="8" t="s">
        <v>39</v>
      </c>
      <c r="K292" s="8" t="s">
        <v>40</v>
      </c>
      <c r="L292" s="8" t="s">
        <v>41</v>
      </c>
      <c r="M292" s="8" t="s">
        <v>42</v>
      </c>
      <c r="O292" s="8" t="s">
        <v>50</v>
      </c>
      <c r="P292" s="8">
        <v>10</v>
      </c>
      <c r="R292" s="8" t="b">
        <v>0</v>
      </c>
      <c r="S292" s="8" t="b">
        <v>0</v>
      </c>
      <c r="T292" s="8" t="b">
        <v>0</v>
      </c>
      <c r="U292" s="8" t="b">
        <v>0</v>
      </c>
      <c r="V292" s="8" t="b">
        <v>0</v>
      </c>
      <c r="W292" s="11" t="s">
        <v>957</v>
      </c>
      <c r="X292" s="8" t="b">
        <v>0</v>
      </c>
      <c r="Y292" s="8" t="b">
        <v>0</v>
      </c>
      <c r="Z292" s="8" t="b">
        <v>0</v>
      </c>
      <c r="AA292" s="8" t="b">
        <v>0</v>
      </c>
      <c r="AB292" s="8" t="b">
        <v>0</v>
      </c>
      <c r="AC292" s="8" t="b">
        <v>0</v>
      </c>
      <c r="AD292" s="8" t="b">
        <v>0</v>
      </c>
      <c r="AE292" s="8" t="b">
        <v>0</v>
      </c>
      <c r="AG292" s="11" t="b" cm="1">
        <f t="array" ref="AG292">IF(OR(Y292:AA292="TRUE", AE292="true"), "Threatened")</f>
        <v>0</v>
      </c>
      <c r="AH292" s="11" t="s">
        <v>958</v>
      </c>
      <c r="AI292" s="8" t="b">
        <v>0</v>
      </c>
    </row>
    <row r="293" spans="1:35" ht="31.2">
      <c r="A293" s="8">
        <v>-73.967406949999997</v>
      </c>
      <c r="B293" s="8">
        <v>40.777252969999999</v>
      </c>
      <c r="C293" s="8" t="s">
        <v>959</v>
      </c>
      <c r="D293" s="8" t="s">
        <v>960</v>
      </c>
      <c r="E293" s="8" t="b">
        <f t="shared" si="4"/>
        <v>0</v>
      </c>
      <c r="F293" s="8" t="str" cm="1">
        <f t="array" ref="F293">_xlfn._xlws.FILTER(E293:E3491, C293:C3491= "6D-PM-1020-01", "No Squirrels Found")</f>
        <v>No Squirrels Found</v>
      </c>
      <c r="G293" s="8" t="s">
        <v>34</v>
      </c>
      <c r="H293" s="10">
        <v>10132018</v>
      </c>
      <c r="I293" s="10">
        <v>2</v>
      </c>
      <c r="J293" s="8" t="s">
        <v>39</v>
      </c>
      <c r="K293" s="8" t="s">
        <v>40</v>
      </c>
      <c r="L293" s="8" t="s">
        <v>41</v>
      </c>
      <c r="M293" s="8" t="s">
        <v>42</v>
      </c>
      <c r="O293" s="8" t="s">
        <v>43</v>
      </c>
      <c r="P293" s="8" t="b">
        <v>0</v>
      </c>
      <c r="Q293" s="8" t="s">
        <v>961</v>
      </c>
      <c r="R293" s="8" t="b">
        <v>0</v>
      </c>
      <c r="S293" s="8" t="b">
        <v>0</v>
      </c>
      <c r="T293" s="8" t="b">
        <v>0</v>
      </c>
      <c r="U293" s="8" t="b">
        <v>0</v>
      </c>
      <c r="V293" s="8" t="b">
        <v>1</v>
      </c>
      <c r="X293" s="8" t="b">
        <v>0</v>
      </c>
      <c r="Y293" s="8" t="b">
        <v>0</v>
      </c>
      <c r="Z293" s="8" t="b">
        <v>0</v>
      </c>
      <c r="AA293" s="8" t="b">
        <v>0</v>
      </c>
      <c r="AB293" s="8" t="b">
        <v>0</v>
      </c>
      <c r="AC293" s="8" t="b">
        <v>0</v>
      </c>
      <c r="AD293" s="8" t="b">
        <v>0</v>
      </c>
      <c r="AE293" s="8" t="b">
        <v>1</v>
      </c>
      <c r="AG293" s="11" t="b" cm="1">
        <f t="array" ref="AG293">IF(OR(Y293:AA293="TRUE", AE293="true"), "Threatened")</f>
        <v>0</v>
      </c>
      <c r="AH293" s="11" t="s">
        <v>962</v>
      </c>
      <c r="AI293" s="8" t="b">
        <v>1</v>
      </c>
    </row>
    <row r="294" spans="1:35" ht="31.2">
      <c r="A294" s="8">
        <v>-73.969617369999995</v>
      </c>
      <c r="B294" s="8">
        <v>40.77052028</v>
      </c>
      <c r="C294" s="8" t="s">
        <v>963</v>
      </c>
      <c r="D294" s="8" t="s">
        <v>199</v>
      </c>
      <c r="E294" s="8" t="b">
        <f t="shared" si="4"/>
        <v>0</v>
      </c>
      <c r="F294" s="8" t="str" cm="1">
        <f t="array" ref="F294">_xlfn._xlws.FILTER(E294:E3492, C294:C3492= "6D-PM-1020-01", "No Squirrels Found")</f>
        <v>No Squirrels Found</v>
      </c>
      <c r="G294" s="8" t="s">
        <v>48</v>
      </c>
      <c r="H294" s="10">
        <v>10172018</v>
      </c>
      <c r="I294" s="10">
        <v>4</v>
      </c>
      <c r="J294" s="8" t="s">
        <v>39</v>
      </c>
      <c r="K294" s="8" t="s">
        <v>40</v>
      </c>
      <c r="L294" s="8" t="s">
        <v>41</v>
      </c>
      <c r="M294" s="8" t="s">
        <v>42</v>
      </c>
      <c r="O294" s="8" t="s">
        <v>43</v>
      </c>
      <c r="P294" s="8" t="b">
        <v>0</v>
      </c>
      <c r="R294" s="8" t="b">
        <v>0</v>
      </c>
      <c r="S294" s="8" t="b">
        <v>0</v>
      </c>
      <c r="T294" s="8" t="b">
        <v>0</v>
      </c>
      <c r="U294" s="8" t="b">
        <v>1</v>
      </c>
      <c r="V294" s="8" t="b">
        <v>0</v>
      </c>
      <c r="X294" s="8" t="b">
        <v>0</v>
      </c>
      <c r="Y294" s="8" t="b">
        <v>0</v>
      </c>
      <c r="Z294" s="8" t="b">
        <v>0</v>
      </c>
      <c r="AA294" s="8" t="b">
        <v>0</v>
      </c>
      <c r="AB294" s="8" t="b">
        <v>0</v>
      </c>
      <c r="AC294" s="8" t="b">
        <v>0</v>
      </c>
      <c r="AD294" s="8" t="b">
        <v>1</v>
      </c>
      <c r="AE294" s="8" t="b">
        <v>0</v>
      </c>
      <c r="AG294" s="11" t="b" cm="1">
        <f t="array" ref="AG294">IF(OR(Y294:AA294="TRUE", AE294="true"), "Threatened")</f>
        <v>0</v>
      </c>
      <c r="AH294" s="11" t="s">
        <v>964</v>
      </c>
      <c r="AI294" s="8" t="b">
        <v>1</v>
      </c>
    </row>
    <row r="295" spans="1:35" ht="31.2">
      <c r="A295" s="8">
        <v>-73.97565736</v>
      </c>
      <c r="B295" s="8">
        <v>40.765664409999999</v>
      </c>
      <c r="C295" s="8" t="s">
        <v>965</v>
      </c>
      <c r="D295" s="8" t="s">
        <v>966</v>
      </c>
      <c r="E295" s="8" t="b">
        <f t="shared" si="4"/>
        <v>0</v>
      </c>
      <c r="F295" s="8" t="str" cm="1">
        <f t="array" ref="F295">_xlfn._xlws.FILTER(E295:E3493, C295:C3493= "6D-PM-1020-01", "No Squirrels Found")</f>
        <v>No Squirrels Found</v>
      </c>
      <c r="G295" s="8" t="s">
        <v>34</v>
      </c>
      <c r="H295" s="10">
        <v>10102018</v>
      </c>
      <c r="I295" s="10">
        <v>1</v>
      </c>
      <c r="J295" s="8" t="s">
        <v>39</v>
      </c>
      <c r="K295" s="8" t="s">
        <v>40</v>
      </c>
      <c r="L295" s="8" t="s">
        <v>84</v>
      </c>
      <c r="M295" s="8" t="s">
        <v>103</v>
      </c>
      <c r="O295" s="8" t="s">
        <v>50</v>
      </c>
      <c r="P295" s="8">
        <v>15</v>
      </c>
      <c r="R295" s="8" t="b">
        <v>0</v>
      </c>
      <c r="S295" s="8" t="b">
        <v>0</v>
      </c>
      <c r="T295" s="8" t="b">
        <v>1</v>
      </c>
      <c r="U295" s="8" t="b">
        <v>1</v>
      </c>
      <c r="V295" s="8" t="b">
        <v>0</v>
      </c>
      <c r="X295" s="8" t="b">
        <v>0</v>
      </c>
      <c r="Y295" s="8" t="b">
        <v>0</v>
      </c>
      <c r="Z295" s="8" t="b">
        <v>0</v>
      </c>
      <c r="AA295" s="8" t="b">
        <v>1</v>
      </c>
      <c r="AB295" s="8" t="b">
        <v>0</v>
      </c>
      <c r="AC295" s="8" t="b">
        <v>0</v>
      </c>
      <c r="AD295" s="8" t="b">
        <v>1</v>
      </c>
      <c r="AE295" s="8" t="b">
        <v>0</v>
      </c>
      <c r="AF295" s="11" t="s">
        <v>967</v>
      </c>
      <c r="AG295" s="11" t="b" cm="1">
        <f t="array" ref="AG295">IF(OR(Y295:AA295="TRUE", AE295="true"), "Threatened")</f>
        <v>0</v>
      </c>
      <c r="AH295" s="11" t="s">
        <v>968</v>
      </c>
      <c r="AI295" s="8" t="b">
        <v>1</v>
      </c>
    </row>
    <row r="296" spans="1:35" ht="31.2">
      <c r="A296" s="8">
        <v>-73.970069159999994</v>
      </c>
      <c r="B296" s="8">
        <v>40.782889359999999</v>
      </c>
      <c r="C296" s="8" t="s">
        <v>969</v>
      </c>
      <c r="D296" s="8" t="s">
        <v>946</v>
      </c>
      <c r="E296" s="8" t="b">
        <f t="shared" si="4"/>
        <v>0</v>
      </c>
      <c r="F296" s="8" t="str" cm="1">
        <f t="array" ref="F296">_xlfn._xlws.FILTER(E296:E3494, C296:C3494= "6D-PM-1020-01", "No Squirrels Found")</f>
        <v>No Squirrels Found</v>
      </c>
      <c r="G296" s="8" t="s">
        <v>34</v>
      </c>
      <c r="H296" s="10">
        <v>10172018</v>
      </c>
      <c r="I296" s="10">
        <v>1</v>
      </c>
      <c r="J296" s="8" t="s">
        <v>39</v>
      </c>
      <c r="K296" s="8" t="s">
        <v>40</v>
      </c>
      <c r="L296" s="8" t="s">
        <v>41</v>
      </c>
      <c r="M296" s="8" t="s">
        <v>42</v>
      </c>
      <c r="O296" s="8" t="s">
        <v>43</v>
      </c>
      <c r="P296" s="8" t="b">
        <v>0</v>
      </c>
      <c r="R296" s="8" t="b">
        <v>0</v>
      </c>
      <c r="S296" s="8" t="b">
        <v>0</v>
      </c>
      <c r="T296" s="8" t="b">
        <v>0</v>
      </c>
      <c r="U296" s="8" t="b">
        <v>0</v>
      </c>
      <c r="V296" s="8" t="b">
        <v>1</v>
      </c>
      <c r="X296" s="8" t="b">
        <v>0</v>
      </c>
      <c r="Y296" s="8" t="b">
        <v>0</v>
      </c>
      <c r="Z296" s="8" t="b">
        <v>0</v>
      </c>
      <c r="AA296" s="8" t="b">
        <v>0</v>
      </c>
      <c r="AB296" s="8" t="b">
        <v>0</v>
      </c>
      <c r="AC296" s="8" t="b">
        <v>0</v>
      </c>
      <c r="AD296" s="8" t="b">
        <v>1</v>
      </c>
      <c r="AE296" s="8" t="b">
        <v>0</v>
      </c>
      <c r="AG296" s="11" t="b" cm="1">
        <f t="array" ref="AG296">IF(OR(Y296:AA296="TRUE", AE296="true"), "Threatened")</f>
        <v>0</v>
      </c>
      <c r="AH296" s="11" t="s">
        <v>970</v>
      </c>
      <c r="AI296" s="8" t="b">
        <v>1</v>
      </c>
    </row>
    <row r="297" spans="1:35" ht="31.2">
      <c r="A297" s="8">
        <v>-73.959696460000004</v>
      </c>
      <c r="B297" s="8">
        <v>40.79577536</v>
      </c>
      <c r="C297" s="8" t="s">
        <v>971</v>
      </c>
      <c r="D297" s="8" t="s">
        <v>972</v>
      </c>
      <c r="E297" s="8" t="b">
        <f t="shared" si="4"/>
        <v>0</v>
      </c>
      <c r="F297" s="8" t="str" cm="1">
        <f t="array" ref="F297">_xlfn._xlws.FILTER(E297:E3495, C297:C3495= "6D-PM-1020-01", "No Squirrels Found")</f>
        <v>No Squirrels Found</v>
      </c>
      <c r="G297" s="8" t="s">
        <v>48</v>
      </c>
      <c r="H297" s="10">
        <v>10182018</v>
      </c>
      <c r="I297" s="10">
        <v>3</v>
      </c>
      <c r="J297" s="8" t="s">
        <v>39</v>
      </c>
      <c r="K297" s="8" t="s">
        <v>40</v>
      </c>
      <c r="M297" s="8" t="s">
        <v>55</v>
      </c>
      <c r="O297" s="8" t="s">
        <v>43</v>
      </c>
      <c r="P297" s="8" t="b">
        <v>0</v>
      </c>
      <c r="R297" s="8" t="b">
        <v>0</v>
      </c>
      <c r="S297" s="8" t="b">
        <v>0</v>
      </c>
      <c r="T297" s="8" t="b">
        <v>0</v>
      </c>
      <c r="U297" s="8" t="b">
        <v>0</v>
      </c>
      <c r="V297" s="8" t="b">
        <v>1</v>
      </c>
      <c r="X297" s="8" t="b">
        <v>0</v>
      </c>
      <c r="Y297" s="8" t="b">
        <v>0</v>
      </c>
      <c r="Z297" s="8" t="b">
        <v>0</v>
      </c>
      <c r="AA297" s="8" t="b">
        <v>0</v>
      </c>
      <c r="AB297" s="8" t="b">
        <v>0</v>
      </c>
      <c r="AC297" s="8" t="b">
        <v>0</v>
      </c>
      <c r="AD297" s="8" t="b">
        <v>0</v>
      </c>
      <c r="AE297" s="8" t="b">
        <v>0</v>
      </c>
      <c r="AG297" s="11" t="b" cm="1">
        <f t="array" ref="AG297">IF(OR(Y297:AA297="TRUE", AE297="true"), "Threatened")</f>
        <v>0</v>
      </c>
      <c r="AH297" s="11" t="s">
        <v>973</v>
      </c>
      <c r="AI297" s="8" t="b">
        <v>1</v>
      </c>
    </row>
    <row r="298" spans="1:35" ht="31.2">
      <c r="A298" s="8">
        <v>-73.968560400000001</v>
      </c>
      <c r="B298" s="8">
        <v>40.777343989999999</v>
      </c>
      <c r="C298" s="8" t="s">
        <v>974</v>
      </c>
      <c r="D298" s="8" t="s">
        <v>246</v>
      </c>
      <c r="E298" s="8" t="b">
        <f t="shared" si="4"/>
        <v>0</v>
      </c>
      <c r="F298" s="8" t="str" cm="1">
        <f t="array" ref="F298">_xlfn._xlws.FILTER(E298:E3496, C298:C3496= "6D-PM-1020-01", "No Squirrels Found")</f>
        <v>No Squirrels Found</v>
      </c>
      <c r="G298" s="8" t="s">
        <v>34</v>
      </c>
      <c r="H298" s="10">
        <v>10102018</v>
      </c>
      <c r="I298" s="10">
        <v>3</v>
      </c>
      <c r="J298" s="8" t="s">
        <v>39</v>
      </c>
      <c r="K298" s="8" t="s">
        <v>40</v>
      </c>
      <c r="M298" s="8" t="s">
        <v>55</v>
      </c>
      <c r="O298" s="8" t="s">
        <v>43</v>
      </c>
      <c r="P298" s="8" t="b">
        <v>0</v>
      </c>
      <c r="R298" s="8" t="b">
        <v>0</v>
      </c>
      <c r="S298" s="8" t="b">
        <v>0</v>
      </c>
      <c r="T298" s="8" t="b">
        <v>0</v>
      </c>
      <c r="U298" s="8" t="b">
        <v>0</v>
      </c>
      <c r="V298" s="8" t="b">
        <v>1</v>
      </c>
      <c r="X298" s="8" t="b">
        <v>0</v>
      </c>
      <c r="Y298" s="8" t="b">
        <v>0</v>
      </c>
      <c r="Z298" s="8" t="b">
        <v>0</v>
      </c>
      <c r="AA298" s="8" t="b">
        <v>0</v>
      </c>
      <c r="AB298" s="8" t="b">
        <v>0</v>
      </c>
      <c r="AC298" s="8" t="b">
        <v>0</v>
      </c>
      <c r="AD298" s="8" t="b">
        <v>1</v>
      </c>
      <c r="AE298" s="8" t="b">
        <v>0</v>
      </c>
      <c r="AG298" s="11" t="b" cm="1">
        <f t="array" ref="AG298">IF(OR(Y298:AA298="TRUE", AE298="true"), "Threatened")</f>
        <v>0</v>
      </c>
      <c r="AH298" s="11" t="s">
        <v>975</v>
      </c>
      <c r="AI298" s="8" t="b">
        <v>1</v>
      </c>
    </row>
    <row r="299" spans="1:35" ht="31.2">
      <c r="A299" s="8">
        <v>-73.957342600000004</v>
      </c>
      <c r="B299" s="8">
        <v>40.794435970000002</v>
      </c>
      <c r="C299" s="8" t="s">
        <v>976</v>
      </c>
      <c r="D299" s="8" t="s">
        <v>38</v>
      </c>
      <c r="E299" s="8" t="b">
        <f t="shared" si="4"/>
        <v>0</v>
      </c>
      <c r="F299" s="8" t="str" cm="1">
        <f t="array" ref="F299">_xlfn._xlws.FILTER(E299:E3497, C299:C3497= "6D-PM-1020-01", "No Squirrels Found")</f>
        <v>No Squirrels Found</v>
      </c>
      <c r="G299" s="8" t="s">
        <v>34</v>
      </c>
      <c r="H299" s="10">
        <v>10062018</v>
      </c>
      <c r="I299" s="10">
        <v>9</v>
      </c>
      <c r="J299" s="8" t="s">
        <v>39</v>
      </c>
      <c r="K299" s="8" t="s">
        <v>41</v>
      </c>
      <c r="L299" s="8" t="s">
        <v>40</v>
      </c>
      <c r="M299" s="8" t="s">
        <v>110</v>
      </c>
      <c r="O299" s="8" t="s">
        <v>43</v>
      </c>
      <c r="P299" s="8" t="b">
        <v>0</v>
      </c>
      <c r="R299" s="8" t="b">
        <v>0</v>
      </c>
      <c r="S299" s="8" t="b">
        <v>0</v>
      </c>
      <c r="T299" s="8" t="b">
        <v>0</v>
      </c>
      <c r="U299" s="8" t="b">
        <v>0</v>
      </c>
      <c r="V299" s="8" t="b">
        <v>0</v>
      </c>
      <c r="W299" s="11" t="s">
        <v>977</v>
      </c>
      <c r="X299" s="8" t="b">
        <v>0</v>
      </c>
      <c r="Y299" s="8" t="b">
        <v>0</v>
      </c>
      <c r="Z299" s="8" t="b">
        <v>0</v>
      </c>
      <c r="AA299" s="8" t="b">
        <v>0</v>
      </c>
      <c r="AB299" s="8" t="b">
        <v>1</v>
      </c>
      <c r="AC299" s="8" t="b">
        <v>1</v>
      </c>
      <c r="AD299" s="8" t="b">
        <v>0</v>
      </c>
      <c r="AE299" s="8" t="b">
        <v>0</v>
      </c>
      <c r="AG299" s="11" t="b" cm="1">
        <f t="array" ref="AG299">IF(OR(Y299:AA299="TRUE", AE299="true"), "Threatened")</f>
        <v>0</v>
      </c>
      <c r="AH299" s="11" t="s">
        <v>978</v>
      </c>
      <c r="AI299" s="8" t="b">
        <v>0</v>
      </c>
    </row>
    <row r="300" spans="1:35" ht="31.2">
      <c r="A300" s="8">
        <v>-73.958621410000006</v>
      </c>
      <c r="B300" s="8">
        <v>40.793747400000001</v>
      </c>
      <c r="C300" s="8" t="s">
        <v>979</v>
      </c>
      <c r="D300" s="8" t="s">
        <v>515</v>
      </c>
      <c r="E300" s="8" t="b">
        <f t="shared" si="4"/>
        <v>0</v>
      </c>
      <c r="F300" s="8" t="str" cm="1">
        <f t="array" ref="F300">_xlfn._xlws.FILTER(E300:E3498, C300:C3498= "6D-PM-1020-01", "No Squirrels Found")</f>
        <v>No Squirrels Found</v>
      </c>
      <c r="G300" s="8" t="s">
        <v>34</v>
      </c>
      <c r="H300" s="10">
        <v>10132018</v>
      </c>
      <c r="I300" s="10">
        <v>3</v>
      </c>
      <c r="J300" s="8" t="s">
        <v>54</v>
      </c>
      <c r="K300" s="8" t="s">
        <v>40</v>
      </c>
      <c r="L300" s="8" t="s">
        <v>84</v>
      </c>
      <c r="M300" s="8" t="s">
        <v>103</v>
      </c>
      <c r="N300" s="11" t="s">
        <v>980</v>
      </c>
      <c r="O300" s="8" t="s">
        <v>50</v>
      </c>
      <c r="P300" s="8">
        <v>2</v>
      </c>
      <c r="Q300" s="8" t="s">
        <v>981</v>
      </c>
      <c r="R300" s="8" t="b">
        <v>0</v>
      </c>
      <c r="S300" s="8" t="b">
        <v>0</v>
      </c>
      <c r="T300" s="8" t="b">
        <v>0</v>
      </c>
      <c r="U300" s="8" t="b">
        <v>1</v>
      </c>
      <c r="V300" s="8" t="b">
        <v>0</v>
      </c>
      <c r="X300" s="8" t="b">
        <v>0</v>
      </c>
      <c r="Y300" s="8" t="b">
        <v>0</v>
      </c>
      <c r="Z300" s="8" t="b">
        <v>0</v>
      </c>
      <c r="AA300" s="8" t="b">
        <v>0</v>
      </c>
      <c r="AB300" s="8" t="b">
        <v>0</v>
      </c>
      <c r="AC300" s="8" t="b">
        <v>0</v>
      </c>
      <c r="AD300" s="8" t="b">
        <v>1</v>
      </c>
      <c r="AE300" s="8" t="b">
        <v>0</v>
      </c>
      <c r="AG300" s="11" t="b" cm="1">
        <f t="array" ref="AG300">IF(OR(Y300:AA300="TRUE", AE300="true"), "Threatened")</f>
        <v>0</v>
      </c>
      <c r="AH300" s="11" t="s">
        <v>982</v>
      </c>
      <c r="AI300" s="8" t="b">
        <v>1</v>
      </c>
    </row>
    <row r="301" spans="1:35" ht="31.2">
      <c r="A301" s="8">
        <v>-73.952814979999999</v>
      </c>
      <c r="B301" s="8">
        <v>40.792498479999999</v>
      </c>
      <c r="C301" s="8" t="s">
        <v>983</v>
      </c>
      <c r="D301" s="8" t="s">
        <v>106</v>
      </c>
      <c r="E301" s="8" t="b">
        <f t="shared" si="4"/>
        <v>0</v>
      </c>
      <c r="F301" s="8" t="str" cm="1">
        <f t="array" ref="F301">_xlfn._xlws.FILTER(E301:E3499, C301:C3499= "6D-PM-1020-01", "No Squirrels Found")</f>
        <v>No Squirrels Found</v>
      </c>
      <c r="G301" s="8" t="s">
        <v>48</v>
      </c>
      <c r="H301" s="10">
        <v>10172018</v>
      </c>
      <c r="I301" s="10">
        <v>6</v>
      </c>
      <c r="J301" s="8" t="s">
        <v>39</v>
      </c>
      <c r="K301" s="8" t="s">
        <v>40</v>
      </c>
      <c r="L301" s="8" t="s">
        <v>192</v>
      </c>
      <c r="M301" s="8" t="s">
        <v>354</v>
      </c>
      <c r="N301" s="11" t="s">
        <v>984</v>
      </c>
      <c r="O301" s="8" t="s">
        <v>50</v>
      </c>
      <c r="P301" s="8">
        <v>10</v>
      </c>
      <c r="Q301" s="8" t="s">
        <v>985</v>
      </c>
      <c r="R301" s="8" t="b">
        <v>1</v>
      </c>
      <c r="S301" s="8" t="b">
        <v>0</v>
      </c>
      <c r="T301" s="8" t="b">
        <v>1</v>
      </c>
      <c r="U301" s="8" t="b">
        <v>0</v>
      </c>
      <c r="V301" s="8" t="b">
        <v>0</v>
      </c>
      <c r="X301" s="8" t="b">
        <v>0</v>
      </c>
      <c r="Y301" s="8" t="b">
        <v>0</v>
      </c>
      <c r="Z301" s="8" t="b">
        <v>0</v>
      </c>
      <c r="AA301" s="8" t="b">
        <v>0</v>
      </c>
      <c r="AB301" s="8" t="b">
        <v>0</v>
      </c>
      <c r="AC301" s="8" t="b">
        <v>0</v>
      </c>
      <c r="AD301" s="8" t="b">
        <v>1</v>
      </c>
      <c r="AE301" s="8" t="b">
        <v>0</v>
      </c>
      <c r="AG301" s="11" t="b" cm="1">
        <f t="array" ref="AG301">IF(OR(Y301:AA301="TRUE", AE301="true"), "Threatened")</f>
        <v>0</v>
      </c>
      <c r="AH301" s="11" t="s">
        <v>986</v>
      </c>
      <c r="AI301" s="8" t="b">
        <v>1</v>
      </c>
    </row>
    <row r="302" spans="1:35" ht="31.2">
      <c r="A302" s="8">
        <v>-73.971742550000002</v>
      </c>
      <c r="B302" s="8">
        <v>40.766422769999998</v>
      </c>
      <c r="C302" s="8" t="s">
        <v>987</v>
      </c>
      <c r="D302" s="8" t="s">
        <v>988</v>
      </c>
      <c r="E302" s="8" t="b">
        <f t="shared" si="4"/>
        <v>0</v>
      </c>
      <c r="F302" s="8" t="str" cm="1">
        <f t="array" ref="F302">_xlfn._xlws.FILTER(E302:E3500, C302:C3500= "6D-PM-1020-01", "No Squirrels Found")</f>
        <v>No Squirrels Found</v>
      </c>
      <c r="G302" s="8" t="s">
        <v>34</v>
      </c>
      <c r="H302" s="10">
        <v>10132018</v>
      </c>
      <c r="I302" s="10">
        <v>7</v>
      </c>
      <c r="J302" s="8" t="s">
        <v>39</v>
      </c>
      <c r="K302" s="8" t="s">
        <v>40</v>
      </c>
      <c r="L302" s="8" t="s">
        <v>192</v>
      </c>
      <c r="M302" s="8" t="s">
        <v>354</v>
      </c>
      <c r="O302" s="8" t="s">
        <v>43</v>
      </c>
      <c r="P302" s="8" t="b">
        <v>0</v>
      </c>
      <c r="R302" s="8" t="b">
        <v>0</v>
      </c>
      <c r="S302" s="8" t="b">
        <v>0</v>
      </c>
      <c r="T302" s="8" t="b">
        <v>0</v>
      </c>
      <c r="U302" s="8" t="b">
        <v>0</v>
      </c>
      <c r="V302" s="8" t="b">
        <v>1</v>
      </c>
      <c r="X302" s="8" t="b">
        <v>0</v>
      </c>
      <c r="Y302" s="8" t="b">
        <v>0</v>
      </c>
      <c r="Z302" s="8" t="b">
        <v>0</v>
      </c>
      <c r="AA302" s="8" t="b">
        <v>0</v>
      </c>
      <c r="AB302" s="8" t="b">
        <v>0</v>
      </c>
      <c r="AC302" s="8" t="b">
        <v>0</v>
      </c>
      <c r="AD302" s="8" t="b">
        <v>1</v>
      </c>
      <c r="AE302" s="8" t="b">
        <v>0</v>
      </c>
      <c r="AG302" s="11" t="b" cm="1">
        <f t="array" ref="AG302">IF(OR(Y302:AA302="TRUE", AE302="true"), "Threatened")</f>
        <v>0</v>
      </c>
      <c r="AH302" s="11" t="s">
        <v>989</v>
      </c>
      <c r="AI302" s="8" t="b">
        <v>1</v>
      </c>
    </row>
    <row r="303" spans="1:35" ht="31.2">
      <c r="A303" s="8">
        <v>-73.969517640000007</v>
      </c>
      <c r="B303" s="8">
        <v>40.77417252</v>
      </c>
      <c r="C303" s="8" t="s">
        <v>990</v>
      </c>
      <c r="D303" s="8" t="s">
        <v>991</v>
      </c>
      <c r="E303" s="8" t="b">
        <f t="shared" si="4"/>
        <v>0</v>
      </c>
      <c r="F303" s="8" t="str" cm="1">
        <f t="array" ref="F303">_xlfn._xlws.FILTER(E303:E3501, C303:C3501= "6D-PM-1020-01", "No Squirrels Found")</f>
        <v>No Squirrels Found</v>
      </c>
      <c r="G303" s="8" t="s">
        <v>34</v>
      </c>
      <c r="H303" s="10">
        <v>10072018</v>
      </c>
      <c r="I303" s="10">
        <v>4</v>
      </c>
      <c r="K303" s="8" t="s">
        <v>40</v>
      </c>
      <c r="L303" s="8" t="s">
        <v>41</v>
      </c>
      <c r="M303" s="8" t="s">
        <v>42</v>
      </c>
      <c r="O303" s="8" t="s">
        <v>43</v>
      </c>
      <c r="P303" s="8" t="b">
        <v>0</v>
      </c>
      <c r="R303" s="8" t="b">
        <v>0</v>
      </c>
      <c r="S303" s="8" t="b">
        <v>0</v>
      </c>
      <c r="T303" s="8" t="b">
        <v>0</v>
      </c>
      <c r="U303" s="8" t="b">
        <v>0</v>
      </c>
      <c r="V303" s="8" t="b">
        <v>1</v>
      </c>
      <c r="X303" s="8" t="b">
        <v>0</v>
      </c>
      <c r="Y303" s="8" t="b">
        <v>0</v>
      </c>
      <c r="Z303" s="8" t="b">
        <v>0</v>
      </c>
      <c r="AA303" s="8" t="b">
        <v>0</v>
      </c>
      <c r="AB303" s="8" t="b">
        <v>0</v>
      </c>
      <c r="AC303" s="8" t="b">
        <v>0</v>
      </c>
      <c r="AD303" s="8" t="b">
        <v>0</v>
      </c>
      <c r="AE303" s="8" t="b">
        <v>1</v>
      </c>
      <c r="AG303" s="11" t="b" cm="1">
        <f t="array" ref="AG303">IF(OR(Y303:AA303="TRUE", AE303="true"), "Threatened")</f>
        <v>0</v>
      </c>
      <c r="AH303" s="11" t="s">
        <v>992</v>
      </c>
      <c r="AI303" s="8" t="b">
        <v>1</v>
      </c>
    </row>
    <row r="304" spans="1:35" ht="31.2">
      <c r="A304" s="8">
        <v>-73.976234820000002</v>
      </c>
      <c r="B304" s="8">
        <v>40.769452229999999</v>
      </c>
      <c r="C304" s="8" t="s">
        <v>993</v>
      </c>
      <c r="D304" s="8" t="s">
        <v>544</v>
      </c>
      <c r="E304" s="8" t="b">
        <f t="shared" si="4"/>
        <v>0</v>
      </c>
      <c r="F304" s="8" t="str" cm="1">
        <f t="array" ref="F304">_xlfn._xlws.FILTER(E304:E3502, C304:C3502= "6D-PM-1020-01", "No Squirrels Found")</f>
        <v>No Squirrels Found</v>
      </c>
      <c r="G304" s="8" t="s">
        <v>34</v>
      </c>
      <c r="H304" s="10">
        <v>10082018</v>
      </c>
      <c r="I304" s="10">
        <v>8</v>
      </c>
      <c r="J304" s="8" t="s">
        <v>39</v>
      </c>
      <c r="K304" s="8" t="s">
        <v>41</v>
      </c>
      <c r="L304" s="8" t="s">
        <v>135</v>
      </c>
      <c r="M304" s="8" t="s">
        <v>136</v>
      </c>
      <c r="O304" s="8" t="s">
        <v>43</v>
      </c>
      <c r="P304" s="8" t="b">
        <v>0</v>
      </c>
      <c r="R304" s="8" t="b">
        <v>0</v>
      </c>
      <c r="S304" s="8" t="b">
        <v>0</v>
      </c>
      <c r="T304" s="8" t="b">
        <v>1</v>
      </c>
      <c r="U304" s="8" t="b">
        <v>1</v>
      </c>
      <c r="V304" s="8" t="b">
        <v>1</v>
      </c>
      <c r="W304" s="11" t="s">
        <v>994</v>
      </c>
      <c r="X304" s="8" t="b">
        <v>0</v>
      </c>
      <c r="Y304" s="8" t="b">
        <v>0</v>
      </c>
      <c r="Z304" s="8" t="b">
        <v>0</v>
      </c>
      <c r="AA304" s="8" t="b">
        <v>0</v>
      </c>
      <c r="AB304" s="8" t="b">
        <v>0</v>
      </c>
      <c r="AC304" s="8" t="b">
        <v>0</v>
      </c>
      <c r="AD304" s="8" t="b">
        <v>0</v>
      </c>
      <c r="AE304" s="8" t="b">
        <v>1</v>
      </c>
      <c r="AG304" s="11" t="b" cm="1">
        <f t="array" ref="AG304">IF(OR(Y304:AA304="TRUE", AE304="true"), "Threatened")</f>
        <v>0</v>
      </c>
      <c r="AH304" s="11" t="s">
        <v>995</v>
      </c>
      <c r="AI304" s="8" t="b">
        <v>0</v>
      </c>
    </row>
    <row r="305" spans="1:35" ht="31.2">
      <c r="A305" s="8">
        <v>-73.952300179999995</v>
      </c>
      <c r="B305" s="8">
        <v>40.794923099999998</v>
      </c>
      <c r="C305" s="8" t="s">
        <v>996</v>
      </c>
      <c r="D305" s="8" t="s">
        <v>559</v>
      </c>
      <c r="E305" s="8" t="b">
        <f t="shared" si="4"/>
        <v>0</v>
      </c>
      <c r="F305" s="8" t="str" cm="1">
        <f t="array" ref="F305">_xlfn._xlws.FILTER(E305:E3503, C305:C3503= "6D-PM-1020-01", "No Squirrels Found")</f>
        <v>No Squirrels Found</v>
      </c>
      <c r="G305" s="8" t="s">
        <v>48</v>
      </c>
      <c r="H305" s="10">
        <v>10072018</v>
      </c>
      <c r="I305" s="10">
        <v>2</v>
      </c>
      <c r="J305" s="8" t="s">
        <v>39</v>
      </c>
      <c r="K305" s="8" t="s">
        <v>40</v>
      </c>
      <c r="L305" s="8" t="s">
        <v>41</v>
      </c>
      <c r="M305" s="8" t="s">
        <v>42</v>
      </c>
      <c r="O305" s="8" t="s">
        <v>43</v>
      </c>
      <c r="P305" s="8" t="b">
        <v>0</v>
      </c>
      <c r="R305" s="8" t="b">
        <v>0</v>
      </c>
      <c r="S305" s="8" t="b">
        <v>0</v>
      </c>
      <c r="T305" s="8" t="b">
        <v>0</v>
      </c>
      <c r="U305" s="8" t="b">
        <v>1</v>
      </c>
      <c r="V305" s="8" t="b">
        <v>1</v>
      </c>
      <c r="X305" s="8" t="b">
        <v>0</v>
      </c>
      <c r="Y305" s="8" t="b">
        <v>0</v>
      </c>
      <c r="Z305" s="8" t="b">
        <v>0</v>
      </c>
      <c r="AA305" s="8" t="b">
        <v>0</v>
      </c>
      <c r="AB305" s="8" t="b">
        <v>1</v>
      </c>
      <c r="AC305" s="8" t="b">
        <v>0</v>
      </c>
      <c r="AD305" s="8" t="b">
        <v>1</v>
      </c>
      <c r="AE305" s="8" t="b">
        <v>0</v>
      </c>
      <c r="AG305" s="11" t="b" cm="1">
        <f t="array" ref="AG305">IF(OR(Y305:AA305="TRUE", AE305="true"), "Threatened")</f>
        <v>0</v>
      </c>
      <c r="AH305" s="11" t="s">
        <v>997</v>
      </c>
      <c r="AI305" s="8" t="b">
        <v>1</v>
      </c>
    </row>
    <row r="306" spans="1:35" ht="31.2">
      <c r="A306" s="8">
        <v>-73.975028379999998</v>
      </c>
      <c r="B306" s="8">
        <v>40.772410190000002</v>
      </c>
      <c r="C306" s="8" t="s">
        <v>998</v>
      </c>
      <c r="D306" s="8" t="s">
        <v>805</v>
      </c>
      <c r="E306" s="8" t="b">
        <f t="shared" si="4"/>
        <v>0</v>
      </c>
      <c r="F306" s="8" t="str" cm="1">
        <f t="array" ref="F306">_xlfn._xlws.FILTER(E306:E3504, C306:C3504= "6D-PM-1020-01", "No Squirrels Found")</f>
        <v>No Squirrels Found</v>
      </c>
      <c r="G306" s="8" t="s">
        <v>34</v>
      </c>
      <c r="H306" s="10">
        <v>10132018</v>
      </c>
      <c r="I306" s="10">
        <v>8</v>
      </c>
      <c r="K306" s="8" t="s">
        <v>41</v>
      </c>
      <c r="L306" s="8" t="s">
        <v>40</v>
      </c>
      <c r="M306" s="8" t="s">
        <v>110</v>
      </c>
      <c r="O306" s="8" t="s">
        <v>43</v>
      </c>
      <c r="P306" s="8" t="b">
        <v>0</v>
      </c>
      <c r="R306" s="8" t="b">
        <v>0</v>
      </c>
      <c r="S306" s="8" t="b">
        <v>0</v>
      </c>
      <c r="T306" s="8" t="b">
        <v>0</v>
      </c>
      <c r="U306" s="8" t="b">
        <v>0</v>
      </c>
      <c r="V306" s="8" t="b">
        <v>1</v>
      </c>
      <c r="X306" s="8" t="b">
        <v>0</v>
      </c>
      <c r="Y306" s="8" t="b">
        <v>0</v>
      </c>
      <c r="Z306" s="8" t="b">
        <v>0</v>
      </c>
      <c r="AA306" s="8" t="b">
        <v>0</v>
      </c>
      <c r="AB306" s="8" t="b">
        <v>0</v>
      </c>
      <c r="AC306" s="8" t="b">
        <v>0</v>
      </c>
      <c r="AD306" s="8" t="b">
        <v>1</v>
      </c>
      <c r="AE306" s="8" t="b">
        <v>0</v>
      </c>
      <c r="AG306" s="11" t="b" cm="1">
        <f t="array" ref="AG306">IF(OR(Y306:AA306="TRUE", AE306="true"), "Threatened")</f>
        <v>0</v>
      </c>
      <c r="AH306" s="11" t="s">
        <v>999</v>
      </c>
      <c r="AI306" s="8" t="b">
        <v>1</v>
      </c>
    </row>
    <row r="307" spans="1:35" ht="31.2">
      <c r="A307" s="8">
        <v>-73.968970010000007</v>
      </c>
      <c r="B307" s="8">
        <v>40.77751696</v>
      </c>
      <c r="C307" s="8" t="s">
        <v>1000</v>
      </c>
      <c r="D307" s="8" t="s">
        <v>150</v>
      </c>
      <c r="E307" s="8" t="b">
        <f t="shared" si="4"/>
        <v>0</v>
      </c>
      <c r="F307" s="8" t="str" cm="1">
        <f t="array" ref="F307">_xlfn._xlws.FILTER(E307:E3505, C307:C3505= "6D-PM-1020-01", "No Squirrels Found")</f>
        <v>No Squirrels Found</v>
      </c>
      <c r="G307" s="8" t="s">
        <v>34</v>
      </c>
      <c r="H307" s="10">
        <v>10082018</v>
      </c>
      <c r="I307" s="10">
        <v>5</v>
      </c>
      <c r="J307" s="8" t="s">
        <v>39</v>
      </c>
      <c r="K307" s="8" t="s">
        <v>40</v>
      </c>
      <c r="M307" s="8" t="s">
        <v>55</v>
      </c>
      <c r="O307" s="8" t="s">
        <v>50</v>
      </c>
      <c r="P307" s="8">
        <v>20</v>
      </c>
      <c r="R307" s="8" t="b">
        <v>0</v>
      </c>
      <c r="S307" s="8" t="b">
        <v>0</v>
      </c>
      <c r="T307" s="8" t="b">
        <v>0</v>
      </c>
      <c r="U307" s="8" t="b">
        <v>0</v>
      </c>
      <c r="V307" s="8" t="b">
        <v>0</v>
      </c>
      <c r="W307" s="11" t="s">
        <v>141</v>
      </c>
      <c r="X307" s="8" t="b">
        <v>0</v>
      </c>
      <c r="Y307" s="8" t="b">
        <v>1</v>
      </c>
      <c r="Z307" s="8" t="b">
        <v>0</v>
      </c>
      <c r="AA307" s="8" t="b">
        <v>0</v>
      </c>
      <c r="AB307" s="8" t="b">
        <v>0</v>
      </c>
      <c r="AC307" s="8" t="b">
        <v>0</v>
      </c>
      <c r="AD307" s="8" t="b">
        <v>0</v>
      </c>
      <c r="AE307" s="8" t="b">
        <v>0</v>
      </c>
      <c r="AG307" s="11" t="b" cm="1">
        <f t="array" ref="AG307">IF(OR(Y307:AA307="TRUE", AE307="true"), "Threatened")</f>
        <v>0</v>
      </c>
      <c r="AH307" s="11" t="s">
        <v>1001</v>
      </c>
      <c r="AI307" s="8" t="b">
        <v>0</v>
      </c>
    </row>
    <row r="308" spans="1:35" ht="31.2">
      <c r="A308" s="8">
        <v>-73.968396580000004</v>
      </c>
      <c r="B308" s="8">
        <v>40.771867980000003</v>
      </c>
      <c r="C308" s="8" t="s">
        <v>1002</v>
      </c>
      <c r="D308" s="8" t="s">
        <v>1003</v>
      </c>
      <c r="E308" s="8" t="b">
        <f t="shared" si="4"/>
        <v>0</v>
      </c>
      <c r="F308" s="8" t="str" cm="1">
        <f t="array" ref="F308">_xlfn._xlws.FILTER(E308:E3506, C308:C3506= "6D-PM-1020-01", "No Squirrels Found")</f>
        <v>No Squirrels Found</v>
      </c>
      <c r="G308" s="8" t="s">
        <v>48</v>
      </c>
      <c r="H308" s="10">
        <v>10102018</v>
      </c>
      <c r="I308" s="10">
        <v>3</v>
      </c>
      <c r="J308" s="8" t="s">
        <v>39</v>
      </c>
      <c r="K308" s="8" t="s">
        <v>40</v>
      </c>
      <c r="L308" s="8" t="s">
        <v>84</v>
      </c>
      <c r="M308" s="8" t="s">
        <v>103</v>
      </c>
      <c r="O308" s="8" t="s">
        <v>43</v>
      </c>
      <c r="P308" s="8" t="b">
        <v>0</v>
      </c>
      <c r="R308" s="8" t="b">
        <v>0</v>
      </c>
      <c r="S308" s="8" t="b">
        <v>0</v>
      </c>
      <c r="T308" s="8" t="b">
        <v>0</v>
      </c>
      <c r="U308" s="8" t="b">
        <v>0</v>
      </c>
      <c r="V308" s="8" t="b">
        <v>1</v>
      </c>
      <c r="X308" s="8" t="b">
        <v>0</v>
      </c>
      <c r="Y308" s="8" t="b">
        <v>0</v>
      </c>
      <c r="Z308" s="8" t="b">
        <v>0</v>
      </c>
      <c r="AA308" s="8" t="b">
        <v>0</v>
      </c>
      <c r="AB308" s="8" t="b">
        <v>0</v>
      </c>
      <c r="AC308" s="8" t="b">
        <v>0</v>
      </c>
      <c r="AD308" s="8" t="b">
        <v>1</v>
      </c>
      <c r="AE308" s="8" t="b">
        <v>0</v>
      </c>
      <c r="AG308" s="11" t="b" cm="1">
        <f t="array" ref="AG308">IF(OR(Y308:AA308="TRUE", AE308="true"), "Threatened")</f>
        <v>0</v>
      </c>
      <c r="AH308" s="11" t="s">
        <v>1004</v>
      </c>
      <c r="AI308" s="8" t="b">
        <v>1</v>
      </c>
    </row>
    <row r="309" spans="1:35" ht="31.2">
      <c r="A309" s="8">
        <v>-73.955409579999994</v>
      </c>
      <c r="B309" s="8">
        <v>40.788730579999999</v>
      </c>
      <c r="C309" s="8" t="s">
        <v>1005</v>
      </c>
      <c r="D309" s="8" t="s">
        <v>877</v>
      </c>
      <c r="E309" s="8" t="b">
        <f t="shared" si="4"/>
        <v>0</v>
      </c>
      <c r="F309" s="8" t="str" cm="1">
        <f t="array" ref="F309">_xlfn._xlws.FILTER(E309:E3507, C309:C3507= "6D-PM-1020-01", "No Squirrels Found")</f>
        <v>No Squirrels Found</v>
      </c>
      <c r="G309" s="8" t="s">
        <v>48</v>
      </c>
      <c r="H309" s="10">
        <v>10132018</v>
      </c>
      <c r="I309" s="10">
        <v>1</v>
      </c>
      <c r="J309" s="8" t="s">
        <v>39</v>
      </c>
      <c r="K309" s="8" t="s">
        <v>40</v>
      </c>
      <c r="L309" s="8" t="s">
        <v>41</v>
      </c>
      <c r="M309" s="8" t="s">
        <v>42</v>
      </c>
      <c r="O309" s="8" t="s">
        <v>43</v>
      </c>
      <c r="P309" s="8" t="b">
        <v>0</v>
      </c>
      <c r="R309" s="8" t="b">
        <v>0</v>
      </c>
      <c r="S309" s="8" t="b">
        <v>0</v>
      </c>
      <c r="T309" s="8" t="b">
        <v>0</v>
      </c>
      <c r="U309" s="8" t="b">
        <v>0</v>
      </c>
      <c r="V309" s="8" t="b">
        <v>1</v>
      </c>
      <c r="X309" s="8" t="b">
        <v>0</v>
      </c>
      <c r="Y309" s="8" t="b">
        <v>0</v>
      </c>
      <c r="Z309" s="8" t="b">
        <v>0</v>
      </c>
      <c r="AA309" s="8" t="b">
        <v>1</v>
      </c>
      <c r="AB309" s="8" t="b">
        <v>0</v>
      </c>
      <c r="AC309" s="8" t="b">
        <v>0</v>
      </c>
      <c r="AD309" s="8" t="b">
        <v>1</v>
      </c>
      <c r="AE309" s="8" t="b">
        <v>0</v>
      </c>
      <c r="AG309" s="11" t="b" cm="1">
        <f t="array" ref="AG309">IF(OR(Y309:AA309="TRUE", AE309="true"), "Threatened")</f>
        <v>0</v>
      </c>
      <c r="AH309" s="11" t="s">
        <v>1006</v>
      </c>
      <c r="AI309" s="8" t="b">
        <v>1</v>
      </c>
    </row>
    <row r="310" spans="1:35" ht="31.2">
      <c r="A310" s="8">
        <v>-73.969600119999996</v>
      </c>
      <c r="B310" s="8">
        <v>40.782081069999997</v>
      </c>
      <c r="C310" s="8" t="s">
        <v>1007</v>
      </c>
      <c r="D310" s="8" t="s">
        <v>422</v>
      </c>
      <c r="E310" s="8" t="b">
        <f t="shared" si="4"/>
        <v>0</v>
      </c>
      <c r="F310" s="8" t="str" cm="1">
        <f t="array" ref="F310">_xlfn._xlws.FILTER(E310:E3508, C310:C3508= "6D-PM-1020-01", "No Squirrels Found")</f>
        <v>No Squirrels Found</v>
      </c>
      <c r="G310" s="8" t="s">
        <v>34</v>
      </c>
      <c r="H310" s="10">
        <v>10182018</v>
      </c>
      <c r="I310" s="10">
        <v>5</v>
      </c>
      <c r="J310" s="8" t="s">
        <v>54</v>
      </c>
      <c r="K310" s="8" t="s">
        <v>40</v>
      </c>
      <c r="L310" s="8" t="s">
        <v>117</v>
      </c>
      <c r="M310" s="8" t="s">
        <v>118</v>
      </c>
      <c r="N310" s="11" t="s">
        <v>1008</v>
      </c>
      <c r="O310" s="8" t="s">
        <v>43</v>
      </c>
      <c r="P310" s="8" t="b">
        <v>0</v>
      </c>
      <c r="R310" s="8" t="b">
        <v>0</v>
      </c>
      <c r="S310" s="8" t="b">
        <v>0</v>
      </c>
      <c r="T310" s="8" t="b">
        <v>0</v>
      </c>
      <c r="U310" s="8" t="b">
        <v>1</v>
      </c>
      <c r="V310" s="8" t="b">
        <v>0</v>
      </c>
      <c r="X310" s="8" t="b">
        <v>0</v>
      </c>
      <c r="Y310" s="8" t="b">
        <v>0</v>
      </c>
      <c r="Z310" s="8" t="b">
        <v>0</v>
      </c>
      <c r="AA310" s="8" t="b">
        <v>0</v>
      </c>
      <c r="AB310" s="8" t="b">
        <v>0</v>
      </c>
      <c r="AC310" s="8" t="b">
        <v>0</v>
      </c>
      <c r="AD310" s="8" t="b">
        <v>1</v>
      </c>
      <c r="AE310" s="8" t="b">
        <v>0</v>
      </c>
      <c r="AG310" s="11" t="b" cm="1">
        <f t="array" ref="AG310">IF(OR(Y310:AA310="TRUE", AE310="true"), "Threatened")</f>
        <v>0</v>
      </c>
      <c r="AH310" s="11" t="s">
        <v>1009</v>
      </c>
      <c r="AI310" s="8" t="b">
        <v>1</v>
      </c>
    </row>
    <row r="311" spans="1:35" ht="31.2">
      <c r="A311" s="8">
        <v>-73.979508129999999</v>
      </c>
      <c r="B311" s="8">
        <v>40.769143149999998</v>
      </c>
      <c r="C311" s="8" t="s">
        <v>1010</v>
      </c>
      <c r="D311" s="8" t="s">
        <v>465</v>
      </c>
      <c r="E311" s="8" t="b">
        <f t="shared" si="4"/>
        <v>0</v>
      </c>
      <c r="F311" s="8" t="str" cm="1">
        <f t="array" ref="F311">_xlfn._xlws.FILTER(E311:E3509, C311:C3509= "6D-PM-1020-01", "No Squirrels Found")</f>
        <v>No Squirrels Found</v>
      </c>
      <c r="G311" s="8" t="s">
        <v>34</v>
      </c>
      <c r="H311" s="10">
        <v>10072018</v>
      </c>
      <c r="I311" s="10">
        <v>3</v>
      </c>
      <c r="J311" s="8" t="s">
        <v>39</v>
      </c>
      <c r="K311" s="8" t="s">
        <v>40</v>
      </c>
      <c r="M311" s="8" t="s">
        <v>55</v>
      </c>
      <c r="O311" s="8" t="s">
        <v>43</v>
      </c>
      <c r="P311" s="8" t="b">
        <v>0</v>
      </c>
      <c r="R311" s="8" t="b">
        <v>0</v>
      </c>
      <c r="S311" s="8" t="b">
        <v>0</v>
      </c>
      <c r="T311" s="8" t="b">
        <v>0</v>
      </c>
      <c r="U311" s="8" t="b">
        <v>0</v>
      </c>
      <c r="V311" s="8" t="b">
        <v>1</v>
      </c>
      <c r="X311" s="8" t="b">
        <v>0</v>
      </c>
      <c r="Y311" s="8" t="b">
        <v>0</v>
      </c>
      <c r="Z311" s="8" t="b">
        <v>0</v>
      </c>
      <c r="AA311" s="8" t="b">
        <v>0</v>
      </c>
      <c r="AB311" s="8" t="b">
        <v>1</v>
      </c>
      <c r="AC311" s="8" t="b">
        <v>0</v>
      </c>
      <c r="AD311" s="8" t="b">
        <v>0</v>
      </c>
      <c r="AE311" s="8" t="b">
        <v>0</v>
      </c>
      <c r="AG311" s="11" t="b" cm="1">
        <f t="array" ref="AG311">IF(OR(Y311:AA311="TRUE", AE311="true"), "Threatened")</f>
        <v>0</v>
      </c>
      <c r="AH311" s="11" t="s">
        <v>1011</v>
      </c>
      <c r="AI311" s="8" t="b">
        <v>1</v>
      </c>
    </row>
    <row r="312" spans="1:35" ht="31.2">
      <c r="A312" s="8">
        <v>-73.957877960000005</v>
      </c>
      <c r="B312" s="8">
        <v>40.793411650000003</v>
      </c>
      <c r="C312" s="8" t="s">
        <v>1012</v>
      </c>
      <c r="D312" s="8" t="s">
        <v>493</v>
      </c>
      <c r="E312" s="8" t="b">
        <f t="shared" si="4"/>
        <v>0</v>
      </c>
      <c r="F312" s="8" t="str" cm="1">
        <f t="array" ref="F312">_xlfn._xlws.FILTER(E312:E3510, C312:C3510= "6D-PM-1020-01", "No Squirrels Found")</f>
        <v>No Squirrels Found</v>
      </c>
      <c r="G312" s="8" t="s">
        <v>34</v>
      </c>
      <c r="H312" s="10">
        <v>10062018</v>
      </c>
      <c r="I312" s="10">
        <v>6</v>
      </c>
      <c r="J312" s="8" t="s">
        <v>39</v>
      </c>
      <c r="K312" s="8" t="s">
        <v>40</v>
      </c>
      <c r="M312" s="8" t="s">
        <v>55</v>
      </c>
      <c r="O312" s="8" t="s">
        <v>50</v>
      </c>
      <c r="R312" s="8" t="b">
        <v>0</v>
      </c>
      <c r="S312" s="8" t="b">
        <v>0</v>
      </c>
      <c r="T312" s="8" t="b">
        <v>0</v>
      </c>
      <c r="U312" s="8" t="b">
        <v>0</v>
      </c>
      <c r="V312" s="8" t="b">
        <v>1</v>
      </c>
      <c r="X312" s="8" t="b">
        <v>0</v>
      </c>
      <c r="Y312" s="8" t="b">
        <v>0</v>
      </c>
      <c r="Z312" s="8" t="b">
        <v>0</v>
      </c>
      <c r="AA312" s="8" t="b">
        <v>0</v>
      </c>
      <c r="AB312" s="8" t="b">
        <v>0</v>
      </c>
      <c r="AC312" s="8" t="b">
        <v>0</v>
      </c>
      <c r="AD312" s="8" t="b">
        <v>0</v>
      </c>
      <c r="AE312" s="8" t="b">
        <v>0</v>
      </c>
      <c r="AG312" s="11" t="b" cm="1">
        <f t="array" ref="AG312">IF(OR(Y312:AA312="TRUE", AE312="true"), "Threatened")</f>
        <v>0</v>
      </c>
      <c r="AH312" s="11" t="s">
        <v>1013</v>
      </c>
      <c r="AI312" s="8" t="b">
        <v>1</v>
      </c>
    </row>
    <row r="313" spans="1:35" ht="31.2">
      <c r="A313" s="8">
        <v>-73.958356109999997</v>
      </c>
      <c r="B313" s="8">
        <v>40.796014460000002</v>
      </c>
      <c r="C313" s="8" t="s">
        <v>1014</v>
      </c>
      <c r="D313" s="8" t="s">
        <v>191</v>
      </c>
      <c r="E313" s="8" t="b">
        <f t="shared" si="4"/>
        <v>0</v>
      </c>
      <c r="F313" s="8" t="str" cm="1">
        <f t="array" ref="F313">_xlfn._xlws.FILTER(E313:E3511, C313:C3511= "6D-PM-1020-01", "No Squirrels Found")</f>
        <v>No Squirrels Found</v>
      </c>
      <c r="G313" s="8" t="s">
        <v>48</v>
      </c>
      <c r="H313" s="10">
        <v>10192018</v>
      </c>
      <c r="I313" s="10">
        <v>7</v>
      </c>
      <c r="J313" s="8" t="s">
        <v>39</v>
      </c>
      <c r="K313" s="8" t="s">
        <v>40</v>
      </c>
      <c r="L313" s="8" t="s">
        <v>41</v>
      </c>
      <c r="M313" s="8" t="s">
        <v>42</v>
      </c>
      <c r="N313" s="11" t="s">
        <v>1015</v>
      </c>
      <c r="O313" s="8" t="s">
        <v>43</v>
      </c>
      <c r="P313" s="8" t="b">
        <v>0</v>
      </c>
      <c r="R313" s="8" t="b">
        <v>1</v>
      </c>
      <c r="S313" s="8" t="b">
        <v>0</v>
      </c>
      <c r="T313" s="8" t="b">
        <v>0</v>
      </c>
      <c r="U313" s="8" t="b">
        <v>0</v>
      </c>
      <c r="V313" s="8" t="b">
        <v>1</v>
      </c>
      <c r="X313" s="8" t="b">
        <v>0</v>
      </c>
      <c r="Y313" s="8" t="b">
        <v>0</v>
      </c>
      <c r="Z313" s="8" t="b">
        <v>0</v>
      </c>
      <c r="AA313" s="8" t="b">
        <v>0</v>
      </c>
      <c r="AB313" s="8" t="b">
        <v>1</v>
      </c>
      <c r="AC313" s="8" t="b">
        <v>0</v>
      </c>
      <c r="AD313" s="8" t="b">
        <v>0</v>
      </c>
      <c r="AE313" s="8" t="b">
        <v>1</v>
      </c>
      <c r="AG313" s="11" t="b" cm="1">
        <f t="array" ref="AG313">IF(OR(Y313:AA313="TRUE", AE313="true"), "Threatened")</f>
        <v>0</v>
      </c>
      <c r="AH313" s="11" t="s">
        <v>1016</v>
      </c>
      <c r="AI313" s="8" t="b">
        <v>1</v>
      </c>
    </row>
    <row r="314" spans="1:35" ht="31.2">
      <c r="A314" s="8">
        <v>-73.964661030000002</v>
      </c>
      <c r="B314" s="8">
        <v>40.77905835</v>
      </c>
      <c r="C314" s="8" t="s">
        <v>1017</v>
      </c>
      <c r="D314" s="8" t="s">
        <v>1018</v>
      </c>
      <c r="E314" s="8" t="b">
        <f t="shared" si="4"/>
        <v>0</v>
      </c>
      <c r="F314" s="8" t="str" cm="1">
        <f t="array" ref="F314">_xlfn._xlws.FILTER(E314:E3512, C314:C3512= "6D-PM-1020-01", "No Squirrels Found")</f>
        <v>No Squirrels Found</v>
      </c>
      <c r="G314" s="8" t="s">
        <v>48</v>
      </c>
      <c r="H314" s="10">
        <v>10102018</v>
      </c>
      <c r="I314" s="10">
        <v>5</v>
      </c>
      <c r="J314" s="8" t="s">
        <v>39</v>
      </c>
      <c r="K314" s="8" t="s">
        <v>40</v>
      </c>
      <c r="L314" s="8" t="s">
        <v>41</v>
      </c>
      <c r="M314" s="8" t="s">
        <v>42</v>
      </c>
      <c r="O314" s="8" t="s">
        <v>43</v>
      </c>
      <c r="P314" s="8" t="b">
        <v>0</v>
      </c>
      <c r="Q314" s="8" t="s">
        <v>1019</v>
      </c>
      <c r="R314" s="8" t="b">
        <v>0</v>
      </c>
      <c r="S314" s="8" t="b">
        <v>0</v>
      </c>
      <c r="T314" s="8" t="b">
        <v>0</v>
      </c>
      <c r="U314" s="8" t="b">
        <v>1</v>
      </c>
      <c r="V314" s="8" t="b">
        <v>1</v>
      </c>
      <c r="X314" s="8" t="b">
        <v>0</v>
      </c>
      <c r="Y314" s="8" t="b">
        <v>0</v>
      </c>
      <c r="Z314" s="8" t="b">
        <v>0</v>
      </c>
      <c r="AA314" s="8" t="b">
        <v>0</v>
      </c>
      <c r="AB314" s="8" t="b">
        <v>0</v>
      </c>
      <c r="AC314" s="8" t="b">
        <v>0</v>
      </c>
      <c r="AD314" s="8" t="b">
        <v>0</v>
      </c>
      <c r="AE314" s="8" t="b">
        <v>1</v>
      </c>
      <c r="AG314" s="11" t="b" cm="1">
        <f t="array" ref="AG314">IF(OR(Y314:AA314="TRUE", AE314="true"), "Threatened")</f>
        <v>0</v>
      </c>
      <c r="AH314" s="11" t="s">
        <v>1020</v>
      </c>
      <c r="AI314" s="8" t="b">
        <v>1</v>
      </c>
    </row>
    <row r="315" spans="1:35" ht="31.2">
      <c r="A315" s="8">
        <v>-73.960601069999996</v>
      </c>
      <c r="B315" s="8">
        <v>40.791724389999999</v>
      </c>
      <c r="C315" s="8" t="s">
        <v>1021</v>
      </c>
      <c r="D315" s="8" t="s">
        <v>309</v>
      </c>
      <c r="E315" s="8" t="b">
        <f t="shared" si="4"/>
        <v>0</v>
      </c>
      <c r="F315" s="8" t="str" cm="1">
        <f t="array" ref="F315">_xlfn._xlws.FILTER(E315:E3513, C315:C3513= "6D-PM-1020-01", "No Squirrels Found")</f>
        <v>No Squirrels Found</v>
      </c>
      <c r="G315" s="8" t="s">
        <v>34</v>
      </c>
      <c r="H315" s="10">
        <v>10062018</v>
      </c>
      <c r="I315" s="10">
        <v>9</v>
      </c>
      <c r="J315" s="8" t="s">
        <v>54</v>
      </c>
      <c r="K315" s="8" t="s">
        <v>40</v>
      </c>
      <c r="L315" s="8" t="s">
        <v>168</v>
      </c>
      <c r="M315" s="8" t="s">
        <v>169</v>
      </c>
      <c r="O315" s="8" t="s">
        <v>43</v>
      </c>
      <c r="P315" s="8" t="b">
        <v>0</v>
      </c>
      <c r="R315" s="8" t="b">
        <v>0</v>
      </c>
      <c r="S315" s="8" t="b">
        <v>0</v>
      </c>
      <c r="T315" s="8" t="b">
        <v>0</v>
      </c>
      <c r="U315" s="8" t="b">
        <v>1</v>
      </c>
      <c r="V315" s="8" t="b">
        <v>0</v>
      </c>
      <c r="X315" s="8" t="b">
        <v>0</v>
      </c>
      <c r="Y315" s="8" t="b">
        <v>0</v>
      </c>
      <c r="Z315" s="8" t="b">
        <v>0</v>
      </c>
      <c r="AA315" s="8" t="b">
        <v>0</v>
      </c>
      <c r="AB315" s="8" t="b">
        <v>1</v>
      </c>
      <c r="AC315" s="8" t="b">
        <v>1</v>
      </c>
      <c r="AD315" s="8" t="b">
        <v>0</v>
      </c>
      <c r="AE315" s="8" t="b">
        <v>0</v>
      </c>
      <c r="AG315" s="11" t="b" cm="1">
        <f t="array" ref="AG315">IF(OR(Y315:AA315="TRUE", AE315="true"), "Threatened")</f>
        <v>0</v>
      </c>
      <c r="AH315" s="11" t="s">
        <v>1022</v>
      </c>
      <c r="AI315" s="8" t="b">
        <v>1</v>
      </c>
    </row>
    <row r="316" spans="1:35" ht="31.2">
      <c r="A316" s="8">
        <v>-73.953973480000002</v>
      </c>
      <c r="B316" s="8">
        <v>40.795605539999997</v>
      </c>
      <c r="C316" s="8" t="s">
        <v>1023</v>
      </c>
      <c r="D316" s="8" t="s">
        <v>153</v>
      </c>
      <c r="E316" s="8" t="b">
        <f t="shared" si="4"/>
        <v>0</v>
      </c>
      <c r="F316" s="8" t="str" cm="1">
        <f t="array" ref="F316">_xlfn._xlws.FILTER(E316:E3514, C316:C3514= "6D-PM-1020-01", "No Squirrels Found")</f>
        <v>No Squirrels Found</v>
      </c>
      <c r="G316" s="8" t="s">
        <v>34</v>
      </c>
      <c r="H316" s="10">
        <v>10132018</v>
      </c>
      <c r="I316" s="10">
        <v>4</v>
      </c>
      <c r="J316" s="8" t="s">
        <v>39</v>
      </c>
      <c r="K316" s="8" t="s">
        <v>40</v>
      </c>
      <c r="L316" s="8" t="s">
        <v>41</v>
      </c>
      <c r="M316" s="8" t="s">
        <v>42</v>
      </c>
      <c r="O316" s="8" t="s">
        <v>43</v>
      </c>
      <c r="P316" s="8" t="b">
        <v>0</v>
      </c>
      <c r="R316" s="8" t="b">
        <v>0</v>
      </c>
      <c r="S316" s="8" t="b">
        <v>1</v>
      </c>
      <c r="T316" s="8" t="b">
        <v>0</v>
      </c>
      <c r="U316" s="8" t="b">
        <v>1</v>
      </c>
      <c r="V316" s="8" t="b">
        <v>0</v>
      </c>
      <c r="X316" s="8" t="b">
        <v>0</v>
      </c>
      <c r="Y316" s="8" t="b">
        <v>0</v>
      </c>
      <c r="Z316" s="8" t="b">
        <v>0</v>
      </c>
      <c r="AA316" s="8" t="b">
        <v>0</v>
      </c>
      <c r="AB316" s="8" t="b">
        <v>0</v>
      </c>
      <c r="AC316" s="8" t="b">
        <v>0</v>
      </c>
      <c r="AD316" s="8" t="b">
        <v>0</v>
      </c>
      <c r="AE316" s="8" t="b">
        <v>0</v>
      </c>
      <c r="AG316" s="11" t="b" cm="1">
        <f t="array" ref="AG316">IF(OR(Y316:AA316="TRUE", AE316="true"), "Threatened")</f>
        <v>0</v>
      </c>
      <c r="AH316" s="11" t="s">
        <v>1024</v>
      </c>
      <c r="AI316" s="8" t="b">
        <v>1</v>
      </c>
    </row>
    <row r="317" spans="1:35" ht="31.2">
      <c r="A317" s="8">
        <v>-73.954061670000002</v>
      </c>
      <c r="B317" s="8">
        <v>40.795155659999999</v>
      </c>
      <c r="C317" s="8" t="s">
        <v>1025</v>
      </c>
      <c r="D317" s="8" t="s">
        <v>293</v>
      </c>
      <c r="E317" s="8" t="b">
        <f t="shared" si="4"/>
        <v>0</v>
      </c>
      <c r="F317" s="8" t="str" cm="1">
        <f t="array" ref="F317">_xlfn._xlws.FILTER(E317:E3515, C317:C3515= "6D-PM-1020-01", "No Squirrels Found")</f>
        <v>No Squirrels Found</v>
      </c>
      <c r="G317" s="8" t="s">
        <v>34</v>
      </c>
      <c r="H317" s="10">
        <v>10202018</v>
      </c>
      <c r="I317" s="10">
        <v>10</v>
      </c>
      <c r="J317" s="8" t="s">
        <v>39</v>
      </c>
      <c r="K317" s="8" t="s">
        <v>40</v>
      </c>
      <c r="L317" s="8" t="s">
        <v>117</v>
      </c>
      <c r="M317" s="8" t="s">
        <v>118</v>
      </c>
      <c r="O317" s="8" t="s">
        <v>43</v>
      </c>
      <c r="P317" s="8" t="b">
        <v>0</v>
      </c>
      <c r="R317" s="8" t="b">
        <v>1</v>
      </c>
      <c r="S317" s="8" t="b">
        <v>0</v>
      </c>
      <c r="T317" s="8" t="b">
        <v>0</v>
      </c>
      <c r="U317" s="8" t="b">
        <v>0</v>
      </c>
      <c r="V317" s="8" t="b">
        <v>0</v>
      </c>
      <c r="X317" s="8" t="b">
        <v>0</v>
      </c>
      <c r="Y317" s="8" t="b">
        <v>0</v>
      </c>
      <c r="Z317" s="8" t="b">
        <v>0</v>
      </c>
      <c r="AA317" s="8" t="b">
        <v>1</v>
      </c>
      <c r="AB317" s="8" t="b">
        <v>0</v>
      </c>
      <c r="AC317" s="8" t="b">
        <v>0</v>
      </c>
      <c r="AD317" s="8" t="b">
        <v>0</v>
      </c>
      <c r="AE317" s="8" t="b">
        <v>1</v>
      </c>
      <c r="AG317" s="11" t="b" cm="1">
        <f t="array" ref="AG317">IF(OR(Y317:AA317="TRUE", AE317="true"), "Threatened")</f>
        <v>0</v>
      </c>
      <c r="AH317" s="11" t="s">
        <v>1026</v>
      </c>
      <c r="AI317" s="8" t="b">
        <v>1</v>
      </c>
    </row>
    <row r="318" spans="1:35" ht="31.2">
      <c r="A318" s="8">
        <v>-73.954579899999999</v>
      </c>
      <c r="B318" s="8">
        <v>40.790808400000003</v>
      </c>
      <c r="C318" s="8" t="s">
        <v>1027</v>
      </c>
      <c r="D318" s="8" t="s">
        <v>1028</v>
      </c>
      <c r="E318" s="8" t="b">
        <f t="shared" si="4"/>
        <v>0</v>
      </c>
      <c r="F318" s="8" t="str" cm="1">
        <f t="array" ref="F318">_xlfn._xlws.FILTER(E318:E3516, C318:C3516= "6D-PM-1020-01", "No Squirrels Found")</f>
        <v>No Squirrels Found</v>
      </c>
      <c r="G318" s="8" t="s">
        <v>34</v>
      </c>
      <c r="H318" s="10">
        <v>10102018</v>
      </c>
      <c r="I318" s="10">
        <v>1</v>
      </c>
      <c r="J318" s="8" t="s">
        <v>39</v>
      </c>
      <c r="K318" s="8" t="s">
        <v>40</v>
      </c>
      <c r="M318" s="8" t="s">
        <v>55</v>
      </c>
      <c r="O318" s="8" t="s">
        <v>50</v>
      </c>
      <c r="P318" s="8">
        <v>15</v>
      </c>
      <c r="R318" s="8" t="b">
        <v>0</v>
      </c>
      <c r="S318" s="8" t="b">
        <v>0</v>
      </c>
      <c r="T318" s="8" t="b">
        <v>0</v>
      </c>
      <c r="U318" s="8" t="b">
        <v>1</v>
      </c>
      <c r="V318" s="8" t="b">
        <v>0</v>
      </c>
      <c r="X318" s="8" t="b">
        <v>0</v>
      </c>
      <c r="Y318" s="8" t="b">
        <v>0</v>
      </c>
      <c r="Z318" s="8" t="b">
        <v>0</v>
      </c>
      <c r="AA318" s="8" t="b">
        <v>0</v>
      </c>
      <c r="AB318" s="8" t="b">
        <v>0</v>
      </c>
      <c r="AC318" s="8" t="b">
        <v>0</v>
      </c>
      <c r="AD318" s="8" t="b">
        <v>0</v>
      </c>
      <c r="AE318" s="8" t="b">
        <v>0</v>
      </c>
      <c r="AG318" s="11" t="b" cm="1">
        <f t="array" ref="AG318">IF(OR(Y318:AA318="TRUE", AE318="true"), "Threatened")</f>
        <v>0</v>
      </c>
      <c r="AH318" s="11" t="s">
        <v>1029</v>
      </c>
      <c r="AI318" s="8" t="b">
        <v>1</v>
      </c>
    </row>
    <row r="319" spans="1:35" ht="31.2">
      <c r="A319" s="8">
        <v>-73.974399059999996</v>
      </c>
      <c r="B319" s="8">
        <v>40.776869069999996</v>
      </c>
      <c r="C319" s="8" t="s">
        <v>1030</v>
      </c>
      <c r="D319" s="8" t="s">
        <v>1031</v>
      </c>
      <c r="E319" s="8" t="b">
        <f t="shared" si="4"/>
        <v>0</v>
      </c>
      <c r="F319" s="8" t="str" cm="1">
        <f t="array" ref="F319">_xlfn._xlws.FILTER(E319:E3517, C319:C3517= "6D-PM-1020-01", "No Squirrels Found")</f>
        <v>No Squirrels Found</v>
      </c>
      <c r="G319" s="8" t="s">
        <v>34</v>
      </c>
      <c r="H319" s="10">
        <v>10132018</v>
      </c>
      <c r="I319" s="10">
        <v>4</v>
      </c>
      <c r="K319" s="8" t="s">
        <v>40</v>
      </c>
      <c r="L319" s="8" t="s">
        <v>41</v>
      </c>
      <c r="M319" s="8" t="s">
        <v>42</v>
      </c>
      <c r="O319" s="8" t="s">
        <v>50</v>
      </c>
      <c r="P319" s="8">
        <v>1</v>
      </c>
      <c r="R319" s="8" t="b">
        <v>0</v>
      </c>
      <c r="S319" s="8" t="b">
        <v>1</v>
      </c>
      <c r="T319" s="8" t="b">
        <v>0</v>
      </c>
      <c r="U319" s="8" t="b">
        <v>0</v>
      </c>
      <c r="V319" s="8" t="b">
        <v>0</v>
      </c>
      <c r="W319" s="11" t="s">
        <v>1032</v>
      </c>
      <c r="X319" s="8" t="b">
        <v>0</v>
      </c>
      <c r="Y319" s="8" t="b">
        <v>0</v>
      </c>
      <c r="Z319" s="8" t="b">
        <v>0</v>
      </c>
      <c r="AA319" s="8" t="b">
        <v>0</v>
      </c>
      <c r="AB319" s="8" t="b">
        <v>0</v>
      </c>
      <c r="AC319" s="8" t="b">
        <v>0</v>
      </c>
      <c r="AD319" s="8" t="b">
        <v>1</v>
      </c>
      <c r="AE319" s="8" t="b">
        <v>0</v>
      </c>
      <c r="AG319" s="11" t="b" cm="1">
        <f t="array" ref="AG319">IF(OR(Y319:AA319="TRUE", AE319="true"), "Threatened")</f>
        <v>0</v>
      </c>
      <c r="AH319" s="11" t="s">
        <v>1033</v>
      </c>
      <c r="AI319" s="8" t="b">
        <v>0</v>
      </c>
    </row>
    <row r="320" spans="1:35" ht="31.2">
      <c r="A320" s="8">
        <v>-73.965903440000005</v>
      </c>
      <c r="B320" s="8">
        <v>40.779751670000003</v>
      </c>
      <c r="C320" s="8" t="s">
        <v>1034</v>
      </c>
      <c r="D320" s="8" t="s">
        <v>1035</v>
      </c>
      <c r="E320" s="8" t="b">
        <f t="shared" si="4"/>
        <v>0</v>
      </c>
      <c r="F320" s="8" t="str" cm="1">
        <f t="array" ref="F320">_xlfn._xlws.FILTER(E320:E3518, C320:C3518= "6D-PM-1020-01", "No Squirrels Found")</f>
        <v>No Squirrels Found</v>
      </c>
      <c r="G320" s="8" t="s">
        <v>48</v>
      </c>
      <c r="H320" s="10">
        <v>10072018</v>
      </c>
      <c r="I320" s="10">
        <v>2</v>
      </c>
      <c r="J320" s="8" t="s">
        <v>39</v>
      </c>
      <c r="K320" s="8" t="s">
        <v>41</v>
      </c>
      <c r="L320" s="8" t="s">
        <v>40</v>
      </c>
      <c r="M320" s="8" t="s">
        <v>110</v>
      </c>
      <c r="O320" s="8" t="s">
        <v>50</v>
      </c>
      <c r="P320" s="8">
        <v>8</v>
      </c>
      <c r="R320" s="8" t="b">
        <v>0</v>
      </c>
      <c r="S320" s="8" t="b">
        <v>0</v>
      </c>
      <c r="T320" s="8" t="b">
        <v>0</v>
      </c>
      <c r="U320" s="8" t="b">
        <v>1</v>
      </c>
      <c r="V320" s="8" t="b">
        <v>0</v>
      </c>
      <c r="X320" s="8" t="b">
        <v>0</v>
      </c>
      <c r="Y320" s="8" t="b">
        <v>0</v>
      </c>
      <c r="Z320" s="8" t="b">
        <v>0</v>
      </c>
      <c r="AA320" s="8" t="b">
        <v>0</v>
      </c>
      <c r="AB320" s="8" t="b">
        <v>0</v>
      </c>
      <c r="AC320" s="8" t="b">
        <v>0</v>
      </c>
      <c r="AD320" s="8" t="b">
        <v>1</v>
      </c>
      <c r="AE320" s="8" t="b">
        <v>0</v>
      </c>
      <c r="AG320" s="11" t="b" cm="1">
        <f t="array" ref="AG320">IF(OR(Y320:AA320="TRUE", AE320="true"), "Threatened")</f>
        <v>0</v>
      </c>
      <c r="AH320" s="11" t="s">
        <v>1036</v>
      </c>
      <c r="AI320" s="8" t="b">
        <v>1</v>
      </c>
    </row>
    <row r="321" spans="1:35" ht="31.2">
      <c r="A321" s="8">
        <v>-73.968437600000001</v>
      </c>
      <c r="B321" s="8">
        <v>40.782427509999998</v>
      </c>
      <c r="C321" s="8" t="s">
        <v>1037</v>
      </c>
      <c r="D321" s="8" t="s">
        <v>1038</v>
      </c>
      <c r="E321" s="8" t="b">
        <f t="shared" si="4"/>
        <v>0</v>
      </c>
      <c r="F321" s="8" t="str" cm="1">
        <f t="array" ref="F321">_xlfn._xlws.FILTER(E321:E3519, C321:C3519= "6D-PM-1020-01", "No Squirrels Found")</f>
        <v>No Squirrels Found</v>
      </c>
      <c r="G321" s="8" t="s">
        <v>34</v>
      </c>
      <c r="H321" s="10">
        <v>10182018</v>
      </c>
      <c r="I321" s="10">
        <v>9</v>
      </c>
      <c r="J321" s="8" t="s">
        <v>39</v>
      </c>
      <c r="K321" s="8" t="s">
        <v>41</v>
      </c>
      <c r="M321" s="8" t="s">
        <v>49</v>
      </c>
      <c r="O321" s="8" t="s">
        <v>43</v>
      </c>
      <c r="P321" s="8" t="b">
        <v>0</v>
      </c>
      <c r="R321" s="8" t="b">
        <v>1</v>
      </c>
      <c r="S321" s="8" t="b">
        <v>0</v>
      </c>
      <c r="T321" s="8" t="b">
        <v>0</v>
      </c>
      <c r="U321" s="8" t="b">
        <v>0</v>
      </c>
      <c r="V321" s="8" t="b">
        <v>1</v>
      </c>
      <c r="X321" s="8" t="b">
        <v>0</v>
      </c>
      <c r="Y321" s="8" t="b">
        <v>0</v>
      </c>
      <c r="Z321" s="8" t="b">
        <v>0</v>
      </c>
      <c r="AA321" s="8" t="b">
        <v>0</v>
      </c>
      <c r="AB321" s="8" t="b">
        <v>0</v>
      </c>
      <c r="AC321" s="8" t="b">
        <v>1</v>
      </c>
      <c r="AD321" s="8" t="b">
        <v>0</v>
      </c>
      <c r="AE321" s="8" t="b">
        <v>0</v>
      </c>
      <c r="AG321" s="11" t="b" cm="1">
        <f t="array" ref="AG321">IF(OR(Y321:AA321="TRUE", AE321="true"), "Threatened")</f>
        <v>0</v>
      </c>
      <c r="AH321" s="11" t="s">
        <v>1039</v>
      </c>
      <c r="AI321" s="8" t="b">
        <v>1</v>
      </c>
    </row>
    <row r="322" spans="1:35" ht="31.2">
      <c r="A322" s="8">
        <v>-73.969428879999995</v>
      </c>
      <c r="B322" s="8">
        <v>40.784295229999998</v>
      </c>
      <c r="C322" s="8" t="s">
        <v>1040</v>
      </c>
      <c r="D322" s="8" t="s">
        <v>313</v>
      </c>
      <c r="E322" s="8" t="b">
        <f t="shared" si="4"/>
        <v>0</v>
      </c>
      <c r="F322" s="8" t="str" cm="1">
        <f t="array" ref="F322">_xlfn._xlws.FILTER(E322:E3520, C322:C3520= "6D-PM-1020-01", "No Squirrels Found")</f>
        <v>No Squirrels Found</v>
      </c>
      <c r="G322" s="8" t="s">
        <v>34</v>
      </c>
      <c r="H322" s="10">
        <v>10172018</v>
      </c>
      <c r="I322" s="10">
        <v>1</v>
      </c>
      <c r="J322" s="8" t="s">
        <v>39</v>
      </c>
      <c r="K322" s="8" t="s">
        <v>40</v>
      </c>
      <c r="M322" s="8" t="s">
        <v>55</v>
      </c>
      <c r="O322" s="8" t="s">
        <v>43</v>
      </c>
      <c r="P322" s="8" t="b">
        <v>0</v>
      </c>
      <c r="R322" s="8" t="b">
        <v>0</v>
      </c>
      <c r="S322" s="8" t="b">
        <v>0</v>
      </c>
      <c r="T322" s="8" t="b">
        <v>1</v>
      </c>
      <c r="U322" s="8" t="b">
        <v>0</v>
      </c>
      <c r="V322" s="8" t="b">
        <v>0</v>
      </c>
      <c r="X322" s="8" t="b">
        <v>0</v>
      </c>
      <c r="Y322" s="8" t="b">
        <v>0</v>
      </c>
      <c r="Z322" s="8" t="b">
        <v>0</v>
      </c>
      <c r="AA322" s="8" t="b">
        <v>0</v>
      </c>
      <c r="AB322" s="8" t="b">
        <v>0</v>
      </c>
      <c r="AC322" s="8" t="b">
        <v>0</v>
      </c>
      <c r="AD322" s="8" t="b">
        <v>0</v>
      </c>
      <c r="AE322" s="8" t="b">
        <v>0</v>
      </c>
      <c r="AG322" s="11" t="b" cm="1">
        <f t="array" ref="AG322">IF(OR(Y322:AA322="TRUE", AE322="true"), "Threatened")</f>
        <v>0</v>
      </c>
      <c r="AH322" s="11" t="s">
        <v>1041</v>
      </c>
      <c r="AI322" s="8" t="b">
        <v>1</v>
      </c>
    </row>
    <row r="323" spans="1:35" ht="31.2">
      <c r="A323" s="8">
        <v>-73.954604290000006</v>
      </c>
      <c r="B323" s="8">
        <v>40.789813369999997</v>
      </c>
      <c r="C323" s="8" t="s">
        <v>1042</v>
      </c>
      <c r="D323" s="8" t="s">
        <v>924</v>
      </c>
      <c r="E323" s="8" t="b">
        <f t="shared" ref="E323:E386" si="5">OR(D323 = "05D", D323 = "07D", D323 = "06C", D323 = "06E")</f>
        <v>0</v>
      </c>
      <c r="F323" s="8" t="str" cm="1">
        <f t="array" ref="F323">_xlfn._xlws.FILTER(E323:E3521, C323:C3521= "6D-PM-1020-01", "No Squirrels Found")</f>
        <v>No Squirrels Found</v>
      </c>
      <c r="G323" s="8" t="s">
        <v>34</v>
      </c>
      <c r="H323" s="10">
        <v>10062018</v>
      </c>
      <c r="I323" s="10">
        <v>7</v>
      </c>
      <c r="J323" s="8" t="s">
        <v>39</v>
      </c>
      <c r="K323" s="8" t="s">
        <v>40</v>
      </c>
      <c r="M323" s="8" t="s">
        <v>55</v>
      </c>
      <c r="O323" s="8" t="s">
        <v>43</v>
      </c>
      <c r="P323" s="8" t="b">
        <v>0</v>
      </c>
      <c r="R323" s="8" t="b">
        <v>1</v>
      </c>
      <c r="S323" s="8" t="b">
        <v>0</v>
      </c>
      <c r="T323" s="8" t="b">
        <v>0</v>
      </c>
      <c r="U323" s="8" t="b">
        <v>0</v>
      </c>
      <c r="V323" s="8" t="b">
        <v>0</v>
      </c>
      <c r="X323" s="8" t="b">
        <v>0</v>
      </c>
      <c r="Y323" s="8" t="b">
        <v>0</v>
      </c>
      <c r="Z323" s="8" t="b">
        <v>0</v>
      </c>
      <c r="AA323" s="8" t="b">
        <v>0</v>
      </c>
      <c r="AB323" s="8" t="b">
        <v>0</v>
      </c>
      <c r="AC323" s="8" t="b">
        <v>0</v>
      </c>
      <c r="AD323" s="8" t="b">
        <v>0</v>
      </c>
      <c r="AE323" s="8" t="b">
        <v>1</v>
      </c>
      <c r="AG323" s="11" t="b" cm="1">
        <f t="array" ref="AG323">IF(OR(Y323:AA323="TRUE", AE323="true"), "Threatened")</f>
        <v>0</v>
      </c>
      <c r="AH323" s="11" t="s">
        <v>1043</v>
      </c>
      <c r="AI323" s="8" t="b">
        <v>1</v>
      </c>
    </row>
    <row r="324" spans="1:35" ht="31.2">
      <c r="A324" s="8">
        <v>-73.957346979999997</v>
      </c>
      <c r="B324" s="8">
        <v>40.794404460000003</v>
      </c>
      <c r="C324" s="8" t="s">
        <v>1044</v>
      </c>
      <c r="D324" s="8" t="s">
        <v>1045</v>
      </c>
      <c r="E324" s="8" t="b">
        <f t="shared" si="5"/>
        <v>0</v>
      </c>
      <c r="F324" s="8" t="str" cm="1">
        <f t="array" ref="F324">_xlfn._xlws.FILTER(E324:E3522, C324:C3522= "6D-PM-1020-01", "No Squirrels Found")</f>
        <v>No Squirrels Found</v>
      </c>
      <c r="G324" s="8" t="s">
        <v>48</v>
      </c>
      <c r="H324" s="10">
        <v>10132018</v>
      </c>
      <c r="I324" s="10">
        <v>3</v>
      </c>
      <c r="J324" s="8" t="s">
        <v>39</v>
      </c>
      <c r="K324" s="8" t="s">
        <v>40</v>
      </c>
      <c r="L324" s="8" t="s">
        <v>84</v>
      </c>
      <c r="M324" s="8" t="s">
        <v>103</v>
      </c>
      <c r="O324" s="8" t="s">
        <v>43</v>
      </c>
      <c r="P324" s="8" t="b">
        <v>0</v>
      </c>
      <c r="R324" s="8" t="b">
        <v>0</v>
      </c>
      <c r="S324" s="8" t="b">
        <v>0</v>
      </c>
      <c r="T324" s="8" t="b">
        <v>0</v>
      </c>
      <c r="U324" s="8" t="b">
        <v>0</v>
      </c>
      <c r="V324" s="8" t="b">
        <v>1</v>
      </c>
      <c r="X324" s="8" t="b">
        <v>0</v>
      </c>
      <c r="Y324" s="8" t="b">
        <v>0</v>
      </c>
      <c r="Z324" s="8" t="b">
        <v>0</v>
      </c>
      <c r="AA324" s="8" t="b">
        <v>0</v>
      </c>
      <c r="AB324" s="8" t="b">
        <v>0</v>
      </c>
      <c r="AC324" s="8" t="b">
        <v>0</v>
      </c>
      <c r="AD324" s="8" t="b">
        <v>1</v>
      </c>
      <c r="AE324" s="8" t="b">
        <v>0</v>
      </c>
      <c r="AF324" s="11" t="s">
        <v>1046</v>
      </c>
      <c r="AG324" s="11" t="b" cm="1">
        <f t="array" ref="AG324">IF(OR(Y324:AA324="TRUE", AE324="true"), "Threatened")</f>
        <v>0</v>
      </c>
      <c r="AH324" s="11" t="s">
        <v>1047</v>
      </c>
      <c r="AI324" s="8" t="b">
        <v>1</v>
      </c>
    </row>
    <row r="325" spans="1:35" ht="31.2">
      <c r="A325" s="8">
        <v>-73.958787970000003</v>
      </c>
      <c r="B325" s="8">
        <v>40.79081352</v>
      </c>
      <c r="C325" s="8" t="s">
        <v>1048</v>
      </c>
      <c r="D325" s="8" t="s">
        <v>144</v>
      </c>
      <c r="E325" s="8" t="b">
        <f t="shared" si="5"/>
        <v>0</v>
      </c>
      <c r="F325" s="8" t="str" cm="1">
        <f t="array" ref="F325">_xlfn._xlws.FILTER(E325:E3523, C325:C3523= "6D-PM-1020-01", "No Squirrels Found")</f>
        <v>No Squirrels Found</v>
      </c>
      <c r="G325" s="8" t="s">
        <v>48</v>
      </c>
      <c r="H325" s="10">
        <v>10122018</v>
      </c>
      <c r="I325" s="10">
        <v>1</v>
      </c>
      <c r="K325" s="8" t="s">
        <v>40</v>
      </c>
      <c r="L325" s="8" t="s">
        <v>41</v>
      </c>
      <c r="M325" s="8" t="s">
        <v>42</v>
      </c>
      <c r="O325" s="8" t="s">
        <v>43</v>
      </c>
      <c r="P325" s="8" t="b">
        <v>0</v>
      </c>
      <c r="R325" s="8" t="b">
        <v>0</v>
      </c>
      <c r="S325" s="8" t="b">
        <v>0</v>
      </c>
      <c r="T325" s="8" t="b">
        <v>0</v>
      </c>
      <c r="U325" s="8" t="b">
        <v>0</v>
      </c>
      <c r="V325" s="8" t="b">
        <v>1</v>
      </c>
      <c r="W325" s="11" t="s">
        <v>1049</v>
      </c>
      <c r="X325" s="8" t="b">
        <v>0</v>
      </c>
      <c r="Y325" s="8" t="b">
        <v>0</v>
      </c>
      <c r="Z325" s="8" t="b">
        <v>0</v>
      </c>
      <c r="AA325" s="8" t="b">
        <v>0</v>
      </c>
      <c r="AB325" s="8" t="b">
        <v>0</v>
      </c>
      <c r="AC325" s="8" t="b">
        <v>0</v>
      </c>
      <c r="AD325" s="8" t="b">
        <v>0</v>
      </c>
      <c r="AE325" s="8" t="b">
        <v>1</v>
      </c>
      <c r="AG325" s="11" t="b" cm="1">
        <f t="array" ref="AG325">IF(OR(Y325:AA325="TRUE", AE325="true"), "Threatened")</f>
        <v>0</v>
      </c>
      <c r="AH325" s="11" t="s">
        <v>1050</v>
      </c>
      <c r="AI325" s="8" t="b">
        <v>0</v>
      </c>
    </row>
    <row r="326" spans="1:35" ht="31.2">
      <c r="A326" s="8">
        <v>-73.963099080000006</v>
      </c>
      <c r="B326" s="8">
        <v>40.788576429999999</v>
      </c>
      <c r="C326" s="8" t="s">
        <v>1051</v>
      </c>
      <c r="D326" s="8" t="s">
        <v>1052</v>
      </c>
      <c r="E326" s="8" t="b">
        <f t="shared" si="5"/>
        <v>0</v>
      </c>
      <c r="F326" s="8" t="str" cm="1">
        <f t="array" ref="F326">_xlfn._xlws.FILTER(E326:E3524, C326:C3524= "6D-PM-1020-01", "No Squirrels Found")</f>
        <v>No Squirrels Found</v>
      </c>
      <c r="G326" s="8" t="s">
        <v>48</v>
      </c>
      <c r="H326" s="10">
        <v>10122018</v>
      </c>
      <c r="I326" s="10">
        <v>2</v>
      </c>
      <c r="J326" s="8" t="s">
        <v>39</v>
      </c>
      <c r="K326" s="8" t="s">
        <v>192</v>
      </c>
      <c r="M326" s="8" t="s">
        <v>193</v>
      </c>
      <c r="O326" s="8" t="s">
        <v>43</v>
      </c>
      <c r="P326" s="8" t="b">
        <v>0</v>
      </c>
      <c r="R326" s="8" t="b">
        <v>0</v>
      </c>
      <c r="S326" s="8" t="b">
        <v>0</v>
      </c>
      <c r="T326" s="8" t="b">
        <v>0</v>
      </c>
      <c r="U326" s="8" t="b">
        <v>1</v>
      </c>
      <c r="V326" s="8" t="b">
        <v>1</v>
      </c>
      <c r="X326" s="8" t="b">
        <v>0</v>
      </c>
      <c r="Y326" s="8" t="b">
        <v>0</v>
      </c>
      <c r="Z326" s="8" t="b">
        <v>0</v>
      </c>
      <c r="AA326" s="8" t="b">
        <v>0</v>
      </c>
      <c r="AB326" s="8" t="b">
        <v>0</v>
      </c>
      <c r="AC326" s="8" t="b">
        <v>0</v>
      </c>
      <c r="AD326" s="8" t="b">
        <v>0</v>
      </c>
      <c r="AE326" s="8" t="b">
        <v>1</v>
      </c>
      <c r="AG326" s="11" t="b" cm="1">
        <f t="array" ref="AG326">IF(OR(Y326:AA326="TRUE", AE326="true"), "Threatened")</f>
        <v>0</v>
      </c>
      <c r="AH326" s="11" t="s">
        <v>1053</v>
      </c>
      <c r="AI326" s="8" t="b">
        <v>1</v>
      </c>
    </row>
    <row r="327" spans="1:35" ht="31.2">
      <c r="A327" s="8">
        <v>-73.969984359999998</v>
      </c>
      <c r="B327" s="8">
        <v>40.772948040000003</v>
      </c>
      <c r="C327" s="8" t="s">
        <v>1054</v>
      </c>
      <c r="D327" s="8" t="s">
        <v>609</v>
      </c>
      <c r="E327" s="8" t="b">
        <f t="shared" si="5"/>
        <v>0</v>
      </c>
      <c r="F327" s="8" t="str" cm="1">
        <f t="array" ref="F327">_xlfn._xlws.FILTER(E327:E3525, C327:C3525= "6D-PM-1020-01", "No Squirrels Found")</f>
        <v>No Squirrels Found</v>
      </c>
      <c r="G327" s="8" t="s">
        <v>48</v>
      </c>
      <c r="H327" s="10">
        <v>10062018</v>
      </c>
      <c r="I327" s="10">
        <v>1</v>
      </c>
      <c r="J327" s="8" t="s">
        <v>39</v>
      </c>
      <c r="K327" s="8" t="s">
        <v>40</v>
      </c>
      <c r="M327" s="8" t="s">
        <v>55</v>
      </c>
      <c r="O327" s="8" t="s">
        <v>50</v>
      </c>
      <c r="P327" s="8">
        <v>80</v>
      </c>
      <c r="R327" s="8" t="b">
        <v>0</v>
      </c>
      <c r="S327" s="8" t="b">
        <v>0</v>
      </c>
      <c r="T327" s="8" t="b">
        <v>1</v>
      </c>
      <c r="U327" s="8" t="b">
        <v>0</v>
      </c>
      <c r="V327" s="8" t="b">
        <v>0</v>
      </c>
      <c r="X327" s="8" t="b">
        <v>0</v>
      </c>
      <c r="Y327" s="8" t="b">
        <v>0</v>
      </c>
      <c r="Z327" s="8" t="b">
        <v>0</v>
      </c>
      <c r="AA327" s="8" t="b">
        <v>0</v>
      </c>
      <c r="AB327" s="8" t="b">
        <v>1</v>
      </c>
      <c r="AC327" s="8" t="b">
        <v>0</v>
      </c>
      <c r="AD327" s="8" t="b">
        <v>1</v>
      </c>
      <c r="AE327" s="8" t="b">
        <v>0</v>
      </c>
      <c r="AG327" s="11" t="b" cm="1">
        <f t="array" ref="AG327">IF(OR(Y327:AA327="TRUE", AE327="true"), "Threatened")</f>
        <v>0</v>
      </c>
      <c r="AH327" s="11" t="s">
        <v>1055</v>
      </c>
      <c r="AI327" s="8" t="b">
        <v>1</v>
      </c>
    </row>
    <row r="328" spans="1:35" ht="31.2">
      <c r="A328" s="8">
        <v>-73.95343063</v>
      </c>
      <c r="B328" s="8">
        <v>40.795905210000001</v>
      </c>
      <c r="C328" s="8" t="s">
        <v>1056</v>
      </c>
      <c r="D328" s="8" t="s">
        <v>153</v>
      </c>
      <c r="E328" s="8" t="b">
        <f t="shared" si="5"/>
        <v>0</v>
      </c>
      <c r="F328" s="8" t="str" cm="1">
        <f t="array" ref="F328">_xlfn._xlws.FILTER(E328:E3526, C328:C3526= "6D-PM-1020-01", "No Squirrels Found")</f>
        <v>No Squirrels Found</v>
      </c>
      <c r="G328" s="8" t="s">
        <v>34</v>
      </c>
      <c r="H328" s="10">
        <v>10132018</v>
      </c>
      <c r="I328" s="10">
        <v>7</v>
      </c>
      <c r="J328" s="8" t="s">
        <v>39</v>
      </c>
      <c r="K328" s="8" t="s">
        <v>40</v>
      </c>
      <c r="L328" s="8" t="s">
        <v>41</v>
      </c>
      <c r="M328" s="8" t="s">
        <v>42</v>
      </c>
      <c r="O328" s="8" t="s">
        <v>43</v>
      </c>
      <c r="P328" s="8" t="b">
        <v>0</v>
      </c>
      <c r="R328" s="8" t="b">
        <v>0</v>
      </c>
      <c r="S328" s="8" t="b">
        <v>0</v>
      </c>
      <c r="T328" s="8" t="b">
        <v>0</v>
      </c>
      <c r="U328" s="8" t="b">
        <v>0</v>
      </c>
      <c r="V328" s="8" t="b">
        <v>1</v>
      </c>
      <c r="X328" s="8" t="b">
        <v>0</v>
      </c>
      <c r="Y328" s="8" t="b">
        <v>0</v>
      </c>
      <c r="Z328" s="8" t="b">
        <v>0</v>
      </c>
      <c r="AA328" s="8" t="b">
        <v>0</v>
      </c>
      <c r="AB328" s="8" t="b">
        <v>0</v>
      </c>
      <c r="AC328" s="8" t="b">
        <v>0</v>
      </c>
      <c r="AD328" s="8" t="b">
        <v>1</v>
      </c>
      <c r="AE328" s="8" t="b">
        <v>0</v>
      </c>
      <c r="AG328" s="11" t="b" cm="1">
        <f t="array" ref="AG328">IF(OR(Y328:AA328="TRUE", AE328="true"), "Threatened")</f>
        <v>0</v>
      </c>
      <c r="AH328" s="11" t="s">
        <v>1057</v>
      </c>
      <c r="AI328" s="8" t="b">
        <v>1</v>
      </c>
    </row>
    <row r="329" spans="1:35" ht="31.2">
      <c r="A329" s="8">
        <v>-73.965235730000003</v>
      </c>
      <c r="B329" s="8">
        <v>40.781929689999998</v>
      </c>
      <c r="C329" s="8" t="s">
        <v>1058</v>
      </c>
      <c r="D329" s="8" t="s">
        <v>1059</v>
      </c>
      <c r="E329" s="8" t="b">
        <f t="shared" si="5"/>
        <v>0</v>
      </c>
      <c r="F329" s="8" t="str" cm="1">
        <f t="array" ref="F329">_xlfn._xlws.FILTER(E329:E3527, C329:C3527= "6D-PM-1020-01", "No Squirrels Found")</f>
        <v>No Squirrels Found</v>
      </c>
      <c r="G329" s="8" t="s">
        <v>34</v>
      </c>
      <c r="H329" s="10">
        <v>10122018</v>
      </c>
      <c r="I329" s="10">
        <v>2</v>
      </c>
      <c r="J329" s="8" t="s">
        <v>39</v>
      </c>
      <c r="K329" s="8" t="s">
        <v>40</v>
      </c>
      <c r="L329" s="8" t="s">
        <v>168</v>
      </c>
      <c r="M329" s="8" t="s">
        <v>169</v>
      </c>
      <c r="O329" s="8" t="s">
        <v>43</v>
      </c>
      <c r="P329" s="8" t="b">
        <v>0</v>
      </c>
      <c r="R329" s="8" t="b">
        <v>0</v>
      </c>
      <c r="S329" s="8" t="b">
        <v>0</v>
      </c>
      <c r="T329" s="8" t="b">
        <v>0</v>
      </c>
      <c r="U329" s="8" t="b">
        <v>1</v>
      </c>
      <c r="V329" s="8" t="b">
        <v>0</v>
      </c>
      <c r="X329" s="8" t="b">
        <v>0</v>
      </c>
      <c r="Y329" s="8" t="b">
        <v>0</v>
      </c>
      <c r="Z329" s="8" t="b">
        <v>0</v>
      </c>
      <c r="AA329" s="8" t="b">
        <v>0</v>
      </c>
      <c r="AB329" s="8" t="b">
        <v>0</v>
      </c>
      <c r="AC329" s="8" t="b">
        <v>0</v>
      </c>
      <c r="AD329" s="8" t="b">
        <v>1</v>
      </c>
      <c r="AE329" s="8" t="b">
        <v>0</v>
      </c>
      <c r="AG329" s="11" t="b" cm="1">
        <f t="array" ref="AG329">IF(OR(Y329:AA329="TRUE", AE329="true"), "Threatened")</f>
        <v>0</v>
      </c>
      <c r="AH329" s="11" t="s">
        <v>1060</v>
      </c>
      <c r="AI329" s="8" t="b">
        <v>1</v>
      </c>
    </row>
    <row r="330" spans="1:35" ht="31.2">
      <c r="A330" s="8">
        <v>-73.967832990000005</v>
      </c>
      <c r="B330" s="8">
        <v>40.778366990000002</v>
      </c>
      <c r="C330" s="8" t="s">
        <v>1061</v>
      </c>
      <c r="D330" s="8" t="s">
        <v>215</v>
      </c>
      <c r="E330" s="8" t="b">
        <f t="shared" si="5"/>
        <v>0</v>
      </c>
      <c r="F330" s="8" t="str" cm="1">
        <f t="array" ref="F330">_xlfn._xlws.FILTER(E330:E3528, C330:C3528= "6D-PM-1020-01", "No Squirrels Found")</f>
        <v>No Squirrels Found</v>
      </c>
      <c r="G330" s="8" t="s">
        <v>34</v>
      </c>
      <c r="H330" s="10">
        <v>10182018</v>
      </c>
      <c r="I330" s="10">
        <v>3</v>
      </c>
      <c r="J330" s="8" t="s">
        <v>39</v>
      </c>
      <c r="K330" s="8" t="s">
        <v>40</v>
      </c>
      <c r="M330" s="8" t="s">
        <v>55</v>
      </c>
      <c r="O330" s="8" t="s">
        <v>43</v>
      </c>
      <c r="P330" s="8" t="b">
        <v>0</v>
      </c>
      <c r="R330" s="8" t="b">
        <v>1</v>
      </c>
      <c r="S330" s="8" t="b">
        <v>0</v>
      </c>
      <c r="T330" s="8" t="b">
        <v>0</v>
      </c>
      <c r="U330" s="8" t="b">
        <v>0</v>
      </c>
      <c r="V330" s="8" t="b">
        <v>0</v>
      </c>
      <c r="X330" s="8" t="b">
        <v>0</v>
      </c>
      <c r="Y330" s="8" t="b">
        <v>0</v>
      </c>
      <c r="Z330" s="8" t="b">
        <v>0</v>
      </c>
      <c r="AA330" s="8" t="b">
        <v>0</v>
      </c>
      <c r="AB330" s="8" t="b">
        <v>0</v>
      </c>
      <c r="AC330" s="8" t="b">
        <v>0</v>
      </c>
      <c r="AD330" s="8" t="b">
        <v>1</v>
      </c>
      <c r="AE330" s="8" t="b">
        <v>0</v>
      </c>
      <c r="AG330" s="11" t="b" cm="1">
        <f t="array" ref="AG330">IF(OR(Y330:AA330="TRUE", AE330="true"), "Threatened")</f>
        <v>0</v>
      </c>
      <c r="AH330" s="11" t="s">
        <v>1062</v>
      </c>
      <c r="AI330" s="8" t="b">
        <v>1</v>
      </c>
    </row>
    <row r="331" spans="1:35" ht="31.2">
      <c r="A331" s="8">
        <v>-73.970896920000001</v>
      </c>
      <c r="B331" s="8">
        <v>40.776769549999997</v>
      </c>
      <c r="C331" s="8" t="s">
        <v>1063</v>
      </c>
      <c r="D331" s="8" t="s">
        <v>741</v>
      </c>
      <c r="E331" s="8" t="b">
        <f t="shared" si="5"/>
        <v>0</v>
      </c>
      <c r="F331" s="8" t="str" cm="1">
        <f t="array" ref="F331">_xlfn._xlws.FILTER(E331:E3529, C331:C3529= "6D-PM-1020-01", "No Squirrels Found")</f>
        <v>No Squirrels Found</v>
      </c>
      <c r="G331" s="8" t="s">
        <v>48</v>
      </c>
      <c r="H331" s="10">
        <v>10142018</v>
      </c>
      <c r="I331" s="10">
        <v>3</v>
      </c>
      <c r="J331" s="8" t="s">
        <v>39</v>
      </c>
      <c r="K331" s="8" t="s">
        <v>40</v>
      </c>
      <c r="L331" s="8" t="s">
        <v>117</v>
      </c>
      <c r="M331" s="8" t="s">
        <v>118</v>
      </c>
      <c r="O331" s="8" t="s">
        <v>43</v>
      </c>
      <c r="P331" s="8" t="b">
        <v>0</v>
      </c>
      <c r="R331" s="8" t="b">
        <v>0</v>
      </c>
      <c r="S331" s="8" t="b">
        <v>0</v>
      </c>
      <c r="T331" s="8" t="b">
        <v>0</v>
      </c>
      <c r="U331" s="8" t="b">
        <v>1</v>
      </c>
      <c r="V331" s="8" t="b">
        <v>1</v>
      </c>
      <c r="X331" s="8" t="b">
        <v>0</v>
      </c>
      <c r="Y331" s="8" t="b">
        <v>0</v>
      </c>
      <c r="Z331" s="8" t="b">
        <v>0</v>
      </c>
      <c r="AA331" s="8" t="b">
        <v>0</v>
      </c>
      <c r="AB331" s="8" t="b">
        <v>0</v>
      </c>
      <c r="AC331" s="8" t="b">
        <v>0</v>
      </c>
      <c r="AD331" s="8" t="b">
        <v>1</v>
      </c>
      <c r="AE331" s="8" t="b">
        <v>0</v>
      </c>
      <c r="AG331" s="11" t="b" cm="1">
        <f t="array" ref="AG331">IF(OR(Y331:AA331="TRUE", AE331="true"), "Threatened")</f>
        <v>0</v>
      </c>
      <c r="AH331" s="11" t="s">
        <v>1064</v>
      </c>
      <c r="AI331" s="8" t="b">
        <v>1</v>
      </c>
    </row>
    <row r="332" spans="1:35" ht="31.2">
      <c r="A332" s="8">
        <v>-73.954481009999995</v>
      </c>
      <c r="B332" s="8">
        <v>40.79544697</v>
      </c>
      <c r="C332" s="8" t="s">
        <v>1065</v>
      </c>
      <c r="D332" s="8" t="s">
        <v>1066</v>
      </c>
      <c r="E332" s="8" t="b">
        <f t="shared" si="5"/>
        <v>0</v>
      </c>
      <c r="F332" s="8" t="str" cm="1">
        <f t="array" ref="F332">_xlfn._xlws.FILTER(E332:E3530, C332:C3530= "6D-PM-1020-01", "No Squirrels Found")</f>
        <v>No Squirrels Found</v>
      </c>
      <c r="G332" s="8" t="s">
        <v>34</v>
      </c>
      <c r="H332" s="10">
        <v>10062018</v>
      </c>
      <c r="I332" s="10">
        <v>3</v>
      </c>
      <c r="J332" s="8" t="s">
        <v>39</v>
      </c>
      <c r="K332" s="8" t="s">
        <v>40</v>
      </c>
      <c r="L332" s="8" t="s">
        <v>84</v>
      </c>
      <c r="M332" s="8" t="s">
        <v>103</v>
      </c>
      <c r="O332" s="8" t="s">
        <v>50</v>
      </c>
      <c r="P332" s="8">
        <v>15</v>
      </c>
      <c r="Q332" s="8" t="s">
        <v>1067</v>
      </c>
      <c r="R332" s="8" t="b">
        <v>0</v>
      </c>
      <c r="S332" s="8" t="b">
        <v>0</v>
      </c>
      <c r="T332" s="8" t="b">
        <v>0</v>
      </c>
      <c r="U332" s="8" t="b">
        <v>1</v>
      </c>
      <c r="V332" s="8" t="b">
        <v>0</v>
      </c>
      <c r="X332" s="8" t="b">
        <v>0</v>
      </c>
      <c r="Y332" s="8" t="b">
        <v>0</v>
      </c>
      <c r="Z332" s="8" t="b">
        <v>0</v>
      </c>
      <c r="AA332" s="8" t="b">
        <v>0</v>
      </c>
      <c r="AB332" s="8" t="b">
        <v>0</v>
      </c>
      <c r="AC332" s="8" t="b">
        <v>0</v>
      </c>
      <c r="AD332" s="8" t="b">
        <v>0</v>
      </c>
      <c r="AE332" s="8" t="b">
        <v>1</v>
      </c>
      <c r="AF332" s="11" t="s">
        <v>1068</v>
      </c>
      <c r="AG332" s="11" t="b" cm="1">
        <f t="array" ref="AG332">IF(OR(Y332:AA332="TRUE", AE332="true"), "Threatened")</f>
        <v>0</v>
      </c>
      <c r="AH332" s="11" t="s">
        <v>1069</v>
      </c>
      <c r="AI332" s="8" t="b">
        <v>1</v>
      </c>
    </row>
    <row r="333" spans="1:35" ht="31.2">
      <c r="A333" s="8">
        <v>-73.970512360000001</v>
      </c>
      <c r="B333" s="8">
        <v>40.773172379999998</v>
      </c>
      <c r="C333" s="8" t="s">
        <v>1070</v>
      </c>
      <c r="D333" s="8" t="s">
        <v>329</v>
      </c>
      <c r="E333" s="8" t="b">
        <f t="shared" si="5"/>
        <v>0</v>
      </c>
      <c r="F333" s="8" t="str" cm="1">
        <f t="array" ref="F333">_xlfn._xlws.FILTER(E333:E3531, C333:C3531= "6D-PM-1020-01", "No Squirrels Found")</f>
        <v>No Squirrels Found</v>
      </c>
      <c r="G333" s="8" t="s">
        <v>34</v>
      </c>
      <c r="H333" s="10">
        <v>10192018</v>
      </c>
      <c r="I333" s="10">
        <v>11</v>
      </c>
      <c r="J333" s="8" t="s">
        <v>39</v>
      </c>
      <c r="K333" s="8" t="s">
        <v>40</v>
      </c>
      <c r="L333" s="8" t="s">
        <v>41</v>
      </c>
      <c r="M333" s="8" t="s">
        <v>42</v>
      </c>
      <c r="O333" s="8" t="s">
        <v>43</v>
      </c>
      <c r="P333" s="8" t="b">
        <v>0</v>
      </c>
      <c r="Q333" s="8" t="s">
        <v>1071</v>
      </c>
      <c r="R333" s="8" t="b">
        <v>0</v>
      </c>
      <c r="S333" s="8" t="b">
        <v>0</v>
      </c>
      <c r="T333" s="8" t="b">
        <v>0</v>
      </c>
      <c r="U333" s="8" t="b">
        <v>0</v>
      </c>
      <c r="V333" s="8" t="b">
        <v>1</v>
      </c>
      <c r="X333" s="8" t="b">
        <v>0</v>
      </c>
      <c r="Y333" s="8" t="b">
        <v>0</v>
      </c>
      <c r="Z333" s="8" t="b">
        <v>0</v>
      </c>
      <c r="AA333" s="8" t="b">
        <v>0</v>
      </c>
      <c r="AB333" s="8" t="b">
        <v>0</v>
      </c>
      <c r="AC333" s="8" t="b">
        <v>0</v>
      </c>
      <c r="AD333" s="8" t="b">
        <v>0</v>
      </c>
      <c r="AE333" s="8" t="b">
        <v>1</v>
      </c>
      <c r="AG333" s="11" t="b" cm="1">
        <f t="array" ref="AG333">IF(OR(Y333:AA333="TRUE", AE333="true"), "Threatened")</f>
        <v>0</v>
      </c>
      <c r="AH333" s="11" t="s">
        <v>1072</v>
      </c>
      <c r="AI333" s="8" t="b">
        <v>1</v>
      </c>
    </row>
    <row r="334" spans="1:35" ht="31.2">
      <c r="A334" s="8">
        <v>-73.966756000000004</v>
      </c>
      <c r="B334" s="8">
        <v>40.788233380000001</v>
      </c>
      <c r="C334" s="8" t="s">
        <v>1073</v>
      </c>
      <c r="D334" s="8" t="s">
        <v>1074</v>
      </c>
      <c r="E334" s="8" t="b">
        <f t="shared" si="5"/>
        <v>0</v>
      </c>
      <c r="F334" s="8" t="str" cm="1">
        <f t="array" ref="F334">_xlfn._xlws.FILTER(E334:E3532, C334:C3532= "6D-PM-1020-01", "No Squirrels Found")</f>
        <v>No Squirrels Found</v>
      </c>
      <c r="G334" s="8" t="s">
        <v>34</v>
      </c>
      <c r="H334" s="10">
        <v>10062018</v>
      </c>
      <c r="I334" s="10">
        <v>1</v>
      </c>
      <c r="J334" s="8" t="s">
        <v>54</v>
      </c>
      <c r="K334" s="8" t="s">
        <v>40</v>
      </c>
      <c r="L334" s="8" t="s">
        <v>41</v>
      </c>
      <c r="M334" s="8" t="s">
        <v>42</v>
      </c>
      <c r="O334" s="8" t="s">
        <v>50</v>
      </c>
      <c r="Q334" s="8" t="s">
        <v>1075</v>
      </c>
      <c r="R334" s="8" t="b">
        <v>0</v>
      </c>
      <c r="S334" s="8" t="b">
        <v>0</v>
      </c>
      <c r="T334" s="8" t="b">
        <v>0</v>
      </c>
      <c r="U334" s="8" t="b">
        <v>1</v>
      </c>
      <c r="V334" s="8" t="b">
        <v>1</v>
      </c>
      <c r="W334" s="11" t="s">
        <v>1076</v>
      </c>
      <c r="X334" s="8" t="b">
        <v>0</v>
      </c>
      <c r="Y334" s="8" t="b">
        <v>0</v>
      </c>
      <c r="Z334" s="8" t="b">
        <v>0</v>
      </c>
      <c r="AA334" s="8" t="b">
        <v>0</v>
      </c>
      <c r="AB334" s="8" t="b">
        <v>0</v>
      </c>
      <c r="AC334" s="8" t="b">
        <v>0</v>
      </c>
      <c r="AD334" s="8" t="b">
        <v>1</v>
      </c>
      <c r="AE334" s="8" t="b">
        <v>0</v>
      </c>
      <c r="AG334" s="11" t="b" cm="1">
        <f t="array" ref="AG334">IF(OR(Y334:AA334="TRUE", AE334="true"), "Threatened")</f>
        <v>0</v>
      </c>
      <c r="AH334" s="11" t="s">
        <v>1077</v>
      </c>
      <c r="AI334" s="8" t="b">
        <v>0</v>
      </c>
    </row>
    <row r="335" spans="1:35" ht="31.2">
      <c r="A335" s="8">
        <v>-73.96873952</v>
      </c>
      <c r="B335" s="8">
        <v>40.780736449999999</v>
      </c>
      <c r="C335" s="8" t="s">
        <v>1078</v>
      </c>
      <c r="D335" s="8" t="s">
        <v>1079</v>
      </c>
      <c r="E335" s="8" t="b">
        <f t="shared" si="5"/>
        <v>0</v>
      </c>
      <c r="F335" s="8" t="str" cm="1">
        <f t="array" ref="F335">_xlfn._xlws.FILTER(E335:E3533, C335:C3533= "6D-PM-1020-01", "No Squirrels Found")</f>
        <v>No Squirrels Found</v>
      </c>
      <c r="G335" s="8" t="s">
        <v>48</v>
      </c>
      <c r="H335" s="10">
        <v>10182018</v>
      </c>
      <c r="I335" s="10">
        <v>2</v>
      </c>
      <c r="J335" s="8" t="s">
        <v>39</v>
      </c>
      <c r="K335" s="8" t="s">
        <v>40</v>
      </c>
      <c r="M335" s="8" t="s">
        <v>55</v>
      </c>
      <c r="O335" s="8" t="s">
        <v>43</v>
      </c>
      <c r="P335" s="8" t="b">
        <v>0</v>
      </c>
      <c r="R335" s="8" t="b">
        <v>0</v>
      </c>
      <c r="S335" s="8" t="b">
        <v>0</v>
      </c>
      <c r="T335" s="8" t="b">
        <v>0</v>
      </c>
      <c r="U335" s="8" t="b">
        <v>0</v>
      </c>
      <c r="V335" s="8" t="b">
        <v>1</v>
      </c>
      <c r="X335" s="8" t="b">
        <v>0</v>
      </c>
      <c r="Y335" s="8" t="b">
        <v>0</v>
      </c>
      <c r="Z335" s="8" t="b">
        <v>0</v>
      </c>
      <c r="AA335" s="8" t="b">
        <v>0</v>
      </c>
      <c r="AB335" s="8" t="b">
        <v>0</v>
      </c>
      <c r="AC335" s="8" t="b">
        <v>0</v>
      </c>
      <c r="AD335" s="8" t="b">
        <v>0</v>
      </c>
      <c r="AE335" s="8" t="b">
        <v>0</v>
      </c>
      <c r="AG335" s="11" t="b" cm="1">
        <f t="array" ref="AG335">IF(OR(Y335:AA335="TRUE", AE335="true"), "Threatened")</f>
        <v>0</v>
      </c>
      <c r="AH335" s="11" t="s">
        <v>1080</v>
      </c>
      <c r="AI335" s="8" t="b">
        <v>1</v>
      </c>
    </row>
    <row r="336" spans="1:35" ht="31.2">
      <c r="A336" s="8">
        <v>-73.978235139999995</v>
      </c>
      <c r="B336" s="8">
        <v>40.771589669999997</v>
      </c>
      <c r="C336" s="8" t="s">
        <v>1081</v>
      </c>
      <c r="D336" s="8" t="s">
        <v>874</v>
      </c>
      <c r="E336" s="8" t="b">
        <f t="shared" si="5"/>
        <v>0</v>
      </c>
      <c r="F336" s="8" t="str" cm="1">
        <f t="array" ref="F336">_xlfn._xlws.FILTER(E336:E3534, C336:C3534= "6D-PM-1020-01", "No Squirrels Found")</f>
        <v>No Squirrels Found</v>
      </c>
      <c r="G336" s="8" t="s">
        <v>48</v>
      </c>
      <c r="H336" s="10">
        <v>10062018</v>
      </c>
      <c r="I336" s="10">
        <v>3</v>
      </c>
      <c r="J336" s="8" t="s">
        <v>39</v>
      </c>
      <c r="K336" s="8" t="s">
        <v>40</v>
      </c>
      <c r="L336" s="8" t="s">
        <v>117</v>
      </c>
      <c r="M336" s="8" t="s">
        <v>118</v>
      </c>
      <c r="O336" s="8" t="s">
        <v>50</v>
      </c>
      <c r="P336" s="8">
        <v>30</v>
      </c>
      <c r="Q336" s="8" t="s">
        <v>206</v>
      </c>
      <c r="R336" s="8" t="b">
        <v>0</v>
      </c>
      <c r="S336" s="8" t="b">
        <v>1</v>
      </c>
      <c r="T336" s="8" t="b">
        <v>0</v>
      </c>
      <c r="U336" s="8" t="b">
        <v>1</v>
      </c>
      <c r="V336" s="8" t="b">
        <v>0</v>
      </c>
      <c r="X336" s="8" t="b">
        <v>0</v>
      </c>
      <c r="Y336" s="8" t="b">
        <v>0</v>
      </c>
      <c r="Z336" s="8" t="b">
        <v>0</v>
      </c>
      <c r="AA336" s="8" t="b">
        <v>1</v>
      </c>
      <c r="AB336" s="8" t="b">
        <v>1</v>
      </c>
      <c r="AC336" s="8" t="b">
        <v>0</v>
      </c>
      <c r="AD336" s="8" t="b">
        <v>0</v>
      </c>
      <c r="AE336" s="8" t="b">
        <v>0</v>
      </c>
      <c r="AG336" s="11" t="b" cm="1">
        <f t="array" ref="AG336">IF(OR(Y336:AA336="TRUE", AE336="true"), "Threatened")</f>
        <v>0</v>
      </c>
      <c r="AH336" s="11" t="s">
        <v>1082</v>
      </c>
      <c r="AI336" s="8" t="b">
        <v>1</v>
      </c>
    </row>
    <row r="337" spans="1:35" ht="31.2">
      <c r="A337" s="8">
        <v>-73.975741319999997</v>
      </c>
      <c r="B337" s="8">
        <v>40.769258280000003</v>
      </c>
      <c r="C337" s="8" t="s">
        <v>1083</v>
      </c>
      <c r="D337" s="8" t="s">
        <v>794</v>
      </c>
      <c r="E337" s="8" t="b">
        <f t="shared" si="5"/>
        <v>0</v>
      </c>
      <c r="F337" s="8" t="str" cm="1">
        <f t="array" ref="F337">_xlfn._xlws.FILTER(E337:E3535, C337:C3535= "6D-PM-1020-01", "No Squirrels Found")</f>
        <v>No Squirrels Found</v>
      </c>
      <c r="G337" s="8" t="s">
        <v>34</v>
      </c>
      <c r="H337" s="10">
        <v>10082018</v>
      </c>
      <c r="I337" s="10">
        <v>4</v>
      </c>
      <c r="J337" s="8" t="s">
        <v>39</v>
      </c>
      <c r="K337" s="8" t="s">
        <v>40</v>
      </c>
      <c r="M337" s="8" t="s">
        <v>55</v>
      </c>
      <c r="O337" s="8" t="s">
        <v>50</v>
      </c>
      <c r="P337" s="8">
        <v>10</v>
      </c>
      <c r="R337" s="8" t="b">
        <v>1</v>
      </c>
      <c r="S337" s="8" t="b">
        <v>1</v>
      </c>
      <c r="T337" s="8" t="b">
        <v>1</v>
      </c>
      <c r="U337" s="8" t="b">
        <v>0</v>
      </c>
      <c r="V337" s="8" t="b">
        <v>0</v>
      </c>
      <c r="X337" s="8" t="b">
        <v>0</v>
      </c>
      <c r="Y337" s="8" t="b">
        <v>0</v>
      </c>
      <c r="Z337" s="8" t="b">
        <v>0</v>
      </c>
      <c r="AA337" s="8" t="b">
        <v>0</v>
      </c>
      <c r="AB337" s="8" t="b">
        <v>0</v>
      </c>
      <c r="AC337" s="8" t="b">
        <v>0</v>
      </c>
      <c r="AD337" s="8" t="b">
        <v>1</v>
      </c>
      <c r="AE337" s="8" t="b">
        <v>0</v>
      </c>
      <c r="AG337" s="11" t="b" cm="1">
        <f t="array" ref="AG337">IF(OR(Y337:AA337="TRUE", AE337="true"), "Threatened")</f>
        <v>0</v>
      </c>
      <c r="AH337" s="11" t="s">
        <v>1084</v>
      </c>
      <c r="AI337" s="8" t="b">
        <v>1</v>
      </c>
    </row>
    <row r="338" spans="1:35" ht="31.2">
      <c r="A338" s="8">
        <v>-73.958310190000006</v>
      </c>
      <c r="B338" s="8">
        <v>40.785264929999997</v>
      </c>
      <c r="C338" s="8" t="s">
        <v>1085</v>
      </c>
      <c r="D338" s="8" t="s">
        <v>1086</v>
      </c>
      <c r="E338" s="8" t="b">
        <f t="shared" si="5"/>
        <v>0</v>
      </c>
      <c r="F338" s="8" t="str" cm="1">
        <f t="array" ref="F338">_xlfn._xlws.FILTER(E338:E3536, C338:C3536= "6D-PM-1020-01", "No Squirrels Found")</f>
        <v>No Squirrels Found</v>
      </c>
      <c r="G338" s="8" t="s">
        <v>34</v>
      </c>
      <c r="H338" s="10">
        <v>10202018</v>
      </c>
      <c r="I338" s="10">
        <v>5</v>
      </c>
      <c r="J338" s="8" t="s">
        <v>39</v>
      </c>
      <c r="K338" s="8" t="s">
        <v>40</v>
      </c>
      <c r="L338" s="8" t="s">
        <v>41</v>
      </c>
      <c r="M338" s="8" t="s">
        <v>42</v>
      </c>
      <c r="O338" s="8" t="s">
        <v>50</v>
      </c>
      <c r="P338" s="8">
        <v>10</v>
      </c>
      <c r="Q338" s="8" t="s">
        <v>1087</v>
      </c>
      <c r="R338" s="8" t="b">
        <v>1</v>
      </c>
      <c r="S338" s="8" t="b">
        <v>0</v>
      </c>
      <c r="T338" s="8" t="b">
        <v>0</v>
      </c>
      <c r="U338" s="8" t="b">
        <v>0</v>
      </c>
      <c r="V338" s="8" t="b">
        <v>0</v>
      </c>
      <c r="X338" s="8" t="b">
        <v>0</v>
      </c>
      <c r="Y338" s="8" t="b">
        <v>0</v>
      </c>
      <c r="Z338" s="8" t="b">
        <v>0</v>
      </c>
      <c r="AA338" s="8" t="b">
        <v>0</v>
      </c>
      <c r="AB338" s="8" t="b">
        <v>0</v>
      </c>
      <c r="AC338" s="8" t="b">
        <v>0</v>
      </c>
      <c r="AD338" s="8" t="b">
        <v>0</v>
      </c>
      <c r="AE338" s="8" t="b">
        <v>1</v>
      </c>
      <c r="AF338" s="11" t="s">
        <v>1088</v>
      </c>
      <c r="AG338" s="11" t="b" cm="1">
        <f t="array" ref="AG338">IF(OR(Y338:AA338="TRUE", AE338="true"), "Threatened")</f>
        <v>0</v>
      </c>
      <c r="AH338" s="11" t="s">
        <v>1089</v>
      </c>
      <c r="AI338" s="8" t="b">
        <v>1</v>
      </c>
    </row>
    <row r="339" spans="1:35" ht="31.2">
      <c r="A339" s="8">
        <v>-73.976559559999998</v>
      </c>
      <c r="B339" s="8">
        <v>40.77484553</v>
      </c>
      <c r="C339" s="8" t="s">
        <v>1090</v>
      </c>
      <c r="D339" s="8" t="s">
        <v>167</v>
      </c>
      <c r="E339" s="8" t="b">
        <f t="shared" si="5"/>
        <v>0</v>
      </c>
      <c r="F339" s="8" t="str" cm="1">
        <f t="array" ref="F339">_xlfn._xlws.FILTER(E339:E3537, C339:C3537= "6D-PM-1020-01", "No Squirrels Found")</f>
        <v>No Squirrels Found</v>
      </c>
      <c r="G339" s="8" t="s">
        <v>34</v>
      </c>
      <c r="H339" s="10">
        <v>10142018</v>
      </c>
      <c r="I339" s="10">
        <v>4</v>
      </c>
      <c r="J339" s="8" t="s">
        <v>39</v>
      </c>
      <c r="K339" s="8" t="s">
        <v>40</v>
      </c>
      <c r="L339" s="8" t="s">
        <v>41</v>
      </c>
      <c r="M339" s="8" t="s">
        <v>42</v>
      </c>
      <c r="O339" s="8" t="s">
        <v>43</v>
      </c>
      <c r="P339" s="8" t="b">
        <v>0</v>
      </c>
      <c r="R339" s="8" t="b">
        <v>1</v>
      </c>
      <c r="S339" s="8" t="b">
        <v>0</v>
      </c>
      <c r="T339" s="8" t="b">
        <v>0</v>
      </c>
      <c r="U339" s="8" t="b">
        <v>0</v>
      </c>
      <c r="V339" s="8" t="b">
        <v>0</v>
      </c>
      <c r="X339" s="8" t="b">
        <v>0</v>
      </c>
      <c r="Y339" s="8" t="b">
        <v>0</v>
      </c>
      <c r="Z339" s="8" t="b">
        <v>0</v>
      </c>
      <c r="AA339" s="8" t="b">
        <v>0</v>
      </c>
      <c r="AB339" s="8" t="b">
        <v>0</v>
      </c>
      <c r="AC339" s="8" t="b">
        <v>0</v>
      </c>
      <c r="AD339" s="8" t="b">
        <v>0</v>
      </c>
      <c r="AE339" s="8" t="b">
        <v>1</v>
      </c>
      <c r="AG339" s="11" t="b" cm="1">
        <f t="array" ref="AG339">IF(OR(Y339:AA339="TRUE", AE339="true"), "Threatened")</f>
        <v>0</v>
      </c>
      <c r="AH339" s="11" t="s">
        <v>1091</v>
      </c>
      <c r="AI339" s="8" t="b">
        <v>1</v>
      </c>
    </row>
    <row r="340" spans="1:35" ht="31.2">
      <c r="A340" s="8">
        <v>-73.965509580000003</v>
      </c>
      <c r="B340" s="8">
        <v>40.775245679999998</v>
      </c>
      <c r="C340" s="8" t="s">
        <v>1092</v>
      </c>
      <c r="D340" s="8" t="s">
        <v>1093</v>
      </c>
      <c r="E340" s="8" t="b">
        <f t="shared" si="5"/>
        <v>0</v>
      </c>
      <c r="F340" s="8" t="str" cm="1">
        <f t="array" ref="F340">_xlfn._xlws.FILTER(E340:E3538, C340:C3538= "6D-PM-1020-01", "No Squirrels Found")</f>
        <v>No Squirrels Found</v>
      </c>
      <c r="G340" s="8" t="s">
        <v>34</v>
      </c>
      <c r="H340" s="10">
        <v>10182018</v>
      </c>
      <c r="I340" s="10">
        <v>5</v>
      </c>
      <c r="J340" s="8" t="s">
        <v>39</v>
      </c>
      <c r="K340" s="8" t="s">
        <v>40</v>
      </c>
      <c r="L340" s="8" t="s">
        <v>41</v>
      </c>
      <c r="M340" s="8" t="s">
        <v>42</v>
      </c>
      <c r="O340" s="8" t="s">
        <v>50</v>
      </c>
      <c r="P340" s="8">
        <v>2</v>
      </c>
      <c r="R340" s="8" t="b">
        <v>0</v>
      </c>
      <c r="S340" s="8" t="b">
        <v>0</v>
      </c>
      <c r="T340" s="8" t="b">
        <v>1</v>
      </c>
      <c r="U340" s="8" t="b">
        <v>1</v>
      </c>
      <c r="V340" s="8" t="b">
        <v>0</v>
      </c>
      <c r="X340" s="8" t="b">
        <v>0</v>
      </c>
      <c r="Y340" s="8" t="b">
        <v>0</v>
      </c>
      <c r="Z340" s="8" t="b">
        <v>0</v>
      </c>
      <c r="AA340" s="8" t="b">
        <v>0</v>
      </c>
      <c r="AB340" s="8" t="b">
        <v>1</v>
      </c>
      <c r="AC340" s="8" t="b">
        <v>0</v>
      </c>
      <c r="AD340" s="8" t="b">
        <v>1</v>
      </c>
      <c r="AE340" s="8" t="b">
        <v>0</v>
      </c>
      <c r="AG340" s="11" t="b" cm="1">
        <f t="array" ref="AG340">IF(OR(Y340:AA340="TRUE", AE340="true"), "Threatened")</f>
        <v>0</v>
      </c>
      <c r="AH340" s="11" t="s">
        <v>1094</v>
      </c>
      <c r="AI340" s="8" t="b">
        <v>1</v>
      </c>
    </row>
    <row r="341" spans="1:35" ht="62.4">
      <c r="A341" s="8">
        <v>-73.974496079999994</v>
      </c>
      <c r="B341" s="8">
        <v>40.765258549999999</v>
      </c>
      <c r="C341" s="8" t="s">
        <v>1095</v>
      </c>
      <c r="D341" s="8" t="s">
        <v>1096</v>
      </c>
      <c r="E341" s="8" t="b">
        <f t="shared" si="5"/>
        <v>0</v>
      </c>
      <c r="F341" s="8" t="str" cm="1">
        <f t="array" ref="F341">_xlfn._xlws.FILTER(E341:E3539, C341:C3539= "6D-PM-1020-01", "No Squirrels Found")</f>
        <v>No Squirrels Found</v>
      </c>
      <c r="G341" s="8" t="s">
        <v>48</v>
      </c>
      <c r="H341" s="10">
        <v>10122018</v>
      </c>
      <c r="I341" s="10">
        <v>1</v>
      </c>
      <c r="J341" s="8" t="s">
        <v>39</v>
      </c>
      <c r="K341" s="8" t="s">
        <v>40</v>
      </c>
      <c r="L341" s="8" t="s">
        <v>117</v>
      </c>
      <c r="M341" s="8" t="s">
        <v>118</v>
      </c>
      <c r="O341" s="8" t="s">
        <v>43</v>
      </c>
      <c r="P341" s="8" t="b">
        <v>0</v>
      </c>
      <c r="R341" s="8" t="b">
        <v>0</v>
      </c>
      <c r="S341" s="8" t="b">
        <v>0</v>
      </c>
      <c r="T341" s="8" t="b">
        <v>0</v>
      </c>
      <c r="U341" s="8" t="b">
        <v>0</v>
      </c>
      <c r="V341" s="8" t="b">
        <v>1</v>
      </c>
      <c r="X341" s="8" t="b">
        <v>0</v>
      </c>
      <c r="Y341" s="8" t="b">
        <v>0</v>
      </c>
      <c r="Z341" s="8" t="b">
        <v>0</v>
      </c>
      <c r="AA341" s="8" t="b">
        <v>0</v>
      </c>
      <c r="AB341" s="8" t="b">
        <v>0</v>
      </c>
      <c r="AC341" s="8" t="b">
        <v>1</v>
      </c>
      <c r="AD341" s="8" t="b">
        <v>0</v>
      </c>
      <c r="AE341" s="8" t="b">
        <v>1</v>
      </c>
      <c r="AF341" s="11" t="s">
        <v>1097</v>
      </c>
      <c r="AG341" s="11" t="b" cm="1">
        <f t="array" ref="AG341">IF(OR(Y341:AA341="TRUE", AE341="true"), "Threatened")</f>
        <v>0</v>
      </c>
      <c r="AH341" s="11" t="s">
        <v>1098</v>
      </c>
      <c r="AI341" s="8" t="b">
        <v>1</v>
      </c>
    </row>
    <row r="342" spans="1:35" ht="31.2">
      <c r="A342" s="8">
        <v>-73.970316170000004</v>
      </c>
      <c r="B342" s="8">
        <v>40.770261050000002</v>
      </c>
      <c r="C342" s="8" t="s">
        <v>1099</v>
      </c>
      <c r="D342" s="8" t="s">
        <v>199</v>
      </c>
      <c r="E342" s="8" t="b">
        <f t="shared" si="5"/>
        <v>0</v>
      </c>
      <c r="F342" s="8" t="str" cm="1">
        <f t="array" ref="F342">_xlfn._xlws.FILTER(E342:E3540, C342:C3540= "6D-PM-1020-01", "No Squirrels Found")</f>
        <v>No Squirrels Found</v>
      </c>
      <c r="G342" s="8" t="s">
        <v>34</v>
      </c>
      <c r="H342" s="10">
        <v>10142018</v>
      </c>
      <c r="I342" s="10">
        <v>5</v>
      </c>
      <c r="J342" s="8" t="s">
        <v>54</v>
      </c>
      <c r="K342" s="8" t="s">
        <v>40</v>
      </c>
      <c r="M342" s="8" t="s">
        <v>55</v>
      </c>
      <c r="O342" s="8" t="s">
        <v>50</v>
      </c>
      <c r="P342" s="8">
        <v>2</v>
      </c>
      <c r="R342" s="8" t="b">
        <v>0</v>
      </c>
      <c r="S342" s="8" t="b">
        <v>0</v>
      </c>
      <c r="T342" s="8" t="b">
        <v>1</v>
      </c>
      <c r="U342" s="8" t="b">
        <v>0</v>
      </c>
      <c r="V342" s="8" t="b">
        <v>0</v>
      </c>
      <c r="X342" s="8" t="b">
        <v>0</v>
      </c>
      <c r="Y342" s="8" t="b">
        <v>0</v>
      </c>
      <c r="Z342" s="8" t="b">
        <v>0</v>
      </c>
      <c r="AA342" s="8" t="b">
        <v>0</v>
      </c>
      <c r="AB342" s="8" t="b">
        <v>0</v>
      </c>
      <c r="AC342" s="8" t="b">
        <v>0</v>
      </c>
      <c r="AD342" s="8" t="b">
        <v>0</v>
      </c>
      <c r="AE342" s="8" t="b">
        <v>1</v>
      </c>
      <c r="AG342" s="11" t="b" cm="1">
        <f t="array" ref="AG342">IF(OR(Y342:AA342="TRUE", AE342="true"), "Threatened")</f>
        <v>0</v>
      </c>
      <c r="AH342" s="11" t="s">
        <v>1100</v>
      </c>
      <c r="AI342" s="8" t="b">
        <v>1</v>
      </c>
    </row>
    <row r="343" spans="1:35" ht="46.8">
      <c r="A343" s="8">
        <v>-73.960596659999993</v>
      </c>
      <c r="B343" s="8">
        <v>40.788984910000003</v>
      </c>
      <c r="C343" s="8" t="s">
        <v>1101</v>
      </c>
      <c r="D343" s="8" t="s">
        <v>1102</v>
      </c>
      <c r="E343" s="8" t="b">
        <f t="shared" si="5"/>
        <v>0</v>
      </c>
      <c r="F343" s="8" t="str" cm="1">
        <f t="array" ref="F343">_xlfn._xlws.FILTER(E343:E3541, C343:C3541= "6D-PM-1020-01", "No Squirrels Found")</f>
        <v>No Squirrels Found</v>
      </c>
      <c r="G343" s="8" t="s">
        <v>48</v>
      </c>
      <c r="H343" s="10">
        <v>10082018</v>
      </c>
      <c r="I343" s="10">
        <v>1</v>
      </c>
      <c r="J343" s="8" t="s">
        <v>39</v>
      </c>
      <c r="K343" s="8" t="s">
        <v>40</v>
      </c>
      <c r="L343" s="8" t="s">
        <v>84</v>
      </c>
      <c r="M343" s="8" t="s">
        <v>103</v>
      </c>
      <c r="O343" s="8" t="s">
        <v>43</v>
      </c>
      <c r="P343" s="8" t="b">
        <v>0</v>
      </c>
      <c r="R343" s="8" t="b">
        <v>0</v>
      </c>
      <c r="S343" s="8" t="b">
        <v>0</v>
      </c>
      <c r="T343" s="8" t="b">
        <v>0</v>
      </c>
      <c r="U343" s="8" t="b">
        <v>0</v>
      </c>
      <c r="V343" s="8" t="b">
        <v>1</v>
      </c>
      <c r="X343" s="8" t="b">
        <v>0</v>
      </c>
      <c r="Y343" s="8" t="b">
        <v>0</v>
      </c>
      <c r="Z343" s="8" t="b">
        <v>0</v>
      </c>
      <c r="AA343" s="8" t="b">
        <v>0</v>
      </c>
      <c r="AB343" s="8" t="b">
        <v>1</v>
      </c>
      <c r="AC343" s="8" t="b">
        <v>0</v>
      </c>
      <c r="AD343" s="8" t="b">
        <v>0</v>
      </c>
      <c r="AE343" s="8" t="b">
        <v>1</v>
      </c>
      <c r="AF343" s="11" t="s">
        <v>1103</v>
      </c>
      <c r="AG343" s="11" t="b" cm="1">
        <f t="array" ref="AG343">IF(OR(Y343:AA343="TRUE", AE343="true"), "Threatened")</f>
        <v>0</v>
      </c>
      <c r="AH343" s="11" t="s">
        <v>1104</v>
      </c>
      <c r="AI343" s="8" t="b">
        <v>1</v>
      </c>
    </row>
    <row r="344" spans="1:35" ht="31.2">
      <c r="A344" s="8">
        <v>-73.973022459999996</v>
      </c>
      <c r="B344" s="8">
        <v>40.779683339999998</v>
      </c>
      <c r="C344" s="8" t="s">
        <v>1105</v>
      </c>
      <c r="D344" s="8" t="s">
        <v>1106</v>
      </c>
      <c r="E344" s="8" t="b">
        <f t="shared" si="5"/>
        <v>0</v>
      </c>
      <c r="F344" s="8" t="str" cm="1">
        <f t="array" ref="F344">_xlfn._xlws.FILTER(E344:E3542, C344:C3542= "6D-PM-1020-01", "No Squirrels Found")</f>
        <v>No Squirrels Found</v>
      </c>
      <c r="G344" s="8" t="s">
        <v>34</v>
      </c>
      <c r="H344" s="10">
        <v>10192018</v>
      </c>
      <c r="I344" s="10">
        <v>4</v>
      </c>
      <c r="J344" s="8" t="s">
        <v>39</v>
      </c>
      <c r="K344" s="8" t="s">
        <v>40</v>
      </c>
      <c r="L344" s="8" t="s">
        <v>41</v>
      </c>
      <c r="M344" s="8" t="s">
        <v>42</v>
      </c>
      <c r="O344" s="8" t="s">
        <v>43</v>
      </c>
      <c r="P344" s="8" t="b">
        <v>0</v>
      </c>
      <c r="R344" s="8" t="b">
        <v>0</v>
      </c>
      <c r="S344" s="8" t="b">
        <v>0</v>
      </c>
      <c r="T344" s="8" t="b">
        <v>0</v>
      </c>
      <c r="U344" s="8" t="b">
        <v>0</v>
      </c>
      <c r="V344" s="8" t="b">
        <v>1</v>
      </c>
      <c r="X344" s="8" t="b">
        <v>0</v>
      </c>
      <c r="Y344" s="8" t="b">
        <v>0</v>
      </c>
      <c r="Z344" s="8" t="b">
        <v>0</v>
      </c>
      <c r="AA344" s="8" t="b">
        <v>0</v>
      </c>
      <c r="AB344" s="8" t="b">
        <v>1</v>
      </c>
      <c r="AC344" s="8" t="b">
        <v>0</v>
      </c>
      <c r="AD344" s="8" t="b">
        <v>1</v>
      </c>
      <c r="AE344" s="8" t="b">
        <v>0</v>
      </c>
      <c r="AG344" s="11" t="b" cm="1">
        <f t="array" ref="AG344">IF(OR(Y344:AA344="TRUE", AE344="true"), "Threatened")</f>
        <v>0</v>
      </c>
      <c r="AH344" s="11" t="s">
        <v>1107</v>
      </c>
      <c r="AI344" s="8" t="b">
        <v>1</v>
      </c>
    </row>
    <row r="345" spans="1:35" ht="31.2">
      <c r="A345" s="8">
        <v>-73.975943220000005</v>
      </c>
      <c r="B345" s="8">
        <v>40.77332406</v>
      </c>
      <c r="C345" s="8" t="s">
        <v>1108</v>
      </c>
      <c r="D345" s="8" t="s">
        <v>249</v>
      </c>
      <c r="E345" s="8" t="b">
        <f t="shared" si="5"/>
        <v>0</v>
      </c>
      <c r="F345" s="8" t="str" cm="1">
        <f t="array" ref="F345">_xlfn._xlws.FILTER(E345:E3543, C345:C3543= "6D-PM-1020-01", "No Squirrels Found")</f>
        <v>No Squirrels Found</v>
      </c>
      <c r="G345" s="8" t="s">
        <v>34</v>
      </c>
      <c r="H345" s="10">
        <v>10122018</v>
      </c>
      <c r="I345" s="10">
        <v>6</v>
      </c>
      <c r="J345" s="8" t="s">
        <v>39</v>
      </c>
      <c r="K345" s="8" t="s">
        <v>40</v>
      </c>
      <c r="L345" s="8" t="s">
        <v>117</v>
      </c>
      <c r="M345" s="8" t="s">
        <v>118</v>
      </c>
      <c r="O345" s="8" t="s">
        <v>50</v>
      </c>
      <c r="P345" s="8">
        <v>2</v>
      </c>
      <c r="Q345" s="8" t="s">
        <v>1109</v>
      </c>
      <c r="R345" s="8" t="b">
        <v>0</v>
      </c>
      <c r="S345" s="8" t="b">
        <v>0</v>
      </c>
      <c r="T345" s="8" t="b">
        <v>0</v>
      </c>
      <c r="U345" s="8" t="b">
        <v>1</v>
      </c>
      <c r="V345" s="8" t="b">
        <v>1</v>
      </c>
      <c r="X345" s="8" t="b">
        <v>0</v>
      </c>
      <c r="Y345" s="8" t="b">
        <v>0</v>
      </c>
      <c r="Z345" s="8" t="b">
        <v>0</v>
      </c>
      <c r="AA345" s="8" t="b">
        <v>0</v>
      </c>
      <c r="AB345" s="8" t="b">
        <v>0</v>
      </c>
      <c r="AC345" s="8" t="b">
        <v>0</v>
      </c>
      <c r="AD345" s="8" t="b">
        <v>1</v>
      </c>
      <c r="AE345" s="8" t="b">
        <v>0</v>
      </c>
      <c r="AG345" s="11" t="b" cm="1">
        <f t="array" ref="AG345">IF(OR(Y345:AA345="TRUE", AE345="true"), "Threatened")</f>
        <v>0</v>
      </c>
      <c r="AH345" s="11" t="s">
        <v>1110</v>
      </c>
      <c r="AI345" s="8" t="b">
        <v>1</v>
      </c>
    </row>
    <row r="346" spans="1:35" ht="31.2">
      <c r="A346" s="8">
        <v>-73.972445230000005</v>
      </c>
      <c r="B346" s="8">
        <v>40.771579209999999</v>
      </c>
      <c r="C346" s="8" t="s">
        <v>1111</v>
      </c>
      <c r="D346" s="8" t="s">
        <v>776</v>
      </c>
      <c r="E346" s="8" t="b">
        <f t="shared" si="5"/>
        <v>0</v>
      </c>
      <c r="F346" s="8" t="str" cm="1">
        <f t="array" ref="F346">_xlfn._xlws.FILTER(E346:E3544, C346:C3544= "6D-PM-1020-01", "No Squirrels Found")</f>
        <v>No Squirrels Found</v>
      </c>
      <c r="G346" s="8" t="s">
        <v>34</v>
      </c>
      <c r="H346" s="10">
        <v>10122018</v>
      </c>
      <c r="I346" s="10">
        <v>3</v>
      </c>
      <c r="J346" s="8" t="s">
        <v>39</v>
      </c>
      <c r="K346" s="8" t="s">
        <v>40</v>
      </c>
      <c r="L346" s="8" t="s">
        <v>41</v>
      </c>
      <c r="M346" s="8" t="s">
        <v>42</v>
      </c>
      <c r="O346" s="8" t="s">
        <v>43</v>
      </c>
      <c r="P346" s="8" t="b">
        <v>0</v>
      </c>
      <c r="R346" s="8" t="b">
        <v>0</v>
      </c>
      <c r="S346" s="8" t="b">
        <v>0</v>
      </c>
      <c r="T346" s="8" t="b">
        <v>0</v>
      </c>
      <c r="U346" s="8" t="b">
        <v>0</v>
      </c>
      <c r="V346" s="8" t="b">
        <v>1</v>
      </c>
      <c r="W346" s="11" t="s">
        <v>1112</v>
      </c>
      <c r="X346" s="8" t="b">
        <v>0</v>
      </c>
      <c r="Y346" s="8" t="b">
        <v>0</v>
      </c>
      <c r="Z346" s="8" t="b">
        <v>0</v>
      </c>
      <c r="AA346" s="8" t="b">
        <v>0</v>
      </c>
      <c r="AB346" s="8" t="b">
        <v>0</v>
      </c>
      <c r="AC346" s="8" t="b">
        <v>0</v>
      </c>
      <c r="AD346" s="8" t="b">
        <v>1</v>
      </c>
      <c r="AE346" s="8" t="b">
        <v>0</v>
      </c>
      <c r="AG346" s="11" t="b" cm="1">
        <f t="array" ref="AG346">IF(OR(Y346:AA346="TRUE", AE346="true"), "Threatened")</f>
        <v>0</v>
      </c>
      <c r="AH346" s="11" t="s">
        <v>1113</v>
      </c>
      <c r="AI346" s="8" t="b">
        <v>0</v>
      </c>
    </row>
    <row r="347" spans="1:35" ht="31.2">
      <c r="A347" s="8">
        <v>-73.971297160000006</v>
      </c>
      <c r="B347" s="8">
        <v>40.774552069999999</v>
      </c>
      <c r="C347" s="8" t="s">
        <v>1114</v>
      </c>
      <c r="D347" s="8" t="s">
        <v>1115</v>
      </c>
      <c r="E347" s="8" t="b">
        <f t="shared" si="5"/>
        <v>0</v>
      </c>
      <c r="F347" s="8" t="str" cm="1">
        <f t="array" ref="F347">_xlfn._xlws.FILTER(E347:E3545, C347:C3545= "6D-PM-1020-01", "No Squirrels Found")</f>
        <v>No Squirrels Found</v>
      </c>
      <c r="G347" s="8" t="s">
        <v>48</v>
      </c>
      <c r="H347" s="10">
        <v>10132018</v>
      </c>
      <c r="I347" s="10">
        <v>2</v>
      </c>
      <c r="J347" s="8" t="s">
        <v>39</v>
      </c>
      <c r="K347" s="8" t="s">
        <v>40</v>
      </c>
      <c r="L347" s="8" t="s">
        <v>192</v>
      </c>
      <c r="M347" s="8" t="s">
        <v>354</v>
      </c>
      <c r="O347" s="8" t="s">
        <v>43</v>
      </c>
      <c r="P347" s="8" t="b">
        <v>0</v>
      </c>
      <c r="R347" s="8" t="b">
        <v>0</v>
      </c>
      <c r="S347" s="8" t="b">
        <v>0</v>
      </c>
      <c r="T347" s="8" t="b">
        <v>0</v>
      </c>
      <c r="U347" s="8" t="b">
        <v>1</v>
      </c>
      <c r="V347" s="8" t="b">
        <v>1</v>
      </c>
      <c r="X347" s="8" t="b">
        <v>0</v>
      </c>
      <c r="Y347" s="8" t="b">
        <v>0</v>
      </c>
      <c r="Z347" s="8" t="b">
        <v>0</v>
      </c>
      <c r="AA347" s="8" t="b">
        <v>0</v>
      </c>
      <c r="AB347" s="8" t="b">
        <v>0</v>
      </c>
      <c r="AC347" s="8" t="b">
        <v>0</v>
      </c>
      <c r="AD347" s="8" t="b">
        <v>1</v>
      </c>
      <c r="AE347" s="8" t="b">
        <v>0</v>
      </c>
      <c r="AG347" s="11" t="b" cm="1">
        <f t="array" ref="AG347">IF(OR(Y347:AA347="TRUE", AE347="true"), "Threatened")</f>
        <v>0</v>
      </c>
      <c r="AH347" s="11" t="s">
        <v>1116</v>
      </c>
      <c r="AI347" s="8" t="b">
        <v>1</v>
      </c>
    </row>
    <row r="348" spans="1:35" ht="31.2">
      <c r="A348" s="8">
        <v>-73.961169609999999</v>
      </c>
      <c r="B348" s="8">
        <v>40.781669290000004</v>
      </c>
      <c r="C348" s="8" t="s">
        <v>1117</v>
      </c>
      <c r="D348" s="8" t="s">
        <v>1118</v>
      </c>
      <c r="E348" s="8" t="b">
        <f t="shared" si="5"/>
        <v>0</v>
      </c>
      <c r="F348" s="8" t="str" cm="1">
        <f t="array" ref="F348">_xlfn._xlws.FILTER(E348:E3546, C348:C3546= "6D-PM-1020-01", "No Squirrels Found")</f>
        <v>No Squirrels Found</v>
      </c>
      <c r="G348" s="8" t="s">
        <v>48</v>
      </c>
      <c r="H348" s="10">
        <v>10072018</v>
      </c>
      <c r="I348" s="10">
        <v>3</v>
      </c>
      <c r="J348" s="8" t="s">
        <v>39</v>
      </c>
      <c r="K348" s="8" t="s">
        <v>40</v>
      </c>
      <c r="M348" s="8" t="s">
        <v>55</v>
      </c>
      <c r="O348" s="8" t="s">
        <v>50</v>
      </c>
      <c r="P348" s="8">
        <v>30</v>
      </c>
      <c r="R348" s="8" t="b">
        <v>0</v>
      </c>
      <c r="S348" s="8" t="b">
        <v>0</v>
      </c>
      <c r="T348" s="8" t="b">
        <v>1</v>
      </c>
      <c r="U348" s="8" t="b">
        <v>0</v>
      </c>
      <c r="V348" s="8" t="b">
        <v>0</v>
      </c>
      <c r="X348" s="8" t="b">
        <v>0</v>
      </c>
      <c r="Y348" s="8" t="b">
        <v>0</v>
      </c>
      <c r="Z348" s="8" t="b">
        <v>0</v>
      </c>
      <c r="AA348" s="8" t="b">
        <v>0</v>
      </c>
      <c r="AB348" s="8" t="b">
        <v>0</v>
      </c>
      <c r="AC348" s="8" t="b">
        <v>0</v>
      </c>
      <c r="AD348" s="8" t="b">
        <v>1</v>
      </c>
      <c r="AE348" s="8" t="b">
        <v>0</v>
      </c>
      <c r="AG348" s="11" t="b" cm="1">
        <f t="array" ref="AG348">IF(OR(Y348:AA348="TRUE", AE348="true"), "Threatened")</f>
        <v>0</v>
      </c>
      <c r="AH348" s="11" t="s">
        <v>1119</v>
      </c>
      <c r="AI348" s="8" t="b">
        <v>1</v>
      </c>
    </row>
    <row r="349" spans="1:35" ht="31.2">
      <c r="A349" s="8">
        <v>-73.954299019999993</v>
      </c>
      <c r="B349" s="8">
        <v>40.794091530000003</v>
      </c>
      <c r="C349" s="8" t="s">
        <v>1120</v>
      </c>
      <c r="D349" s="8" t="s">
        <v>939</v>
      </c>
      <c r="E349" s="8" t="b">
        <f t="shared" si="5"/>
        <v>0</v>
      </c>
      <c r="F349" s="8" t="str" cm="1">
        <f t="array" ref="F349">_xlfn._xlws.FILTER(E349:E3547, C349:C3547= "6D-PM-1020-01", "No Squirrels Found")</f>
        <v>No Squirrels Found</v>
      </c>
      <c r="G349" s="8" t="s">
        <v>34</v>
      </c>
      <c r="H349" s="10">
        <v>10072018</v>
      </c>
      <c r="I349" s="10">
        <v>9</v>
      </c>
      <c r="J349" s="8" t="s">
        <v>39</v>
      </c>
      <c r="K349" s="8" t="s">
        <v>41</v>
      </c>
      <c r="L349" s="8" t="s">
        <v>84</v>
      </c>
      <c r="M349" s="8" t="s">
        <v>85</v>
      </c>
      <c r="R349" s="8" t="b">
        <v>0</v>
      </c>
      <c r="S349" s="8" t="b">
        <v>0</v>
      </c>
      <c r="T349" s="8" t="b">
        <v>0</v>
      </c>
      <c r="U349" s="8" t="b">
        <v>0</v>
      </c>
      <c r="V349" s="8" t="b">
        <v>1</v>
      </c>
      <c r="X349" s="8" t="b">
        <v>0</v>
      </c>
      <c r="Y349" s="8" t="b">
        <v>0</v>
      </c>
      <c r="Z349" s="8" t="b">
        <v>0</v>
      </c>
      <c r="AA349" s="8" t="b">
        <v>0</v>
      </c>
      <c r="AB349" s="8" t="b">
        <v>0</v>
      </c>
      <c r="AC349" s="8" t="b">
        <v>0</v>
      </c>
      <c r="AD349" s="8" t="b">
        <v>0</v>
      </c>
      <c r="AE349" s="8" t="b">
        <v>0</v>
      </c>
      <c r="AG349" s="11" t="b" cm="1">
        <f t="array" ref="AG349">IF(OR(Y349:AA349="TRUE", AE349="true"), "Threatened")</f>
        <v>0</v>
      </c>
      <c r="AH349" s="11" t="s">
        <v>1121</v>
      </c>
      <c r="AI349" s="8" t="b">
        <v>1</v>
      </c>
    </row>
    <row r="350" spans="1:35" ht="31.2">
      <c r="A350" s="8">
        <v>-73.968965699999998</v>
      </c>
      <c r="B350" s="8">
        <v>40.776783430000002</v>
      </c>
      <c r="C350" s="8" t="s">
        <v>1122</v>
      </c>
      <c r="D350" s="8" t="s">
        <v>246</v>
      </c>
      <c r="E350" s="8" t="b">
        <f t="shared" si="5"/>
        <v>0</v>
      </c>
      <c r="F350" s="8" t="str" cm="1">
        <f t="array" ref="F350">_xlfn._xlws.FILTER(E350:E3548, C350:C3548= "6D-PM-1020-01", "No Squirrels Found")</f>
        <v>No Squirrels Found</v>
      </c>
      <c r="G350" s="8" t="s">
        <v>48</v>
      </c>
      <c r="H350" s="10">
        <v>10072018</v>
      </c>
      <c r="I350" s="10">
        <v>4</v>
      </c>
      <c r="J350" s="8" t="s">
        <v>39</v>
      </c>
      <c r="K350" s="8" t="s">
        <v>41</v>
      </c>
      <c r="L350" s="8" t="s">
        <v>84</v>
      </c>
      <c r="M350" s="8" t="s">
        <v>85</v>
      </c>
      <c r="O350" s="8" t="s">
        <v>43</v>
      </c>
      <c r="P350" s="8" t="b">
        <v>0</v>
      </c>
      <c r="R350" s="8" t="b">
        <v>0</v>
      </c>
      <c r="S350" s="8" t="b">
        <v>0</v>
      </c>
      <c r="T350" s="8" t="b">
        <v>0</v>
      </c>
      <c r="U350" s="8" t="b">
        <v>1</v>
      </c>
      <c r="V350" s="8" t="b">
        <v>1</v>
      </c>
      <c r="X350" s="8" t="b">
        <v>0</v>
      </c>
      <c r="Y350" s="8" t="b">
        <v>0</v>
      </c>
      <c r="Z350" s="8" t="b">
        <v>0</v>
      </c>
      <c r="AA350" s="8" t="b">
        <v>0</v>
      </c>
      <c r="AB350" s="8" t="b">
        <v>0</v>
      </c>
      <c r="AC350" s="8" t="b">
        <v>0</v>
      </c>
      <c r="AD350" s="8" t="b">
        <v>0</v>
      </c>
      <c r="AE350" s="8" t="b">
        <v>0</v>
      </c>
      <c r="AG350" s="11" t="b" cm="1">
        <f t="array" ref="AG350">IF(OR(Y350:AA350="TRUE", AE350="true"), "Threatened")</f>
        <v>0</v>
      </c>
      <c r="AH350" s="11" t="s">
        <v>1123</v>
      </c>
      <c r="AI350" s="8" t="b">
        <v>1</v>
      </c>
    </row>
    <row r="351" spans="1:35" ht="31.2">
      <c r="A351" s="8">
        <v>-73.970747110000005</v>
      </c>
      <c r="B351" s="8">
        <v>40.77592551</v>
      </c>
      <c r="C351" s="8" t="s">
        <v>1124</v>
      </c>
      <c r="D351" s="8" t="s">
        <v>79</v>
      </c>
      <c r="E351" s="8" t="b">
        <f t="shared" si="5"/>
        <v>0</v>
      </c>
      <c r="F351" s="8" t="str" cm="1">
        <f t="array" ref="F351">_xlfn._xlws.FILTER(E351:E3549, C351:C3549= "6D-PM-1020-01", "No Squirrels Found")</f>
        <v>No Squirrels Found</v>
      </c>
      <c r="G351" s="8" t="s">
        <v>48</v>
      </c>
      <c r="H351" s="10">
        <v>10172018</v>
      </c>
      <c r="I351" s="10">
        <v>8</v>
      </c>
      <c r="J351" s="8" t="s">
        <v>39</v>
      </c>
      <c r="K351" s="8" t="s">
        <v>40</v>
      </c>
      <c r="L351" s="8" t="s">
        <v>41</v>
      </c>
      <c r="M351" s="8" t="s">
        <v>42</v>
      </c>
      <c r="O351" s="8" t="s">
        <v>43</v>
      </c>
      <c r="P351" s="8" t="b">
        <v>0</v>
      </c>
      <c r="R351" s="8" t="b">
        <v>0</v>
      </c>
      <c r="S351" s="8" t="b">
        <v>0</v>
      </c>
      <c r="T351" s="8" t="b">
        <v>0</v>
      </c>
      <c r="U351" s="8" t="b">
        <v>0</v>
      </c>
      <c r="V351" s="8" t="b">
        <v>1</v>
      </c>
      <c r="X351" s="8" t="b">
        <v>0</v>
      </c>
      <c r="Y351" s="8" t="b">
        <v>0</v>
      </c>
      <c r="Z351" s="8" t="b">
        <v>0</v>
      </c>
      <c r="AA351" s="8" t="b">
        <v>0</v>
      </c>
      <c r="AB351" s="8" t="b">
        <v>0</v>
      </c>
      <c r="AC351" s="8" t="b">
        <v>0</v>
      </c>
      <c r="AD351" s="8" t="b">
        <v>0</v>
      </c>
      <c r="AE351" s="8" t="b">
        <v>0</v>
      </c>
      <c r="AG351" s="11" t="b" cm="1">
        <f t="array" ref="AG351">IF(OR(Y351:AA351="TRUE", AE351="true"), "Threatened")</f>
        <v>0</v>
      </c>
      <c r="AH351" s="11" t="s">
        <v>1125</v>
      </c>
      <c r="AI351" s="8" t="b">
        <v>1</v>
      </c>
    </row>
    <row r="352" spans="1:35" ht="31.2">
      <c r="A352" s="8">
        <v>-73.971333060000006</v>
      </c>
      <c r="B352" s="8">
        <v>40.777192419999999</v>
      </c>
      <c r="C352" s="8" t="s">
        <v>1126</v>
      </c>
      <c r="D352" s="8" t="s">
        <v>741</v>
      </c>
      <c r="E352" s="8" t="b">
        <f t="shared" si="5"/>
        <v>0</v>
      </c>
      <c r="F352" s="8" t="str" cm="1">
        <f t="array" ref="F352">_xlfn._xlws.FILTER(E352:E3550, C352:C3550= "6D-PM-1020-01", "No Squirrels Found")</f>
        <v>No Squirrels Found</v>
      </c>
      <c r="G352" s="8" t="s">
        <v>48</v>
      </c>
      <c r="H352" s="10">
        <v>10142018</v>
      </c>
      <c r="I352" s="10">
        <v>10</v>
      </c>
      <c r="J352" s="8" t="s">
        <v>39</v>
      </c>
      <c r="K352" s="8" t="s">
        <v>40</v>
      </c>
      <c r="L352" s="8" t="s">
        <v>117</v>
      </c>
      <c r="M352" s="8" t="s">
        <v>118</v>
      </c>
      <c r="O352" s="8" t="s">
        <v>43</v>
      </c>
      <c r="P352" s="8" t="b">
        <v>0</v>
      </c>
      <c r="R352" s="8" t="b">
        <v>0</v>
      </c>
      <c r="S352" s="8" t="b">
        <v>0</v>
      </c>
      <c r="T352" s="8" t="b">
        <v>0</v>
      </c>
      <c r="U352" s="8" t="b">
        <v>0</v>
      </c>
      <c r="V352" s="8" t="b">
        <v>1</v>
      </c>
      <c r="X352" s="8" t="b">
        <v>0</v>
      </c>
      <c r="Y352" s="8" t="b">
        <v>0</v>
      </c>
      <c r="Z352" s="8" t="b">
        <v>0</v>
      </c>
      <c r="AA352" s="8" t="b">
        <v>0</v>
      </c>
      <c r="AB352" s="8" t="b">
        <v>0</v>
      </c>
      <c r="AC352" s="8" t="b">
        <v>0</v>
      </c>
      <c r="AD352" s="8" t="b">
        <v>1</v>
      </c>
      <c r="AE352" s="8" t="b">
        <v>0</v>
      </c>
      <c r="AG352" s="11" t="b" cm="1">
        <f t="array" ref="AG352">IF(OR(Y352:AA352="TRUE", AE352="true"), "Threatened")</f>
        <v>0</v>
      </c>
      <c r="AH352" s="11" t="s">
        <v>1127</v>
      </c>
      <c r="AI352" s="8" t="b">
        <v>1</v>
      </c>
    </row>
    <row r="353" spans="1:35" ht="31.2">
      <c r="A353" s="8">
        <v>-73.970540990000003</v>
      </c>
      <c r="B353" s="8">
        <v>40.769810309999997</v>
      </c>
      <c r="C353" s="8" t="s">
        <v>1128</v>
      </c>
      <c r="D353" s="8" t="s">
        <v>113</v>
      </c>
      <c r="E353" s="8" t="b">
        <f t="shared" si="5"/>
        <v>0</v>
      </c>
      <c r="F353" s="8" t="str" cm="1">
        <f t="array" ref="F353">_xlfn._xlws.FILTER(E353:E3551, C353:C3551= "6D-PM-1020-01", "No Squirrels Found")</f>
        <v>No Squirrels Found</v>
      </c>
      <c r="G353" s="8" t="s">
        <v>48</v>
      </c>
      <c r="H353" s="10">
        <v>10062018</v>
      </c>
      <c r="I353" s="10">
        <v>6</v>
      </c>
      <c r="J353" s="8" t="s">
        <v>39</v>
      </c>
      <c r="K353" s="8" t="s">
        <v>40</v>
      </c>
      <c r="L353" s="8" t="s">
        <v>41</v>
      </c>
      <c r="M353" s="8" t="s">
        <v>42</v>
      </c>
      <c r="O353" s="8" t="s">
        <v>50</v>
      </c>
      <c r="P353" s="8">
        <v>12</v>
      </c>
      <c r="R353" s="8" t="b">
        <v>0</v>
      </c>
      <c r="S353" s="8" t="b">
        <v>1</v>
      </c>
      <c r="T353" s="8" t="b">
        <v>0</v>
      </c>
      <c r="U353" s="8" t="b">
        <v>0</v>
      </c>
      <c r="V353" s="8" t="b">
        <v>0</v>
      </c>
      <c r="X353" s="8" t="b">
        <v>0</v>
      </c>
      <c r="Y353" s="8" t="b">
        <v>0</v>
      </c>
      <c r="Z353" s="8" t="b">
        <v>0</v>
      </c>
      <c r="AA353" s="8" t="b">
        <v>0</v>
      </c>
      <c r="AB353" s="8" t="b">
        <v>0</v>
      </c>
      <c r="AC353" s="8" t="b">
        <v>0</v>
      </c>
      <c r="AD353" s="8" t="b">
        <v>1</v>
      </c>
      <c r="AE353" s="8" t="b">
        <v>0</v>
      </c>
      <c r="AG353" s="11" t="b" cm="1">
        <f t="array" ref="AG353">IF(OR(Y353:AA353="TRUE", AE353="true"), "Threatened")</f>
        <v>0</v>
      </c>
      <c r="AH353" s="11" t="s">
        <v>1129</v>
      </c>
      <c r="AI353" s="8" t="b">
        <v>1</v>
      </c>
    </row>
    <row r="354" spans="1:35" ht="31.2">
      <c r="A354" s="8">
        <v>-73.974000779999997</v>
      </c>
      <c r="B354" s="8">
        <v>40.765007709999999</v>
      </c>
      <c r="C354" s="8" t="s">
        <v>1130</v>
      </c>
      <c r="D354" s="8" t="s">
        <v>1096</v>
      </c>
      <c r="E354" s="8" t="b">
        <f t="shared" si="5"/>
        <v>0</v>
      </c>
      <c r="F354" s="8" t="str" cm="1">
        <f t="array" ref="F354">_xlfn._xlws.FILTER(E354:E3552, C354:C3552= "6D-PM-1020-01", "No Squirrels Found")</f>
        <v>No Squirrels Found</v>
      </c>
      <c r="G354" s="8" t="s">
        <v>34</v>
      </c>
      <c r="H354" s="10">
        <v>10132018</v>
      </c>
      <c r="I354" s="10">
        <v>1</v>
      </c>
      <c r="J354" s="8" t="s">
        <v>39</v>
      </c>
      <c r="K354" s="8" t="s">
        <v>40</v>
      </c>
      <c r="M354" s="8" t="s">
        <v>55</v>
      </c>
      <c r="O354" s="8" t="s">
        <v>43</v>
      </c>
      <c r="P354" s="8" t="b">
        <v>0</v>
      </c>
      <c r="R354" s="8" t="b">
        <v>0</v>
      </c>
      <c r="S354" s="8" t="b">
        <v>0</v>
      </c>
      <c r="T354" s="8" t="b">
        <v>0</v>
      </c>
      <c r="U354" s="8" t="b">
        <v>1</v>
      </c>
      <c r="V354" s="8" t="b">
        <v>1</v>
      </c>
      <c r="X354" s="8" t="b">
        <v>0</v>
      </c>
      <c r="Y354" s="8" t="b">
        <v>0</v>
      </c>
      <c r="Z354" s="8" t="b">
        <v>0</v>
      </c>
      <c r="AA354" s="8" t="b">
        <v>0</v>
      </c>
      <c r="AB354" s="8" t="b">
        <v>0</v>
      </c>
      <c r="AC354" s="8" t="b">
        <v>0</v>
      </c>
      <c r="AD354" s="8" t="b">
        <v>1</v>
      </c>
      <c r="AE354" s="8" t="b">
        <v>0</v>
      </c>
      <c r="AG354" s="11" t="b" cm="1">
        <f t="array" ref="AG354">IF(OR(Y354:AA354="TRUE", AE354="true"), "Threatened")</f>
        <v>0</v>
      </c>
      <c r="AH354" s="11" t="s">
        <v>1131</v>
      </c>
      <c r="AI354" s="8" t="b">
        <v>1</v>
      </c>
    </row>
    <row r="355" spans="1:35" ht="31.2">
      <c r="A355" s="8">
        <v>-73.956675099999998</v>
      </c>
      <c r="B355" s="8">
        <v>40.799035789999998</v>
      </c>
      <c r="C355" s="8" t="s">
        <v>1132</v>
      </c>
      <c r="D355" s="8" t="s">
        <v>1133</v>
      </c>
      <c r="E355" s="8" t="b">
        <f t="shared" si="5"/>
        <v>0</v>
      </c>
      <c r="F355" s="8" t="str" cm="1">
        <f t="array" ref="F355">_xlfn._xlws.FILTER(E355:E3553, C355:C3553= "6D-PM-1020-01", "No Squirrels Found")</f>
        <v>No Squirrels Found</v>
      </c>
      <c r="G355" s="8" t="s">
        <v>34</v>
      </c>
      <c r="H355" s="10">
        <v>10072018</v>
      </c>
      <c r="I355" s="10">
        <v>4</v>
      </c>
      <c r="J355" s="8" t="s">
        <v>39</v>
      </c>
      <c r="K355" s="8" t="s">
        <v>40</v>
      </c>
      <c r="L355" s="8" t="s">
        <v>84</v>
      </c>
      <c r="M355" s="8" t="s">
        <v>103</v>
      </c>
      <c r="O355" s="8" t="s">
        <v>50</v>
      </c>
      <c r="P355" s="8">
        <v>65</v>
      </c>
      <c r="R355" s="8" t="b">
        <v>0</v>
      </c>
      <c r="S355" s="8" t="b">
        <v>0</v>
      </c>
      <c r="T355" s="8" t="b">
        <v>1</v>
      </c>
      <c r="U355" s="8" t="b">
        <v>0</v>
      </c>
      <c r="V355" s="8" t="b">
        <v>0</v>
      </c>
      <c r="X355" s="8" t="b">
        <v>0</v>
      </c>
      <c r="Y355" s="8" t="b">
        <v>0</v>
      </c>
      <c r="Z355" s="8" t="b">
        <v>0</v>
      </c>
      <c r="AA355" s="8" t="b">
        <v>0</v>
      </c>
      <c r="AB355" s="8" t="b">
        <v>0</v>
      </c>
      <c r="AC355" s="8" t="b">
        <v>0</v>
      </c>
      <c r="AD355" s="8" t="b">
        <v>0</v>
      </c>
      <c r="AE355" s="8" t="b">
        <v>0</v>
      </c>
      <c r="AG355" s="11" t="b" cm="1">
        <f t="array" ref="AG355">IF(OR(Y355:AA355="TRUE", AE355="true"), "Threatened")</f>
        <v>0</v>
      </c>
      <c r="AH355" s="11" t="s">
        <v>1134</v>
      </c>
      <c r="AI355" s="8" t="b">
        <v>1</v>
      </c>
    </row>
    <row r="356" spans="1:35" ht="31.2">
      <c r="A356" s="8">
        <v>-73.963963509999999</v>
      </c>
      <c r="B356" s="8">
        <v>40.79003376</v>
      </c>
      <c r="C356" s="8" t="s">
        <v>1135</v>
      </c>
      <c r="D356" s="8" t="s">
        <v>1136</v>
      </c>
      <c r="E356" s="8" t="b">
        <f t="shared" si="5"/>
        <v>0</v>
      </c>
      <c r="F356" s="8" t="str" cm="1">
        <f t="array" ref="F356">_xlfn._xlws.FILTER(E356:E3554, C356:C3554= "6D-PM-1020-01", "No Squirrels Found")</f>
        <v>No Squirrels Found</v>
      </c>
      <c r="G356" s="8" t="s">
        <v>34</v>
      </c>
      <c r="H356" s="10">
        <v>10102018</v>
      </c>
      <c r="I356" s="10">
        <v>5</v>
      </c>
      <c r="J356" s="8" t="s">
        <v>39</v>
      </c>
      <c r="K356" s="8" t="s">
        <v>40</v>
      </c>
      <c r="L356" s="8" t="s">
        <v>117</v>
      </c>
      <c r="M356" s="8" t="s">
        <v>118</v>
      </c>
      <c r="O356" s="8" t="s">
        <v>43</v>
      </c>
      <c r="P356" s="8" t="b">
        <v>0</v>
      </c>
      <c r="R356" s="8" t="b">
        <v>0</v>
      </c>
      <c r="S356" s="8" t="b">
        <v>0</v>
      </c>
      <c r="T356" s="8" t="b">
        <v>0</v>
      </c>
      <c r="U356" s="8" t="b">
        <v>1</v>
      </c>
      <c r="V356" s="8" t="b">
        <v>1</v>
      </c>
      <c r="X356" s="8" t="b">
        <v>0</v>
      </c>
      <c r="Y356" s="8" t="b">
        <v>0</v>
      </c>
      <c r="Z356" s="8" t="b">
        <v>0</v>
      </c>
      <c r="AA356" s="8" t="b">
        <v>0</v>
      </c>
      <c r="AB356" s="8" t="b">
        <v>0</v>
      </c>
      <c r="AC356" s="8" t="b">
        <v>0</v>
      </c>
      <c r="AD356" s="8" t="b">
        <v>1</v>
      </c>
      <c r="AE356" s="8" t="b">
        <v>0</v>
      </c>
      <c r="AG356" s="11" t="b" cm="1">
        <f t="array" ref="AG356">IF(OR(Y356:AA356="TRUE", AE356="true"), "Threatened")</f>
        <v>0</v>
      </c>
      <c r="AH356" s="11" t="s">
        <v>1137</v>
      </c>
      <c r="AI356" s="8" t="b">
        <v>1</v>
      </c>
    </row>
    <row r="357" spans="1:35" ht="31.2">
      <c r="A357" s="8">
        <v>-73.976103640000005</v>
      </c>
      <c r="B357" s="8">
        <v>40.770548269999999</v>
      </c>
      <c r="C357" s="8" t="s">
        <v>1138</v>
      </c>
      <c r="D357" s="8" t="s">
        <v>734</v>
      </c>
      <c r="E357" s="8" t="b">
        <f t="shared" si="5"/>
        <v>0</v>
      </c>
      <c r="F357" s="8" t="str" cm="1">
        <f t="array" ref="F357">_xlfn._xlws.FILTER(E357:E3555, C357:C3555= "6D-PM-1020-01", "No Squirrels Found")</f>
        <v>No Squirrels Found</v>
      </c>
      <c r="G357" s="8" t="s">
        <v>34</v>
      </c>
      <c r="H357" s="10">
        <v>10202018</v>
      </c>
      <c r="I357" s="10">
        <v>3</v>
      </c>
      <c r="J357" s="8" t="s">
        <v>54</v>
      </c>
      <c r="K357" s="8" t="s">
        <v>40</v>
      </c>
      <c r="M357" s="8" t="s">
        <v>55</v>
      </c>
      <c r="O357" s="8" t="s">
        <v>43</v>
      </c>
      <c r="P357" s="8" t="b">
        <v>0</v>
      </c>
      <c r="R357" s="8" t="b">
        <v>0</v>
      </c>
      <c r="S357" s="8" t="b">
        <v>1</v>
      </c>
      <c r="T357" s="8" t="b">
        <v>0</v>
      </c>
      <c r="U357" s="8" t="b">
        <v>0</v>
      </c>
      <c r="V357" s="8" t="b">
        <v>0</v>
      </c>
      <c r="X357" s="8" t="b">
        <v>0</v>
      </c>
      <c r="Y357" s="8" t="b">
        <v>0</v>
      </c>
      <c r="Z357" s="8" t="b">
        <v>0</v>
      </c>
      <c r="AA357" s="8" t="b">
        <v>0</v>
      </c>
      <c r="AB357" s="8" t="b">
        <v>1</v>
      </c>
      <c r="AC357" s="8" t="b">
        <v>0</v>
      </c>
      <c r="AD357" s="8" t="b">
        <v>0</v>
      </c>
      <c r="AE357" s="8" t="b">
        <v>1</v>
      </c>
      <c r="AG357" s="11" t="b" cm="1">
        <f t="array" ref="AG357">IF(OR(Y357:AA357="TRUE", AE357="true"), "Threatened")</f>
        <v>0</v>
      </c>
      <c r="AH357" s="11" t="s">
        <v>1139</v>
      </c>
      <c r="AI357" s="8" t="b">
        <v>1</v>
      </c>
    </row>
    <row r="358" spans="1:35" ht="31.2">
      <c r="A358" s="8">
        <v>-73.972480180000005</v>
      </c>
      <c r="B358" s="8">
        <v>40.779013200000001</v>
      </c>
      <c r="C358" s="8" t="s">
        <v>1140</v>
      </c>
      <c r="D358" s="8" t="s">
        <v>1141</v>
      </c>
      <c r="E358" s="8" t="b">
        <f t="shared" si="5"/>
        <v>0</v>
      </c>
      <c r="F358" s="8" t="str" cm="1">
        <f t="array" ref="F358">_xlfn._xlws.FILTER(E358:E3556, C358:C3556= "6D-PM-1020-01", "No Squirrels Found")</f>
        <v>No Squirrels Found</v>
      </c>
      <c r="G358" s="8" t="s">
        <v>34</v>
      </c>
      <c r="H358" s="10">
        <v>10172018</v>
      </c>
      <c r="I358" s="10">
        <v>5</v>
      </c>
      <c r="J358" s="8" t="s">
        <v>39</v>
      </c>
      <c r="K358" s="8" t="s">
        <v>40</v>
      </c>
      <c r="L358" s="8" t="s">
        <v>84</v>
      </c>
      <c r="M358" s="8" t="s">
        <v>103</v>
      </c>
      <c r="O358" s="8" t="s">
        <v>43</v>
      </c>
      <c r="P358" s="8" t="b">
        <v>0</v>
      </c>
      <c r="R358" s="8" t="b">
        <v>0</v>
      </c>
      <c r="S358" s="8" t="b">
        <v>0</v>
      </c>
      <c r="T358" s="8" t="b">
        <v>0</v>
      </c>
      <c r="U358" s="8" t="b">
        <v>1</v>
      </c>
      <c r="V358" s="8" t="b">
        <v>1</v>
      </c>
      <c r="X358" s="8" t="b">
        <v>0</v>
      </c>
      <c r="Y358" s="8" t="b">
        <v>0</v>
      </c>
      <c r="Z358" s="8" t="b">
        <v>0</v>
      </c>
      <c r="AA358" s="8" t="b">
        <v>0</v>
      </c>
      <c r="AB358" s="8" t="b">
        <v>0</v>
      </c>
      <c r="AC358" s="8" t="b">
        <v>0</v>
      </c>
      <c r="AD358" s="8" t="b">
        <v>1</v>
      </c>
      <c r="AE358" s="8" t="b">
        <v>0</v>
      </c>
      <c r="AG358" s="11" t="b" cm="1">
        <f t="array" ref="AG358">IF(OR(Y358:AA358="TRUE", AE358="true"), "Threatened")</f>
        <v>0</v>
      </c>
      <c r="AH358" s="11" t="s">
        <v>1142</v>
      </c>
      <c r="AI358" s="8" t="b">
        <v>1</v>
      </c>
    </row>
    <row r="359" spans="1:35" ht="31.2">
      <c r="A359" s="8">
        <v>-73.963565880000004</v>
      </c>
      <c r="B359" s="8">
        <v>40.777729180000001</v>
      </c>
      <c r="C359" s="8" t="s">
        <v>1143</v>
      </c>
      <c r="D359" s="8" t="s">
        <v>1144</v>
      </c>
      <c r="E359" s="8" t="b">
        <f t="shared" si="5"/>
        <v>0</v>
      </c>
      <c r="F359" s="8" t="str" cm="1">
        <f t="array" ref="F359">_xlfn._xlws.FILTER(E359:E3557, C359:C3557= "6D-PM-1020-01", "No Squirrels Found")</f>
        <v>No Squirrels Found</v>
      </c>
      <c r="G359" s="8" t="s">
        <v>48</v>
      </c>
      <c r="H359" s="10">
        <v>10172018</v>
      </c>
      <c r="I359" s="10">
        <v>3</v>
      </c>
      <c r="J359" s="8" t="s">
        <v>39</v>
      </c>
      <c r="K359" s="8" t="s">
        <v>41</v>
      </c>
      <c r="L359" s="8" t="s">
        <v>192</v>
      </c>
      <c r="M359" s="8" t="s">
        <v>1145</v>
      </c>
      <c r="O359" s="8" t="s">
        <v>43</v>
      </c>
      <c r="P359" s="8" t="b">
        <v>0</v>
      </c>
      <c r="R359" s="8" t="b">
        <v>0</v>
      </c>
      <c r="S359" s="8" t="b">
        <v>0</v>
      </c>
      <c r="T359" s="8" t="b">
        <v>0</v>
      </c>
      <c r="U359" s="8" t="b">
        <v>0</v>
      </c>
      <c r="V359" s="8" t="b">
        <v>1</v>
      </c>
      <c r="X359" s="8" t="b">
        <v>0</v>
      </c>
      <c r="Y359" s="8" t="b">
        <v>0</v>
      </c>
      <c r="Z359" s="8" t="b">
        <v>0</v>
      </c>
      <c r="AA359" s="8" t="b">
        <v>0</v>
      </c>
      <c r="AB359" s="8" t="b">
        <v>0</v>
      </c>
      <c r="AC359" s="8" t="b">
        <v>0</v>
      </c>
      <c r="AD359" s="8" t="b">
        <v>1</v>
      </c>
      <c r="AE359" s="8" t="b">
        <v>0</v>
      </c>
      <c r="AG359" s="11" t="b" cm="1">
        <f t="array" ref="AG359">IF(OR(Y359:AA359="TRUE", AE359="true"), "Threatened")</f>
        <v>0</v>
      </c>
      <c r="AH359" s="11" t="s">
        <v>1146</v>
      </c>
      <c r="AI359" s="8" t="b">
        <v>1</v>
      </c>
    </row>
    <row r="360" spans="1:35" ht="31.2">
      <c r="A360" s="8">
        <v>-73.971640480000005</v>
      </c>
      <c r="B360" s="8">
        <v>40.77531819</v>
      </c>
      <c r="C360" s="8" t="s">
        <v>1147</v>
      </c>
      <c r="D360" s="8" t="s">
        <v>1148</v>
      </c>
      <c r="E360" s="8" t="b">
        <f t="shared" si="5"/>
        <v>0</v>
      </c>
      <c r="F360" s="8" t="str" cm="1">
        <f t="array" ref="F360">_xlfn._xlws.FILTER(E360:E3558, C360:C3558= "6D-PM-1020-01", "No Squirrels Found")</f>
        <v>No Squirrels Found</v>
      </c>
      <c r="G360" s="8" t="s">
        <v>34</v>
      </c>
      <c r="H360" s="10">
        <v>10142018</v>
      </c>
      <c r="I360" s="10">
        <v>2</v>
      </c>
      <c r="J360" s="8" t="s">
        <v>39</v>
      </c>
      <c r="K360" s="8" t="s">
        <v>40</v>
      </c>
      <c r="L360" s="8" t="s">
        <v>84</v>
      </c>
      <c r="M360" s="8" t="s">
        <v>103</v>
      </c>
      <c r="O360" s="8" t="s">
        <v>50</v>
      </c>
      <c r="P360" s="8">
        <v>15</v>
      </c>
      <c r="R360" s="8" t="b">
        <v>0</v>
      </c>
      <c r="S360" s="8" t="b">
        <v>0</v>
      </c>
      <c r="T360" s="8" t="b">
        <v>1</v>
      </c>
      <c r="U360" s="8" t="b">
        <v>0</v>
      </c>
      <c r="V360" s="8" t="b">
        <v>0</v>
      </c>
      <c r="W360" s="11" t="s">
        <v>1149</v>
      </c>
      <c r="X360" s="8" t="b">
        <v>0</v>
      </c>
      <c r="Y360" s="8" t="b">
        <v>0</v>
      </c>
      <c r="Z360" s="8" t="b">
        <v>0</v>
      </c>
      <c r="AA360" s="8" t="b">
        <v>0</v>
      </c>
      <c r="AB360" s="8" t="b">
        <v>0</v>
      </c>
      <c r="AC360" s="8" t="b">
        <v>0</v>
      </c>
      <c r="AD360" s="8" t="b">
        <v>1</v>
      </c>
      <c r="AE360" s="8" t="b">
        <v>0</v>
      </c>
      <c r="AG360" s="11" t="b" cm="1">
        <f t="array" ref="AG360">IF(OR(Y360:AA360="TRUE", AE360="true"), "Threatened")</f>
        <v>0</v>
      </c>
      <c r="AH360" s="11" t="s">
        <v>1150</v>
      </c>
      <c r="AI360" s="8" t="b">
        <v>0</v>
      </c>
    </row>
    <row r="361" spans="1:35" ht="31.2">
      <c r="A361" s="8">
        <v>-73.967205460000002</v>
      </c>
      <c r="B361" s="8">
        <v>40.787651990000001</v>
      </c>
      <c r="C361" s="8" t="s">
        <v>1151</v>
      </c>
      <c r="D361" s="8" t="s">
        <v>488</v>
      </c>
      <c r="E361" s="8" t="b">
        <f t="shared" si="5"/>
        <v>0</v>
      </c>
      <c r="F361" s="8" t="str" cm="1">
        <f t="array" ref="F361">_xlfn._xlws.FILTER(E361:E3559, C361:C3559= "6D-PM-1020-01", "No Squirrels Found")</f>
        <v>No Squirrels Found</v>
      </c>
      <c r="G361" s="8" t="s">
        <v>34</v>
      </c>
      <c r="H361" s="10">
        <v>10062018</v>
      </c>
      <c r="I361" s="10">
        <v>5</v>
      </c>
      <c r="J361" s="8" t="s">
        <v>39</v>
      </c>
      <c r="K361" s="8" t="s">
        <v>40</v>
      </c>
      <c r="M361" s="8" t="s">
        <v>55</v>
      </c>
      <c r="O361" s="8" t="s">
        <v>50</v>
      </c>
      <c r="P361" s="8">
        <v>40</v>
      </c>
      <c r="R361" s="8" t="b">
        <v>0</v>
      </c>
      <c r="S361" s="8" t="b">
        <v>1</v>
      </c>
      <c r="T361" s="8" t="b">
        <v>0</v>
      </c>
      <c r="U361" s="8" t="b">
        <v>0</v>
      </c>
      <c r="V361" s="8" t="b">
        <v>0</v>
      </c>
      <c r="X361" s="8" t="b">
        <v>0</v>
      </c>
      <c r="Y361" s="8" t="b">
        <v>0</v>
      </c>
      <c r="Z361" s="8" t="b">
        <v>0</v>
      </c>
      <c r="AA361" s="8" t="b">
        <v>0</v>
      </c>
      <c r="AB361" s="8" t="b">
        <v>1</v>
      </c>
      <c r="AC361" s="8" t="b">
        <v>0</v>
      </c>
      <c r="AD361" s="8" t="b">
        <v>0</v>
      </c>
      <c r="AE361" s="8" t="b">
        <v>0</v>
      </c>
      <c r="AG361" s="11" t="b" cm="1">
        <f t="array" ref="AG361">IF(OR(Y361:AA361="TRUE", AE361="true"), "Threatened")</f>
        <v>0</v>
      </c>
      <c r="AH361" s="11" t="s">
        <v>1152</v>
      </c>
      <c r="AI361" s="8" t="b">
        <v>1</v>
      </c>
    </row>
    <row r="362" spans="1:35" ht="31.2">
      <c r="A362" s="8">
        <v>-73.961482439999997</v>
      </c>
      <c r="B362" s="8">
        <v>40.791292980000001</v>
      </c>
      <c r="C362" s="8" t="s">
        <v>1153</v>
      </c>
      <c r="D362" s="8" t="s">
        <v>616</v>
      </c>
      <c r="E362" s="8" t="b">
        <f t="shared" si="5"/>
        <v>0</v>
      </c>
      <c r="F362" s="8" t="str" cm="1">
        <f t="array" ref="F362">_xlfn._xlws.FILTER(E362:E3560, C362:C3560= "6D-PM-1020-01", "No Squirrels Found")</f>
        <v>No Squirrels Found</v>
      </c>
      <c r="G362" s="8" t="s">
        <v>34</v>
      </c>
      <c r="H362" s="10">
        <v>10132018</v>
      </c>
      <c r="I362" s="10">
        <v>3</v>
      </c>
      <c r="J362" s="8" t="s">
        <v>39</v>
      </c>
      <c r="K362" s="8" t="s">
        <v>40</v>
      </c>
      <c r="M362" s="8" t="s">
        <v>55</v>
      </c>
      <c r="O362" s="8" t="s">
        <v>43</v>
      </c>
      <c r="P362" s="8" t="b">
        <v>0</v>
      </c>
      <c r="R362" s="8" t="b">
        <v>0</v>
      </c>
      <c r="S362" s="8" t="b">
        <v>1</v>
      </c>
      <c r="T362" s="8" t="b">
        <v>0</v>
      </c>
      <c r="U362" s="8" t="b">
        <v>0</v>
      </c>
      <c r="V362" s="8" t="b">
        <v>0</v>
      </c>
      <c r="X362" s="8" t="b">
        <v>0</v>
      </c>
      <c r="Y362" s="8" t="b">
        <v>0</v>
      </c>
      <c r="Z362" s="8" t="b">
        <v>0</v>
      </c>
      <c r="AA362" s="8" t="b">
        <v>0</v>
      </c>
      <c r="AB362" s="8" t="b">
        <v>1</v>
      </c>
      <c r="AC362" s="8" t="b">
        <v>0</v>
      </c>
      <c r="AD362" s="8" t="b">
        <v>0</v>
      </c>
      <c r="AE362" s="8" t="b">
        <v>0</v>
      </c>
      <c r="AG362" s="11" t="b" cm="1">
        <f t="array" ref="AG362">IF(OR(Y362:AA362="TRUE", AE362="true"), "Threatened")</f>
        <v>0</v>
      </c>
      <c r="AH362" s="11" t="s">
        <v>1154</v>
      </c>
      <c r="AI362" s="8" t="b">
        <v>1</v>
      </c>
    </row>
    <row r="363" spans="1:35" ht="31.2">
      <c r="A363" s="8">
        <v>-73.957140800000005</v>
      </c>
      <c r="B363" s="8">
        <v>40.793191739999997</v>
      </c>
      <c r="C363" s="8" t="s">
        <v>1155</v>
      </c>
      <c r="D363" s="8" t="s">
        <v>493</v>
      </c>
      <c r="E363" s="8" t="b">
        <f t="shared" si="5"/>
        <v>0</v>
      </c>
      <c r="F363" s="8" t="str" cm="1">
        <f t="array" ref="F363">_xlfn._xlws.FILTER(E363:E3561, C363:C3561= "6D-PM-1020-01", "No Squirrels Found")</f>
        <v>No Squirrels Found</v>
      </c>
      <c r="G363" s="8" t="s">
        <v>34</v>
      </c>
      <c r="H363" s="10">
        <v>10062018</v>
      </c>
      <c r="I363" s="10">
        <v>2</v>
      </c>
      <c r="J363" s="8" t="s">
        <v>39</v>
      </c>
      <c r="K363" s="8" t="s">
        <v>40</v>
      </c>
      <c r="L363" s="8" t="s">
        <v>117</v>
      </c>
      <c r="M363" s="8" t="s">
        <v>118</v>
      </c>
      <c r="O363" s="8" t="s">
        <v>43</v>
      </c>
      <c r="P363" s="8" t="b">
        <v>0</v>
      </c>
      <c r="R363" s="8" t="b">
        <v>0</v>
      </c>
      <c r="S363" s="8" t="b">
        <v>0</v>
      </c>
      <c r="T363" s="8" t="b">
        <v>0</v>
      </c>
      <c r="U363" s="8" t="b">
        <v>0</v>
      </c>
      <c r="V363" s="8" t="b">
        <v>1</v>
      </c>
      <c r="X363" s="8" t="b">
        <v>0</v>
      </c>
      <c r="Y363" s="8" t="b">
        <v>0</v>
      </c>
      <c r="Z363" s="8" t="b">
        <v>0</v>
      </c>
      <c r="AA363" s="8" t="b">
        <v>0</v>
      </c>
      <c r="AB363" s="8" t="b">
        <v>0</v>
      </c>
      <c r="AC363" s="8" t="b">
        <v>1</v>
      </c>
      <c r="AD363" s="8" t="b">
        <v>0</v>
      </c>
      <c r="AE363" s="8" t="b">
        <v>0</v>
      </c>
      <c r="AF363" s="11" t="s">
        <v>1156</v>
      </c>
      <c r="AG363" s="11" t="b" cm="1">
        <f t="array" ref="AG363">IF(OR(Y363:AA363="TRUE", AE363="true"), "Threatened")</f>
        <v>0</v>
      </c>
      <c r="AH363" s="11" t="s">
        <v>1157</v>
      </c>
      <c r="AI363" s="8" t="b">
        <v>1</v>
      </c>
    </row>
    <row r="364" spans="1:35" ht="31.2">
      <c r="A364" s="8">
        <v>-73.970719729999999</v>
      </c>
      <c r="B364" s="8">
        <v>40.777395679999998</v>
      </c>
      <c r="C364" s="8" t="s">
        <v>1158</v>
      </c>
      <c r="D364" s="8" t="s">
        <v>741</v>
      </c>
      <c r="E364" s="8" t="b">
        <f t="shared" si="5"/>
        <v>0</v>
      </c>
      <c r="F364" s="8" t="str" cm="1">
        <f t="array" ref="F364">_xlfn._xlws.FILTER(E364:E3562, C364:C3562= "6D-PM-1020-01", "No Squirrels Found")</f>
        <v>No Squirrels Found</v>
      </c>
      <c r="G364" s="8" t="s">
        <v>34</v>
      </c>
      <c r="H364" s="10">
        <v>10192018</v>
      </c>
      <c r="I364" s="10">
        <v>12</v>
      </c>
      <c r="J364" s="8" t="s">
        <v>39</v>
      </c>
      <c r="K364" s="8" t="s">
        <v>40</v>
      </c>
      <c r="M364" s="8" t="s">
        <v>55</v>
      </c>
      <c r="R364" s="8" t="b">
        <v>0</v>
      </c>
      <c r="S364" s="8" t="b">
        <v>0</v>
      </c>
      <c r="T364" s="8" t="b">
        <v>0</v>
      </c>
      <c r="U364" s="8" t="b">
        <v>0</v>
      </c>
      <c r="V364" s="8" t="b">
        <v>0</v>
      </c>
      <c r="X364" s="8" t="b">
        <v>0</v>
      </c>
      <c r="Y364" s="8" t="b">
        <v>0</v>
      </c>
      <c r="Z364" s="8" t="b">
        <v>0</v>
      </c>
      <c r="AA364" s="8" t="b">
        <v>0</v>
      </c>
      <c r="AB364" s="8" t="b">
        <v>0</v>
      </c>
      <c r="AC364" s="8" t="b">
        <v>0</v>
      </c>
      <c r="AD364" s="8" t="b">
        <v>0</v>
      </c>
      <c r="AE364" s="8" t="b">
        <v>0</v>
      </c>
      <c r="AG364" s="11" t="b" cm="1">
        <f t="array" ref="AG364">IF(OR(Y364:AA364="TRUE", AE364="true"), "Threatened")</f>
        <v>0</v>
      </c>
      <c r="AH364" s="11" t="s">
        <v>1159</v>
      </c>
      <c r="AI364" s="8" t="b">
        <v>1</v>
      </c>
    </row>
    <row r="365" spans="1:35" ht="31.2">
      <c r="A365" s="8">
        <v>-73.962369609999996</v>
      </c>
      <c r="B365" s="8">
        <v>40.792184859999999</v>
      </c>
      <c r="C365" s="8" t="s">
        <v>1160</v>
      </c>
      <c r="D365" s="8" t="s">
        <v>785</v>
      </c>
      <c r="E365" s="8" t="b">
        <f t="shared" si="5"/>
        <v>0</v>
      </c>
      <c r="F365" s="8" t="str" cm="1">
        <f t="array" ref="F365">_xlfn._xlws.FILTER(E365:E3563, C365:C3563= "6D-PM-1020-01", "No Squirrels Found")</f>
        <v>No Squirrels Found</v>
      </c>
      <c r="G365" s="8" t="s">
        <v>48</v>
      </c>
      <c r="H365" s="10">
        <v>10172018</v>
      </c>
      <c r="I365" s="10">
        <v>4</v>
      </c>
      <c r="J365" s="8" t="s">
        <v>39</v>
      </c>
      <c r="K365" s="8" t="s">
        <v>40</v>
      </c>
      <c r="L365" s="8" t="s">
        <v>41</v>
      </c>
      <c r="M365" s="8" t="s">
        <v>42</v>
      </c>
      <c r="O365" s="8" t="s">
        <v>50</v>
      </c>
      <c r="P365" s="8">
        <v>13</v>
      </c>
      <c r="R365" s="8" t="b">
        <v>0</v>
      </c>
      <c r="S365" s="8" t="b">
        <v>0</v>
      </c>
      <c r="T365" s="8" t="b">
        <v>1</v>
      </c>
      <c r="U365" s="8" t="b">
        <v>0</v>
      </c>
      <c r="V365" s="8" t="b">
        <v>0</v>
      </c>
      <c r="X365" s="8" t="b">
        <v>0</v>
      </c>
      <c r="Y365" s="8" t="b">
        <v>0</v>
      </c>
      <c r="Z365" s="8" t="b">
        <v>0</v>
      </c>
      <c r="AA365" s="8" t="b">
        <v>0</v>
      </c>
      <c r="AB365" s="8" t="b">
        <v>0</v>
      </c>
      <c r="AC365" s="8" t="b">
        <v>0</v>
      </c>
      <c r="AD365" s="8" t="b">
        <v>0</v>
      </c>
      <c r="AE365" s="8" t="b">
        <v>1</v>
      </c>
      <c r="AG365" s="11" t="b" cm="1">
        <f t="array" ref="AG365">IF(OR(Y365:AA365="TRUE", AE365="true"), "Threatened")</f>
        <v>0</v>
      </c>
      <c r="AH365" s="11" t="s">
        <v>1161</v>
      </c>
      <c r="AI365" s="8" t="b">
        <v>1</v>
      </c>
    </row>
    <row r="366" spans="1:35" ht="31.2">
      <c r="A366" s="8">
        <v>-73.957603509999998</v>
      </c>
      <c r="B366" s="8">
        <v>40.796612080000003</v>
      </c>
      <c r="C366" s="8" t="s">
        <v>1162</v>
      </c>
      <c r="D366" s="8" t="s">
        <v>191</v>
      </c>
      <c r="E366" s="8" t="b">
        <f t="shared" si="5"/>
        <v>0</v>
      </c>
      <c r="F366" s="8" t="str" cm="1">
        <f t="array" ref="F366">_xlfn._xlws.FILTER(E366:E3564, C366:C3564= "6D-PM-1020-01", "No Squirrels Found")</f>
        <v>No Squirrels Found</v>
      </c>
      <c r="G366" s="8" t="s">
        <v>48</v>
      </c>
      <c r="H366" s="10">
        <v>10192018</v>
      </c>
      <c r="I366" s="10">
        <v>1</v>
      </c>
      <c r="J366" s="8" t="s">
        <v>54</v>
      </c>
      <c r="K366" s="8" t="s">
        <v>40</v>
      </c>
      <c r="L366" s="8" t="s">
        <v>84</v>
      </c>
      <c r="M366" s="8" t="s">
        <v>103</v>
      </c>
      <c r="O366" s="8" t="s">
        <v>43</v>
      </c>
      <c r="P366" s="8" t="b">
        <v>0</v>
      </c>
      <c r="R366" s="8" t="b">
        <v>1</v>
      </c>
      <c r="S366" s="8" t="b">
        <v>0</v>
      </c>
      <c r="T366" s="8" t="b">
        <v>0</v>
      </c>
      <c r="U366" s="8" t="b">
        <v>0</v>
      </c>
      <c r="V366" s="8" t="b">
        <v>0</v>
      </c>
      <c r="X366" s="8" t="b">
        <v>0</v>
      </c>
      <c r="Y366" s="8" t="b">
        <v>0</v>
      </c>
      <c r="Z366" s="8" t="b">
        <v>0</v>
      </c>
      <c r="AA366" s="8" t="b">
        <v>0</v>
      </c>
      <c r="AB366" s="8" t="b">
        <v>0</v>
      </c>
      <c r="AC366" s="8" t="b">
        <v>0</v>
      </c>
      <c r="AD366" s="8" t="b">
        <v>0</v>
      </c>
      <c r="AE366" s="8" t="b">
        <v>1</v>
      </c>
      <c r="AF366" s="11" t="s">
        <v>1163</v>
      </c>
      <c r="AG366" s="11" t="b" cm="1">
        <f t="array" ref="AG366">IF(OR(Y366:AA366="TRUE", AE366="true"), "Threatened")</f>
        <v>0</v>
      </c>
      <c r="AH366" s="11" t="s">
        <v>1164</v>
      </c>
      <c r="AI366" s="8" t="b">
        <v>1</v>
      </c>
    </row>
    <row r="367" spans="1:35" ht="31.2">
      <c r="A367" s="8">
        <v>-73.967354850000007</v>
      </c>
      <c r="B367" s="8">
        <v>40.77656691</v>
      </c>
      <c r="C367" s="8" t="s">
        <v>1165</v>
      </c>
      <c r="D367" s="8" t="s">
        <v>326</v>
      </c>
      <c r="E367" s="8" t="b">
        <f t="shared" si="5"/>
        <v>0</v>
      </c>
      <c r="F367" s="8" t="str" cm="1">
        <f t="array" ref="F367">_xlfn._xlws.FILTER(E367:E3565, C367:C3565= "6D-PM-1020-01", "No Squirrels Found")</f>
        <v>No Squirrels Found</v>
      </c>
      <c r="G367" s="8" t="s">
        <v>34</v>
      </c>
      <c r="H367" s="10">
        <v>10192018</v>
      </c>
      <c r="I367" s="10">
        <v>11</v>
      </c>
      <c r="J367" s="8" t="s">
        <v>39</v>
      </c>
      <c r="K367" s="8" t="s">
        <v>40</v>
      </c>
      <c r="M367" s="8" t="s">
        <v>55</v>
      </c>
      <c r="O367" s="8" t="s">
        <v>50</v>
      </c>
      <c r="P367" s="8">
        <v>4</v>
      </c>
      <c r="R367" s="8" t="b">
        <v>0</v>
      </c>
      <c r="S367" s="8" t="b">
        <v>0</v>
      </c>
      <c r="T367" s="8" t="b">
        <v>1</v>
      </c>
      <c r="U367" s="8" t="b">
        <v>0</v>
      </c>
      <c r="V367" s="8" t="b">
        <v>0</v>
      </c>
      <c r="X367" s="8" t="b">
        <v>0</v>
      </c>
      <c r="Y367" s="8" t="b">
        <v>0</v>
      </c>
      <c r="Z367" s="8" t="b">
        <v>0</v>
      </c>
      <c r="AA367" s="8" t="b">
        <v>0</v>
      </c>
      <c r="AB367" s="8" t="b">
        <v>0</v>
      </c>
      <c r="AC367" s="8" t="b">
        <v>0</v>
      </c>
      <c r="AD367" s="8" t="b">
        <v>0</v>
      </c>
      <c r="AE367" s="8" t="b">
        <v>0</v>
      </c>
      <c r="AF367" s="11" t="s">
        <v>656</v>
      </c>
      <c r="AG367" s="11" t="b" cm="1">
        <f t="array" ref="AG367">IF(OR(Y367:AA367="TRUE", AE367="true"), "Threatened")</f>
        <v>0</v>
      </c>
      <c r="AH367" s="11" t="s">
        <v>1166</v>
      </c>
      <c r="AI367" s="8" t="b">
        <v>1</v>
      </c>
    </row>
    <row r="368" spans="1:35" ht="31.2">
      <c r="A368" s="8">
        <v>-73.970486289999997</v>
      </c>
      <c r="B368" s="8">
        <v>40.773958309999998</v>
      </c>
      <c r="C368" s="8" t="s">
        <v>1167</v>
      </c>
      <c r="D368" s="8" t="s">
        <v>1168</v>
      </c>
      <c r="E368" s="8" t="b">
        <f t="shared" si="5"/>
        <v>0</v>
      </c>
      <c r="F368" s="8" t="str" cm="1">
        <f t="array" ref="F368">_xlfn._xlws.FILTER(E368:E3566, C368:C3566= "6D-PM-1020-01", "No Squirrels Found")</f>
        <v>No Squirrels Found</v>
      </c>
      <c r="G368" s="8" t="s">
        <v>34</v>
      </c>
      <c r="H368" s="10">
        <v>10062018</v>
      </c>
      <c r="I368" s="10">
        <v>2</v>
      </c>
      <c r="J368" s="8" t="s">
        <v>39</v>
      </c>
      <c r="K368" s="8" t="s">
        <v>40</v>
      </c>
      <c r="M368" s="8" t="s">
        <v>55</v>
      </c>
      <c r="O368" s="8" t="s">
        <v>43</v>
      </c>
      <c r="P368" s="8" t="b">
        <v>0</v>
      </c>
      <c r="R368" s="8" t="b">
        <v>0</v>
      </c>
      <c r="S368" s="8" t="b">
        <v>0</v>
      </c>
      <c r="T368" s="8" t="b">
        <v>0</v>
      </c>
      <c r="U368" s="8" t="b">
        <v>0</v>
      </c>
      <c r="V368" s="8" t="b">
        <v>1</v>
      </c>
      <c r="X368" s="8" t="b">
        <v>0</v>
      </c>
      <c r="Y368" s="8" t="b">
        <v>0</v>
      </c>
      <c r="Z368" s="8" t="b">
        <v>0</v>
      </c>
      <c r="AA368" s="8" t="b">
        <v>0</v>
      </c>
      <c r="AB368" s="8" t="b">
        <v>0</v>
      </c>
      <c r="AC368" s="8" t="b">
        <v>0</v>
      </c>
      <c r="AD368" s="8" t="b">
        <v>1</v>
      </c>
      <c r="AE368" s="8" t="b">
        <v>0</v>
      </c>
      <c r="AG368" s="11" t="b" cm="1">
        <f t="array" ref="AG368">IF(OR(Y368:AA368="TRUE", AE368="true"), "Threatened")</f>
        <v>0</v>
      </c>
      <c r="AH368" s="11" t="s">
        <v>1169</v>
      </c>
      <c r="AI368" s="8" t="b">
        <v>1</v>
      </c>
    </row>
    <row r="369" spans="1:35" ht="31.2">
      <c r="A369" s="8">
        <v>-73.970315670000005</v>
      </c>
      <c r="B369" s="8">
        <v>40.772090540000001</v>
      </c>
      <c r="C369" s="8" t="s">
        <v>1170</v>
      </c>
      <c r="D369" s="8" t="s">
        <v>609</v>
      </c>
      <c r="E369" s="8" t="b">
        <f t="shared" si="5"/>
        <v>0</v>
      </c>
      <c r="F369" s="8" t="str" cm="1">
        <f t="array" ref="F369">_xlfn._xlws.FILTER(E369:E3567, C369:C3567= "6D-PM-1020-01", "No Squirrels Found")</f>
        <v>No Squirrels Found</v>
      </c>
      <c r="G369" s="8" t="s">
        <v>34</v>
      </c>
      <c r="H369" s="10">
        <v>10172018</v>
      </c>
      <c r="I369" s="10">
        <v>2</v>
      </c>
      <c r="J369" s="8" t="s">
        <v>39</v>
      </c>
      <c r="K369" s="8" t="s">
        <v>40</v>
      </c>
      <c r="L369" s="8" t="s">
        <v>41</v>
      </c>
      <c r="M369" s="8" t="s">
        <v>42</v>
      </c>
      <c r="O369" s="8" t="s">
        <v>43</v>
      </c>
      <c r="P369" s="8" t="b">
        <v>0</v>
      </c>
      <c r="R369" s="8" t="b">
        <v>0</v>
      </c>
      <c r="S369" s="8" t="b">
        <v>0</v>
      </c>
      <c r="T369" s="8" t="b">
        <v>0</v>
      </c>
      <c r="U369" s="8" t="b">
        <v>1</v>
      </c>
      <c r="V369" s="8" t="b">
        <v>0</v>
      </c>
      <c r="X369" s="8" t="b">
        <v>0</v>
      </c>
      <c r="Y369" s="8" t="b">
        <v>0</v>
      </c>
      <c r="Z369" s="8" t="b">
        <v>0</v>
      </c>
      <c r="AA369" s="8" t="b">
        <v>0</v>
      </c>
      <c r="AB369" s="8" t="b">
        <v>0</v>
      </c>
      <c r="AC369" s="8" t="b">
        <v>0</v>
      </c>
      <c r="AD369" s="8" t="b">
        <v>1</v>
      </c>
      <c r="AE369" s="8" t="b">
        <v>0</v>
      </c>
      <c r="AG369" s="11" t="b" cm="1">
        <f t="array" ref="AG369">IF(OR(Y369:AA369="TRUE", AE369="true"), "Threatened")</f>
        <v>0</v>
      </c>
      <c r="AH369" s="11" t="s">
        <v>1171</v>
      </c>
      <c r="AI369" s="8" t="b">
        <v>1</v>
      </c>
    </row>
    <row r="370" spans="1:35" ht="31.2">
      <c r="A370" s="8">
        <v>-73.959639899999999</v>
      </c>
      <c r="B370" s="8">
        <v>40.7933387</v>
      </c>
      <c r="C370" s="8" t="s">
        <v>1172</v>
      </c>
      <c r="D370" s="8" t="s">
        <v>1173</v>
      </c>
      <c r="E370" s="8" t="b">
        <f t="shared" si="5"/>
        <v>0</v>
      </c>
      <c r="F370" s="8" t="str" cm="1">
        <f t="array" ref="F370">_xlfn._xlws.FILTER(E370:E3568, C370:C3568= "6D-PM-1020-01", "No Squirrels Found")</f>
        <v>No Squirrels Found</v>
      </c>
      <c r="G370" s="8" t="s">
        <v>34</v>
      </c>
      <c r="H370" s="10">
        <v>10072018</v>
      </c>
      <c r="I370" s="10">
        <v>2</v>
      </c>
      <c r="J370" s="8" t="s">
        <v>39</v>
      </c>
      <c r="K370" s="8" t="s">
        <v>192</v>
      </c>
      <c r="M370" s="8" t="s">
        <v>193</v>
      </c>
      <c r="O370" s="8" t="s">
        <v>50</v>
      </c>
      <c r="P370" s="8">
        <v>25</v>
      </c>
      <c r="R370" s="8" t="b">
        <v>1</v>
      </c>
      <c r="S370" s="8" t="b">
        <v>0</v>
      </c>
      <c r="T370" s="8" t="b">
        <v>1</v>
      </c>
      <c r="U370" s="8" t="b">
        <v>0</v>
      </c>
      <c r="V370" s="8" t="b">
        <v>0</v>
      </c>
      <c r="X370" s="8" t="b">
        <v>0</v>
      </c>
      <c r="Y370" s="8" t="b">
        <v>0</v>
      </c>
      <c r="Z370" s="8" t="b">
        <v>0</v>
      </c>
      <c r="AA370" s="8" t="b">
        <v>0</v>
      </c>
      <c r="AB370" s="8" t="b">
        <v>0</v>
      </c>
      <c r="AC370" s="8" t="b">
        <v>0</v>
      </c>
      <c r="AD370" s="8" t="b">
        <v>0</v>
      </c>
      <c r="AE370" s="8" t="b">
        <v>0</v>
      </c>
      <c r="AF370" s="11" t="s">
        <v>1174</v>
      </c>
      <c r="AG370" s="11" t="b" cm="1">
        <f t="array" ref="AG370">IF(OR(Y370:AA370="TRUE", AE370="true"), "Threatened")</f>
        <v>0</v>
      </c>
      <c r="AH370" s="11" t="s">
        <v>1175</v>
      </c>
      <c r="AI370" s="8" t="b">
        <v>1</v>
      </c>
    </row>
    <row r="371" spans="1:35" ht="31.2">
      <c r="A371" s="8">
        <v>-73.954895789999995</v>
      </c>
      <c r="B371" s="8">
        <v>40.794484449999999</v>
      </c>
      <c r="C371" s="8" t="s">
        <v>1176</v>
      </c>
      <c r="D371" s="8" t="s">
        <v>939</v>
      </c>
      <c r="E371" s="8" t="b">
        <f t="shared" si="5"/>
        <v>0</v>
      </c>
      <c r="F371" s="8" t="str" cm="1">
        <f t="array" ref="F371">_xlfn._xlws.FILTER(E371:E3569, C371:C3569= "6D-PM-1020-01", "No Squirrels Found")</f>
        <v>No Squirrels Found</v>
      </c>
      <c r="G371" s="8" t="s">
        <v>48</v>
      </c>
      <c r="H371" s="10">
        <v>10142018</v>
      </c>
      <c r="I371" s="10">
        <v>5</v>
      </c>
      <c r="J371" s="8" t="s">
        <v>39</v>
      </c>
      <c r="K371" s="8" t="s">
        <v>40</v>
      </c>
      <c r="M371" s="8" t="s">
        <v>55</v>
      </c>
      <c r="O371" s="8" t="s">
        <v>43</v>
      </c>
      <c r="P371" s="8" t="b">
        <v>0</v>
      </c>
      <c r="R371" s="8" t="b">
        <v>0</v>
      </c>
      <c r="S371" s="8" t="b">
        <v>0</v>
      </c>
      <c r="T371" s="8" t="b">
        <v>0</v>
      </c>
      <c r="U371" s="8" t="b">
        <v>0</v>
      </c>
      <c r="V371" s="8" t="b">
        <v>1</v>
      </c>
      <c r="X371" s="8" t="b">
        <v>0</v>
      </c>
      <c r="Y371" s="8" t="b">
        <v>0</v>
      </c>
      <c r="Z371" s="8" t="b">
        <v>0</v>
      </c>
      <c r="AA371" s="8" t="b">
        <v>0</v>
      </c>
      <c r="AB371" s="8" t="b">
        <v>0</v>
      </c>
      <c r="AC371" s="8" t="b">
        <v>0</v>
      </c>
      <c r="AD371" s="8" t="b">
        <v>1</v>
      </c>
      <c r="AE371" s="8" t="b">
        <v>0</v>
      </c>
      <c r="AG371" s="11" t="b" cm="1">
        <f t="array" ref="AG371">IF(OR(Y371:AA371="TRUE", AE371="true"), "Threatened")</f>
        <v>0</v>
      </c>
      <c r="AH371" s="11" t="s">
        <v>1177</v>
      </c>
      <c r="AI371" s="8" t="b">
        <v>1</v>
      </c>
    </row>
    <row r="372" spans="1:35" ht="31.2">
      <c r="A372" s="8">
        <v>-73.964080100000004</v>
      </c>
      <c r="B372" s="8">
        <v>40.790789859999997</v>
      </c>
      <c r="C372" s="8" t="s">
        <v>1178</v>
      </c>
      <c r="D372" s="8" t="s">
        <v>911</v>
      </c>
      <c r="E372" s="8" t="b">
        <f t="shared" si="5"/>
        <v>0</v>
      </c>
      <c r="F372" s="8" t="str" cm="1">
        <f t="array" ref="F372">_xlfn._xlws.FILTER(E372:E3570, C372:C3570= "6D-PM-1020-01", "No Squirrels Found")</f>
        <v>No Squirrels Found</v>
      </c>
      <c r="G372" s="8" t="s">
        <v>48</v>
      </c>
      <c r="H372" s="10">
        <v>10072018</v>
      </c>
      <c r="I372" s="10">
        <v>2</v>
      </c>
      <c r="J372" s="8" t="s">
        <v>39</v>
      </c>
      <c r="K372" s="8" t="s">
        <v>40</v>
      </c>
      <c r="M372" s="8" t="s">
        <v>55</v>
      </c>
      <c r="O372" s="8" t="s">
        <v>50</v>
      </c>
      <c r="P372" s="8">
        <v>15</v>
      </c>
      <c r="R372" s="8" t="b">
        <v>1</v>
      </c>
      <c r="S372" s="8" t="b">
        <v>0</v>
      </c>
      <c r="T372" s="8" t="b">
        <v>0</v>
      </c>
      <c r="U372" s="8" t="b">
        <v>0</v>
      </c>
      <c r="V372" s="8" t="b">
        <v>0</v>
      </c>
      <c r="X372" s="8" t="b">
        <v>0</v>
      </c>
      <c r="Y372" s="8" t="b">
        <v>0</v>
      </c>
      <c r="Z372" s="8" t="b">
        <v>0</v>
      </c>
      <c r="AA372" s="8" t="b">
        <v>0</v>
      </c>
      <c r="AB372" s="8" t="b">
        <v>0</v>
      </c>
      <c r="AC372" s="8" t="b">
        <v>0</v>
      </c>
      <c r="AD372" s="8" t="b">
        <v>0</v>
      </c>
      <c r="AE372" s="8" t="b">
        <v>0</v>
      </c>
      <c r="AG372" s="11" t="b" cm="1">
        <f t="array" ref="AG372">IF(OR(Y372:AA372="TRUE", AE372="true"), "Threatened")</f>
        <v>0</v>
      </c>
      <c r="AH372" s="11" t="s">
        <v>1179</v>
      </c>
      <c r="AI372" s="8" t="b">
        <v>1</v>
      </c>
    </row>
    <row r="373" spans="1:35" ht="31.2">
      <c r="A373" s="8">
        <v>-73.978130390000004</v>
      </c>
      <c r="B373" s="8">
        <v>40.772500030000003</v>
      </c>
      <c r="C373" s="8" t="s">
        <v>1180</v>
      </c>
      <c r="D373" s="8" t="s">
        <v>503</v>
      </c>
      <c r="E373" s="8" t="b">
        <f t="shared" si="5"/>
        <v>0</v>
      </c>
      <c r="F373" s="8" t="str" cm="1">
        <f t="array" ref="F373">_xlfn._xlws.FILTER(E373:E3571, C373:C3571= "6D-PM-1020-01", "No Squirrels Found")</f>
        <v>No Squirrels Found</v>
      </c>
      <c r="G373" s="8" t="s">
        <v>48</v>
      </c>
      <c r="H373" s="10">
        <v>10062018</v>
      </c>
      <c r="I373" s="10">
        <v>2</v>
      </c>
      <c r="J373" s="8" t="s">
        <v>39</v>
      </c>
      <c r="K373" s="8" t="s">
        <v>40</v>
      </c>
      <c r="L373" s="8" t="s">
        <v>41</v>
      </c>
      <c r="M373" s="8" t="s">
        <v>42</v>
      </c>
      <c r="O373" s="8" t="s">
        <v>50</v>
      </c>
      <c r="P373" s="8">
        <v>8</v>
      </c>
      <c r="Q373" s="8" t="s">
        <v>466</v>
      </c>
      <c r="R373" s="8" t="b">
        <v>0</v>
      </c>
      <c r="S373" s="8" t="b">
        <v>0</v>
      </c>
      <c r="T373" s="8" t="b">
        <v>1</v>
      </c>
      <c r="U373" s="8" t="b">
        <v>0</v>
      </c>
      <c r="V373" s="8" t="b">
        <v>0</v>
      </c>
      <c r="X373" s="8" t="b">
        <v>0</v>
      </c>
      <c r="Y373" s="8" t="b">
        <v>0</v>
      </c>
      <c r="Z373" s="8" t="b">
        <v>0</v>
      </c>
      <c r="AA373" s="8" t="b">
        <v>0</v>
      </c>
      <c r="AB373" s="8" t="b">
        <v>0</v>
      </c>
      <c r="AC373" s="8" t="b">
        <v>0</v>
      </c>
      <c r="AD373" s="8" t="b">
        <v>0</v>
      </c>
      <c r="AE373" s="8" t="b">
        <v>1</v>
      </c>
      <c r="AG373" s="11" t="b" cm="1">
        <f t="array" ref="AG373">IF(OR(Y373:AA373="TRUE", AE373="true"), "Threatened")</f>
        <v>0</v>
      </c>
      <c r="AH373" s="11" t="s">
        <v>1181</v>
      </c>
      <c r="AI373" s="8" t="b">
        <v>1</v>
      </c>
    </row>
    <row r="374" spans="1:35" ht="31.2">
      <c r="A374" s="8">
        <v>-73.96721273</v>
      </c>
      <c r="B374" s="8">
        <v>40.781066680000002</v>
      </c>
      <c r="C374" s="8" t="s">
        <v>1182</v>
      </c>
      <c r="D374" s="8" t="s">
        <v>1183</v>
      </c>
      <c r="E374" s="8" t="b">
        <f t="shared" si="5"/>
        <v>0</v>
      </c>
      <c r="F374" s="8" t="str" cm="1">
        <f t="array" ref="F374">_xlfn._xlws.FILTER(E374:E3572, C374:C3572= "6D-PM-1020-01", "No Squirrels Found")</f>
        <v>No Squirrels Found</v>
      </c>
      <c r="G374" s="8" t="s">
        <v>48</v>
      </c>
      <c r="H374" s="10">
        <v>10072018</v>
      </c>
      <c r="I374" s="10">
        <v>1</v>
      </c>
      <c r="J374" s="8" t="s">
        <v>39</v>
      </c>
      <c r="K374" s="8" t="s">
        <v>40</v>
      </c>
      <c r="M374" s="8" t="s">
        <v>55</v>
      </c>
      <c r="N374" s="11" t="s">
        <v>1184</v>
      </c>
      <c r="O374" s="8" t="s">
        <v>43</v>
      </c>
      <c r="P374" s="8" t="b">
        <v>0</v>
      </c>
      <c r="R374" s="8" t="b">
        <v>1</v>
      </c>
      <c r="S374" s="8" t="b">
        <v>0</v>
      </c>
      <c r="T374" s="8" t="b">
        <v>1</v>
      </c>
      <c r="U374" s="8" t="b">
        <v>1</v>
      </c>
      <c r="V374" s="8" t="b">
        <v>0</v>
      </c>
      <c r="W374" s="11" t="s">
        <v>1185</v>
      </c>
      <c r="X374" s="8" t="b">
        <v>0</v>
      </c>
      <c r="Y374" s="8" t="b">
        <v>0</v>
      </c>
      <c r="Z374" s="8" t="b">
        <v>0</v>
      </c>
      <c r="AA374" s="8" t="b">
        <v>1</v>
      </c>
      <c r="AB374" s="8" t="b">
        <v>0</v>
      </c>
      <c r="AC374" s="8" t="b">
        <v>0</v>
      </c>
      <c r="AD374" s="8" t="b">
        <v>0</v>
      </c>
      <c r="AE374" s="8" t="b">
        <v>0</v>
      </c>
      <c r="AG374" s="11" t="b" cm="1">
        <f t="array" ref="AG374">IF(OR(Y374:AA374="TRUE", AE374="true"), "Threatened")</f>
        <v>0</v>
      </c>
      <c r="AH374" s="11" t="s">
        <v>1186</v>
      </c>
      <c r="AI374" s="8" t="b">
        <v>0</v>
      </c>
    </row>
    <row r="375" spans="1:35" ht="31.2">
      <c r="A375" s="8">
        <v>-73.955681799999994</v>
      </c>
      <c r="B375" s="8">
        <v>40.788851999999999</v>
      </c>
      <c r="C375" s="8" t="s">
        <v>1187</v>
      </c>
      <c r="D375" s="8" t="s">
        <v>877</v>
      </c>
      <c r="E375" s="8" t="b">
        <f t="shared" si="5"/>
        <v>0</v>
      </c>
      <c r="F375" s="8" t="str" cm="1">
        <f t="array" ref="F375">_xlfn._xlws.FILTER(E375:E3573, C375:C3573= "6D-PM-1020-01", "No Squirrels Found")</f>
        <v>No Squirrels Found</v>
      </c>
      <c r="G375" s="8" t="s">
        <v>48</v>
      </c>
      <c r="H375" s="10">
        <v>10132018</v>
      </c>
      <c r="I375" s="10">
        <v>2</v>
      </c>
      <c r="J375" s="8" t="s">
        <v>54</v>
      </c>
      <c r="K375" s="8" t="s">
        <v>40</v>
      </c>
      <c r="L375" s="8" t="s">
        <v>41</v>
      </c>
      <c r="M375" s="8" t="s">
        <v>42</v>
      </c>
      <c r="O375" s="8" t="s">
        <v>50</v>
      </c>
      <c r="P375" s="8">
        <v>15</v>
      </c>
      <c r="R375" s="8" t="b">
        <v>0</v>
      </c>
      <c r="S375" s="8" t="b">
        <v>0</v>
      </c>
      <c r="T375" s="8" t="b">
        <v>1</v>
      </c>
      <c r="U375" s="8" t="b">
        <v>0</v>
      </c>
      <c r="V375" s="8" t="b">
        <v>0</v>
      </c>
      <c r="X375" s="8" t="b">
        <v>0</v>
      </c>
      <c r="Y375" s="8" t="b">
        <v>0</v>
      </c>
      <c r="Z375" s="8" t="b">
        <v>0</v>
      </c>
      <c r="AA375" s="8" t="b">
        <v>0</v>
      </c>
      <c r="AB375" s="8" t="b">
        <v>0</v>
      </c>
      <c r="AC375" s="8" t="b">
        <v>0</v>
      </c>
      <c r="AD375" s="8" t="b">
        <v>0</v>
      </c>
      <c r="AE375" s="8" t="b">
        <v>0</v>
      </c>
      <c r="AF375" s="11" t="s">
        <v>1188</v>
      </c>
      <c r="AG375" s="11" t="b" cm="1">
        <f t="array" ref="AG375">IF(OR(Y375:AA375="TRUE", AE375="true"), "Threatened")</f>
        <v>0</v>
      </c>
      <c r="AH375" s="11" t="s">
        <v>1189</v>
      </c>
      <c r="AI375" s="8" t="b">
        <v>1</v>
      </c>
    </row>
    <row r="376" spans="1:35" ht="31.2">
      <c r="A376" s="8">
        <v>-73.975200009999995</v>
      </c>
      <c r="B376" s="8">
        <v>40.773291810000003</v>
      </c>
      <c r="C376" s="8" t="s">
        <v>1190</v>
      </c>
      <c r="D376" s="8" t="s">
        <v>805</v>
      </c>
      <c r="E376" s="8" t="b">
        <f t="shared" si="5"/>
        <v>0</v>
      </c>
      <c r="F376" s="8" t="str" cm="1">
        <f t="array" ref="F376">_xlfn._xlws.FILTER(E376:E3574, C376:C3574= "6D-PM-1020-01", "No Squirrels Found")</f>
        <v>No Squirrels Found</v>
      </c>
      <c r="G376" s="8" t="s">
        <v>34</v>
      </c>
      <c r="H376" s="10">
        <v>10132018</v>
      </c>
      <c r="I376" s="10">
        <v>4</v>
      </c>
      <c r="J376" s="8" t="s">
        <v>54</v>
      </c>
      <c r="K376" s="8" t="s">
        <v>41</v>
      </c>
      <c r="L376" s="8" t="s">
        <v>84</v>
      </c>
      <c r="M376" s="8" t="s">
        <v>85</v>
      </c>
      <c r="O376" s="8" t="s">
        <v>43</v>
      </c>
      <c r="P376" s="8" t="b">
        <v>0</v>
      </c>
      <c r="R376" s="8" t="b">
        <v>1</v>
      </c>
      <c r="S376" s="8" t="b">
        <v>0</v>
      </c>
      <c r="T376" s="8" t="b">
        <v>0</v>
      </c>
      <c r="U376" s="8" t="b">
        <v>0</v>
      </c>
      <c r="V376" s="8" t="b">
        <v>0</v>
      </c>
      <c r="X376" s="8" t="b">
        <v>0</v>
      </c>
      <c r="Y376" s="8" t="b">
        <v>0</v>
      </c>
      <c r="Z376" s="8" t="b">
        <v>0</v>
      </c>
      <c r="AA376" s="8" t="b">
        <v>0</v>
      </c>
      <c r="AB376" s="8" t="b">
        <v>0</v>
      </c>
      <c r="AC376" s="8" t="b">
        <v>0</v>
      </c>
      <c r="AD376" s="8" t="b">
        <v>1</v>
      </c>
      <c r="AE376" s="8" t="b">
        <v>0</v>
      </c>
      <c r="AG376" s="11" t="b" cm="1">
        <f t="array" ref="AG376">IF(OR(Y376:AA376="TRUE", AE376="true"), "Threatened")</f>
        <v>0</v>
      </c>
      <c r="AH376" s="11" t="s">
        <v>1191</v>
      </c>
      <c r="AI376" s="8" t="b">
        <v>1</v>
      </c>
    </row>
    <row r="377" spans="1:35" ht="31.2">
      <c r="A377" s="8">
        <v>-73.969881709999996</v>
      </c>
      <c r="B377" s="8">
        <v>40.775832260000001</v>
      </c>
      <c r="C377" s="8" t="s">
        <v>1192</v>
      </c>
      <c r="D377" s="8" t="s">
        <v>79</v>
      </c>
      <c r="E377" s="8" t="b">
        <f t="shared" si="5"/>
        <v>0</v>
      </c>
      <c r="F377" s="8" t="str" cm="1">
        <f t="array" ref="F377">_xlfn._xlws.FILTER(E377:E3575, C377:C3575= "6D-PM-1020-01", "No Squirrels Found")</f>
        <v>No Squirrels Found</v>
      </c>
      <c r="G377" s="8" t="s">
        <v>34</v>
      </c>
      <c r="H377" s="10">
        <v>10082018</v>
      </c>
      <c r="I377" s="10">
        <v>10</v>
      </c>
      <c r="J377" s="8" t="s">
        <v>39</v>
      </c>
      <c r="K377" s="8" t="s">
        <v>41</v>
      </c>
      <c r="L377" s="8" t="s">
        <v>84</v>
      </c>
      <c r="M377" s="8" t="s">
        <v>85</v>
      </c>
      <c r="O377" s="8" t="s">
        <v>43</v>
      </c>
      <c r="P377" s="8" t="b">
        <v>0</v>
      </c>
      <c r="R377" s="8" t="b">
        <v>0</v>
      </c>
      <c r="S377" s="8" t="b">
        <v>0</v>
      </c>
      <c r="T377" s="8" t="b">
        <v>0</v>
      </c>
      <c r="U377" s="8" t="b">
        <v>1</v>
      </c>
      <c r="V377" s="8" t="b">
        <v>1</v>
      </c>
      <c r="X377" s="8" t="b">
        <v>0</v>
      </c>
      <c r="Y377" s="8" t="b">
        <v>0</v>
      </c>
      <c r="Z377" s="8" t="b">
        <v>0</v>
      </c>
      <c r="AA377" s="8" t="b">
        <v>0</v>
      </c>
      <c r="AB377" s="8" t="b">
        <v>1</v>
      </c>
      <c r="AC377" s="8" t="b">
        <v>0</v>
      </c>
      <c r="AD377" s="8" t="b">
        <v>0</v>
      </c>
      <c r="AE377" s="8" t="b">
        <v>1</v>
      </c>
      <c r="AG377" s="11" t="b" cm="1">
        <f t="array" ref="AG377">IF(OR(Y377:AA377="TRUE", AE377="true"), "Threatened")</f>
        <v>0</v>
      </c>
      <c r="AH377" s="11" t="s">
        <v>1193</v>
      </c>
      <c r="AI377" s="8" t="b">
        <v>1</v>
      </c>
    </row>
    <row r="378" spans="1:35" ht="31.2">
      <c r="A378" s="8">
        <v>-73.975700189999998</v>
      </c>
      <c r="B378" s="8">
        <v>40.769499789999998</v>
      </c>
      <c r="C378" s="8" t="s">
        <v>1194</v>
      </c>
      <c r="D378" s="8" t="s">
        <v>259</v>
      </c>
      <c r="E378" s="8" t="b">
        <f t="shared" si="5"/>
        <v>0</v>
      </c>
      <c r="F378" s="8" t="str" cm="1">
        <f t="array" ref="F378">_xlfn._xlws.FILTER(E378:E3576, C378:C3576= "6D-PM-1020-01", "No Squirrels Found")</f>
        <v>No Squirrels Found</v>
      </c>
      <c r="G378" s="8" t="s">
        <v>48</v>
      </c>
      <c r="H378" s="10">
        <v>10082018</v>
      </c>
      <c r="I378" s="10">
        <v>9</v>
      </c>
      <c r="J378" s="8" t="s">
        <v>39</v>
      </c>
      <c r="K378" s="8" t="s">
        <v>41</v>
      </c>
      <c r="L378" s="8" t="s">
        <v>40</v>
      </c>
      <c r="M378" s="8" t="s">
        <v>110</v>
      </c>
      <c r="O378" s="8" t="s">
        <v>50</v>
      </c>
      <c r="P378" s="8">
        <v>2</v>
      </c>
      <c r="Q378" s="8" t="s">
        <v>1195</v>
      </c>
      <c r="R378" s="8" t="b">
        <v>1</v>
      </c>
      <c r="S378" s="8" t="b">
        <v>0</v>
      </c>
      <c r="T378" s="8" t="b">
        <v>0</v>
      </c>
      <c r="U378" s="8" t="b">
        <v>0</v>
      </c>
      <c r="V378" s="8" t="b">
        <v>0</v>
      </c>
      <c r="X378" s="8" t="b">
        <v>0</v>
      </c>
      <c r="Y378" s="8" t="b">
        <v>0</v>
      </c>
      <c r="Z378" s="8" t="b">
        <v>0</v>
      </c>
      <c r="AA378" s="8" t="b">
        <v>0</v>
      </c>
      <c r="AB378" s="8" t="b">
        <v>0</v>
      </c>
      <c r="AC378" s="8" t="b">
        <v>0</v>
      </c>
      <c r="AD378" s="8" t="b">
        <v>1</v>
      </c>
      <c r="AE378" s="8" t="b">
        <v>0</v>
      </c>
      <c r="AG378" s="11" t="b" cm="1">
        <f t="array" ref="AG378">IF(OR(Y378:AA378="TRUE", AE378="true"), "Threatened")</f>
        <v>0</v>
      </c>
      <c r="AH378" s="11" t="s">
        <v>1196</v>
      </c>
      <c r="AI378" s="8" t="b">
        <v>1</v>
      </c>
    </row>
    <row r="379" spans="1:35" ht="31.2">
      <c r="A379" s="8">
        <v>-73.958483540000003</v>
      </c>
      <c r="B379" s="8">
        <v>40.797821339999999</v>
      </c>
      <c r="C379" s="8" t="s">
        <v>1197</v>
      </c>
      <c r="D379" s="8" t="s">
        <v>58</v>
      </c>
      <c r="E379" s="8" t="b">
        <f t="shared" si="5"/>
        <v>0</v>
      </c>
      <c r="F379" s="8" t="str" cm="1">
        <f t="array" ref="F379">_xlfn._xlws.FILTER(E379:E3577, C379:C3577= "6D-PM-1020-01", "No Squirrels Found")</f>
        <v>No Squirrels Found</v>
      </c>
      <c r="G379" s="8" t="s">
        <v>34</v>
      </c>
      <c r="H379" s="10">
        <v>10142018</v>
      </c>
      <c r="I379" s="10">
        <v>6</v>
      </c>
      <c r="J379" s="8" t="s">
        <v>39</v>
      </c>
      <c r="K379" s="8" t="s">
        <v>40</v>
      </c>
      <c r="L379" s="8" t="s">
        <v>41</v>
      </c>
      <c r="M379" s="8" t="s">
        <v>42</v>
      </c>
      <c r="O379" s="8" t="s">
        <v>50</v>
      </c>
      <c r="P379" s="8">
        <v>10</v>
      </c>
      <c r="R379" s="8" t="b">
        <v>0</v>
      </c>
      <c r="S379" s="8" t="b">
        <v>0</v>
      </c>
      <c r="T379" s="8" t="b">
        <v>1</v>
      </c>
      <c r="U379" s="8" t="b">
        <v>0</v>
      </c>
      <c r="V379" s="8" t="b">
        <v>0</v>
      </c>
      <c r="X379" s="8" t="b">
        <v>0</v>
      </c>
      <c r="Y379" s="8" t="b">
        <v>0</v>
      </c>
      <c r="Z379" s="8" t="b">
        <v>0</v>
      </c>
      <c r="AA379" s="8" t="b">
        <v>0</v>
      </c>
      <c r="AB379" s="8" t="b">
        <v>0</v>
      </c>
      <c r="AC379" s="8" t="b">
        <v>0</v>
      </c>
      <c r="AD379" s="8" t="b">
        <v>1</v>
      </c>
      <c r="AE379" s="8" t="b">
        <v>0</v>
      </c>
      <c r="AG379" s="11" t="b" cm="1">
        <f t="array" ref="AG379">IF(OR(Y379:AA379="TRUE", AE379="true"), "Threatened")</f>
        <v>0</v>
      </c>
      <c r="AH379" s="11" t="s">
        <v>1198</v>
      </c>
      <c r="AI379" s="8" t="b">
        <v>1</v>
      </c>
    </row>
    <row r="380" spans="1:35" ht="31.2">
      <c r="A380" s="8">
        <v>-73.960681710000003</v>
      </c>
      <c r="B380" s="8">
        <v>40.79173205</v>
      </c>
      <c r="C380" s="8" t="s">
        <v>1199</v>
      </c>
      <c r="D380" s="8" t="s">
        <v>309</v>
      </c>
      <c r="E380" s="8" t="b">
        <f t="shared" si="5"/>
        <v>0</v>
      </c>
      <c r="F380" s="8" t="str" cm="1">
        <f t="array" ref="F380">_xlfn._xlws.FILTER(E380:E3578, C380:C3578= "6D-PM-1020-01", "No Squirrels Found")</f>
        <v>No Squirrels Found</v>
      </c>
      <c r="G380" s="8" t="s">
        <v>34</v>
      </c>
      <c r="H380" s="10">
        <v>10062018</v>
      </c>
      <c r="I380" s="10">
        <v>7</v>
      </c>
      <c r="J380" s="8" t="s">
        <v>39</v>
      </c>
      <c r="K380" s="8" t="s">
        <v>40</v>
      </c>
      <c r="L380" s="8" t="s">
        <v>168</v>
      </c>
      <c r="M380" s="8" t="s">
        <v>169</v>
      </c>
      <c r="O380" s="8" t="s">
        <v>43</v>
      </c>
      <c r="P380" s="8" t="b">
        <v>0</v>
      </c>
      <c r="R380" s="8" t="b">
        <v>0</v>
      </c>
      <c r="S380" s="8" t="b">
        <v>0</v>
      </c>
      <c r="T380" s="8" t="b">
        <v>0</v>
      </c>
      <c r="U380" s="8" t="b">
        <v>1</v>
      </c>
      <c r="V380" s="8" t="b">
        <v>0</v>
      </c>
      <c r="X380" s="8" t="b">
        <v>0</v>
      </c>
      <c r="Y380" s="8" t="b">
        <v>0</v>
      </c>
      <c r="Z380" s="8" t="b">
        <v>0</v>
      </c>
      <c r="AA380" s="8" t="b">
        <v>1</v>
      </c>
      <c r="AB380" s="8" t="b">
        <v>0</v>
      </c>
      <c r="AC380" s="8" t="b">
        <v>0</v>
      </c>
      <c r="AD380" s="8" t="b">
        <v>1</v>
      </c>
      <c r="AE380" s="8" t="b">
        <v>0</v>
      </c>
      <c r="AG380" s="11" t="b" cm="1">
        <f t="array" ref="AG380">IF(OR(Y380:AA380="TRUE", AE380="true"), "Threatened")</f>
        <v>0</v>
      </c>
      <c r="AH380" s="11" t="s">
        <v>1200</v>
      </c>
      <c r="AI380" s="8" t="b">
        <v>1</v>
      </c>
    </row>
    <row r="381" spans="1:35" ht="31.2">
      <c r="A381" s="8">
        <v>-73.964959010000001</v>
      </c>
      <c r="B381" s="8">
        <v>40.782210790000001</v>
      </c>
      <c r="C381" s="8" t="s">
        <v>1201</v>
      </c>
      <c r="D381" s="8" t="s">
        <v>1202</v>
      </c>
      <c r="E381" s="8" t="b">
        <f t="shared" si="5"/>
        <v>0</v>
      </c>
      <c r="F381" s="8" t="str" cm="1">
        <f t="array" ref="F381">_xlfn._xlws.FILTER(E381:E3579, C381:C3579= "6D-PM-1020-01", "No Squirrels Found")</f>
        <v>No Squirrels Found</v>
      </c>
      <c r="G381" s="8" t="s">
        <v>48</v>
      </c>
      <c r="H381" s="10">
        <v>10182018</v>
      </c>
      <c r="I381" s="10">
        <v>1</v>
      </c>
      <c r="J381" s="8" t="s">
        <v>39</v>
      </c>
      <c r="K381" s="8" t="s">
        <v>40</v>
      </c>
      <c r="M381" s="8" t="s">
        <v>55</v>
      </c>
      <c r="O381" s="8" t="s">
        <v>50</v>
      </c>
      <c r="P381" s="8">
        <v>15</v>
      </c>
      <c r="R381" s="8" t="b">
        <v>0</v>
      </c>
      <c r="S381" s="8" t="b">
        <v>0</v>
      </c>
      <c r="T381" s="8" t="b">
        <v>1</v>
      </c>
      <c r="U381" s="8" t="b">
        <v>0</v>
      </c>
      <c r="V381" s="8" t="b">
        <v>0</v>
      </c>
      <c r="X381" s="8" t="b">
        <v>0</v>
      </c>
      <c r="Y381" s="8" t="b">
        <v>0</v>
      </c>
      <c r="Z381" s="8" t="b">
        <v>0</v>
      </c>
      <c r="AA381" s="8" t="b">
        <v>0</v>
      </c>
      <c r="AB381" s="8" t="b">
        <v>1</v>
      </c>
      <c r="AC381" s="8" t="b">
        <v>0</v>
      </c>
      <c r="AD381" s="8" t="b">
        <v>1</v>
      </c>
      <c r="AE381" s="8" t="b">
        <v>0</v>
      </c>
      <c r="AG381" s="11" t="b" cm="1">
        <f t="array" ref="AG381">IF(OR(Y381:AA381="TRUE", AE381="true"), "Threatened")</f>
        <v>0</v>
      </c>
      <c r="AH381" s="11" t="s">
        <v>1203</v>
      </c>
      <c r="AI381" s="8" t="b">
        <v>1</v>
      </c>
    </row>
    <row r="382" spans="1:35" ht="31.2">
      <c r="A382" s="8">
        <v>-73.959709410000002</v>
      </c>
      <c r="B382" s="8">
        <v>40.791974510000003</v>
      </c>
      <c r="C382" s="8" t="s">
        <v>1204</v>
      </c>
      <c r="D382" s="8" t="s">
        <v>1205</v>
      </c>
      <c r="E382" s="8" t="b">
        <f t="shared" si="5"/>
        <v>0</v>
      </c>
      <c r="F382" s="8" t="str" cm="1">
        <f t="array" ref="F382">_xlfn._xlws.FILTER(E382:E3580, C382:C3580= "6D-PM-1020-01", "No Squirrels Found")</f>
        <v>No Squirrels Found</v>
      </c>
      <c r="G382" s="8" t="s">
        <v>34</v>
      </c>
      <c r="H382" s="10">
        <v>10062018</v>
      </c>
      <c r="I382" s="10">
        <v>3</v>
      </c>
      <c r="K382" s="8" t="s">
        <v>192</v>
      </c>
      <c r="M382" s="8" t="s">
        <v>193</v>
      </c>
      <c r="O382" s="8" t="s">
        <v>50</v>
      </c>
      <c r="P382" s="8">
        <v>15</v>
      </c>
      <c r="R382" s="8" t="b">
        <v>1</v>
      </c>
      <c r="S382" s="8" t="b">
        <v>0</v>
      </c>
      <c r="T382" s="8" t="b">
        <v>0</v>
      </c>
      <c r="U382" s="8" t="b">
        <v>1</v>
      </c>
      <c r="V382" s="8" t="b">
        <v>0</v>
      </c>
      <c r="X382" s="8" t="b">
        <v>0</v>
      </c>
      <c r="Y382" s="8" t="b">
        <v>0</v>
      </c>
      <c r="Z382" s="8" t="b">
        <v>0</v>
      </c>
      <c r="AA382" s="8" t="b">
        <v>0</v>
      </c>
      <c r="AB382" s="8" t="b">
        <v>1</v>
      </c>
      <c r="AC382" s="8" t="b">
        <v>0</v>
      </c>
      <c r="AD382" s="8" t="b">
        <v>0</v>
      </c>
      <c r="AE382" s="8" t="b">
        <v>1</v>
      </c>
      <c r="AF382" s="11" t="s">
        <v>1206</v>
      </c>
      <c r="AG382" s="11" t="b" cm="1">
        <f t="array" ref="AG382">IF(OR(Y382:AA382="TRUE", AE382="true"), "Threatened")</f>
        <v>0</v>
      </c>
      <c r="AH382" s="11" t="s">
        <v>1207</v>
      </c>
      <c r="AI382" s="8" t="b">
        <v>1</v>
      </c>
    </row>
    <row r="383" spans="1:35" ht="46.8">
      <c r="A383" s="8">
        <v>-73.973594680000005</v>
      </c>
      <c r="B383" s="8">
        <v>40.772415580000001</v>
      </c>
      <c r="C383" s="8" t="s">
        <v>1208</v>
      </c>
      <c r="D383" s="8" t="s">
        <v>1209</v>
      </c>
      <c r="E383" s="8" t="b">
        <f t="shared" si="5"/>
        <v>0</v>
      </c>
      <c r="F383" s="8" t="str" cm="1">
        <f t="array" ref="F383">_xlfn._xlws.FILTER(E383:E3581, C383:C3581= "6D-PM-1020-01", "No Squirrels Found")</f>
        <v>No Squirrels Found</v>
      </c>
      <c r="G383" s="8" t="s">
        <v>34</v>
      </c>
      <c r="H383" s="10">
        <v>10082018</v>
      </c>
      <c r="I383" s="10">
        <v>1</v>
      </c>
      <c r="J383" s="8" t="s">
        <v>39</v>
      </c>
      <c r="K383" s="8" t="s">
        <v>40</v>
      </c>
      <c r="L383" s="8" t="s">
        <v>84</v>
      </c>
      <c r="M383" s="8" t="s">
        <v>103</v>
      </c>
      <c r="O383" s="8" t="s">
        <v>43</v>
      </c>
      <c r="P383" s="8" t="b">
        <v>0</v>
      </c>
      <c r="Q383" s="8" t="s">
        <v>1210</v>
      </c>
      <c r="R383" s="8" t="b">
        <v>0</v>
      </c>
      <c r="S383" s="8" t="b">
        <v>0</v>
      </c>
      <c r="T383" s="8" t="b">
        <v>0</v>
      </c>
      <c r="U383" s="8" t="b">
        <v>1</v>
      </c>
      <c r="V383" s="8" t="b">
        <v>0</v>
      </c>
      <c r="X383" s="8" t="b">
        <v>0</v>
      </c>
      <c r="Y383" s="8" t="b">
        <v>0</v>
      </c>
      <c r="Z383" s="8" t="b">
        <v>0</v>
      </c>
      <c r="AA383" s="8" t="b">
        <v>0</v>
      </c>
      <c r="AB383" s="8" t="b">
        <v>0</v>
      </c>
      <c r="AC383" s="8" t="b">
        <v>1</v>
      </c>
      <c r="AD383" s="8" t="b">
        <v>0</v>
      </c>
      <c r="AE383" s="8" t="b">
        <v>0</v>
      </c>
      <c r="AF383" s="11" t="s">
        <v>1211</v>
      </c>
      <c r="AG383" s="11" t="b" cm="1">
        <f t="array" ref="AG383">IF(OR(Y383:AA383="TRUE", AE383="true"), "Threatened")</f>
        <v>0</v>
      </c>
      <c r="AH383" s="11" t="s">
        <v>1212</v>
      </c>
      <c r="AI383" s="8" t="b">
        <v>1</v>
      </c>
    </row>
    <row r="384" spans="1:35" ht="31.2">
      <c r="A384" s="8">
        <v>-73.958835890000003</v>
      </c>
      <c r="B384" s="8">
        <v>40.791263190000002</v>
      </c>
      <c r="C384" s="8" t="s">
        <v>1213</v>
      </c>
      <c r="D384" s="8" t="s">
        <v>1214</v>
      </c>
      <c r="E384" s="8" t="b">
        <f t="shared" si="5"/>
        <v>0</v>
      </c>
      <c r="F384" s="8" t="str" cm="1">
        <f t="array" ref="F384">_xlfn._xlws.FILTER(E384:E3582, C384:C3582= "6D-PM-1020-01", "No Squirrels Found")</f>
        <v>No Squirrels Found</v>
      </c>
      <c r="G384" s="8" t="s">
        <v>34</v>
      </c>
      <c r="H384" s="10">
        <v>10122018</v>
      </c>
      <c r="I384" s="10">
        <v>1</v>
      </c>
      <c r="J384" s="8" t="s">
        <v>39</v>
      </c>
      <c r="K384" s="8" t="s">
        <v>40</v>
      </c>
      <c r="L384" s="8" t="s">
        <v>84</v>
      </c>
      <c r="M384" s="8" t="s">
        <v>103</v>
      </c>
      <c r="O384" s="8" t="s">
        <v>43</v>
      </c>
      <c r="P384" s="8" t="b">
        <v>0</v>
      </c>
      <c r="R384" s="8" t="b">
        <v>0</v>
      </c>
      <c r="S384" s="8" t="b">
        <v>0</v>
      </c>
      <c r="T384" s="8" t="b">
        <v>0</v>
      </c>
      <c r="U384" s="8" t="b">
        <v>1</v>
      </c>
      <c r="V384" s="8" t="b">
        <v>1</v>
      </c>
      <c r="X384" s="8" t="b">
        <v>0</v>
      </c>
      <c r="Y384" s="8" t="b">
        <v>0</v>
      </c>
      <c r="Z384" s="8" t="b">
        <v>0</v>
      </c>
      <c r="AA384" s="8" t="b">
        <v>0</v>
      </c>
      <c r="AB384" s="8" t="b">
        <v>0</v>
      </c>
      <c r="AC384" s="8" t="b">
        <v>0</v>
      </c>
      <c r="AD384" s="8" t="b">
        <v>0</v>
      </c>
      <c r="AE384" s="8" t="b">
        <v>1</v>
      </c>
      <c r="AG384" s="11" t="b" cm="1">
        <f t="array" ref="AG384">IF(OR(Y384:AA384="TRUE", AE384="true"), "Threatened")</f>
        <v>0</v>
      </c>
      <c r="AH384" s="11" t="s">
        <v>1215</v>
      </c>
      <c r="AI384" s="8" t="b">
        <v>1</v>
      </c>
    </row>
    <row r="385" spans="1:35" ht="31.2">
      <c r="A385" s="8">
        <v>-73.968045070000002</v>
      </c>
      <c r="B385" s="8">
        <v>40.783662669999998</v>
      </c>
      <c r="C385" s="8" t="s">
        <v>1216</v>
      </c>
      <c r="D385" s="8" t="s">
        <v>698</v>
      </c>
      <c r="E385" s="8" t="b">
        <f t="shared" si="5"/>
        <v>0</v>
      </c>
      <c r="F385" s="8" t="str" cm="1">
        <f t="array" ref="F385">_xlfn._xlws.FILTER(E385:E3583, C385:C3583= "6D-PM-1020-01", "No Squirrels Found")</f>
        <v>No Squirrels Found</v>
      </c>
      <c r="G385" s="8" t="s">
        <v>48</v>
      </c>
      <c r="H385" s="10">
        <v>10132018</v>
      </c>
      <c r="I385" s="10">
        <v>2</v>
      </c>
      <c r="J385" s="8" t="s">
        <v>39</v>
      </c>
      <c r="K385" s="8" t="s">
        <v>41</v>
      </c>
      <c r="L385" s="8" t="s">
        <v>40</v>
      </c>
      <c r="M385" s="8" t="s">
        <v>110</v>
      </c>
      <c r="O385" s="8" t="s">
        <v>50</v>
      </c>
      <c r="P385" s="8">
        <v>4</v>
      </c>
      <c r="R385" s="8" t="b">
        <v>0</v>
      </c>
      <c r="S385" s="8" t="b">
        <v>0</v>
      </c>
      <c r="T385" s="8" t="b">
        <v>1</v>
      </c>
      <c r="U385" s="8" t="b">
        <v>0</v>
      </c>
      <c r="V385" s="8" t="b">
        <v>1</v>
      </c>
      <c r="X385" s="8" t="b">
        <v>1</v>
      </c>
      <c r="Y385" s="8" t="b">
        <v>0</v>
      </c>
      <c r="Z385" s="8" t="b">
        <v>0</v>
      </c>
      <c r="AA385" s="8" t="b">
        <v>1</v>
      </c>
      <c r="AB385" s="8" t="b">
        <v>0</v>
      </c>
      <c r="AC385" s="8" t="b">
        <v>0</v>
      </c>
      <c r="AD385" s="8" t="b">
        <v>0</v>
      </c>
      <c r="AE385" s="8" t="b">
        <v>1</v>
      </c>
      <c r="AG385" s="11" t="b" cm="1">
        <f t="array" ref="AG385">IF(OR(Y385:AA385="TRUE", AE385="true"), "Threatened")</f>
        <v>0</v>
      </c>
      <c r="AH385" s="11" t="s">
        <v>1217</v>
      </c>
      <c r="AI385" s="8" t="b">
        <v>1</v>
      </c>
    </row>
    <row r="386" spans="1:35" ht="31.2">
      <c r="A386" s="8">
        <v>-73.979316280000006</v>
      </c>
      <c r="B386" s="8">
        <v>40.769213469999997</v>
      </c>
      <c r="C386" s="8" t="s">
        <v>1218</v>
      </c>
      <c r="D386" s="8" t="s">
        <v>465</v>
      </c>
      <c r="E386" s="8" t="b">
        <f t="shared" si="5"/>
        <v>0</v>
      </c>
      <c r="F386" s="8" t="str" cm="1">
        <f t="array" ref="F386">_xlfn._xlws.FILTER(E386:E3584, C386:C3584= "6D-PM-1020-01", "No Squirrels Found")</f>
        <v>No Squirrels Found</v>
      </c>
      <c r="G386" s="8" t="s">
        <v>34</v>
      </c>
      <c r="H386" s="10">
        <v>10072018</v>
      </c>
      <c r="I386" s="10">
        <v>1</v>
      </c>
      <c r="J386" s="8" t="s">
        <v>39</v>
      </c>
      <c r="K386" s="8" t="s">
        <v>40</v>
      </c>
      <c r="L386" s="8" t="s">
        <v>84</v>
      </c>
      <c r="M386" s="8" t="s">
        <v>103</v>
      </c>
      <c r="O386" s="8" t="s">
        <v>50</v>
      </c>
      <c r="Q386" s="8" t="s">
        <v>466</v>
      </c>
      <c r="R386" s="8" t="b">
        <v>0</v>
      </c>
      <c r="S386" s="8" t="b">
        <v>0</v>
      </c>
      <c r="T386" s="8" t="b">
        <v>0</v>
      </c>
      <c r="U386" s="8" t="b">
        <v>0</v>
      </c>
      <c r="V386" s="8" t="b">
        <v>0</v>
      </c>
      <c r="W386" s="11" t="s">
        <v>1219</v>
      </c>
      <c r="X386" s="8" t="b">
        <v>0</v>
      </c>
      <c r="Y386" s="8" t="b">
        <v>0</v>
      </c>
      <c r="Z386" s="8" t="b">
        <v>0</v>
      </c>
      <c r="AA386" s="8" t="b">
        <v>0</v>
      </c>
      <c r="AB386" s="8" t="b">
        <v>0</v>
      </c>
      <c r="AC386" s="8" t="b">
        <v>0</v>
      </c>
      <c r="AD386" s="8" t="b">
        <v>0</v>
      </c>
      <c r="AE386" s="8" t="b">
        <v>0</v>
      </c>
      <c r="AG386" s="11" t="b" cm="1">
        <f t="array" ref="AG386">IF(OR(Y386:AA386="TRUE", AE386="true"), "Threatened")</f>
        <v>0</v>
      </c>
      <c r="AH386" s="11" t="s">
        <v>1220</v>
      </c>
      <c r="AI386" s="8" t="b">
        <v>0</v>
      </c>
    </row>
    <row r="387" spans="1:35" ht="31.2">
      <c r="A387" s="8">
        <v>-73.955035140000007</v>
      </c>
      <c r="B387" s="8">
        <v>40.79746815</v>
      </c>
      <c r="C387" s="8" t="s">
        <v>1221</v>
      </c>
      <c r="D387" s="8" t="s">
        <v>636</v>
      </c>
      <c r="E387" s="8" t="b">
        <f t="shared" ref="E387:E450" si="6">OR(D387 = "05D", D387 = "07D", D387 = "06C", D387 = "06E")</f>
        <v>0</v>
      </c>
      <c r="F387" s="8" t="str" cm="1">
        <f t="array" ref="F387">_xlfn._xlws.FILTER(E387:E3585, C387:C3585= "6D-PM-1020-01", "No Squirrels Found")</f>
        <v>No Squirrels Found</v>
      </c>
      <c r="G387" s="8" t="s">
        <v>48</v>
      </c>
      <c r="H387" s="10">
        <v>10142018</v>
      </c>
      <c r="I387" s="10">
        <v>1</v>
      </c>
      <c r="J387" s="8" t="s">
        <v>39</v>
      </c>
      <c r="K387" s="8" t="s">
        <v>40</v>
      </c>
      <c r="L387" s="8" t="s">
        <v>84</v>
      </c>
      <c r="M387" s="8" t="s">
        <v>103</v>
      </c>
      <c r="O387" s="8" t="s">
        <v>43</v>
      </c>
      <c r="P387" s="8" t="b">
        <v>0</v>
      </c>
      <c r="R387" s="8" t="b">
        <v>1</v>
      </c>
      <c r="S387" s="8" t="b">
        <v>0</v>
      </c>
      <c r="T387" s="8" t="b">
        <v>0</v>
      </c>
      <c r="U387" s="8" t="b">
        <v>0</v>
      </c>
      <c r="V387" s="8" t="b">
        <v>0</v>
      </c>
      <c r="X387" s="8" t="b">
        <v>0</v>
      </c>
      <c r="Y387" s="8" t="b">
        <v>0</v>
      </c>
      <c r="Z387" s="8" t="b">
        <v>0</v>
      </c>
      <c r="AA387" s="8" t="b">
        <v>0</v>
      </c>
      <c r="AB387" s="8" t="b">
        <v>0</v>
      </c>
      <c r="AC387" s="8" t="b">
        <v>0</v>
      </c>
      <c r="AD387" s="8" t="b">
        <v>0</v>
      </c>
      <c r="AE387" s="8" t="b">
        <v>1</v>
      </c>
      <c r="AG387" s="11" t="b" cm="1">
        <f t="array" ref="AG387">IF(OR(Y387:AA387="TRUE", AE387="true"), "Threatened")</f>
        <v>0</v>
      </c>
      <c r="AH387" s="11" t="s">
        <v>1222</v>
      </c>
      <c r="AI387" s="8" t="b">
        <v>1</v>
      </c>
    </row>
    <row r="388" spans="1:35" ht="31.2">
      <c r="A388" s="8">
        <v>-73.957831650000003</v>
      </c>
      <c r="B388" s="8">
        <v>40.789010300000001</v>
      </c>
      <c r="C388" s="8" t="s">
        <v>1223</v>
      </c>
      <c r="D388" s="8" t="s">
        <v>1224</v>
      </c>
      <c r="E388" s="8" t="b">
        <f t="shared" si="6"/>
        <v>0</v>
      </c>
      <c r="F388" s="8" t="str" cm="1">
        <f t="array" ref="F388">_xlfn._xlws.FILTER(E388:E3586, C388:C3586= "6D-PM-1020-01", "No Squirrels Found")</f>
        <v>No Squirrels Found</v>
      </c>
      <c r="G388" s="8" t="s">
        <v>34</v>
      </c>
      <c r="H388" s="10">
        <v>10072018</v>
      </c>
      <c r="I388" s="10">
        <v>1</v>
      </c>
      <c r="J388" s="8" t="s">
        <v>39</v>
      </c>
      <c r="K388" s="8" t="s">
        <v>40</v>
      </c>
      <c r="M388" s="8" t="s">
        <v>55</v>
      </c>
      <c r="O388" s="8" t="s">
        <v>50</v>
      </c>
      <c r="P388" s="8">
        <v>15</v>
      </c>
      <c r="R388" s="8" t="b">
        <v>0</v>
      </c>
      <c r="S388" s="8" t="b">
        <v>0</v>
      </c>
      <c r="T388" s="8" t="b">
        <v>0</v>
      </c>
      <c r="U388" s="8" t="b">
        <v>0</v>
      </c>
      <c r="V388" s="8" t="b">
        <v>0</v>
      </c>
      <c r="W388" s="11" t="s">
        <v>1225</v>
      </c>
      <c r="X388" s="8" t="b">
        <v>0</v>
      </c>
      <c r="Y388" s="8" t="b">
        <v>0</v>
      </c>
      <c r="Z388" s="8" t="b">
        <v>0</v>
      </c>
      <c r="AA388" s="8" t="b">
        <v>0</v>
      </c>
      <c r="AB388" s="8" t="b">
        <v>1</v>
      </c>
      <c r="AC388" s="8" t="b">
        <v>0</v>
      </c>
      <c r="AD388" s="8" t="b">
        <v>0</v>
      </c>
      <c r="AE388" s="8" t="b">
        <v>0</v>
      </c>
      <c r="AF388" s="11" t="s">
        <v>1226</v>
      </c>
      <c r="AG388" s="11" t="b" cm="1">
        <f t="array" ref="AG388">IF(OR(Y388:AA388="TRUE", AE388="true"), "Threatened")</f>
        <v>0</v>
      </c>
      <c r="AH388" s="11" t="s">
        <v>1227</v>
      </c>
      <c r="AI388" s="8" t="b">
        <v>0</v>
      </c>
    </row>
    <row r="389" spans="1:35" ht="31.2">
      <c r="A389" s="8">
        <v>-73.959253750000002</v>
      </c>
      <c r="B389" s="8">
        <v>40.791927180000002</v>
      </c>
      <c r="C389" s="8" t="s">
        <v>1228</v>
      </c>
      <c r="D389" s="8" t="s">
        <v>1214</v>
      </c>
      <c r="E389" s="8" t="b">
        <f t="shared" si="6"/>
        <v>0</v>
      </c>
      <c r="F389" s="8" t="str" cm="1">
        <f t="array" ref="F389">_xlfn._xlws.FILTER(E389:E3587, C389:C3587= "6D-PM-1020-01", "No Squirrels Found")</f>
        <v>No Squirrels Found</v>
      </c>
      <c r="G389" s="8" t="s">
        <v>48</v>
      </c>
      <c r="H389" s="10">
        <v>10142018</v>
      </c>
      <c r="I389" s="10">
        <v>3</v>
      </c>
      <c r="J389" s="8" t="s">
        <v>39</v>
      </c>
      <c r="K389" s="8" t="s">
        <v>192</v>
      </c>
      <c r="M389" s="8" t="s">
        <v>193</v>
      </c>
      <c r="O389" s="8" t="s">
        <v>50</v>
      </c>
      <c r="P389" s="8">
        <v>5</v>
      </c>
      <c r="R389" s="8" t="b">
        <v>0</v>
      </c>
      <c r="S389" s="8" t="b">
        <v>0</v>
      </c>
      <c r="T389" s="8" t="b">
        <v>1</v>
      </c>
      <c r="U389" s="8" t="b">
        <v>0</v>
      </c>
      <c r="V389" s="8" t="b">
        <v>0</v>
      </c>
      <c r="X389" s="8" t="b">
        <v>0</v>
      </c>
      <c r="Y389" s="8" t="b">
        <v>0</v>
      </c>
      <c r="Z389" s="8" t="b">
        <v>0</v>
      </c>
      <c r="AA389" s="8" t="b">
        <v>0</v>
      </c>
      <c r="AB389" s="8" t="b">
        <v>0</v>
      </c>
      <c r="AC389" s="8" t="b">
        <v>0</v>
      </c>
      <c r="AD389" s="8" t="b">
        <v>0</v>
      </c>
      <c r="AE389" s="8" t="b">
        <v>1</v>
      </c>
      <c r="AG389" s="11" t="b" cm="1">
        <f t="array" ref="AG389">IF(OR(Y389:AA389="TRUE", AE389="true"), "Threatened")</f>
        <v>0</v>
      </c>
      <c r="AH389" s="11" t="s">
        <v>1229</v>
      </c>
      <c r="AI389" s="8" t="b">
        <v>1</v>
      </c>
    </row>
    <row r="390" spans="1:35" ht="31.2">
      <c r="A390" s="8">
        <v>-73.973396629999996</v>
      </c>
      <c r="B390" s="8">
        <v>40.771717959999997</v>
      </c>
      <c r="C390" s="8" t="s">
        <v>1230</v>
      </c>
      <c r="D390" s="8" t="s">
        <v>1209</v>
      </c>
      <c r="E390" s="8" t="b">
        <f t="shared" si="6"/>
        <v>0</v>
      </c>
      <c r="F390" s="8" t="str" cm="1">
        <f t="array" ref="F390">_xlfn._xlws.FILTER(E390:E3588, C390:C3588= "6D-PM-1020-01", "No Squirrels Found")</f>
        <v>No Squirrels Found</v>
      </c>
      <c r="G390" s="8" t="s">
        <v>34</v>
      </c>
      <c r="H390" s="10">
        <v>10082018</v>
      </c>
      <c r="I390" s="10">
        <v>8</v>
      </c>
      <c r="J390" s="8" t="s">
        <v>39</v>
      </c>
      <c r="K390" s="8" t="s">
        <v>40</v>
      </c>
      <c r="L390" s="8" t="s">
        <v>84</v>
      </c>
      <c r="M390" s="8" t="s">
        <v>103</v>
      </c>
      <c r="O390" s="8" t="s">
        <v>43</v>
      </c>
      <c r="P390" s="8" t="b">
        <v>0</v>
      </c>
      <c r="R390" s="8" t="b">
        <v>0</v>
      </c>
      <c r="S390" s="8" t="b">
        <v>0</v>
      </c>
      <c r="T390" s="8" t="b">
        <v>0</v>
      </c>
      <c r="U390" s="8" t="b">
        <v>0</v>
      </c>
      <c r="V390" s="8" t="b">
        <v>1</v>
      </c>
      <c r="X390" s="8" t="b">
        <v>0</v>
      </c>
      <c r="Y390" s="8" t="b">
        <v>0</v>
      </c>
      <c r="Z390" s="8" t="b">
        <v>0</v>
      </c>
      <c r="AA390" s="8" t="b">
        <v>0</v>
      </c>
      <c r="AB390" s="8" t="b">
        <v>0</v>
      </c>
      <c r="AC390" s="8" t="b">
        <v>0</v>
      </c>
      <c r="AD390" s="8" t="b">
        <v>0</v>
      </c>
      <c r="AE390" s="8" t="b">
        <v>0</v>
      </c>
      <c r="AG390" s="11" t="b" cm="1">
        <f t="array" ref="AG390">IF(OR(Y390:AA390="TRUE", AE390="true"), "Threatened")</f>
        <v>0</v>
      </c>
      <c r="AH390" s="11" t="s">
        <v>1231</v>
      </c>
      <c r="AI390" s="8" t="b">
        <v>1</v>
      </c>
    </row>
    <row r="391" spans="1:35" ht="31.2">
      <c r="A391" s="8">
        <v>-73.970720189999994</v>
      </c>
      <c r="B391" s="8">
        <v>40.777456479999998</v>
      </c>
      <c r="C391" s="8" t="s">
        <v>1232</v>
      </c>
      <c r="D391" s="8" t="s">
        <v>741</v>
      </c>
      <c r="E391" s="8" t="b">
        <f t="shared" si="6"/>
        <v>0</v>
      </c>
      <c r="F391" s="8" t="str" cm="1">
        <f t="array" ref="F391">_xlfn._xlws.FILTER(E391:E3589, C391:C3589= "6D-PM-1020-01", "No Squirrels Found")</f>
        <v>No Squirrels Found</v>
      </c>
      <c r="G391" s="8" t="s">
        <v>34</v>
      </c>
      <c r="H391" s="10">
        <v>10192018</v>
      </c>
      <c r="I391" s="10">
        <v>11</v>
      </c>
      <c r="J391" s="8" t="s">
        <v>39</v>
      </c>
      <c r="K391" s="8" t="s">
        <v>40</v>
      </c>
      <c r="M391" s="8" t="s">
        <v>55</v>
      </c>
      <c r="R391" s="8" t="b">
        <v>0</v>
      </c>
      <c r="S391" s="8" t="b">
        <v>0</v>
      </c>
      <c r="T391" s="8" t="b">
        <v>0</v>
      </c>
      <c r="U391" s="8" t="b">
        <v>0</v>
      </c>
      <c r="V391" s="8" t="b">
        <v>0</v>
      </c>
      <c r="X391" s="8" t="b">
        <v>0</v>
      </c>
      <c r="Y391" s="8" t="b">
        <v>0</v>
      </c>
      <c r="Z391" s="8" t="b">
        <v>0</v>
      </c>
      <c r="AA391" s="8" t="b">
        <v>0</v>
      </c>
      <c r="AB391" s="8" t="b">
        <v>0</v>
      </c>
      <c r="AC391" s="8" t="b">
        <v>0</v>
      </c>
      <c r="AD391" s="8" t="b">
        <v>0</v>
      </c>
      <c r="AE391" s="8" t="b">
        <v>0</v>
      </c>
      <c r="AG391" s="11" t="b" cm="1">
        <f t="array" ref="AG391">IF(OR(Y391:AA391="TRUE", AE391="true"), "Threatened")</f>
        <v>0</v>
      </c>
      <c r="AH391" s="11" t="s">
        <v>1233</v>
      </c>
      <c r="AI391" s="8" t="b">
        <v>1</v>
      </c>
    </row>
    <row r="392" spans="1:35" ht="31.2">
      <c r="A392" s="8">
        <v>-73.979087550000003</v>
      </c>
      <c r="B392" s="8">
        <v>40.767610480000002</v>
      </c>
      <c r="C392" s="8" t="s">
        <v>1234</v>
      </c>
      <c r="D392" s="8" t="s">
        <v>1235</v>
      </c>
      <c r="E392" s="8" t="b">
        <f t="shared" si="6"/>
        <v>0</v>
      </c>
      <c r="F392" s="8" t="str" cm="1">
        <f t="array" ref="F392">_xlfn._xlws.FILTER(E392:E3590, C392:C3590= "6D-PM-1020-01", "No Squirrels Found")</f>
        <v>No Squirrels Found</v>
      </c>
      <c r="G392" s="8" t="s">
        <v>48</v>
      </c>
      <c r="H392" s="10">
        <v>10102018</v>
      </c>
      <c r="I392" s="10">
        <v>3</v>
      </c>
      <c r="J392" s="8" t="s">
        <v>39</v>
      </c>
      <c r="K392" s="8" t="s">
        <v>192</v>
      </c>
      <c r="L392" s="8" t="s">
        <v>40</v>
      </c>
      <c r="M392" s="8" t="s">
        <v>1236</v>
      </c>
      <c r="O392" s="8" t="s">
        <v>50</v>
      </c>
      <c r="P392" s="8">
        <v>30</v>
      </c>
      <c r="R392" s="8" t="b">
        <v>0</v>
      </c>
      <c r="S392" s="8" t="b">
        <v>0</v>
      </c>
      <c r="T392" s="8" t="b">
        <v>1</v>
      </c>
      <c r="U392" s="8" t="b">
        <v>0</v>
      </c>
      <c r="V392" s="8" t="b">
        <v>0</v>
      </c>
      <c r="X392" s="8" t="b">
        <v>0</v>
      </c>
      <c r="Y392" s="8" t="b">
        <v>0</v>
      </c>
      <c r="Z392" s="8" t="b">
        <v>0</v>
      </c>
      <c r="AA392" s="8" t="b">
        <v>0</v>
      </c>
      <c r="AB392" s="8" t="b">
        <v>0</v>
      </c>
      <c r="AC392" s="8" t="b">
        <v>0</v>
      </c>
      <c r="AD392" s="8" t="b">
        <v>0</v>
      </c>
      <c r="AE392" s="8" t="b">
        <v>0</v>
      </c>
      <c r="AG392" s="11" t="b" cm="1">
        <f t="array" ref="AG392">IF(OR(Y392:AA392="TRUE", AE392="true"), "Threatened")</f>
        <v>0</v>
      </c>
      <c r="AH392" s="11" t="s">
        <v>1237</v>
      </c>
      <c r="AI392" s="8" t="b">
        <v>1</v>
      </c>
    </row>
    <row r="393" spans="1:35" ht="31.2">
      <c r="A393" s="8">
        <v>-73.980237610000003</v>
      </c>
      <c r="B393" s="8">
        <v>40.76807075</v>
      </c>
      <c r="C393" s="8" t="s">
        <v>1238</v>
      </c>
      <c r="D393" s="8" t="s">
        <v>855</v>
      </c>
      <c r="E393" s="8" t="b">
        <f t="shared" si="6"/>
        <v>0</v>
      </c>
      <c r="F393" s="8" t="str" cm="1">
        <f t="array" ref="F393">_xlfn._xlws.FILTER(E393:E3591, C393:C3591= "6D-PM-1020-01", "No Squirrels Found")</f>
        <v>No Squirrels Found</v>
      </c>
      <c r="G393" s="8" t="s">
        <v>48</v>
      </c>
      <c r="H393" s="10">
        <v>10122018</v>
      </c>
      <c r="I393" s="10">
        <v>12</v>
      </c>
      <c r="J393" s="8" t="s">
        <v>39</v>
      </c>
      <c r="K393" s="8" t="s">
        <v>41</v>
      </c>
      <c r="L393" s="8" t="s">
        <v>40</v>
      </c>
      <c r="M393" s="8" t="s">
        <v>110</v>
      </c>
      <c r="O393" s="8" t="s">
        <v>43</v>
      </c>
      <c r="P393" s="8" t="b">
        <v>0</v>
      </c>
      <c r="R393" s="8" t="b">
        <v>1</v>
      </c>
      <c r="S393" s="8" t="b">
        <v>0</v>
      </c>
      <c r="T393" s="8" t="b">
        <v>0</v>
      </c>
      <c r="U393" s="8" t="b">
        <v>0</v>
      </c>
      <c r="V393" s="8" t="b">
        <v>0</v>
      </c>
      <c r="X393" s="8" t="b">
        <v>0</v>
      </c>
      <c r="Y393" s="8" t="b">
        <v>0</v>
      </c>
      <c r="Z393" s="8" t="b">
        <v>0</v>
      </c>
      <c r="AA393" s="8" t="b">
        <v>0</v>
      </c>
      <c r="AB393" s="8" t="b">
        <v>0</v>
      </c>
      <c r="AC393" s="8" t="b">
        <v>0</v>
      </c>
      <c r="AD393" s="8" t="b">
        <v>1</v>
      </c>
      <c r="AE393" s="8" t="b">
        <v>0</v>
      </c>
      <c r="AG393" s="11" t="b" cm="1">
        <f t="array" ref="AG393">IF(OR(Y393:AA393="TRUE", AE393="true"), "Threatened")</f>
        <v>0</v>
      </c>
      <c r="AH393" s="11" t="s">
        <v>1239</v>
      </c>
      <c r="AI393" s="8" t="b">
        <v>1</v>
      </c>
    </row>
    <row r="394" spans="1:35" ht="31.2">
      <c r="A394" s="8">
        <v>-73.95772126</v>
      </c>
      <c r="B394" s="8">
        <v>40.79655253</v>
      </c>
      <c r="C394" s="8" t="s">
        <v>1240</v>
      </c>
      <c r="D394" s="8" t="s">
        <v>191</v>
      </c>
      <c r="E394" s="8" t="b">
        <f t="shared" si="6"/>
        <v>0</v>
      </c>
      <c r="F394" s="8" t="str" cm="1">
        <f t="array" ref="F394">_xlfn._xlws.FILTER(E394:E3592, C394:C3592= "6D-PM-1020-01", "No Squirrels Found")</f>
        <v>No Squirrels Found</v>
      </c>
      <c r="G394" s="8" t="s">
        <v>34</v>
      </c>
      <c r="H394" s="10">
        <v>10142018</v>
      </c>
      <c r="I394" s="10">
        <v>6</v>
      </c>
      <c r="J394" s="8" t="s">
        <v>39</v>
      </c>
      <c r="K394" s="8" t="s">
        <v>40</v>
      </c>
      <c r="L394" s="8" t="s">
        <v>41</v>
      </c>
      <c r="M394" s="8" t="s">
        <v>42</v>
      </c>
      <c r="O394" s="8" t="s">
        <v>43</v>
      </c>
      <c r="P394" s="8" t="b">
        <v>0</v>
      </c>
      <c r="R394" s="8" t="b">
        <v>0</v>
      </c>
      <c r="S394" s="8" t="b">
        <v>0</v>
      </c>
      <c r="T394" s="8" t="b">
        <v>0</v>
      </c>
      <c r="U394" s="8" t="b">
        <v>1</v>
      </c>
      <c r="V394" s="8" t="b">
        <v>1</v>
      </c>
      <c r="X394" s="8" t="b">
        <v>0</v>
      </c>
      <c r="Y394" s="8" t="b">
        <v>0</v>
      </c>
      <c r="Z394" s="8" t="b">
        <v>0</v>
      </c>
      <c r="AA394" s="8" t="b">
        <v>0</v>
      </c>
      <c r="AB394" s="8" t="b">
        <v>0</v>
      </c>
      <c r="AC394" s="8" t="b">
        <v>0</v>
      </c>
      <c r="AD394" s="8" t="b">
        <v>1</v>
      </c>
      <c r="AE394" s="8" t="b">
        <v>0</v>
      </c>
      <c r="AG394" s="11" t="b" cm="1">
        <f t="array" ref="AG394">IF(OR(Y394:AA394="TRUE", AE394="true"), "Threatened")</f>
        <v>0</v>
      </c>
      <c r="AH394" s="11" t="s">
        <v>1241</v>
      </c>
      <c r="AI394" s="8" t="b">
        <v>1</v>
      </c>
    </row>
    <row r="395" spans="1:35" ht="31.2">
      <c r="A395" s="8">
        <v>-73.971988820000007</v>
      </c>
      <c r="B395" s="8">
        <v>40.766768169999999</v>
      </c>
      <c r="C395" s="8" t="s">
        <v>1242</v>
      </c>
      <c r="D395" s="8" t="s">
        <v>1243</v>
      </c>
      <c r="E395" s="8" t="b">
        <f t="shared" si="6"/>
        <v>0</v>
      </c>
      <c r="F395" s="8" t="str" cm="1">
        <f t="array" ref="F395">_xlfn._xlws.FILTER(E395:E3593, C395:C3593= "6D-PM-1020-01", "No Squirrels Found")</f>
        <v>No Squirrels Found</v>
      </c>
      <c r="G395" s="8" t="s">
        <v>34</v>
      </c>
      <c r="H395" s="10">
        <v>10072018</v>
      </c>
      <c r="I395" s="10">
        <v>3</v>
      </c>
      <c r="J395" s="8" t="s">
        <v>39</v>
      </c>
      <c r="K395" s="8" t="s">
        <v>40</v>
      </c>
      <c r="L395" s="8" t="s">
        <v>117</v>
      </c>
      <c r="M395" s="8" t="s">
        <v>118</v>
      </c>
      <c r="O395" s="8" t="s">
        <v>50</v>
      </c>
      <c r="P395" s="8">
        <v>3</v>
      </c>
      <c r="Q395" s="8" t="s">
        <v>1244</v>
      </c>
      <c r="R395" s="8" t="b">
        <v>0</v>
      </c>
      <c r="S395" s="8" t="b">
        <v>0</v>
      </c>
      <c r="T395" s="8" t="b">
        <v>0</v>
      </c>
      <c r="U395" s="8" t="b">
        <v>0</v>
      </c>
      <c r="V395" s="8" t="b">
        <v>0</v>
      </c>
      <c r="W395" s="11" t="s">
        <v>1245</v>
      </c>
      <c r="X395" s="8" t="b">
        <v>0</v>
      </c>
      <c r="Y395" s="8" t="b">
        <v>0</v>
      </c>
      <c r="Z395" s="8" t="b">
        <v>0</v>
      </c>
      <c r="AA395" s="8" t="b">
        <v>0</v>
      </c>
      <c r="AB395" s="8" t="b">
        <v>0</v>
      </c>
      <c r="AC395" s="8" t="b">
        <v>0</v>
      </c>
      <c r="AD395" s="8" t="b">
        <v>0</v>
      </c>
      <c r="AE395" s="8" t="b">
        <v>0</v>
      </c>
      <c r="AG395" s="11" t="b" cm="1">
        <f t="array" ref="AG395">IF(OR(Y395:AA395="TRUE", AE395="true"), "Threatened")</f>
        <v>0</v>
      </c>
      <c r="AH395" s="11" t="s">
        <v>1246</v>
      </c>
      <c r="AI395" s="8" t="b">
        <v>0</v>
      </c>
    </row>
    <row r="396" spans="1:35" ht="31.2">
      <c r="A396" s="8">
        <v>-73.956568630000007</v>
      </c>
      <c r="B396" s="8">
        <v>40.797592850000001</v>
      </c>
      <c r="C396" s="8" t="s">
        <v>1247</v>
      </c>
      <c r="D396" s="8" t="s">
        <v>1248</v>
      </c>
      <c r="E396" s="8" t="b">
        <f t="shared" si="6"/>
        <v>0</v>
      </c>
      <c r="F396" s="8" t="str" cm="1">
        <f t="array" ref="F396">_xlfn._xlws.FILTER(E396:E3594, C396:C3594= "6D-PM-1020-01", "No Squirrels Found")</f>
        <v>No Squirrels Found</v>
      </c>
      <c r="G396" s="8" t="s">
        <v>34</v>
      </c>
      <c r="H396" s="10">
        <v>10062018</v>
      </c>
      <c r="I396" s="10">
        <v>3</v>
      </c>
      <c r="J396" s="8" t="s">
        <v>39</v>
      </c>
      <c r="K396" s="8" t="s">
        <v>40</v>
      </c>
      <c r="M396" s="8" t="s">
        <v>55</v>
      </c>
      <c r="O396" s="8" t="s">
        <v>43</v>
      </c>
      <c r="P396" s="8" t="b">
        <v>0</v>
      </c>
      <c r="R396" s="8" t="b">
        <v>1</v>
      </c>
      <c r="S396" s="8" t="b">
        <v>0</v>
      </c>
      <c r="T396" s="8" t="b">
        <v>0</v>
      </c>
      <c r="U396" s="8" t="b">
        <v>0</v>
      </c>
      <c r="V396" s="8" t="b">
        <v>0</v>
      </c>
      <c r="X396" s="8" t="b">
        <v>0</v>
      </c>
      <c r="Y396" s="8" t="b">
        <v>0</v>
      </c>
      <c r="Z396" s="8" t="b">
        <v>0</v>
      </c>
      <c r="AA396" s="8" t="b">
        <v>0</v>
      </c>
      <c r="AB396" s="8" t="b">
        <v>0</v>
      </c>
      <c r="AC396" s="8" t="b">
        <v>0</v>
      </c>
      <c r="AD396" s="8" t="b">
        <v>0</v>
      </c>
      <c r="AE396" s="8" t="b">
        <v>0</v>
      </c>
      <c r="AG396" s="11" t="b" cm="1">
        <f t="array" ref="AG396">IF(OR(Y396:AA396="TRUE", AE396="true"), "Threatened")</f>
        <v>0</v>
      </c>
      <c r="AH396" s="11" t="s">
        <v>1249</v>
      </c>
      <c r="AI396" s="8" t="b">
        <v>1</v>
      </c>
    </row>
    <row r="397" spans="1:35" ht="31.2">
      <c r="A397" s="8">
        <v>-73.96692066</v>
      </c>
      <c r="B397" s="8">
        <v>40.774815570000001</v>
      </c>
      <c r="C397" s="8" t="s">
        <v>1250</v>
      </c>
      <c r="D397" s="8" t="s">
        <v>205</v>
      </c>
      <c r="E397" s="8" t="b">
        <f t="shared" si="6"/>
        <v>0</v>
      </c>
      <c r="F397" s="8" t="str" cm="1">
        <f t="array" ref="F397">_xlfn._xlws.FILTER(E397:E3595, C397:C3595= "6D-PM-1020-01", "No Squirrels Found")</f>
        <v>No Squirrels Found</v>
      </c>
      <c r="G397" s="8" t="s">
        <v>34</v>
      </c>
      <c r="H397" s="10">
        <v>10102018</v>
      </c>
      <c r="I397" s="10">
        <v>3</v>
      </c>
      <c r="J397" s="8" t="s">
        <v>39</v>
      </c>
      <c r="K397" s="8" t="s">
        <v>40</v>
      </c>
      <c r="M397" s="8" t="s">
        <v>55</v>
      </c>
      <c r="O397" s="8" t="s">
        <v>43</v>
      </c>
      <c r="P397" s="8" t="b">
        <v>0</v>
      </c>
      <c r="Q397" s="8" t="s">
        <v>1251</v>
      </c>
      <c r="R397" s="8" t="b">
        <v>0</v>
      </c>
      <c r="S397" s="8" t="b">
        <v>0</v>
      </c>
      <c r="T397" s="8" t="b">
        <v>0</v>
      </c>
      <c r="U397" s="8" t="b">
        <v>1</v>
      </c>
      <c r="V397" s="8" t="b">
        <v>0</v>
      </c>
      <c r="X397" s="8" t="b">
        <v>0</v>
      </c>
      <c r="Y397" s="8" t="b">
        <v>0</v>
      </c>
      <c r="Z397" s="8" t="b">
        <v>0</v>
      </c>
      <c r="AA397" s="8" t="b">
        <v>0</v>
      </c>
      <c r="AB397" s="8" t="b">
        <v>0</v>
      </c>
      <c r="AC397" s="8" t="b">
        <v>0</v>
      </c>
      <c r="AD397" s="8" t="b">
        <v>1</v>
      </c>
      <c r="AE397" s="8" t="b">
        <v>0</v>
      </c>
      <c r="AG397" s="11" t="b" cm="1">
        <f t="array" ref="AG397">IF(OR(Y397:AA397="TRUE", AE397="true"), "Threatened")</f>
        <v>0</v>
      </c>
      <c r="AH397" s="11" t="s">
        <v>1252</v>
      </c>
      <c r="AI397" s="8" t="b">
        <v>1</v>
      </c>
    </row>
    <row r="398" spans="1:35" ht="31.2">
      <c r="A398" s="8">
        <v>-73.969041700000005</v>
      </c>
      <c r="B398" s="8">
        <v>40.771661870000003</v>
      </c>
      <c r="C398" s="8" t="s">
        <v>1253</v>
      </c>
      <c r="D398" s="8" t="s">
        <v>1254</v>
      </c>
      <c r="E398" s="8" t="b">
        <f t="shared" si="6"/>
        <v>0</v>
      </c>
      <c r="F398" s="8" t="str" cm="1">
        <f t="array" ref="F398">_xlfn._xlws.FILTER(E398:E3596, C398:C3596= "6D-PM-1020-01", "No Squirrels Found")</f>
        <v>No Squirrels Found</v>
      </c>
      <c r="G398" s="8" t="s">
        <v>48</v>
      </c>
      <c r="H398" s="10">
        <v>10142018</v>
      </c>
      <c r="I398" s="10">
        <v>5</v>
      </c>
      <c r="K398" s="8" t="s">
        <v>41</v>
      </c>
      <c r="M398" s="8" t="s">
        <v>49</v>
      </c>
      <c r="O398" s="8" t="s">
        <v>43</v>
      </c>
      <c r="P398" s="8" t="b">
        <v>0</v>
      </c>
      <c r="R398" s="8" t="b">
        <v>0</v>
      </c>
      <c r="S398" s="8" t="b">
        <v>0</v>
      </c>
      <c r="T398" s="8" t="b">
        <v>0</v>
      </c>
      <c r="U398" s="8" t="b">
        <v>0</v>
      </c>
      <c r="V398" s="8" t="b">
        <v>1</v>
      </c>
      <c r="X398" s="8" t="b">
        <v>0</v>
      </c>
      <c r="Y398" s="8" t="b">
        <v>0</v>
      </c>
      <c r="Z398" s="8" t="b">
        <v>0</v>
      </c>
      <c r="AA398" s="8" t="b">
        <v>0</v>
      </c>
      <c r="AB398" s="8" t="b">
        <v>0</v>
      </c>
      <c r="AC398" s="8" t="b">
        <v>0</v>
      </c>
      <c r="AD398" s="8" t="b">
        <v>0</v>
      </c>
      <c r="AE398" s="8" t="b">
        <v>0</v>
      </c>
      <c r="AG398" s="11" t="b" cm="1">
        <f t="array" ref="AG398">IF(OR(Y398:AA398="TRUE", AE398="true"), "Threatened")</f>
        <v>0</v>
      </c>
      <c r="AH398" s="11" t="s">
        <v>1255</v>
      </c>
      <c r="AI398" s="8" t="b">
        <v>1</v>
      </c>
    </row>
    <row r="399" spans="1:35" ht="31.2">
      <c r="A399" s="8">
        <v>-73.968673789999997</v>
      </c>
      <c r="B399" s="8">
        <v>40.773971400000001</v>
      </c>
      <c r="C399" s="8" t="s">
        <v>1256</v>
      </c>
      <c r="D399" s="8" t="s">
        <v>991</v>
      </c>
      <c r="E399" s="8" t="b">
        <f t="shared" si="6"/>
        <v>0</v>
      </c>
      <c r="F399" s="8" t="str" cm="1">
        <f t="array" ref="F399">_xlfn._xlws.FILTER(E399:E3597, C399:C3597= "6D-PM-1020-01", "No Squirrels Found")</f>
        <v>No Squirrels Found</v>
      </c>
      <c r="G399" s="8" t="s">
        <v>34</v>
      </c>
      <c r="H399" s="10">
        <v>10072018</v>
      </c>
      <c r="I399" s="10">
        <v>6</v>
      </c>
      <c r="K399" s="8" t="s">
        <v>40</v>
      </c>
      <c r="L399" s="8" t="s">
        <v>41</v>
      </c>
      <c r="M399" s="8" t="s">
        <v>42</v>
      </c>
      <c r="R399" s="8" t="b">
        <v>0</v>
      </c>
      <c r="S399" s="8" t="b">
        <v>0</v>
      </c>
      <c r="T399" s="8" t="b">
        <v>0</v>
      </c>
      <c r="U399" s="8" t="b">
        <v>0</v>
      </c>
      <c r="V399" s="8" t="b">
        <v>1</v>
      </c>
      <c r="X399" s="8" t="b">
        <v>0</v>
      </c>
      <c r="Y399" s="8" t="b">
        <v>0</v>
      </c>
      <c r="Z399" s="8" t="b">
        <v>0</v>
      </c>
      <c r="AA399" s="8" t="b">
        <v>0</v>
      </c>
      <c r="AB399" s="8" t="b">
        <v>0</v>
      </c>
      <c r="AC399" s="8" t="b">
        <v>0</v>
      </c>
      <c r="AD399" s="8" t="b">
        <v>1</v>
      </c>
      <c r="AE399" s="8" t="b">
        <v>0</v>
      </c>
      <c r="AG399" s="11" t="b" cm="1">
        <f t="array" ref="AG399">IF(OR(Y399:AA399="TRUE", AE399="true"), "Threatened")</f>
        <v>0</v>
      </c>
      <c r="AH399" s="11" t="s">
        <v>1257</v>
      </c>
      <c r="AI399" s="8" t="b">
        <v>1</v>
      </c>
    </row>
    <row r="400" spans="1:35" ht="31.2">
      <c r="A400" s="8">
        <v>-73.976343319999998</v>
      </c>
      <c r="B400" s="8">
        <v>40.773847349999997</v>
      </c>
      <c r="C400" s="8" t="s">
        <v>1258</v>
      </c>
      <c r="D400" s="8" t="s">
        <v>802</v>
      </c>
      <c r="E400" s="8" t="b">
        <f t="shared" si="6"/>
        <v>0</v>
      </c>
      <c r="F400" s="8" t="str" cm="1">
        <f t="array" ref="F400">_xlfn._xlws.FILTER(E400:E3598, C400:C3598= "6D-PM-1020-01", "No Squirrels Found")</f>
        <v>No Squirrels Found</v>
      </c>
      <c r="G400" s="8" t="s">
        <v>34</v>
      </c>
      <c r="H400" s="10">
        <v>10132018</v>
      </c>
      <c r="I400" s="10">
        <v>10</v>
      </c>
      <c r="J400" s="8" t="s">
        <v>54</v>
      </c>
      <c r="K400" s="8" t="s">
        <v>41</v>
      </c>
      <c r="L400" s="8" t="s">
        <v>40</v>
      </c>
      <c r="M400" s="8" t="s">
        <v>110</v>
      </c>
      <c r="N400" s="11" t="s">
        <v>1259</v>
      </c>
      <c r="O400" s="8" t="s">
        <v>50</v>
      </c>
      <c r="P400" s="8">
        <v>12</v>
      </c>
      <c r="R400" s="8" t="b">
        <v>0</v>
      </c>
      <c r="S400" s="8" t="b">
        <v>0</v>
      </c>
      <c r="T400" s="8" t="b">
        <v>0</v>
      </c>
      <c r="U400" s="8" t="b">
        <v>1</v>
      </c>
      <c r="V400" s="8" t="b">
        <v>0</v>
      </c>
      <c r="X400" s="8" t="b">
        <v>0</v>
      </c>
      <c r="Y400" s="8" t="b">
        <v>0</v>
      </c>
      <c r="Z400" s="8" t="b">
        <v>0</v>
      </c>
      <c r="AA400" s="8" t="b">
        <v>0</v>
      </c>
      <c r="AB400" s="8" t="b">
        <v>0</v>
      </c>
      <c r="AC400" s="8" t="b">
        <v>0</v>
      </c>
      <c r="AD400" s="8" t="b">
        <v>1</v>
      </c>
      <c r="AE400" s="8" t="b">
        <v>0</v>
      </c>
      <c r="AG400" s="11" t="b" cm="1">
        <f t="array" ref="AG400">IF(OR(Y400:AA400="TRUE", AE400="true"), "Threatened")</f>
        <v>0</v>
      </c>
      <c r="AH400" s="11" t="s">
        <v>1260</v>
      </c>
      <c r="AI400" s="8" t="b">
        <v>1</v>
      </c>
    </row>
    <row r="401" spans="1:35" ht="31.2">
      <c r="A401" s="8">
        <v>-73.959050230000003</v>
      </c>
      <c r="B401" s="8">
        <v>40.794290359999998</v>
      </c>
      <c r="C401" s="8" t="s">
        <v>1261</v>
      </c>
      <c r="D401" s="8" t="s">
        <v>1262</v>
      </c>
      <c r="E401" s="8" t="b">
        <f t="shared" si="6"/>
        <v>0</v>
      </c>
      <c r="F401" s="8" t="str" cm="1">
        <f t="array" ref="F401">_xlfn._xlws.FILTER(E401:E3599, C401:C3599= "6D-PM-1020-01", "No Squirrels Found")</f>
        <v>No Squirrels Found</v>
      </c>
      <c r="G401" s="8" t="s">
        <v>34</v>
      </c>
      <c r="H401" s="10">
        <v>10132018</v>
      </c>
      <c r="I401" s="10">
        <v>6</v>
      </c>
      <c r="J401" s="8" t="s">
        <v>39</v>
      </c>
      <c r="K401" s="8" t="s">
        <v>40</v>
      </c>
      <c r="M401" s="8" t="s">
        <v>55</v>
      </c>
      <c r="O401" s="8" t="s">
        <v>43</v>
      </c>
      <c r="P401" s="8" t="b">
        <v>0</v>
      </c>
      <c r="Q401" s="8" t="s">
        <v>1263</v>
      </c>
      <c r="R401" s="8" t="b">
        <v>1</v>
      </c>
      <c r="S401" s="8" t="b">
        <v>0</v>
      </c>
      <c r="T401" s="8" t="b">
        <v>0</v>
      </c>
      <c r="U401" s="8" t="b">
        <v>0</v>
      </c>
      <c r="V401" s="8" t="b">
        <v>1</v>
      </c>
      <c r="W401" s="11" t="s">
        <v>1264</v>
      </c>
      <c r="X401" s="8" t="b">
        <v>0</v>
      </c>
      <c r="Y401" s="8" t="b">
        <v>0</v>
      </c>
      <c r="Z401" s="8" t="b">
        <v>0</v>
      </c>
      <c r="AA401" s="8" t="b">
        <v>0</v>
      </c>
      <c r="AB401" s="8" t="b">
        <v>0</v>
      </c>
      <c r="AC401" s="8" t="b">
        <v>0</v>
      </c>
      <c r="AD401" s="8" t="b">
        <v>0</v>
      </c>
      <c r="AE401" s="8" t="b">
        <v>0</v>
      </c>
      <c r="AG401" s="11" t="b" cm="1">
        <f t="array" ref="AG401">IF(OR(Y401:AA401="TRUE", AE401="true"), "Threatened")</f>
        <v>0</v>
      </c>
      <c r="AH401" s="11" t="s">
        <v>1265</v>
      </c>
      <c r="AI401" s="8" t="b">
        <v>0</v>
      </c>
    </row>
    <row r="402" spans="1:35" ht="31.2">
      <c r="A402" s="8">
        <v>-73.965862099999995</v>
      </c>
      <c r="B402" s="8">
        <v>40.782592690000001</v>
      </c>
      <c r="C402" s="8" t="s">
        <v>1266</v>
      </c>
      <c r="D402" s="8" t="s">
        <v>748</v>
      </c>
      <c r="E402" s="8" t="b">
        <f t="shared" si="6"/>
        <v>0</v>
      </c>
      <c r="F402" s="8" t="str" cm="1">
        <f t="array" ref="F402">_xlfn._xlws.FILTER(E402:E3600, C402:C3600= "6D-PM-1020-01", "No Squirrels Found")</f>
        <v>No Squirrels Found</v>
      </c>
      <c r="G402" s="8" t="s">
        <v>34</v>
      </c>
      <c r="H402" s="10">
        <v>10122018</v>
      </c>
      <c r="I402" s="10">
        <v>1</v>
      </c>
      <c r="J402" s="8" t="s">
        <v>39</v>
      </c>
      <c r="K402" s="8" t="s">
        <v>40</v>
      </c>
      <c r="L402" s="8" t="s">
        <v>749</v>
      </c>
      <c r="M402" s="8" t="s">
        <v>750</v>
      </c>
      <c r="O402" s="8" t="s">
        <v>50</v>
      </c>
      <c r="P402" s="8">
        <v>5</v>
      </c>
      <c r="R402" s="8" t="b">
        <v>0</v>
      </c>
      <c r="S402" s="8" t="b">
        <v>0</v>
      </c>
      <c r="T402" s="8" t="b">
        <v>1</v>
      </c>
      <c r="U402" s="8" t="b">
        <v>0</v>
      </c>
      <c r="V402" s="8" t="b">
        <v>0</v>
      </c>
      <c r="X402" s="8" t="b">
        <v>1</v>
      </c>
      <c r="Y402" s="8" t="b">
        <v>0</v>
      </c>
      <c r="Z402" s="8" t="b">
        <v>0</v>
      </c>
      <c r="AA402" s="8" t="b">
        <v>0</v>
      </c>
      <c r="AB402" s="8" t="b">
        <v>0</v>
      </c>
      <c r="AC402" s="8" t="b">
        <v>0</v>
      </c>
      <c r="AD402" s="8" t="b">
        <v>0</v>
      </c>
      <c r="AE402" s="8" t="b">
        <v>0</v>
      </c>
      <c r="AF402" s="11" t="s">
        <v>1267</v>
      </c>
      <c r="AG402" s="11" t="b" cm="1">
        <f t="array" ref="AG402">IF(OR(Y402:AA402="TRUE", AE402="true"), "Threatened")</f>
        <v>0</v>
      </c>
      <c r="AH402" s="11" t="s">
        <v>1268</v>
      </c>
      <c r="AI402" s="8" t="b">
        <v>1</v>
      </c>
    </row>
    <row r="403" spans="1:35" ht="31.2">
      <c r="A403" s="8">
        <v>-73.968191739999995</v>
      </c>
      <c r="B403" s="8">
        <v>40.772329880000001</v>
      </c>
      <c r="C403" s="8" t="s">
        <v>1269</v>
      </c>
      <c r="D403" s="8" t="s">
        <v>1270</v>
      </c>
      <c r="E403" s="8" t="b">
        <f t="shared" si="6"/>
        <v>0</v>
      </c>
      <c r="F403" s="8" t="str" cm="1">
        <f t="array" ref="F403">_xlfn._xlws.FILTER(E403:E3601, C403:C3601= "6D-PM-1020-01", "No Squirrels Found")</f>
        <v>No Squirrels Found</v>
      </c>
      <c r="G403" s="8" t="s">
        <v>34</v>
      </c>
      <c r="H403" s="10">
        <v>10122018</v>
      </c>
      <c r="I403" s="10">
        <v>3</v>
      </c>
      <c r="J403" s="8" t="s">
        <v>39</v>
      </c>
      <c r="K403" s="8" t="s">
        <v>40</v>
      </c>
      <c r="M403" s="8" t="s">
        <v>55</v>
      </c>
      <c r="O403" s="8" t="s">
        <v>43</v>
      </c>
      <c r="P403" s="8" t="b">
        <v>0</v>
      </c>
      <c r="R403" s="8" t="b">
        <v>1</v>
      </c>
      <c r="S403" s="8" t="b">
        <v>0</v>
      </c>
      <c r="T403" s="8" t="b">
        <v>1</v>
      </c>
      <c r="U403" s="8" t="b">
        <v>0</v>
      </c>
      <c r="V403" s="8" t="b">
        <v>1</v>
      </c>
      <c r="X403" s="8" t="b">
        <v>0</v>
      </c>
      <c r="Y403" s="8" t="b">
        <v>0</v>
      </c>
      <c r="Z403" s="8" t="b">
        <v>0</v>
      </c>
      <c r="AA403" s="8" t="b">
        <v>0</v>
      </c>
      <c r="AB403" s="8" t="b">
        <v>0</v>
      </c>
      <c r="AC403" s="8" t="b">
        <v>0</v>
      </c>
      <c r="AD403" s="8" t="b">
        <v>0</v>
      </c>
      <c r="AE403" s="8" t="b">
        <v>1</v>
      </c>
      <c r="AF403" s="11" t="s">
        <v>1271</v>
      </c>
      <c r="AG403" s="11" t="b" cm="1">
        <f t="array" ref="AG403">IF(OR(Y403:AA403="TRUE", AE403="true"), "Threatened")</f>
        <v>0</v>
      </c>
      <c r="AH403" s="11" t="s">
        <v>1272</v>
      </c>
      <c r="AI403" s="8" t="b">
        <v>1</v>
      </c>
    </row>
    <row r="404" spans="1:35" ht="31.2">
      <c r="A404" s="8">
        <v>-73.959747070000006</v>
      </c>
      <c r="B404" s="8">
        <v>40.797321590000003</v>
      </c>
      <c r="C404" s="8" t="s">
        <v>1273</v>
      </c>
      <c r="D404" s="8" t="s">
        <v>689</v>
      </c>
      <c r="E404" s="8" t="b">
        <f t="shared" si="6"/>
        <v>0</v>
      </c>
      <c r="F404" s="8" t="str" cm="1">
        <f t="array" ref="F404">_xlfn._xlws.FILTER(E404:E3602, C404:C3602= "6D-PM-1020-01", "No Squirrels Found")</f>
        <v>No Squirrels Found</v>
      </c>
      <c r="G404" s="8" t="s">
        <v>34</v>
      </c>
      <c r="H404" s="10">
        <v>10132018</v>
      </c>
      <c r="I404" s="10">
        <v>1</v>
      </c>
      <c r="J404" s="8" t="s">
        <v>39</v>
      </c>
      <c r="K404" s="8" t="s">
        <v>40</v>
      </c>
      <c r="L404" s="8" t="s">
        <v>41</v>
      </c>
      <c r="M404" s="8" t="s">
        <v>42</v>
      </c>
      <c r="O404" s="8" t="s">
        <v>43</v>
      </c>
      <c r="P404" s="8" t="b">
        <v>0</v>
      </c>
      <c r="R404" s="8" t="b">
        <v>1</v>
      </c>
      <c r="S404" s="8" t="b">
        <v>0</v>
      </c>
      <c r="T404" s="8" t="b">
        <v>0</v>
      </c>
      <c r="U404" s="8" t="b">
        <v>0</v>
      </c>
      <c r="V404" s="8" t="b">
        <v>1</v>
      </c>
      <c r="X404" s="8" t="b">
        <v>0</v>
      </c>
      <c r="Y404" s="8" t="b">
        <v>0</v>
      </c>
      <c r="Z404" s="8" t="b">
        <v>0</v>
      </c>
      <c r="AA404" s="8" t="b">
        <v>0</v>
      </c>
      <c r="AB404" s="8" t="b">
        <v>1</v>
      </c>
      <c r="AC404" s="8" t="b">
        <v>0</v>
      </c>
      <c r="AD404" s="8" t="b">
        <v>0</v>
      </c>
      <c r="AE404" s="8" t="b">
        <v>1</v>
      </c>
      <c r="AG404" s="11" t="b" cm="1">
        <f t="array" ref="AG404">IF(OR(Y404:AA404="TRUE", AE404="true"), "Threatened")</f>
        <v>0</v>
      </c>
      <c r="AH404" s="11" t="s">
        <v>1274</v>
      </c>
      <c r="AI404" s="8" t="b">
        <v>1</v>
      </c>
    </row>
    <row r="405" spans="1:35" ht="31.2">
      <c r="A405" s="8">
        <v>-73.968077449999996</v>
      </c>
      <c r="B405" s="8">
        <v>40.776249190000001</v>
      </c>
      <c r="C405" s="8" t="s">
        <v>1275</v>
      </c>
      <c r="D405" s="8" t="s">
        <v>239</v>
      </c>
      <c r="E405" s="8" t="b">
        <f t="shared" si="6"/>
        <v>0</v>
      </c>
      <c r="F405" s="8" t="str" cm="1">
        <f t="array" ref="F405">_xlfn._xlws.FILTER(E405:E3603, C405:C3603= "6D-PM-1020-01", "No Squirrels Found")</f>
        <v>No Squirrels Found</v>
      </c>
      <c r="G405" s="8" t="s">
        <v>34</v>
      </c>
      <c r="H405" s="10">
        <v>10122018</v>
      </c>
      <c r="I405" s="10">
        <v>1</v>
      </c>
      <c r="J405" s="8" t="s">
        <v>39</v>
      </c>
      <c r="K405" s="8" t="s">
        <v>40</v>
      </c>
      <c r="L405" s="8" t="s">
        <v>41</v>
      </c>
      <c r="M405" s="8" t="s">
        <v>42</v>
      </c>
      <c r="O405" s="8" t="s">
        <v>43</v>
      </c>
      <c r="P405" s="8" t="b">
        <v>0</v>
      </c>
      <c r="R405" s="8" t="b">
        <v>1</v>
      </c>
      <c r="S405" s="8" t="b">
        <v>0</v>
      </c>
      <c r="T405" s="8" t="b">
        <v>0</v>
      </c>
      <c r="U405" s="8" t="b">
        <v>1</v>
      </c>
      <c r="V405" s="8" t="b">
        <v>1</v>
      </c>
      <c r="X405" s="8" t="b">
        <v>0</v>
      </c>
      <c r="Y405" s="8" t="b">
        <v>0</v>
      </c>
      <c r="Z405" s="8" t="b">
        <v>0</v>
      </c>
      <c r="AA405" s="8" t="b">
        <v>0</v>
      </c>
      <c r="AB405" s="8" t="b">
        <v>0</v>
      </c>
      <c r="AC405" s="8" t="b">
        <v>0</v>
      </c>
      <c r="AD405" s="8" t="b">
        <v>1</v>
      </c>
      <c r="AE405" s="8" t="b">
        <v>0</v>
      </c>
      <c r="AG405" s="11" t="b" cm="1">
        <f t="array" ref="AG405">IF(OR(Y405:AA405="TRUE", AE405="true"), "Threatened")</f>
        <v>0</v>
      </c>
      <c r="AH405" s="11" t="s">
        <v>1276</v>
      </c>
      <c r="AI405" s="8" t="b">
        <v>1</v>
      </c>
    </row>
    <row r="406" spans="1:35" ht="31.2">
      <c r="A406" s="8">
        <v>-73.978660309999995</v>
      </c>
      <c r="B406" s="8">
        <v>40.767193779999999</v>
      </c>
      <c r="C406" s="8" t="s">
        <v>1277</v>
      </c>
      <c r="D406" s="8" t="s">
        <v>1278</v>
      </c>
      <c r="E406" s="8" t="b">
        <f t="shared" si="6"/>
        <v>0</v>
      </c>
      <c r="F406" s="8" t="str" cm="1">
        <f t="array" ref="F406">_xlfn._xlws.FILTER(E406:E3604, C406:C3604= "6D-PM-1020-01", "No Squirrels Found")</f>
        <v>No Squirrels Found</v>
      </c>
      <c r="G406" s="8" t="s">
        <v>48</v>
      </c>
      <c r="H406" s="10">
        <v>10062018</v>
      </c>
      <c r="I406" s="10">
        <v>9</v>
      </c>
      <c r="J406" s="8" t="s">
        <v>39</v>
      </c>
      <c r="K406" s="8" t="s">
        <v>41</v>
      </c>
      <c r="L406" s="8" t="s">
        <v>84</v>
      </c>
      <c r="M406" s="8" t="s">
        <v>85</v>
      </c>
      <c r="O406" s="8" t="s">
        <v>43</v>
      </c>
      <c r="P406" s="8" t="b">
        <v>0</v>
      </c>
      <c r="R406" s="8" t="b">
        <v>1</v>
      </c>
      <c r="S406" s="8" t="b">
        <v>0</v>
      </c>
      <c r="T406" s="8" t="b">
        <v>0</v>
      </c>
      <c r="U406" s="8" t="b">
        <v>0</v>
      </c>
      <c r="V406" s="8" t="b">
        <v>1</v>
      </c>
      <c r="X406" s="8" t="b">
        <v>0</v>
      </c>
      <c r="Y406" s="8" t="b">
        <v>0</v>
      </c>
      <c r="Z406" s="8" t="b">
        <v>0</v>
      </c>
      <c r="AA406" s="8" t="b">
        <v>0</v>
      </c>
      <c r="AB406" s="8" t="b">
        <v>1</v>
      </c>
      <c r="AC406" s="8" t="b">
        <v>0</v>
      </c>
      <c r="AD406" s="8" t="b">
        <v>1</v>
      </c>
      <c r="AE406" s="8" t="b">
        <v>0</v>
      </c>
      <c r="AG406" s="11" t="b" cm="1">
        <f t="array" ref="AG406">IF(OR(Y406:AA406="TRUE", AE406="true"), "Threatened")</f>
        <v>0</v>
      </c>
      <c r="AH406" s="11" t="s">
        <v>1279</v>
      </c>
      <c r="AI406" s="8" t="b">
        <v>1</v>
      </c>
    </row>
    <row r="407" spans="1:35" ht="31.2">
      <c r="A407" s="8">
        <v>-73.9766355</v>
      </c>
      <c r="B407" s="8">
        <v>40.773457520000001</v>
      </c>
      <c r="C407" s="8" t="s">
        <v>1280</v>
      </c>
      <c r="D407" s="8" t="s">
        <v>249</v>
      </c>
      <c r="E407" s="8" t="b">
        <f t="shared" si="6"/>
        <v>0</v>
      </c>
      <c r="F407" s="8" t="str" cm="1">
        <f t="array" ref="F407">_xlfn._xlws.FILTER(E407:E3605, C407:C3605= "6D-PM-1020-01", "No Squirrels Found")</f>
        <v>No Squirrels Found</v>
      </c>
      <c r="G407" s="8" t="s">
        <v>48</v>
      </c>
      <c r="H407" s="10">
        <v>10072018</v>
      </c>
      <c r="I407" s="10">
        <v>9</v>
      </c>
      <c r="J407" s="8" t="s">
        <v>39</v>
      </c>
      <c r="K407" s="8" t="s">
        <v>40</v>
      </c>
      <c r="M407" s="8" t="s">
        <v>55</v>
      </c>
      <c r="O407" s="8" t="s">
        <v>43</v>
      </c>
      <c r="P407" s="8" t="b">
        <v>0</v>
      </c>
      <c r="R407" s="8" t="b">
        <v>1</v>
      </c>
      <c r="S407" s="8" t="b">
        <v>0</v>
      </c>
      <c r="T407" s="8" t="b">
        <v>0</v>
      </c>
      <c r="U407" s="8" t="b">
        <v>1</v>
      </c>
      <c r="V407" s="8" t="b">
        <v>0</v>
      </c>
      <c r="W407" s="11" t="s">
        <v>1281</v>
      </c>
      <c r="X407" s="8" t="b">
        <v>0</v>
      </c>
      <c r="Y407" s="8" t="b">
        <v>0</v>
      </c>
      <c r="Z407" s="8" t="b">
        <v>0</v>
      </c>
      <c r="AA407" s="8" t="b">
        <v>0</v>
      </c>
      <c r="AB407" s="8" t="b">
        <v>0</v>
      </c>
      <c r="AC407" s="8" t="b">
        <v>0</v>
      </c>
      <c r="AD407" s="8" t="b">
        <v>1</v>
      </c>
      <c r="AE407" s="8" t="b">
        <v>0</v>
      </c>
      <c r="AG407" s="11" t="b" cm="1">
        <f t="array" ref="AG407">IF(OR(Y407:AA407="TRUE", AE407="true"), "Threatened")</f>
        <v>0</v>
      </c>
      <c r="AH407" s="11" t="s">
        <v>1282</v>
      </c>
      <c r="AI407" s="8" t="b">
        <v>0</v>
      </c>
    </row>
    <row r="408" spans="1:35" ht="31.2">
      <c r="A408" s="8">
        <v>-73.978765839999994</v>
      </c>
      <c r="B408" s="8">
        <v>40.768941980000001</v>
      </c>
      <c r="C408" s="8" t="s">
        <v>1283</v>
      </c>
      <c r="D408" s="8" t="s">
        <v>465</v>
      </c>
      <c r="E408" s="8" t="b">
        <f t="shared" si="6"/>
        <v>0</v>
      </c>
      <c r="F408" s="8" t="str" cm="1">
        <f t="array" ref="F408">_xlfn._xlws.FILTER(E408:E3606, C408:C3606= "6D-PM-1020-01", "No Squirrels Found")</f>
        <v>No Squirrels Found</v>
      </c>
      <c r="G408" s="8" t="s">
        <v>34</v>
      </c>
      <c r="H408" s="10">
        <v>10072018</v>
      </c>
      <c r="I408" s="10">
        <v>7</v>
      </c>
      <c r="J408" s="8" t="s">
        <v>39</v>
      </c>
      <c r="K408" s="8" t="s">
        <v>40</v>
      </c>
      <c r="L408" s="8" t="s">
        <v>84</v>
      </c>
      <c r="M408" s="8" t="s">
        <v>103</v>
      </c>
      <c r="O408" s="8" t="s">
        <v>43</v>
      </c>
      <c r="P408" s="8" t="b">
        <v>0</v>
      </c>
      <c r="R408" s="8" t="b">
        <v>0</v>
      </c>
      <c r="S408" s="8" t="b">
        <v>0</v>
      </c>
      <c r="T408" s="8" t="b">
        <v>0</v>
      </c>
      <c r="U408" s="8" t="b">
        <v>1</v>
      </c>
      <c r="V408" s="8" t="b">
        <v>0</v>
      </c>
      <c r="W408" s="11" t="s">
        <v>1284</v>
      </c>
      <c r="X408" s="8" t="b">
        <v>0</v>
      </c>
      <c r="Y408" s="8" t="b">
        <v>0</v>
      </c>
      <c r="Z408" s="8" t="b">
        <v>0</v>
      </c>
      <c r="AA408" s="8" t="b">
        <v>0</v>
      </c>
      <c r="AB408" s="8" t="b">
        <v>0</v>
      </c>
      <c r="AC408" s="8" t="b">
        <v>0</v>
      </c>
      <c r="AD408" s="8" t="b">
        <v>1</v>
      </c>
      <c r="AE408" s="8" t="b">
        <v>0</v>
      </c>
      <c r="AG408" s="11" t="b" cm="1">
        <f t="array" ref="AG408">IF(OR(Y408:AA408="TRUE", AE408="true"), "Threatened")</f>
        <v>0</v>
      </c>
      <c r="AH408" s="11" t="s">
        <v>1285</v>
      </c>
      <c r="AI408" s="8" t="b">
        <v>0</v>
      </c>
    </row>
    <row r="409" spans="1:35" ht="31.2">
      <c r="A409" s="8">
        <v>-73.963376019999998</v>
      </c>
      <c r="B409" s="8">
        <v>40.781842240000003</v>
      </c>
      <c r="C409" s="8" t="s">
        <v>1286</v>
      </c>
      <c r="D409" s="8" t="s">
        <v>1287</v>
      </c>
      <c r="E409" s="8" t="b">
        <f t="shared" si="6"/>
        <v>0</v>
      </c>
      <c r="F409" s="8" t="str" cm="1">
        <f t="array" ref="F409">_xlfn._xlws.FILTER(E409:E3607, C409:C3607= "6D-PM-1020-01", "No Squirrels Found")</f>
        <v>No Squirrels Found</v>
      </c>
      <c r="G409" s="8" t="s">
        <v>34</v>
      </c>
      <c r="H409" s="10">
        <v>10182018</v>
      </c>
      <c r="I409" s="10">
        <v>3</v>
      </c>
      <c r="J409" s="8" t="s">
        <v>54</v>
      </c>
      <c r="K409" s="8" t="s">
        <v>40</v>
      </c>
      <c r="L409" s="8" t="s">
        <v>41</v>
      </c>
      <c r="M409" s="8" t="s">
        <v>42</v>
      </c>
      <c r="O409" s="8" t="s">
        <v>43</v>
      </c>
      <c r="P409" s="8" t="b">
        <v>0</v>
      </c>
      <c r="R409" s="8" t="b">
        <v>1</v>
      </c>
      <c r="S409" s="8" t="b">
        <v>0</v>
      </c>
      <c r="T409" s="8" t="b">
        <v>0</v>
      </c>
      <c r="U409" s="8" t="b">
        <v>0</v>
      </c>
      <c r="V409" s="8" t="b">
        <v>0</v>
      </c>
      <c r="W409" s="11" t="s">
        <v>1288</v>
      </c>
      <c r="X409" s="8" t="b">
        <v>0</v>
      </c>
      <c r="Y409" s="8" t="b">
        <v>0</v>
      </c>
      <c r="Z409" s="8" t="b">
        <v>0</v>
      </c>
      <c r="AA409" s="8" t="b">
        <v>0</v>
      </c>
      <c r="AB409" s="8" t="b">
        <v>0</v>
      </c>
      <c r="AC409" s="8" t="b">
        <v>0</v>
      </c>
      <c r="AD409" s="8" t="b">
        <v>1</v>
      </c>
      <c r="AE409" s="8" t="b">
        <v>0</v>
      </c>
      <c r="AF409" s="11" t="s">
        <v>1289</v>
      </c>
      <c r="AG409" s="11" t="b" cm="1">
        <f t="array" ref="AG409">IF(OR(Y409:AA409="TRUE", AE409="true"), "Threatened")</f>
        <v>0</v>
      </c>
      <c r="AH409" s="11" t="s">
        <v>1290</v>
      </c>
      <c r="AI409" s="8" t="b">
        <v>0</v>
      </c>
    </row>
    <row r="410" spans="1:35" ht="31.2">
      <c r="A410" s="8">
        <v>-73.953080970000002</v>
      </c>
      <c r="B410" s="8">
        <v>40.795917629999998</v>
      </c>
      <c r="C410" s="8" t="s">
        <v>1291</v>
      </c>
      <c r="D410" s="8" t="s">
        <v>1292</v>
      </c>
      <c r="E410" s="8" t="b">
        <f t="shared" si="6"/>
        <v>0</v>
      </c>
      <c r="F410" s="8" t="str" cm="1">
        <f t="array" ref="F410">_xlfn._xlws.FILTER(E410:E3608, C410:C3608= "6D-PM-1020-01", "No Squirrels Found")</f>
        <v>No Squirrels Found</v>
      </c>
      <c r="G410" s="8" t="s">
        <v>34</v>
      </c>
      <c r="H410" s="10">
        <v>10132018</v>
      </c>
      <c r="I410" s="10">
        <v>2</v>
      </c>
      <c r="J410" s="8" t="s">
        <v>39</v>
      </c>
      <c r="K410" s="8" t="s">
        <v>40</v>
      </c>
      <c r="M410" s="8" t="s">
        <v>55</v>
      </c>
      <c r="O410" s="8" t="s">
        <v>43</v>
      </c>
      <c r="P410" s="8" t="b">
        <v>0</v>
      </c>
      <c r="R410" s="8" t="b">
        <v>1</v>
      </c>
      <c r="S410" s="8" t="b">
        <v>0</v>
      </c>
      <c r="T410" s="8" t="b">
        <v>0</v>
      </c>
      <c r="U410" s="8" t="b">
        <v>1</v>
      </c>
      <c r="V410" s="8" t="b">
        <v>0</v>
      </c>
      <c r="W410" s="11" t="s">
        <v>1293</v>
      </c>
      <c r="X410" s="8" t="b">
        <v>0</v>
      </c>
      <c r="Y410" s="8" t="b">
        <v>0</v>
      </c>
      <c r="Z410" s="8" t="b">
        <v>0</v>
      </c>
      <c r="AA410" s="8" t="b">
        <v>0</v>
      </c>
      <c r="AB410" s="8" t="b">
        <v>0</v>
      </c>
      <c r="AC410" s="8" t="b">
        <v>0</v>
      </c>
      <c r="AD410" s="8" t="b">
        <v>0</v>
      </c>
      <c r="AE410" s="8" t="b">
        <v>1</v>
      </c>
      <c r="AF410" s="11" t="s">
        <v>1294</v>
      </c>
      <c r="AG410" s="11" t="b" cm="1">
        <f t="array" ref="AG410">IF(OR(Y410:AA410="TRUE", AE410="true"), "Threatened")</f>
        <v>0</v>
      </c>
      <c r="AH410" s="11" t="s">
        <v>1295</v>
      </c>
      <c r="AI410" s="8" t="b">
        <v>0</v>
      </c>
    </row>
    <row r="411" spans="1:35" ht="31.2">
      <c r="A411" s="8">
        <v>-73.958402489999997</v>
      </c>
      <c r="B411" s="8">
        <v>40.785149169999997</v>
      </c>
      <c r="C411" s="8" t="s">
        <v>1296</v>
      </c>
      <c r="D411" s="8" t="s">
        <v>1086</v>
      </c>
      <c r="E411" s="8" t="b">
        <f t="shared" si="6"/>
        <v>0</v>
      </c>
      <c r="F411" s="8" t="str" cm="1">
        <f t="array" ref="F411">_xlfn._xlws.FILTER(E411:E3609, C411:C3609= "6D-PM-1020-01", "No Squirrels Found")</f>
        <v>No Squirrels Found</v>
      </c>
      <c r="G411" s="8" t="s">
        <v>34</v>
      </c>
      <c r="H411" s="10">
        <v>10202018</v>
      </c>
      <c r="I411" s="10">
        <v>1</v>
      </c>
      <c r="J411" s="8" t="s">
        <v>39</v>
      </c>
      <c r="K411" s="8" t="s">
        <v>40</v>
      </c>
      <c r="L411" s="8" t="s">
        <v>84</v>
      </c>
      <c r="M411" s="8" t="s">
        <v>103</v>
      </c>
      <c r="O411" s="8" t="s">
        <v>43</v>
      </c>
      <c r="P411" s="8" t="b">
        <v>0</v>
      </c>
      <c r="R411" s="8" t="b">
        <v>0</v>
      </c>
      <c r="S411" s="8" t="b">
        <v>0</v>
      </c>
      <c r="T411" s="8" t="b">
        <v>0</v>
      </c>
      <c r="U411" s="8" t="b">
        <v>0</v>
      </c>
      <c r="V411" s="8" t="b">
        <v>1</v>
      </c>
      <c r="X411" s="8" t="b">
        <v>0</v>
      </c>
      <c r="Y411" s="8" t="b">
        <v>0</v>
      </c>
      <c r="Z411" s="8" t="b">
        <v>0</v>
      </c>
      <c r="AA411" s="8" t="b">
        <v>0</v>
      </c>
      <c r="AB411" s="8" t="b">
        <v>0</v>
      </c>
      <c r="AC411" s="8" t="b">
        <v>0</v>
      </c>
      <c r="AD411" s="8" t="b">
        <v>1</v>
      </c>
      <c r="AE411" s="8" t="b">
        <v>1</v>
      </c>
      <c r="AF411" s="11" t="s">
        <v>1088</v>
      </c>
      <c r="AG411" s="11" t="b" cm="1">
        <f t="array" ref="AG411">IF(OR(Y411:AA411="TRUE", AE411="true"), "Threatened")</f>
        <v>0</v>
      </c>
      <c r="AH411" s="11" t="s">
        <v>1297</v>
      </c>
      <c r="AI411" s="8" t="b">
        <v>1</v>
      </c>
    </row>
    <row r="412" spans="1:35" ht="31.2">
      <c r="A412" s="8">
        <v>-73.96693664</v>
      </c>
      <c r="B412" s="8">
        <v>40.783602389999999</v>
      </c>
      <c r="C412" s="8" t="s">
        <v>1298</v>
      </c>
      <c r="D412" s="8" t="s">
        <v>698</v>
      </c>
      <c r="E412" s="8" t="b">
        <f t="shared" si="6"/>
        <v>0</v>
      </c>
      <c r="F412" s="8" t="str" cm="1">
        <f t="array" ref="F412">_xlfn._xlws.FILTER(E412:E3610, C412:C3610= "6D-PM-1020-01", "No Squirrels Found")</f>
        <v>No Squirrels Found</v>
      </c>
      <c r="G412" s="8" t="s">
        <v>34</v>
      </c>
      <c r="H412" s="10">
        <v>10062018</v>
      </c>
      <c r="I412" s="10">
        <v>9</v>
      </c>
      <c r="J412" s="8" t="s">
        <v>39</v>
      </c>
      <c r="K412" s="8" t="s">
        <v>40</v>
      </c>
      <c r="M412" s="8" t="s">
        <v>55</v>
      </c>
      <c r="O412" s="8" t="s">
        <v>43</v>
      </c>
      <c r="P412" s="8" t="b">
        <v>0</v>
      </c>
      <c r="R412" s="8" t="b">
        <v>1</v>
      </c>
      <c r="S412" s="8" t="b">
        <v>0</v>
      </c>
      <c r="T412" s="8" t="b">
        <v>0</v>
      </c>
      <c r="U412" s="8" t="b">
        <v>0</v>
      </c>
      <c r="V412" s="8" t="b">
        <v>0</v>
      </c>
      <c r="X412" s="8" t="b">
        <v>0</v>
      </c>
      <c r="Y412" s="8" t="b">
        <v>1</v>
      </c>
      <c r="Z412" s="8" t="b">
        <v>0</v>
      </c>
      <c r="AA412" s="8" t="b">
        <v>0</v>
      </c>
      <c r="AB412" s="8" t="b">
        <v>0</v>
      </c>
      <c r="AC412" s="8" t="b">
        <v>0</v>
      </c>
      <c r="AD412" s="8" t="b">
        <v>0</v>
      </c>
      <c r="AE412" s="8" t="b">
        <v>0</v>
      </c>
      <c r="AG412" s="11" t="b" cm="1">
        <f t="array" ref="AG412">IF(OR(Y412:AA412="TRUE", AE412="true"), "Threatened")</f>
        <v>0</v>
      </c>
      <c r="AH412" s="11" t="s">
        <v>1299</v>
      </c>
      <c r="AI412" s="8" t="b">
        <v>1</v>
      </c>
    </row>
    <row r="413" spans="1:35" ht="31.2">
      <c r="A413" s="8">
        <v>-73.978567580000004</v>
      </c>
      <c r="B413" s="8">
        <v>40.76729924</v>
      </c>
      <c r="C413" s="8" t="s">
        <v>1300</v>
      </c>
      <c r="D413" s="8" t="s">
        <v>1301</v>
      </c>
      <c r="E413" s="8" t="b">
        <f t="shared" si="6"/>
        <v>0</v>
      </c>
      <c r="F413" s="8" t="str" cm="1">
        <f t="array" ref="F413">_xlfn._xlws.FILTER(E413:E3611, C413:C3611= "6D-PM-1020-01", "No Squirrels Found")</f>
        <v>No Squirrels Found</v>
      </c>
      <c r="G413" s="8" t="s">
        <v>34</v>
      </c>
      <c r="H413" s="10">
        <v>10132018</v>
      </c>
      <c r="I413" s="10">
        <v>5</v>
      </c>
      <c r="J413" s="8" t="s">
        <v>39</v>
      </c>
      <c r="K413" s="8" t="s">
        <v>41</v>
      </c>
      <c r="M413" s="8" t="s">
        <v>49</v>
      </c>
      <c r="O413" s="8" t="s">
        <v>43</v>
      </c>
      <c r="P413" s="8" t="b">
        <v>0</v>
      </c>
      <c r="R413" s="8" t="b">
        <v>0</v>
      </c>
      <c r="S413" s="8" t="b">
        <v>0</v>
      </c>
      <c r="T413" s="8" t="b">
        <v>0</v>
      </c>
      <c r="U413" s="8" t="b">
        <v>0</v>
      </c>
      <c r="V413" s="8" t="b">
        <v>1</v>
      </c>
      <c r="X413" s="8" t="b">
        <v>0</v>
      </c>
      <c r="Y413" s="8" t="b">
        <v>0</v>
      </c>
      <c r="Z413" s="8" t="b">
        <v>0</v>
      </c>
      <c r="AA413" s="8" t="b">
        <v>0</v>
      </c>
      <c r="AB413" s="8" t="b">
        <v>0</v>
      </c>
      <c r="AC413" s="8" t="b">
        <v>0</v>
      </c>
      <c r="AD413" s="8" t="b">
        <v>0</v>
      </c>
      <c r="AE413" s="8" t="b">
        <v>0</v>
      </c>
      <c r="AG413" s="11" t="b" cm="1">
        <f t="array" ref="AG413">IF(OR(Y413:AA413="TRUE", AE413="true"), "Threatened")</f>
        <v>0</v>
      </c>
      <c r="AH413" s="11" t="s">
        <v>1302</v>
      </c>
      <c r="AI413" s="8" t="b">
        <v>1</v>
      </c>
    </row>
    <row r="414" spans="1:35" ht="31.2">
      <c r="A414" s="8">
        <v>-73.969893420000005</v>
      </c>
      <c r="B414" s="8">
        <v>40.770821159999997</v>
      </c>
      <c r="C414" s="8" t="s">
        <v>1303</v>
      </c>
      <c r="D414" s="8" t="s">
        <v>199</v>
      </c>
      <c r="E414" s="8" t="b">
        <f t="shared" si="6"/>
        <v>0</v>
      </c>
      <c r="F414" s="8" t="str" cm="1">
        <f t="array" ref="F414">_xlfn._xlws.FILTER(E414:E3612, C414:C3612= "6D-PM-1020-01", "No Squirrels Found")</f>
        <v>No Squirrels Found</v>
      </c>
      <c r="G414" s="8" t="s">
        <v>34</v>
      </c>
      <c r="H414" s="10">
        <v>10142018</v>
      </c>
      <c r="I414" s="10">
        <v>3</v>
      </c>
      <c r="J414" s="8" t="s">
        <v>39</v>
      </c>
      <c r="K414" s="8" t="s">
        <v>40</v>
      </c>
      <c r="L414" s="8" t="s">
        <v>41</v>
      </c>
      <c r="M414" s="8" t="s">
        <v>42</v>
      </c>
      <c r="O414" s="8" t="s">
        <v>43</v>
      </c>
      <c r="P414" s="8" t="b">
        <v>0</v>
      </c>
      <c r="R414" s="8" t="b">
        <v>1</v>
      </c>
      <c r="S414" s="8" t="b">
        <v>0</v>
      </c>
      <c r="T414" s="8" t="b">
        <v>0</v>
      </c>
      <c r="U414" s="8" t="b">
        <v>0</v>
      </c>
      <c r="V414" s="8" t="b">
        <v>1</v>
      </c>
      <c r="X414" s="8" t="b">
        <v>0</v>
      </c>
      <c r="Y414" s="8" t="b">
        <v>0</v>
      </c>
      <c r="Z414" s="8" t="b">
        <v>0</v>
      </c>
      <c r="AA414" s="8" t="b">
        <v>0</v>
      </c>
      <c r="AB414" s="8" t="b">
        <v>0</v>
      </c>
      <c r="AC414" s="8" t="b">
        <v>0</v>
      </c>
      <c r="AD414" s="8" t="b">
        <v>0</v>
      </c>
      <c r="AE414" s="8" t="b">
        <v>0</v>
      </c>
      <c r="AG414" s="11" t="b" cm="1">
        <f t="array" ref="AG414">IF(OR(Y414:AA414="TRUE", AE414="true"), "Threatened")</f>
        <v>0</v>
      </c>
      <c r="AH414" s="11" t="s">
        <v>1304</v>
      </c>
      <c r="AI414" s="8" t="b">
        <v>1</v>
      </c>
    </row>
    <row r="415" spans="1:35" ht="31.2">
      <c r="A415" s="8">
        <v>-73.972189979999996</v>
      </c>
      <c r="B415" s="8">
        <v>40.776151900000002</v>
      </c>
      <c r="C415" s="8" t="s">
        <v>1305</v>
      </c>
      <c r="D415" s="8" t="s">
        <v>613</v>
      </c>
      <c r="E415" s="8" t="b">
        <f t="shared" si="6"/>
        <v>0</v>
      </c>
      <c r="F415" s="8" t="str" cm="1">
        <f t="array" ref="F415">_xlfn._xlws.FILTER(E415:E3613, C415:C3613= "6D-PM-1020-01", "No Squirrels Found")</f>
        <v>No Squirrels Found</v>
      </c>
      <c r="G415" s="8" t="s">
        <v>48</v>
      </c>
      <c r="H415" s="10">
        <v>10102018</v>
      </c>
      <c r="I415" s="10">
        <v>3</v>
      </c>
      <c r="J415" s="8" t="s">
        <v>39</v>
      </c>
      <c r="K415" s="8" t="s">
        <v>40</v>
      </c>
      <c r="M415" s="8" t="s">
        <v>55</v>
      </c>
      <c r="O415" s="8" t="s">
        <v>50</v>
      </c>
      <c r="P415" s="8">
        <v>20</v>
      </c>
      <c r="R415" s="8" t="b">
        <v>0</v>
      </c>
      <c r="S415" s="8" t="b">
        <v>0</v>
      </c>
      <c r="T415" s="8" t="b">
        <v>1</v>
      </c>
      <c r="U415" s="8" t="b">
        <v>0</v>
      </c>
      <c r="V415" s="8" t="b">
        <v>0</v>
      </c>
      <c r="X415" s="8" t="b">
        <v>0</v>
      </c>
      <c r="Y415" s="8" t="b">
        <v>0</v>
      </c>
      <c r="Z415" s="8" t="b">
        <v>0</v>
      </c>
      <c r="AA415" s="8" t="b">
        <v>0</v>
      </c>
      <c r="AB415" s="8" t="b">
        <v>0</v>
      </c>
      <c r="AC415" s="8" t="b">
        <v>0</v>
      </c>
      <c r="AD415" s="8" t="b">
        <v>1</v>
      </c>
      <c r="AE415" s="8" t="b">
        <v>0</v>
      </c>
      <c r="AG415" s="11" t="b" cm="1">
        <f t="array" ref="AG415">IF(OR(Y415:AA415="TRUE", AE415="true"), "Threatened")</f>
        <v>0</v>
      </c>
      <c r="AH415" s="11" t="s">
        <v>1306</v>
      </c>
      <c r="AI415" s="8" t="b">
        <v>1</v>
      </c>
    </row>
    <row r="416" spans="1:35" ht="31.2">
      <c r="A416" s="8">
        <v>-73.957013189999998</v>
      </c>
      <c r="B416" s="8">
        <v>40.799178670000003</v>
      </c>
      <c r="C416" s="8" t="s">
        <v>1307</v>
      </c>
      <c r="D416" s="8" t="s">
        <v>382</v>
      </c>
      <c r="E416" s="8" t="b">
        <f t="shared" si="6"/>
        <v>0</v>
      </c>
      <c r="F416" s="8" t="str" cm="1">
        <f t="array" ref="F416">_xlfn._xlws.FILTER(E416:E3614, C416:C3614= "6D-PM-1020-01", "No Squirrels Found")</f>
        <v>No Squirrels Found</v>
      </c>
      <c r="G416" s="8" t="s">
        <v>34</v>
      </c>
      <c r="H416" s="10">
        <v>10142018</v>
      </c>
      <c r="I416" s="10">
        <v>5</v>
      </c>
      <c r="J416" s="8" t="s">
        <v>39</v>
      </c>
      <c r="K416" s="8" t="s">
        <v>40</v>
      </c>
      <c r="M416" s="8" t="s">
        <v>55</v>
      </c>
      <c r="O416" s="8" t="s">
        <v>50</v>
      </c>
      <c r="P416" s="8">
        <v>25</v>
      </c>
      <c r="R416" s="8" t="b">
        <v>0</v>
      </c>
      <c r="S416" s="8" t="b">
        <v>0</v>
      </c>
      <c r="T416" s="8" t="b">
        <v>1</v>
      </c>
      <c r="U416" s="8" t="b">
        <v>0</v>
      </c>
      <c r="V416" s="8" t="b">
        <v>0</v>
      </c>
      <c r="X416" s="8" t="b">
        <v>1</v>
      </c>
      <c r="Y416" s="8" t="b">
        <v>0</v>
      </c>
      <c r="Z416" s="8" t="b">
        <v>0</v>
      </c>
      <c r="AA416" s="8" t="b">
        <v>0</v>
      </c>
      <c r="AB416" s="8" t="b">
        <v>0</v>
      </c>
      <c r="AC416" s="8" t="b">
        <v>0</v>
      </c>
      <c r="AD416" s="8" t="b">
        <v>1</v>
      </c>
      <c r="AE416" s="8" t="b">
        <v>1</v>
      </c>
      <c r="AG416" s="11" t="b" cm="1">
        <f t="array" ref="AG416">IF(OR(Y416:AA416="TRUE", AE416="true"), "Threatened")</f>
        <v>0</v>
      </c>
      <c r="AH416" s="11" t="s">
        <v>1308</v>
      </c>
      <c r="AI416" s="8" t="b">
        <v>1</v>
      </c>
    </row>
    <row r="417" spans="1:35" ht="31.2">
      <c r="A417" s="8">
        <v>-73.970278859999993</v>
      </c>
      <c r="B417" s="8">
        <v>40.769448500000003</v>
      </c>
      <c r="C417" s="8" t="s">
        <v>1309</v>
      </c>
      <c r="D417" s="8" t="s">
        <v>1310</v>
      </c>
      <c r="E417" s="8" t="b">
        <f t="shared" si="6"/>
        <v>0</v>
      </c>
      <c r="F417" s="8" t="str" cm="1">
        <f t="array" ref="F417">_xlfn._xlws.FILTER(E417:E3615, C417:C3615= "6D-PM-1020-01", "No Squirrels Found")</f>
        <v>No Squirrels Found</v>
      </c>
      <c r="G417" s="8" t="s">
        <v>34</v>
      </c>
      <c r="H417" s="10">
        <v>10132018</v>
      </c>
      <c r="I417" s="10">
        <v>5</v>
      </c>
      <c r="J417" s="8" t="s">
        <v>39</v>
      </c>
      <c r="K417" s="8" t="s">
        <v>40</v>
      </c>
      <c r="L417" s="8" t="s">
        <v>41</v>
      </c>
      <c r="M417" s="8" t="s">
        <v>42</v>
      </c>
      <c r="O417" s="8" t="s">
        <v>43</v>
      </c>
      <c r="P417" s="8" t="b">
        <v>0</v>
      </c>
      <c r="Q417" s="8" t="s">
        <v>1311</v>
      </c>
      <c r="R417" s="8" t="b">
        <v>0</v>
      </c>
      <c r="S417" s="8" t="b">
        <v>0</v>
      </c>
      <c r="T417" s="8" t="b">
        <v>0</v>
      </c>
      <c r="U417" s="8" t="b">
        <v>1</v>
      </c>
      <c r="V417" s="8" t="b">
        <v>0</v>
      </c>
      <c r="X417" s="8" t="b">
        <v>0</v>
      </c>
      <c r="Y417" s="8" t="b">
        <v>0</v>
      </c>
      <c r="Z417" s="8" t="b">
        <v>0</v>
      </c>
      <c r="AA417" s="8" t="b">
        <v>1</v>
      </c>
      <c r="AB417" s="8" t="b">
        <v>0</v>
      </c>
      <c r="AC417" s="8" t="b">
        <v>0</v>
      </c>
      <c r="AD417" s="8" t="b">
        <v>0</v>
      </c>
      <c r="AE417" s="8" t="b">
        <v>0</v>
      </c>
      <c r="AG417" s="11" t="b" cm="1">
        <f t="array" ref="AG417">IF(OR(Y417:AA417="TRUE", AE417="true"), "Threatened")</f>
        <v>0</v>
      </c>
      <c r="AH417" s="11" t="s">
        <v>1312</v>
      </c>
      <c r="AI417" s="8" t="b">
        <v>1</v>
      </c>
    </row>
    <row r="418" spans="1:35" ht="31.2">
      <c r="A418" s="8">
        <v>-73.963988810000004</v>
      </c>
      <c r="B418" s="8">
        <v>40.791449399999998</v>
      </c>
      <c r="C418" s="8" t="s">
        <v>1313</v>
      </c>
      <c r="D418" s="8" t="s">
        <v>398</v>
      </c>
      <c r="E418" s="8" t="b">
        <f t="shared" si="6"/>
        <v>0</v>
      </c>
      <c r="F418" s="8" t="str" cm="1">
        <f t="array" ref="F418">_xlfn._xlws.FILTER(E418:E3616, C418:C3616= "6D-PM-1020-01", "No Squirrels Found")</f>
        <v>No Squirrels Found</v>
      </c>
      <c r="G418" s="8" t="s">
        <v>48</v>
      </c>
      <c r="H418" s="10">
        <v>10102018</v>
      </c>
      <c r="I418" s="10">
        <v>1</v>
      </c>
      <c r="J418" s="8" t="s">
        <v>39</v>
      </c>
      <c r="K418" s="8" t="s">
        <v>40</v>
      </c>
      <c r="M418" s="8" t="s">
        <v>55</v>
      </c>
      <c r="O418" s="8" t="s">
        <v>43</v>
      </c>
      <c r="P418" s="8" t="b">
        <v>0</v>
      </c>
      <c r="R418" s="8" t="b">
        <v>0</v>
      </c>
      <c r="S418" s="8" t="b">
        <v>0</v>
      </c>
      <c r="T418" s="8" t="b">
        <v>0</v>
      </c>
      <c r="U418" s="8" t="b">
        <v>1</v>
      </c>
      <c r="V418" s="8" t="b">
        <v>0</v>
      </c>
      <c r="X418" s="8" t="b">
        <v>0</v>
      </c>
      <c r="Y418" s="8" t="b">
        <v>0</v>
      </c>
      <c r="Z418" s="8" t="b">
        <v>0</v>
      </c>
      <c r="AA418" s="8" t="b">
        <v>0</v>
      </c>
      <c r="AB418" s="8" t="b">
        <v>1</v>
      </c>
      <c r="AC418" s="8" t="b">
        <v>0</v>
      </c>
      <c r="AD418" s="8" t="b">
        <v>0</v>
      </c>
      <c r="AE418" s="8" t="b">
        <v>1</v>
      </c>
      <c r="AG418" s="11" t="b" cm="1">
        <f t="array" ref="AG418">IF(OR(Y418:AA418="TRUE", AE418="true"), "Threatened")</f>
        <v>0</v>
      </c>
      <c r="AH418" s="11" t="s">
        <v>1314</v>
      </c>
      <c r="AI418" s="8" t="b">
        <v>1</v>
      </c>
    </row>
    <row r="419" spans="1:35" ht="31.2">
      <c r="A419" s="8">
        <v>-73.957360489999999</v>
      </c>
      <c r="B419" s="8">
        <v>40.79308442</v>
      </c>
      <c r="C419" s="8" t="s">
        <v>1315</v>
      </c>
      <c r="D419" s="8" t="s">
        <v>493</v>
      </c>
      <c r="E419" s="8" t="b">
        <f t="shared" si="6"/>
        <v>0</v>
      </c>
      <c r="F419" s="8" t="str" cm="1">
        <f t="array" ref="F419">_xlfn._xlws.FILTER(E419:E3617, C419:C3617= "6D-PM-1020-01", "No Squirrels Found")</f>
        <v>No Squirrels Found</v>
      </c>
      <c r="G419" s="8" t="s">
        <v>34</v>
      </c>
      <c r="H419" s="10">
        <v>10062018</v>
      </c>
      <c r="I419" s="10">
        <v>3</v>
      </c>
      <c r="J419" s="8" t="s">
        <v>39</v>
      </c>
      <c r="K419" s="8" t="s">
        <v>40</v>
      </c>
      <c r="L419" s="8" t="s">
        <v>41</v>
      </c>
      <c r="M419" s="8" t="s">
        <v>42</v>
      </c>
      <c r="O419" s="8" t="s">
        <v>43</v>
      </c>
      <c r="P419" s="8" t="b">
        <v>0</v>
      </c>
      <c r="R419" s="8" t="b">
        <v>0</v>
      </c>
      <c r="S419" s="8" t="b">
        <v>0</v>
      </c>
      <c r="T419" s="8" t="b">
        <v>0</v>
      </c>
      <c r="U419" s="8" t="b">
        <v>1</v>
      </c>
      <c r="V419" s="8" t="b">
        <v>1</v>
      </c>
      <c r="X419" s="8" t="b">
        <v>0</v>
      </c>
      <c r="Y419" s="8" t="b">
        <v>0</v>
      </c>
      <c r="Z419" s="8" t="b">
        <v>0</v>
      </c>
      <c r="AA419" s="8" t="b">
        <v>0</v>
      </c>
      <c r="AB419" s="8" t="b">
        <v>0</v>
      </c>
      <c r="AC419" s="8" t="b">
        <v>0</v>
      </c>
      <c r="AD419" s="8" t="b">
        <v>1</v>
      </c>
      <c r="AE419" s="8" t="b">
        <v>0</v>
      </c>
      <c r="AG419" s="11" t="b" cm="1">
        <f t="array" ref="AG419">IF(OR(Y419:AA419="TRUE", AE419="true"), "Threatened")</f>
        <v>0</v>
      </c>
      <c r="AH419" s="11" t="s">
        <v>1316</v>
      </c>
      <c r="AI419" s="8" t="b">
        <v>1</v>
      </c>
    </row>
    <row r="420" spans="1:35" ht="31.2">
      <c r="A420" s="8">
        <v>-73.977732869999997</v>
      </c>
      <c r="B420" s="8">
        <v>40.766908770000001</v>
      </c>
      <c r="C420" s="8" t="s">
        <v>1317</v>
      </c>
      <c r="D420" s="8" t="s">
        <v>1278</v>
      </c>
      <c r="E420" s="8" t="b">
        <f t="shared" si="6"/>
        <v>0</v>
      </c>
      <c r="F420" s="8" t="str" cm="1">
        <f t="array" ref="F420">_xlfn._xlws.FILTER(E420:E3618, C420:C3618= "6D-PM-1020-01", "No Squirrels Found")</f>
        <v>No Squirrels Found</v>
      </c>
      <c r="G420" s="8" t="s">
        <v>48</v>
      </c>
      <c r="H420" s="10">
        <v>10062018</v>
      </c>
      <c r="I420" s="10">
        <v>2</v>
      </c>
      <c r="J420" s="8" t="s">
        <v>54</v>
      </c>
      <c r="K420" s="8" t="s">
        <v>40</v>
      </c>
      <c r="L420" s="8" t="s">
        <v>41</v>
      </c>
      <c r="M420" s="8" t="s">
        <v>42</v>
      </c>
      <c r="O420" s="8" t="s">
        <v>43</v>
      </c>
      <c r="P420" s="8" t="b">
        <v>0</v>
      </c>
      <c r="R420" s="8" t="b">
        <v>1</v>
      </c>
      <c r="S420" s="8" t="b">
        <v>0</v>
      </c>
      <c r="T420" s="8" t="b">
        <v>0</v>
      </c>
      <c r="U420" s="8" t="b">
        <v>0</v>
      </c>
      <c r="V420" s="8" t="b">
        <v>0</v>
      </c>
      <c r="X420" s="8" t="b">
        <v>0</v>
      </c>
      <c r="Y420" s="8" t="b">
        <v>0</v>
      </c>
      <c r="Z420" s="8" t="b">
        <v>0</v>
      </c>
      <c r="AA420" s="8" t="b">
        <v>0</v>
      </c>
      <c r="AB420" s="8" t="b">
        <v>1</v>
      </c>
      <c r="AC420" s="8" t="b">
        <v>0</v>
      </c>
      <c r="AD420" s="8" t="b">
        <v>0</v>
      </c>
      <c r="AE420" s="8" t="b">
        <v>0</v>
      </c>
      <c r="AG420" s="11" t="b" cm="1">
        <f t="array" ref="AG420">IF(OR(Y420:AA420="TRUE", AE420="true"), "Threatened")</f>
        <v>0</v>
      </c>
      <c r="AH420" s="11" t="s">
        <v>1318</v>
      </c>
      <c r="AI420" s="8" t="b">
        <v>1</v>
      </c>
    </row>
    <row r="421" spans="1:35" ht="31.2">
      <c r="A421" s="8">
        <v>-73.96718516</v>
      </c>
      <c r="B421" s="8">
        <v>40.77508787</v>
      </c>
      <c r="C421" s="8" t="s">
        <v>1319</v>
      </c>
      <c r="D421" s="8" t="s">
        <v>1320</v>
      </c>
      <c r="E421" s="8" t="b">
        <f t="shared" si="6"/>
        <v>0</v>
      </c>
      <c r="F421" s="8" t="str" cm="1">
        <f t="array" ref="F421">_xlfn._xlws.FILTER(E421:E3619, C421:C3619= "6D-PM-1020-01", "No Squirrels Found")</f>
        <v>No Squirrels Found</v>
      </c>
      <c r="G421" s="8" t="s">
        <v>34</v>
      </c>
      <c r="H421" s="10">
        <v>10122018</v>
      </c>
      <c r="I421" s="10">
        <v>1</v>
      </c>
      <c r="J421" s="8" t="s">
        <v>39</v>
      </c>
      <c r="K421" s="8" t="s">
        <v>40</v>
      </c>
      <c r="L421" s="8" t="s">
        <v>168</v>
      </c>
      <c r="M421" s="8" t="s">
        <v>169</v>
      </c>
      <c r="O421" s="8" t="s">
        <v>43</v>
      </c>
      <c r="P421" s="8" t="b">
        <v>0</v>
      </c>
      <c r="R421" s="8" t="b">
        <v>1</v>
      </c>
      <c r="S421" s="8" t="b">
        <v>0</v>
      </c>
      <c r="T421" s="8" t="b">
        <v>0</v>
      </c>
      <c r="U421" s="8" t="b">
        <v>1</v>
      </c>
      <c r="V421" s="8" t="b">
        <v>0</v>
      </c>
      <c r="X421" s="8" t="b">
        <v>0</v>
      </c>
      <c r="Y421" s="8" t="b">
        <v>0</v>
      </c>
      <c r="Z421" s="8" t="b">
        <v>0</v>
      </c>
      <c r="AA421" s="8" t="b">
        <v>0</v>
      </c>
      <c r="AB421" s="8" t="b">
        <v>0</v>
      </c>
      <c r="AC421" s="8" t="b">
        <v>1</v>
      </c>
      <c r="AD421" s="8" t="b">
        <v>0</v>
      </c>
      <c r="AE421" s="8" t="b">
        <v>0</v>
      </c>
      <c r="AF421" s="11" t="s">
        <v>1321</v>
      </c>
      <c r="AG421" s="11" t="b" cm="1">
        <f t="array" ref="AG421">IF(OR(Y421:AA421="TRUE", AE421="true"), "Threatened")</f>
        <v>0</v>
      </c>
      <c r="AH421" s="11" t="s">
        <v>1322</v>
      </c>
      <c r="AI421" s="8" t="b">
        <v>1</v>
      </c>
    </row>
    <row r="422" spans="1:35" ht="31.2">
      <c r="A422" s="8">
        <v>-73.966463009999998</v>
      </c>
      <c r="B422" s="8">
        <v>40.775636149999997</v>
      </c>
      <c r="C422" s="8" t="s">
        <v>1323</v>
      </c>
      <c r="D422" s="8" t="s">
        <v>1320</v>
      </c>
      <c r="E422" s="8" t="b">
        <f t="shared" si="6"/>
        <v>0</v>
      </c>
      <c r="F422" s="8" t="str" cm="1">
        <f t="array" ref="F422">_xlfn._xlws.FILTER(E422:E3620, C422:C3620= "6D-PM-1020-01", "No Squirrels Found")</f>
        <v>No Squirrels Found</v>
      </c>
      <c r="G422" s="8" t="s">
        <v>48</v>
      </c>
      <c r="H422" s="10">
        <v>10072018</v>
      </c>
      <c r="I422" s="10">
        <v>4</v>
      </c>
      <c r="J422" s="8" t="s">
        <v>54</v>
      </c>
      <c r="K422" s="8" t="s">
        <v>40</v>
      </c>
      <c r="L422" s="8" t="s">
        <v>84</v>
      </c>
      <c r="M422" s="8" t="s">
        <v>103</v>
      </c>
      <c r="O422" s="8" t="s">
        <v>43</v>
      </c>
      <c r="P422" s="8" t="b">
        <v>0</v>
      </c>
      <c r="R422" s="8" t="b">
        <v>0</v>
      </c>
      <c r="S422" s="8" t="b">
        <v>1</v>
      </c>
      <c r="T422" s="8" t="b">
        <v>0</v>
      </c>
      <c r="U422" s="8" t="b">
        <v>0</v>
      </c>
      <c r="V422" s="8" t="b">
        <v>0</v>
      </c>
      <c r="X422" s="8" t="b">
        <v>0</v>
      </c>
      <c r="Y422" s="8" t="b">
        <v>0</v>
      </c>
      <c r="Z422" s="8" t="b">
        <v>0</v>
      </c>
      <c r="AA422" s="8" t="b">
        <v>0</v>
      </c>
      <c r="AB422" s="8" t="b">
        <v>0</v>
      </c>
      <c r="AC422" s="8" t="b">
        <v>0</v>
      </c>
      <c r="AD422" s="8" t="b">
        <v>0</v>
      </c>
      <c r="AE422" s="8" t="b">
        <v>1</v>
      </c>
      <c r="AG422" s="11" t="b" cm="1">
        <f t="array" ref="AG422">IF(OR(Y422:AA422="TRUE", AE422="true"), "Threatened")</f>
        <v>0</v>
      </c>
      <c r="AH422" s="11" t="s">
        <v>1324</v>
      </c>
      <c r="AI422" s="8" t="b">
        <v>1</v>
      </c>
    </row>
    <row r="423" spans="1:35" ht="31.2">
      <c r="A423" s="8">
        <v>-73.969463039999994</v>
      </c>
      <c r="B423" s="8">
        <v>40.769737659999997</v>
      </c>
      <c r="C423" s="8" t="s">
        <v>1325</v>
      </c>
      <c r="D423" s="8" t="s">
        <v>1326</v>
      </c>
      <c r="E423" s="8" t="b">
        <f t="shared" si="6"/>
        <v>0</v>
      </c>
      <c r="F423" s="8" t="str" cm="1">
        <f t="array" ref="F423">_xlfn._xlws.FILTER(E423:E3621, C423:C3621= "6D-PM-1020-01", "No Squirrels Found")</f>
        <v>No Squirrels Found</v>
      </c>
      <c r="G423" s="8" t="s">
        <v>34</v>
      </c>
      <c r="H423" s="10">
        <v>10132018</v>
      </c>
      <c r="I423" s="10">
        <v>1</v>
      </c>
      <c r="J423" s="8" t="s">
        <v>39</v>
      </c>
      <c r="K423" s="8" t="s">
        <v>40</v>
      </c>
      <c r="L423" s="8" t="s">
        <v>117</v>
      </c>
      <c r="M423" s="8" t="s">
        <v>118</v>
      </c>
      <c r="O423" s="8" t="s">
        <v>43</v>
      </c>
      <c r="P423" s="8" t="b">
        <v>0</v>
      </c>
      <c r="R423" s="8" t="b">
        <v>0</v>
      </c>
      <c r="S423" s="8" t="b">
        <v>0</v>
      </c>
      <c r="T423" s="8" t="b">
        <v>0</v>
      </c>
      <c r="U423" s="8" t="b">
        <v>0</v>
      </c>
      <c r="V423" s="8" t="b">
        <v>1</v>
      </c>
      <c r="X423" s="8" t="b">
        <v>0</v>
      </c>
      <c r="Y423" s="8" t="b">
        <v>0</v>
      </c>
      <c r="Z423" s="8" t="b">
        <v>0</v>
      </c>
      <c r="AA423" s="8" t="b">
        <v>0</v>
      </c>
      <c r="AB423" s="8" t="b">
        <v>0</v>
      </c>
      <c r="AC423" s="8" t="b">
        <v>0</v>
      </c>
      <c r="AD423" s="8" t="b">
        <v>1</v>
      </c>
      <c r="AE423" s="8" t="b">
        <v>0</v>
      </c>
      <c r="AG423" s="11" t="b" cm="1">
        <f t="array" ref="AG423">IF(OR(Y423:AA423="TRUE", AE423="true"), "Threatened")</f>
        <v>0</v>
      </c>
      <c r="AH423" s="11" t="s">
        <v>1327</v>
      </c>
      <c r="AI423" s="8" t="b">
        <v>1</v>
      </c>
    </row>
    <row r="424" spans="1:35" ht="31.2">
      <c r="A424" s="8">
        <v>-73.975675429999995</v>
      </c>
      <c r="B424" s="8">
        <v>40.773851880000002</v>
      </c>
      <c r="C424" s="8" t="s">
        <v>1328</v>
      </c>
      <c r="D424" s="8" t="s">
        <v>802</v>
      </c>
      <c r="E424" s="8" t="b">
        <f t="shared" si="6"/>
        <v>0</v>
      </c>
      <c r="F424" s="8" t="str" cm="1">
        <f t="array" ref="F424">_xlfn._xlws.FILTER(E424:E3622, C424:C3622= "6D-PM-1020-01", "No Squirrels Found")</f>
        <v>No Squirrels Found</v>
      </c>
      <c r="G424" s="8" t="s">
        <v>34</v>
      </c>
      <c r="H424" s="10">
        <v>10132018</v>
      </c>
      <c r="I424" s="10">
        <v>2</v>
      </c>
      <c r="J424" s="8" t="s">
        <v>54</v>
      </c>
      <c r="K424" s="8" t="s">
        <v>41</v>
      </c>
      <c r="L424" s="8" t="s">
        <v>40</v>
      </c>
      <c r="M424" s="8" t="s">
        <v>110</v>
      </c>
      <c r="O424" s="8" t="s">
        <v>43</v>
      </c>
      <c r="P424" s="8" t="b">
        <v>0</v>
      </c>
      <c r="R424" s="8" t="b">
        <v>0</v>
      </c>
      <c r="S424" s="8" t="b">
        <v>0</v>
      </c>
      <c r="T424" s="8" t="b">
        <v>0</v>
      </c>
      <c r="U424" s="8" t="b">
        <v>0</v>
      </c>
      <c r="V424" s="8" t="b">
        <v>1</v>
      </c>
      <c r="X424" s="8" t="b">
        <v>0</v>
      </c>
      <c r="Y424" s="8" t="b">
        <v>0</v>
      </c>
      <c r="Z424" s="8" t="b">
        <v>0</v>
      </c>
      <c r="AA424" s="8" t="b">
        <v>0</v>
      </c>
      <c r="AB424" s="8" t="b">
        <v>1</v>
      </c>
      <c r="AC424" s="8" t="b">
        <v>0</v>
      </c>
      <c r="AD424" s="8" t="b">
        <v>1</v>
      </c>
      <c r="AE424" s="8" t="b">
        <v>0</v>
      </c>
      <c r="AG424" s="11" t="b" cm="1">
        <f t="array" ref="AG424">IF(OR(Y424:AA424="TRUE", AE424="true"), "Threatened")</f>
        <v>0</v>
      </c>
      <c r="AH424" s="11" t="s">
        <v>1329</v>
      </c>
      <c r="AI424" s="8" t="b">
        <v>1</v>
      </c>
    </row>
    <row r="425" spans="1:35" ht="31.2">
      <c r="A425" s="8">
        <v>-73.975655709999998</v>
      </c>
      <c r="B425" s="8">
        <v>40.773296289999998</v>
      </c>
      <c r="C425" s="8" t="s">
        <v>1330</v>
      </c>
      <c r="D425" s="8" t="s">
        <v>249</v>
      </c>
      <c r="E425" s="8" t="b">
        <f t="shared" si="6"/>
        <v>0</v>
      </c>
      <c r="F425" s="8" t="str" cm="1">
        <f t="array" ref="F425">_xlfn._xlws.FILTER(E425:E3623, C425:C3623= "6D-PM-1020-01", "No Squirrels Found")</f>
        <v>No Squirrels Found</v>
      </c>
      <c r="G425" s="8" t="s">
        <v>34</v>
      </c>
      <c r="H425" s="10">
        <v>10122018</v>
      </c>
      <c r="I425" s="10">
        <v>8</v>
      </c>
      <c r="J425" s="8" t="s">
        <v>39</v>
      </c>
      <c r="K425" s="8" t="s">
        <v>41</v>
      </c>
      <c r="L425" s="8" t="s">
        <v>84</v>
      </c>
      <c r="M425" s="8" t="s">
        <v>85</v>
      </c>
      <c r="O425" s="8" t="s">
        <v>43</v>
      </c>
      <c r="P425" s="8" t="b">
        <v>0</v>
      </c>
      <c r="R425" s="8" t="b">
        <v>0</v>
      </c>
      <c r="S425" s="8" t="b">
        <v>0</v>
      </c>
      <c r="T425" s="8" t="b">
        <v>0</v>
      </c>
      <c r="U425" s="8" t="b">
        <v>0</v>
      </c>
      <c r="V425" s="8" t="b">
        <v>1</v>
      </c>
      <c r="X425" s="8" t="b">
        <v>0</v>
      </c>
      <c r="Y425" s="8" t="b">
        <v>0</v>
      </c>
      <c r="Z425" s="8" t="b">
        <v>0</v>
      </c>
      <c r="AA425" s="8" t="b">
        <v>0</v>
      </c>
      <c r="AB425" s="8" t="b">
        <v>0</v>
      </c>
      <c r="AC425" s="8" t="b">
        <v>0</v>
      </c>
      <c r="AD425" s="8" t="b">
        <v>1</v>
      </c>
      <c r="AE425" s="8" t="b">
        <v>0</v>
      </c>
      <c r="AG425" s="11" t="b" cm="1">
        <f t="array" ref="AG425">IF(OR(Y425:AA425="TRUE", AE425="true"), "Threatened")</f>
        <v>0</v>
      </c>
      <c r="AH425" s="11" t="s">
        <v>1331</v>
      </c>
      <c r="AI425" s="8" t="b">
        <v>1</v>
      </c>
    </row>
    <row r="426" spans="1:35" ht="31.2">
      <c r="A426" s="8">
        <v>-73.970448520000005</v>
      </c>
      <c r="B426" s="8">
        <v>40.771729059999998</v>
      </c>
      <c r="C426" s="8" t="s">
        <v>1332</v>
      </c>
      <c r="D426" s="8" t="s">
        <v>581</v>
      </c>
      <c r="E426" s="8" t="b">
        <f t="shared" si="6"/>
        <v>0</v>
      </c>
      <c r="F426" s="8" t="str" cm="1">
        <f t="array" ref="F426">_xlfn._xlws.FILTER(E426:E3624, C426:C3624= "6D-PM-1020-01", "No Squirrels Found")</f>
        <v>No Squirrels Found</v>
      </c>
      <c r="G426" s="8" t="s">
        <v>48</v>
      </c>
      <c r="H426" s="10">
        <v>10072018</v>
      </c>
      <c r="I426" s="10">
        <v>2</v>
      </c>
      <c r="J426" s="8" t="s">
        <v>39</v>
      </c>
      <c r="K426" s="8" t="s">
        <v>40</v>
      </c>
      <c r="M426" s="8" t="s">
        <v>55</v>
      </c>
      <c r="O426" s="8" t="s">
        <v>50</v>
      </c>
      <c r="P426" s="8">
        <v>25</v>
      </c>
      <c r="R426" s="8" t="b">
        <v>0</v>
      </c>
      <c r="S426" s="8" t="b">
        <v>0</v>
      </c>
      <c r="T426" s="8" t="b">
        <v>1</v>
      </c>
      <c r="U426" s="8" t="b">
        <v>0</v>
      </c>
      <c r="V426" s="8" t="b">
        <v>0</v>
      </c>
      <c r="X426" s="8" t="b">
        <v>0</v>
      </c>
      <c r="Y426" s="8" t="b">
        <v>0</v>
      </c>
      <c r="Z426" s="8" t="b">
        <v>0</v>
      </c>
      <c r="AA426" s="8" t="b">
        <v>0</v>
      </c>
      <c r="AB426" s="8" t="b">
        <v>0</v>
      </c>
      <c r="AC426" s="8" t="b">
        <v>0</v>
      </c>
      <c r="AD426" s="8" t="b">
        <v>0</v>
      </c>
      <c r="AE426" s="8" t="b">
        <v>1</v>
      </c>
      <c r="AF426" s="11" t="s">
        <v>1333</v>
      </c>
      <c r="AG426" s="11" t="b" cm="1">
        <f t="array" ref="AG426">IF(OR(Y426:AA426="TRUE", AE426="true"), "Threatened")</f>
        <v>0</v>
      </c>
      <c r="AH426" s="11" t="s">
        <v>1334</v>
      </c>
      <c r="AI426" s="8" t="b">
        <v>1</v>
      </c>
    </row>
    <row r="427" spans="1:35" ht="31.2">
      <c r="A427" s="8">
        <v>-73.974194440000005</v>
      </c>
      <c r="B427" s="8">
        <v>40.776989</v>
      </c>
      <c r="C427" s="8" t="s">
        <v>1335</v>
      </c>
      <c r="D427" s="8" t="s">
        <v>1336</v>
      </c>
      <c r="E427" s="8" t="b">
        <f t="shared" si="6"/>
        <v>0</v>
      </c>
      <c r="F427" s="8" t="str" cm="1">
        <f t="array" ref="F427">_xlfn._xlws.FILTER(E427:E3625, C427:C3625= "6D-PM-1020-01", "No Squirrels Found")</f>
        <v>No Squirrels Found</v>
      </c>
      <c r="G427" s="8" t="s">
        <v>34</v>
      </c>
      <c r="H427" s="10">
        <v>10082018</v>
      </c>
      <c r="I427" s="10">
        <v>1</v>
      </c>
      <c r="J427" s="8" t="s">
        <v>39</v>
      </c>
      <c r="K427" s="8" t="s">
        <v>40</v>
      </c>
      <c r="L427" s="8" t="s">
        <v>84</v>
      </c>
      <c r="M427" s="8" t="s">
        <v>103</v>
      </c>
      <c r="O427" s="8" t="s">
        <v>50</v>
      </c>
      <c r="P427" s="8">
        <v>2</v>
      </c>
      <c r="Q427" s="8" t="s">
        <v>1337</v>
      </c>
      <c r="R427" s="8" t="b">
        <v>1</v>
      </c>
      <c r="S427" s="8" t="b">
        <v>0</v>
      </c>
      <c r="T427" s="8" t="b">
        <v>0</v>
      </c>
      <c r="U427" s="8" t="b">
        <v>0</v>
      </c>
      <c r="V427" s="8" t="b">
        <v>0</v>
      </c>
      <c r="X427" s="8" t="b">
        <v>0</v>
      </c>
      <c r="Y427" s="8" t="b">
        <v>0</v>
      </c>
      <c r="Z427" s="8" t="b">
        <v>0</v>
      </c>
      <c r="AA427" s="8" t="b">
        <v>0</v>
      </c>
      <c r="AB427" s="8" t="b">
        <v>0</v>
      </c>
      <c r="AC427" s="8" t="b">
        <v>0</v>
      </c>
      <c r="AD427" s="8" t="b">
        <v>1</v>
      </c>
      <c r="AE427" s="8" t="b">
        <v>0</v>
      </c>
      <c r="AG427" s="11" t="b" cm="1">
        <f t="array" ref="AG427">IF(OR(Y427:AA427="TRUE", AE427="true"), "Threatened")</f>
        <v>0</v>
      </c>
      <c r="AH427" s="11" t="s">
        <v>1338</v>
      </c>
      <c r="AI427" s="8" t="b">
        <v>1</v>
      </c>
    </row>
    <row r="428" spans="1:35" ht="31.2">
      <c r="A428" s="8">
        <v>-73.958936769999994</v>
      </c>
      <c r="B428" s="8">
        <v>40.789646529999999</v>
      </c>
      <c r="C428" s="8" t="s">
        <v>1339</v>
      </c>
      <c r="D428" s="8" t="s">
        <v>896</v>
      </c>
      <c r="E428" s="8" t="b">
        <f t="shared" si="6"/>
        <v>0</v>
      </c>
      <c r="F428" s="8" t="str" cm="1">
        <f t="array" ref="F428">_xlfn._xlws.FILTER(E428:E3626, C428:C3626= "6D-PM-1020-01", "No Squirrels Found")</f>
        <v>No Squirrels Found</v>
      </c>
      <c r="G428" s="8" t="s">
        <v>34</v>
      </c>
      <c r="H428" s="10">
        <v>10072018</v>
      </c>
      <c r="I428" s="10">
        <v>4</v>
      </c>
      <c r="J428" s="8" t="s">
        <v>39</v>
      </c>
      <c r="K428" s="8" t="s">
        <v>40</v>
      </c>
      <c r="M428" s="8" t="s">
        <v>55</v>
      </c>
      <c r="O428" s="8" t="s">
        <v>43</v>
      </c>
      <c r="P428" s="8" t="b">
        <v>0</v>
      </c>
      <c r="R428" s="8" t="b">
        <v>0</v>
      </c>
      <c r="S428" s="8" t="b">
        <v>0</v>
      </c>
      <c r="T428" s="8" t="b">
        <v>0</v>
      </c>
      <c r="U428" s="8" t="b">
        <v>0</v>
      </c>
      <c r="V428" s="8" t="b">
        <v>1</v>
      </c>
      <c r="X428" s="8" t="b">
        <v>0</v>
      </c>
      <c r="Y428" s="8" t="b">
        <v>0</v>
      </c>
      <c r="Z428" s="8" t="b">
        <v>0</v>
      </c>
      <c r="AA428" s="8" t="b">
        <v>1</v>
      </c>
      <c r="AB428" s="8" t="b">
        <v>0</v>
      </c>
      <c r="AC428" s="8" t="b">
        <v>0</v>
      </c>
      <c r="AD428" s="8" t="b">
        <v>0</v>
      </c>
      <c r="AE428" s="8" t="b">
        <v>1</v>
      </c>
      <c r="AG428" s="11" t="b" cm="1">
        <f t="array" ref="AG428">IF(OR(Y428:AA428="TRUE", AE428="true"), "Threatened")</f>
        <v>0</v>
      </c>
      <c r="AH428" s="11" t="s">
        <v>1340</v>
      </c>
      <c r="AI428" s="8" t="b">
        <v>1</v>
      </c>
    </row>
    <row r="429" spans="1:35" ht="31.2">
      <c r="A429" s="8">
        <v>-73.963628279999995</v>
      </c>
      <c r="B429" s="8">
        <v>40.780799459999997</v>
      </c>
      <c r="C429" s="8" t="s">
        <v>1341</v>
      </c>
      <c r="D429" s="8" t="s">
        <v>358</v>
      </c>
      <c r="E429" s="8" t="b">
        <f t="shared" si="6"/>
        <v>0</v>
      </c>
      <c r="F429" s="8" t="str" cm="1">
        <f t="array" ref="F429">_xlfn._xlws.FILTER(E429:E3627, C429:C3627= "6D-PM-1020-01", "No Squirrels Found")</f>
        <v>No Squirrels Found</v>
      </c>
      <c r="G429" s="8" t="s">
        <v>48</v>
      </c>
      <c r="H429" s="10">
        <v>10142018</v>
      </c>
      <c r="I429" s="10">
        <v>2</v>
      </c>
      <c r="J429" s="8" t="s">
        <v>39</v>
      </c>
      <c r="K429" s="8" t="s">
        <v>40</v>
      </c>
      <c r="L429" s="8" t="s">
        <v>84</v>
      </c>
      <c r="M429" s="8" t="s">
        <v>103</v>
      </c>
      <c r="O429" s="8" t="s">
        <v>50</v>
      </c>
      <c r="P429" s="8">
        <v>3</v>
      </c>
      <c r="Q429" s="8" t="s">
        <v>754</v>
      </c>
      <c r="R429" s="8" t="b">
        <v>0</v>
      </c>
      <c r="S429" s="8" t="b">
        <v>0</v>
      </c>
      <c r="T429" s="8" t="b">
        <v>1</v>
      </c>
      <c r="U429" s="8" t="b">
        <v>0</v>
      </c>
      <c r="V429" s="8" t="b">
        <v>0</v>
      </c>
      <c r="X429" s="8" t="b">
        <v>0</v>
      </c>
      <c r="Y429" s="8" t="b">
        <v>0</v>
      </c>
      <c r="Z429" s="8" t="b">
        <v>0</v>
      </c>
      <c r="AA429" s="8" t="b">
        <v>0</v>
      </c>
      <c r="AB429" s="8" t="b">
        <v>0</v>
      </c>
      <c r="AC429" s="8" t="b">
        <v>0</v>
      </c>
      <c r="AD429" s="8" t="b">
        <v>1</v>
      </c>
      <c r="AE429" s="8" t="b">
        <v>0</v>
      </c>
      <c r="AG429" s="11" t="b" cm="1">
        <f t="array" ref="AG429">IF(OR(Y429:AA429="TRUE", AE429="true"), "Threatened")</f>
        <v>0</v>
      </c>
      <c r="AH429" s="11" t="s">
        <v>1342</v>
      </c>
      <c r="AI429" s="8" t="b">
        <v>1</v>
      </c>
    </row>
    <row r="430" spans="1:35" ht="31.2">
      <c r="A430" s="8">
        <v>-73.969478409999994</v>
      </c>
      <c r="B430" s="8">
        <v>40.778773530000002</v>
      </c>
      <c r="C430" s="8" t="s">
        <v>1343</v>
      </c>
      <c r="D430" s="8" t="s">
        <v>721</v>
      </c>
      <c r="E430" s="8" t="b">
        <f t="shared" si="6"/>
        <v>0</v>
      </c>
      <c r="F430" s="8" t="str" cm="1">
        <f t="array" ref="F430">_xlfn._xlws.FILTER(E430:E3628, C430:C3628= "6D-PM-1020-01", "No Squirrels Found")</f>
        <v>No Squirrels Found</v>
      </c>
      <c r="G430" s="8" t="s">
        <v>34</v>
      </c>
      <c r="H430" s="10">
        <v>10102018</v>
      </c>
      <c r="I430" s="10">
        <v>1</v>
      </c>
      <c r="J430" s="8" t="s">
        <v>39</v>
      </c>
      <c r="K430" s="8" t="s">
        <v>40</v>
      </c>
      <c r="M430" s="8" t="s">
        <v>55</v>
      </c>
      <c r="O430" s="8" t="s">
        <v>43</v>
      </c>
      <c r="P430" s="8" t="b">
        <v>0</v>
      </c>
      <c r="R430" s="8" t="b">
        <v>1</v>
      </c>
      <c r="S430" s="8" t="b">
        <v>0</v>
      </c>
      <c r="T430" s="8" t="b">
        <v>0</v>
      </c>
      <c r="U430" s="8" t="b">
        <v>1</v>
      </c>
      <c r="V430" s="8" t="b">
        <v>1</v>
      </c>
      <c r="X430" s="8" t="b">
        <v>0</v>
      </c>
      <c r="Y430" s="8" t="b">
        <v>0</v>
      </c>
      <c r="Z430" s="8" t="b">
        <v>0</v>
      </c>
      <c r="AA430" s="8" t="b">
        <v>0</v>
      </c>
      <c r="AB430" s="8" t="b">
        <v>0</v>
      </c>
      <c r="AC430" s="8" t="b">
        <v>0</v>
      </c>
      <c r="AD430" s="8" t="b">
        <v>1</v>
      </c>
      <c r="AE430" s="8" t="b">
        <v>0</v>
      </c>
      <c r="AG430" s="11" t="b" cm="1">
        <f t="array" ref="AG430">IF(OR(Y430:AA430="TRUE", AE430="true"), "Threatened")</f>
        <v>0</v>
      </c>
      <c r="AH430" s="11" t="s">
        <v>1344</v>
      </c>
      <c r="AI430" s="8" t="b">
        <v>1</v>
      </c>
    </row>
    <row r="431" spans="1:35" ht="31.2">
      <c r="A431" s="8">
        <v>-73.971011680000004</v>
      </c>
      <c r="B431" s="8">
        <v>40.772368929999999</v>
      </c>
      <c r="C431" s="8" t="s">
        <v>1345</v>
      </c>
      <c r="D431" s="8" t="s">
        <v>609</v>
      </c>
      <c r="E431" s="8" t="b">
        <f t="shared" si="6"/>
        <v>0</v>
      </c>
      <c r="F431" s="8" t="str" cm="1">
        <f t="array" ref="F431">_xlfn._xlws.FILTER(E431:E3629, C431:C3629= "6D-PM-1020-01", "No Squirrels Found")</f>
        <v>No Squirrels Found</v>
      </c>
      <c r="G431" s="8" t="s">
        <v>34</v>
      </c>
      <c r="H431" s="10">
        <v>10172018</v>
      </c>
      <c r="I431" s="10">
        <v>8</v>
      </c>
      <c r="J431" s="8" t="s">
        <v>39</v>
      </c>
      <c r="K431" s="8" t="s">
        <v>192</v>
      </c>
      <c r="L431" s="8" t="s">
        <v>41</v>
      </c>
      <c r="M431" s="8" t="s">
        <v>717</v>
      </c>
      <c r="O431" s="8" t="s">
        <v>50</v>
      </c>
      <c r="P431" s="8">
        <v>10</v>
      </c>
      <c r="R431" s="8" t="b">
        <v>0</v>
      </c>
      <c r="S431" s="8" t="b">
        <v>0</v>
      </c>
      <c r="T431" s="8" t="b">
        <v>1</v>
      </c>
      <c r="U431" s="8" t="b">
        <v>0</v>
      </c>
      <c r="V431" s="8" t="b">
        <v>0</v>
      </c>
      <c r="X431" s="8" t="b">
        <v>0</v>
      </c>
      <c r="Y431" s="8" t="b">
        <v>0</v>
      </c>
      <c r="Z431" s="8" t="b">
        <v>0</v>
      </c>
      <c r="AA431" s="8" t="b">
        <v>0</v>
      </c>
      <c r="AB431" s="8" t="b">
        <v>0</v>
      </c>
      <c r="AC431" s="8" t="b">
        <v>0</v>
      </c>
      <c r="AD431" s="8" t="b">
        <v>0</v>
      </c>
      <c r="AE431" s="8" t="b">
        <v>0</v>
      </c>
      <c r="AG431" s="11" t="b" cm="1">
        <f t="array" ref="AG431">IF(OR(Y431:AA431="TRUE", AE431="true"), "Threatened")</f>
        <v>0</v>
      </c>
      <c r="AH431" s="11" t="s">
        <v>1346</v>
      </c>
      <c r="AI431" s="8" t="b">
        <v>1</v>
      </c>
    </row>
    <row r="432" spans="1:35" ht="62.4">
      <c r="A432" s="8">
        <v>-73.975743600000001</v>
      </c>
      <c r="B432" s="8">
        <v>40.774606439999999</v>
      </c>
      <c r="C432" s="8" t="s">
        <v>1347</v>
      </c>
      <c r="D432" s="8" t="s">
        <v>472</v>
      </c>
      <c r="E432" s="8" t="b">
        <f t="shared" si="6"/>
        <v>0</v>
      </c>
      <c r="F432" s="8" t="str" cm="1">
        <f t="array" ref="F432">_xlfn._xlws.FILTER(E432:E3630, C432:C3630= "6D-PM-1020-01", "No Squirrels Found")</f>
        <v>No Squirrels Found</v>
      </c>
      <c r="G432" s="8" t="s">
        <v>34</v>
      </c>
      <c r="H432" s="10">
        <v>10142018</v>
      </c>
      <c r="I432" s="10">
        <v>1</v>
      </c>
      <c r="J432" s="8" t="s">
        <v>39</v>
      </c>
      <c r="K432" s="8" t="s">
        <v>40</v>
      </c>
      <c r="L432" s="8" t="s">
        <v>84</v>
      </c>
      <c r="M432" s="8" t="s">
        <v>103</v>
      </c>
      <c r="O432" s="8" t="s">
        <v>43</v>
      </c>
      <c r="P432" s="8" t="b">
        <v>0</v>
      </c>
      <c r="Q432" s="8" t="s">
        <v>1348</v>
      </c>
      <c r="R432" s="8" t="b">
        <v>0</v>
      </c>
      <c r="S432" s="8" t="b">
        <v>0</v>
      </c>
      <c r="T432" s="8" t="b">
        <v>0</v>
      </c>
      <c r="U432" s="8" t="b">
        <v>0</v>
      </c>
      <c r="V432" s="8" t="b">
        <v>1</v>
      </c>
      <c r="X432" s="8" t="b">
        <v>0</v>
      </c>
      <c r="Y432" s="8" t="b">
        <v>0</v>
      </c>
      <c r="Z432" s="8" t="b">
        <v>0</v>
      </c>
      <c r="AA432" s="8" t="b">
        <v>0</v>
      </c>
      <c r="AB432" s="8" t="b">
        <v>1</v>
      </c>
      <c r="AC432" s="8" t="b">
        <v>0</v>
      </c>
      <c r="AD432" s="8" t="b">
        <v>0</v>
      </c>
      <c r="AE432" s="8" t="b">
        <v>0</v>
      </c>
      <c r="AF432" s="11" t="s">
        <v>1349</v>
      </c>
      <c r="AG432" s="11" t="b" cm="1">
        <f t="array" ref="AG432">IF(OR(Y432:AA432="TRUE", AE432="true"), "Threatened")</f>
        <v>0</v>
      </c>
      <c r="AH432" s="11" t="s">
        <v>1350</v>
      </c>
      <c r="AI432" s="8" t="b">
        <v>1</v>
      </c>
    </row>
    <row r="433" spans="1:35" ht="31.2">
      <c r="A433" s="8">
        <v>-73.97577871</v>
      </c>
      <c r="B433" s="8">
        <v>40.773723140000001</v>
      </c>
      <c r="C433" s="8" t="s">
        <v>1351</v>
      </c>
      <c r="D433" s="8" t="s">
        <v>802</v>
      </c>
      <c r="E433" s="8" t="b">
        <f t="shared" si="6"/>
        <v>0</v>
      </c>
      <c r="F433" s="8" t="str" cm="1">
        <f t="array" ref="F433">_xlfn._xlws.FILTER(E433:E3631, C433:C3631= "6D-PM-1020-01", "No Squirrels Found")</f>
        <v>No Squirrels Found</v>
      </c>
      <c r="G433" s="8" t="s">
        <v>34</v>
      </c>
      <c r="H433" s="10">
        <v>10132018</v>
      </c>
      <c r="I433" s="10">
        <v>3</v>
      </c>
      <c r="J433" s="8" t="s">
        <v>54</v>
      </c>
      <c r="K433" s="8" t="s">
        <v>41</v>
      </c>
      <c r="L433" s="8" t="s">
        <v>40</v>
      </c>
      <c r="M433" s="8" t="s">
        <v>110</v>
      </c>
      <c r="O433" s="8" t="s">
        <v>43</v>
      </c>
      <c r="P433" s="8" t="b">
        <v>0</v>
      </c>
      <c r="R433" s="8" t="b">
        <v>0</v>
      </c>
      <c r="S433" s="8" t="b">
        <v>0</v>
      </c>
      <c r="T433" s="8" t="b">
        <v>0</v>
      </c>
      <c r="U433" s="8" t="b">
        <v>0</v>
      </c>
      <c r="V433" s="8" t="b">
        <v>1</v>
      </c>
      <c r="X433" s="8" t="b">
        <v>0</v>
      </c>
      <c r="Y433" s="8" t="b">
        <v>0</v>
      </c>
      <c r="Z433" s="8" t="b">
        <v>0</v>
      </c>
      <c r="AA433" s="8" t="b">
        <v>0</v>
      </c>
      <c r="AB433" s="8" t="b">
        <v>1</v>
      </c>
      <c r="AC433" s="8" t="b">
        <v>0</v>
      </c>
      <c r="AD433" s="8" t="b">
        <v>1</v>
      </c>
      <c r="AE433" s="8" t="b">
        <v>0</v>
      </c>
      <c r="AG433" s="11" t="b" cm="1">
        <f t="array" ref="AG433">IF(OR(Y433:AA433="TRUE", AE433="true"), "Threatened")</f>
        <v>0</v>
      </c>
      <c r="AH433" s="11" t="s">
        <v>1352</v>
      </c>
      <c r="AI433" s="8" t="b">
        <v>1</v>
      </c>
    </row>
    <row r="434" spans="1:35" ht="31.2">
      <c r="A434" s="8">
        <v>-73.955847469999995</v>
      </c>
      <c r="B434" s="8">
        <v>40.791333549999997</v>
      </c>
      <c r="C434" s="8" t="s">
        <v>1353</v>
      </c>
      <c r="D434" s="8" t="s">
        <v>1354</v>
      </c>
      <c r="E434" s="8" t="b">
        <f t="shared" si="6"/>
        <v>0</v>
      </c>
      <c r="F434" s="8" t="str" cm="1">
        <f t="array" ref="F434">_xlfn._xlws.FILTER(E434:E3632, C434:C3632= "6D-PM-1020-01", "No Squirrels Found")</f>
        <v>No Squirrels Found</v>
      </c>
      <c r="G434" s="8" t="s">
        <v>48</v>
      </c>
      <c r="H434" s="10">
        <v>10072018</v>
      </c>
      <c r="I434" s="10">
        <v>1</v>
      </c>
      <c r="J434" s="8" t="s">
        <v>39</v>
      </c>
      <c r="K434" s="8" t="s">
        <v>40</v>
      </c>
      <c r="L434" s="8" t="s">
        <v>41</v>
      </c>
      <c r="M434" s="8" t="s">
        <v>42</v>
      </c>
      <c r="O434" s="8" t="s">
        <v>50</v>
      </c>
      <c r="P434" s="8">
        <v>40</v>
      </c>
      <c r="Q434" s="8" t="s">
        <v>206</v>
      </c>
      <c r="R434" s="8" t="b">
        <v>0</v>
      </c>
      <c r="S434" s="8" t="b">
        <v>0</v>
      </c>
      <c r="T434" s="8" t="b">
        <v>0</v>
      </c>
      <c r="U434" s="8" t="b">
        <v>0</v>
      </c>
      <c r="V434" s="8" t="b">
        <v>0</v>
      </c>
      <c r="X434" s="8" t="b">
        <v>1</v>
      </c>
      <c r="Y434" s="8" t="b">
        <v>1</v>
      </c>
      <c r="Z434" s="8" t="b">
        <v>0</v>
      </c>
      <c r="AA434" s="8" t="b">
        <v>0</v>
      </c>
      <c r="AB434" s="8" t="b">
        <v>0</v>
      </c>
      <c r="AC434" s="8" t="b">
        <v>0</v>
      </c>
      <c r="AD434" s="8" t="b">
        <v>0</v>
      </c>
      <c r="AE434" s="8" t="b">
        <v>0</v>
      </c>
      <c r="AG434" s="11" t="b" cm="1">
        <f t="array" ref="AG434">IF(OR(Y434:AA434="TRUE", AE434="true"), "Threatened")</f>
        <v>0</v>
      </c>
      <c r="AH434" s="11" t="s">
        <v>1355</v>
      </c>
      <c r="AI434" s="8" t="b">
        <v>1</v>
      </c>
    </row>
    <row r="435" spans="1:35" ht="31.2">
      <c r="A435" s="8">
        <v>-73.967663970000004</v>
      </c>
      <c r="B435" s="8">
        <v>40.774536959999999</v>
      </c>
      <c r="C435" s="8" t="s">
        <v>1356</v>
      </c>
      <c r="D435" s="8" t="s">
        <v>205</v>
      </c>
      <c r="E435" s="8" t="b">
        <f t="shared" si="6"/>
        <v>0</v>
      </c>
      <c r="F435" s="8" t="str" cm="1">
        <f t="array" ref="F435">_xlfn._xlws.FILTER(E435:E3633, C435:C3633= "6D-PM-1020-01", "No Squirrels Found")</f>
        <v>No Squirrels Found</v>
      </c>
      <c r="G435" s="8" t="s">
        <v>34</v>
      </c>
      <c r="H435" s="10">
        <v>10102018</v>
      </c>
      <c r="I435" s="10">
        <v>7</v>
      </c>
      <c r="J435" s="8" t="s">
        <v>39</v>
      </c>
      <c r="K435" s="8" t="s">
        <v>40</v>
      </c>
      <c r="M435" s="8" t="s">
        <v>55</v>
      </c>
      <c r="O435" s="8" t="s">
        <v>43</v>
      </c>
      <c r="P435" s="8" t="b">
        <v>0</v>
      </c>
      <c r="R435" s="8" t="b">
        <v>1</v>
      </c>
      <c r="S435" s="8" t="b">
        <v>0</v>
      </c>
      <c r="T435" s="8" t="b">
        <v>0</v>
      </c>
      <c r="U435" s="8" t="b">
        <v>0</v>
      </c>
      <c r="V435" s="8" t="b">
        <v>0</v>
      </c>
      <c r="X435" s="8" t="b">
        <v>0</v>
      </c>
      <c r="Y435" s="8" t="b">
        <v>0</v>
      </c>
      <c r="Z435" s="8" t="b">
        <v>0</v>
      </c>
      <c r="AA435" s="8" t="b">
        <v>0</v>
      </c>
      <c r="AB435" s="8" t="b">
        <v>0</v>
      </c>
      <c r="AC435" s="8" t="b">
        <v>0</v>
      </c>
      <c r="AD435" s="8" t="b">
        <v>0</v>
      </c>
      <c r="AE435" s="8" t="b">
        <v>1</v>
      </c>
      <c r="AG435" s="11" t="b" cm="1">
        <f t="array" ref="AG435">IF(OR(Y435:AA435="TRUE", AE435="true"), "Threatened")</f>
        <v>0</v>
      </c>
      <c r="AH435" s="11" t="s">
        <v>1357</v>
      </c>
      <c r="AI435" s="8" t="b">
        <v>1</v>
      </c>
    </row>
    <row r="436" spans="1:35" ht="31.2">
      <c r="A436" s="8">
        <v>-73.970296309999995</v>
      </c>
      <c r="B436" s="8">
        <v>40.769792870000003</v>
      </c>
      <c r="C436" s="8" t="s">
        <v>1358</v>
      </c>
      <c r="D436" s="8" t="s">
        <v>113</v>
      </c>
      <c r="E436" s="8" t="b">
        <f t="shared" si="6"/>
        <v>0</v>
      </c>
      <c r="F436" s="8" t="str" cm="1">
        <f t="array" ref="F436">_xlfn._xlws.FILTER(E436:E3634, C436:C3634= "6D-PM-1020-01", "No Squirrels Found")</f>
        <v>No Squirrels Found</v>
      </c>
      <c r="G436" s="8" t="s">
        <v>48</v>
      </c>
      <c r="H436" s="10">
        <v>10062018</v>
      </c>
      <c r="I436" s="10">
        <v>11</v>
      </c>
      <c r="J436" s="8" t="s">
        <v>39</v>
      </c>
      <c r="K436" s="8" t="s">
        <v>40</v>
      </c>
      <c r="L436" s="8" t="s">
        <v>41</v>
      </c>
      <c r="M436" s="8" t="s">
        <v>42</v>
      </c>
      <c r="O436" s="8" t="s">
        <v>43</v>
      </c>
      <c r="P436" s="8" t="b">
        <v>0</v>
      </c>
      <c r="R436" s="8" t="b">
        <v>0</v>
      </c>
      <c r="S436" s="8" t="b">
        <v>0</v>
      </c>
      <c r="T436" s="8" t="b">
        <v>0</v>
      </c>
      <c r="U436" s="8" t="b">
        <v>0</v>
      </c>
      <c r="V436" s="8" t="b">
        <v>1</v>
      </c>
      <c r="X436" s="8" t="b">
        <v>0</v>
      </c>
      <c r="Y436" s="8" t="b">
        <v>0</v>
      </c>
      <c r="Z436" s="8" t="b">
        <v>0</v>
      </c>
      <c r="AA436" s="8" t="b">
        <v>0</v>
      </c>
      <c r="AB436" s="8" t="b">
        <v>0</v>
      </c>
      <c r="AC436" s="8" t="b">
        <v>1</v>
      </c>
      <c r="AD436" s="8" t="b">
        <v>0</v>
      </c>
      <c r="AE436" s="8" t="b">
        <v>0</v>
      </c>
      <c r="AG436" s="11" t="b" cm="1">
        <f t="array" ref="AG436">IF(OR(Y436:AA436="TRUE", AE436="true"), "Threatened")</f>
        <v>0</v>
      </c>
      <c r="AH436" s="11" t="s">
        <v>1359</v>
      </c>
      <c r="AI436" s="8" t="b">
        <v>1</v>
      </c>
    </row>
    <row r="437" spans="1:35" ht="31.2">
      <c r="A437" s="8">
        <v>-73.97346958</v>
      </c>
      <c r="B437" s="8">
        <v>40.771629750000002</v>
      </c>
      <c r="C437" s="8" t="s">
        <v>1360</v>
      </c>
      <c r="D437" s="8" t="s">
        <v>1209</v>
      </c>
      <c r="E437" s="8" t="b">
        <f t="shared" si="6"/>
        <v>0</v>
      </c>
      <c r="F437" s="8" t="str" cm="1">
        <f t="array" ref="F437">_xlfn._xlws.FILTER(E437:E3635, C437:C3635= "6D-PM-1020-01", "No Squirrels Found")</f>
        <v>No Squirrels Found</v>
      </c>
      <c r="G437" s="8" t="s">
        <v>34</v>
      </c>
      <c r="H437" s="10">
        <v>10082018</v>
      </c>
      <c r="I437" s="10">
        <v>5</v>
      </c>
      <c r="J437" s="8" t="s">
        <v>39</v>
      </c>
      <c r="K437" s="8" t="s">
        <v>40</v>
      </c>
      <c r="L437" s="8" t="s">
        <v>84</v>
      </c>
      <c r="M437" s="8" t="s">
        <v>103</v>
      </c>
      <c r="O437" s="8" t="s">
        <v>43</v>
      </c>
      <c r="P437" s="8" t="b">
        <v>0</v>
      </c>
      <c r="Q437" s="8" t="s">
        <v>1361</v>
      </c>
      <c r="R437" s="8" t="b">
        <v>0</v>
      </c>
      <c r="S437" s="8" t="b">
        <v>0</v>
      </c>
      <c r="T437" s="8" t="b">
        <v>0</v>
      </c>
      <c r="U437" s="8" t="b">
        <v>1</v>
      </c>
      <c r="V437" s="8" t="b">
        <v>1</v>
      </c>
      <c r="X437" s="8" t="b">
        <v>0</v>
      </c>
      <c r="Y437" s="8" t="b">
        <v>0</v>
      </c>
      <c r="Z437" s="8" t="b">
        <v>0</v>
      </c>
      <c r="AA437" s="8" t="b">
        <v>0</v>
      </c>
      <c r="AB437" s="8" t="b">
        <v>0</v>
      </c>
      <c r="AC437" s="8" t="b">
        <v>0</v>
      </c>
      <c r="AD437" s="8" t="b">
        <v>0</v>
      </c>
      <c r="AE437" s="8" t="b">
        <v>0</v>
      </c>
      <c r="AG437" s="11" t="b" cm="1">
        <f t="array" ref="AG437">IF(OR(Y437:AA437="TRUE", AE437="true"), "Threatened")</f>
        <v>0</v>
      </c>
      <c r="AH437" s="11" t="s">
        <v>1362</v>
      </c>
      <c r="AI437" s="8" t="b">
        <v>1</v>
      </c>
    </row>
    <row r="438" spans="1:35" ht="31.2">
      <c r="A438" s="8">
        <v>-73.979395210000007</v>
      </c>
      <c r="B438" s="8">
        <v>40.770783770000001</v>
      </c>
      <c r="C438" s="8" t="s">
        <v>1363</v>
      </c>
      <c r="D438" s="8" t="s">
        <v>1364</v>
      </c>
      <c r="E438" s="8" t="b">
        <f t="shared" si="6"/>
        <v>0</v>
      </c>
      <c r="F438" s="8" t="str" cm="1">
        <f t="array" ref="F438">_xlfn._xlws.FILTER(E438:E3636, C438:C3636= "6D-PM-1020-01", "No Squirrels Found")</f>
        <v>No Squirrels Found</v>
      </c>
      <c r="G438" s="8" t="s">
        <v>34</v>
      </c>
      <c r="H438" s="10">
        <v>10072018</v>
      </c>
      <c r="I438" s="10">
        <v>3</v>
      </c>
      <c r="J438" s="8" t="s">
        <v>39</v>
      </c>
      <c r="K438" s="8" t="s">
        <v>40</v>
      </c>
      <c r="L438" s="8" t="s">
        <v>84</v>
      </c>
      <c r="M438" s="8" t="s">
        <v>103</v>
      </c>
      <c r="O438" s="8" t="s">
        <v>43</v>
      </c>
      <c r="P438" s="8" t="b">
        <v>0</v>
      </c>
      <c r="Q438" s="8" t="s">
        <v>1365</v>
      </c>
      <c r="R438" s="8" t="b">
        <v>0</v>
      </c>
      <c r="S438" s="8" t="b">
        <v>0</v>
      </c>
      <c r="T438" s="8" t="b">
        <v>0</v>
      </c>
      <c r="U438" s="8" t="b">
        <v>1</v>
      </c>
      <c r="V438" s="8" t="b">
        <v>1</v>
      </c>
      <c r="X438" s="8" t="b">
        <v>0</v>
      </c>
      <c r="Y438" s="8" t="b">
        <v>0</v>
      </c>
      <c r="Z438" s="8" t="b">
        <v>0</v>
      </c>
      <c r="AA438" s="8" t="b">
        <v>0</v>
      </c>
      <c r="AB438" s="8" t="b">
        <v>0</v>
      </c>
      <c r="AC438" s="8" t="b">
        <v>0</v>
      </c>
      <c r="AD438" s="8" t="b">
        <v>1</v>
      </c>
      <c r="AE438" s="8" t="b">
        <v>0</v>
      </c>
      <c r="AG438" s="11" t="b" cm="1">
        <f t="array" ref="AG438">IF(OR(Y438:AA438="TRUE", AE438="true"), "Threatened")</f>
        <v>0</v>
      </c>
      <c r="AH438" s="11" t="s">
        <v>1366</v>
      </c>
      <c r="AI438" s="8" t="b">
        <v>1</v>
      </c>
    </row>
    <row r="439" spans="1:35" ht="31.2">
      <c r="A439" s="8">
        <v>-73.952574749999997</v>
      </c>
      <c r="B439" s="8">
        <v>40.797725739999997</v>
      </c>
      <c r="C439" s="8" t="s">
        <v>1367</v>
      </c>
      <c r="D439" s="8" t="s">
        <v>1368</v>
      </c>
      <c r="E439" s="8" t="b">
        <f t="shared" si="6"/>
        <v>0</v>
      </c>
      <c r="F439" s="8" t="str" cm="1">
        <f t="array" ref="F439">_xlfn._xlws.FILTER(E439:E3637, C439:C3637= "6D-PM-1020-01", "No Squirrels Found")</f>
        <v>No Squirrels Found</v>
      </c>
      <c r="G439" s="8" t="s">
        <v>34</v>
      </c>
      <c r="H439" s="10">
        <v>10172018</v>
      </c>
      <c r="I439" s="10">
        <v>2</v>
      </c>
      <c r="J439" s="8" t="s">
        <v>39</v>
      </c>
      <c r="K439" s="8" t="s">
        <v>40</v>
      </c>
      <c r="L439" s="8" t="s">
        <v>41</v>
      </c>
      <c r="M439" s="8" t="s">
        <v>42</v>
      </c>
      <c r="O439" s="8" t="s">
        <v>43</v>
      </c>
      <c r="P439" s="8" t="b">
        <v>0</v>
      </c>
      <c r="R439" s="8" t="b">
        <v>1</v>
      </c>
      <c r="S439" s="8" t="b">
        <v>0</v>
      </c>
      <c r="T439" s="8" t="b">
        <v>0</v>
      </c>
      <c r="U439" s="8" t="b">
        <v>0</v>
      </c>
      <c r="V439" s="8" t="b">
        <v>0</v>
      </c>
      <c r="W439" s="11" t="s">
        <v>1369</v>
      </c>
      <c r="X439" s="8" t="b">
        <v>0</v>
      </c>
      <c r="Y439" s="8" t="b">
        <v>0</v>
      </c>
      <c r="Z439" s="8" t="b">
        <v>0</v>
      </c>
      <c r="AA439" s="8" t="b">
        <v>0</v>
      </c>
      <c r="AB439" s="8" t="b">
        <v>0</v>
      </c>
      <c r="AC439" s="8" t="b">
        <v>0</v>
      </c>
      <c r="AD439" s="8" t="b">
        <v>1</v>
      </c>
      <c r="AE439" s="8" t="b">
        <v>0</v>
      </c>
      <c r="AG439" s="11" t="b" cm="1">
        <f t="array" ref="AG439">IF(OR(Y439:AA439="TRUE", AE439="true"), "Threatened")</f>
        <v>0</v>
      </c>
      <c r="AH439" s="11" t="s">
        <v>1370</v>
      </c>
      <c r="AI439" s="8" t="b">
        <v>0</v>
      </c>
    </row>
    <row r="440" spans="1:35" ht="31.2">
      <c r="A440" s="8">
        <v>-73.958977020000006</v>
      </c>
      <c r="B440" s="8">
        <v>40.791240539999997</v>
      </c>
      <c r="C440" s="8" t="s">
        <v>1371</v>
      </c>
      <c r="D440" s="8" t="s">
        <v>1214</v>
      </c>
      <c r="E440" s="8" t="b">
        <f t="shared" si="6"/>
        <v>0</v>
      </c>
      <c r="F440" s="8" t="str" cm="1">
        <f t="array" ref="F440">_xlfn._xlws.FILTER(E440:E3638, C440:C3638= "6D-PM-1020-01", "No Squirrels Found")</f>
        <v>No Squirrels Found</v>
      </c>
      <c r="G440" s="8" t="s">
        <v>48</v>
      </c>
      <c r="H440" s="10">
        <v>10142018</v>
      </c>
      <c r="I440" s="10">
        <v>5</v>
      </c>
      <c r="J440" s="8" t="s">
        <v>39</v>
      </c>
      <c r="K440" s="8" t="s">
        <v>40</v>
      </c>
      <c r="L440" s="8" t="s">
        <v>84</v>
      </c>
      <c r="M440" s="8" t="s">
        <v>103</v>
      </c>
      <c r="O440" s="8" t="s">
        <v>43</v>
      </c>
      <c r="P440" s="8" t="b">
        <v>0</v>
      </c>
      <c r="R440" s="8" t="b">
        <v>0</v>
      </c>
      <c r="S440" s="8" t="b">
        <v>0</v>
      </c>
      <c r="T440" s="8" t="b">
        <v>0</v>
      </c>
      <c r="U440" s="8" t="b">
        <v>0</v>
      </c>
      <c r="V440" s="8" t="b">
        <v>1</v>
      </c>
      <c r="X440" s="8" t="b">
        <v>0</v>
      </c>
      <c r="Y440" s="8" t="b">
        <v>0</v>
      </c>
      <c r="Z440" s="8" t="b">
        <v>0</v>
      </c>
      <c r="AA440" s="8" t="b">
        <v>0</v>
      </c>
      <c r="AB440" s="8" t="b">
        <v>0</v>
      </c>
      <c r="AC440" s="8" t="b">
        <v>0</v>
      </c>
      <c r="AD440" s="8" t="b">
        <v>1</v>
      </c>
      <c r="AE440" s="8" t="b">
        <v>0</v>
      </c>
      <c r="AG440" s="11" t="b" cm="1">
        <f t="array" ref="AG440">IF(OR(Y440:AA440="TRUE", AE440="true"), "Threatened")</f>
        <v>0</v>
      </c>
      <c r="AH440" s="11" t="s">
        <v>1372</v>
      </c>
      <c r="AI440" s="8" t="b">
        <v>1</v>
      </c>
    </row>
    <row r="441" spans="1:35" ht="31.2">
      <c r="A441" s="8">
        <v>-73.964271740000001</v>
      </c>
      <c r="B441" s="8">
        <v>40.782087050000001</v>
      </c>
      <c r="C441" s="8" t="s">
        <v>1373</v>
      </c>
      <c r="D441" s="8" t="s">
        <v>177</v>
      </c>
      <c r="E441" s="8" t="b">
        <f t="shared" si="6"/>
        <v>0</v>
      </c>
      <c r="F441" s="8" t="str" cm="1">
        <f t="array" ref="F441">_xlfn._xlws.FILTER(E441:E3639, C441:C3639= "6D-PM-1020-01", "No Squirrels Found")</f>
        <v>No Squirrels Found</v>
      </c>
      <c r="G441" s="8" t="s">
        <v>48</v>
      </c>
      <c r="H441" s="10">
        <v>10072018</v>
      </c>
      <c r="I441" s="10">
        <v>5</v>
      </c>
      <c r="J441" s="8" t="s">
        <v>39</v>
      </c>
      <c r="K441" s="8" t="s">
        <v>40</v>
      </c>
      <c r="L441" s="8" t="s">
        <v>84</v>
      </c>
      <c r="M441" s="8" t="s">
        <v>103</v>
      </c>
      <c r="O441" s="8" t="s">
        <v>50</v>
      </c>
      <c r="P441" s="8">
        <v>10</v>
      </c>
      <c r="Q441" s="8" t="s">
        <v>206</v>
      </c>
      <c r="R441" s="8" t="b">
        <v>0</v>
      </c>
      <c r="S441" s="8" t="b">
        <v>0</v>
      </c>
      <c r="T441" s="8" t="b">
        <v>1</v>
      </c>
      <c r="U441" s="8" t="b">
        <v>0</v>
      </c>
      <c r="V441" s="8" t="b">
        <v>0</v>
      </c>
      <c r="X441" s="8" t="b">
        <v>0</v>
      </c>
      <c r="Y441" s="8" t="b">
        <v>0</v>
      </c>
      <c r="Z441" s="8" t="b">
        <v>0</v>
      </c>
      <c r="AA441" s="8" t="b">
        <v>0</v>
      </c>
      <c r="AB441" s="8" t="b">
        <v>0</v>
      </c>
      <c r="AC441" s="8" t="b">
        <v>0</v>
      </c>
      <c r="AD441" s="8" t="b">
        <v>1</v>
      </c>
      <c r="AE441" s="8" t="b">
        <v>0</v>
      </c>
      <c r="AG441" s="11" t="b" cm="1">
        <f t="array" ref="AG441">IF(OR(Y441:AA441="TRUE", AE441="true"), "Threatened")</f>
        <v>0</v>
      </c>
      <c r="AH441" s="11" t="s">
        <v>1374</v>
      </c>
      <c r="AI441" s="8" t="b">
        <v>1</v>
      </c>
    </row>
    <row r="442" spans="1:35" ht="31.2">
      <c r="A442" s="8">
        <v>-73.974297340000007</v>
      </c>
      <c r="B442" s="8">
        <v>40.769180159999998</v>
      </c>
      <c r="C442" s="8" t="s">
        <v>1375</v>
      </c>
      <c r="D442" s="8" t="s">
        <v>264</v>
      </c>
      <c r="E442" s="8" t="b">
        <f t="shared" si="6"/>
        <v>0</v>
      </c>
      <c r="F442" s="8" t="str" cm="1">
        <f t="array" ref="F442">_xlfn._xlws.FILTER(E442:E3640, C442:C3640= "6D-PM-1020-01", "No Squirrels Found")</f>
        <v>No Squirrels Found</v>
      </c>
      <c r="G442" s="8" t="s">
        <v>48</v>
      </c>
      <c r="H442" s="10">
        <v>10072018</v>
      </c>
      <c r="I442" s="10">
        <v>4</v>
      </c>
      <c r="J442" s="8" t="s">
        <v>39</v>
      </c>
      <c r="K442" s="8" t="s">
        <v>40</v>
      </c>
      <c r="L442" s="8" t="s">
        <v>41</v>
      </c>
      <c r="M442" s="8" t="s">
        <v>42</v>
      </c>
      <c r="O442" s="8" t="s">
        <v>50</v>
      </c>
      <c r="Q442" s="8" t="s">
        <v>1376</v>
      </c>
      <c r="R442" s="8" t="b">
        <v>0</v>
      </c>
      <c r="S442" s="8" t="b">
        <v>0</v>
      </c>
      <c r="T442" s="8" t="b">
        <v>0</v>
      </c>
      <c r="U442" s="8" t="b">
        <v>1</v>
      </c>
      <c r="V442" s="8" t="b">
        <v>1</v>
      </c>
      <c r="X442" s="8" t="b">
        <v>0</v>
      </c>
      <c r="Y442" s="8" t="b">
        <v>0</v>
      </c>
      <c r="Z442" s="8" t="b">
        <v>0</v>
      </c>
      <c r="AA442" s="8" t="b">
        <v>0</v>
      </c>
      <c r="AB442" s="8" t="b">
        <v>0</v>
      </c>
      <c r="AC442" s="8" t="b">
        <v>0</v>
      </c>
      <c r="AD442" s="8" t="b">
        <v>0</v>
      </c>
      <c r="AE442" s="8" t="b">
        <v>0</v>
      </c>
      <c r="AG442" s="11" t="b" cm="1">
        <f t="array" ref="AG442">IF(OR(Y442:AA442="TRUE", AE442="true"), "Threatened")</f>
        <v>0</v>
      </c>
      <c r="AH442" s="11" t="s">
        <v>1377</v>
      </c>
      <c r="AI442" s="8" t="b">
        <v>1</v>
      </c>
    </row>
    <row r="443" spans="1:35" ht="31.2">
      <c r="A443" s="8">
        <v>-73.950246629999995</v>
      </c>
      <c r="B443" s="8">
        <v>40.795922879999999</v>
      </c>
      <c r="C443" s="8" t="s">
        <v>1378</v>
      </c>
      <c r="D443" s="8" t="s">
        <v>1379</v>
      </c>
      <c r="E443" s="8" t="b">
        <f t="shared" si="6"/>
        <v>0</v>
      </c>
      <c r="F443" s="8" t="str" cm="1">
        <f t="array" ref="F443">_xlfn._xlws.FILTER(E443:E3641, C443:C3641= "6D-PM-1020-01", "No Squirrels Found")</f>
        <v>No Squirrels Found</v>
      </c>
      <c r="G443" s="8" t="s">
        <v>48</v>
      </c>
      <c r="H443" s="10">
        <v>10182018</v>
      </c>
      <c r="I443" s="10">
        <v>2</v>
      </c>
      <c r="J443" s="8" t="s">
        <v>54</v>
      </c>
      <c r="K443" s="8" t="s">
        <v>40</v>
      </c>
      <c r="M443" s="8" t="s">
        <v>55</v>
      </c>
      <c r="O443" s="8" t="s">
        <v>43</v>
      </c>
      <c r="P443" s="8" t="b">
        <v>0</v>
      </c>
      <c r="R443" s="8" t="b">
        <v>1</v>
      </c>
      <c r="S443" s="8" t="b">
        <v>0</v>
      </c>
      <c r="T443" s="8" t="b">
        <v>0</v>
      </c>
      <c r="U443" s="8" t="b">
        <v>0</v>
      </c>
      <c r="V443" s="8" t="b">
        <v>1</v>
      </c>
      <c r="X443" s="8" t="b">
        <v>0</v>
      </c>
      <c r="Y443" s="8" t="b">
        <v>0</v>
      </c>
      <c r="Z443" s="8" t="b">
        <v>0</v>
      </c>
      <c r="AA443" s="8" t="b">
        <v>0</v>
      </c>
      <c r="AB443" s="8" t="b">
        <v>0</v>
      </c>
      <c r="AC443" s="8" t="b">
        <v>0</v>
      </c>
      <c r="AD443" s="8" t="b">
        <v>0</v>
      </c>
      <c r="AE443" s="8" t="b">
        <v>0</v>
      </c>
      <c r="AF443" s="11" t="s">
        <v>1380</v>
      </c>
      <c r="AG443" s="11" t="b" cm="1">
        <f t="array" ref="AG443">IF(OR(Y443:AA443="TRUE", AE443="true"), "Threatened")</f>
        <v>0</v>
      </c>
      <c r="AH443" s="11" t="s">
        <v>1381</v>
      </c>
      <c r="AI443" s="8" t="b">
        <v>1</v>
      </c>
    </row>
    <row r="444" spans="1:35" ht="31.2">
      <c r="A444" s="8">
        <v>-73.972088729999996</v>
      </c>
      <c r="B444" s="8">
        <v>40.776079950000003</v>
      </c>
      <c r="C444" s="8" t="s">
        <v>1382</v>
      </c>
      <c r="D444" s="8" t="s">
        <v>426</v>
      </c>
      <c r="E444" s="8" t="b">
        <f t="shared" si="6"/>
        <v>0</v>
      </c>
      <c r="F444" s="8" t="str" cm="1">
        <f t="array" ref="F444">_xlfn._xlws.FILTER(E444:E3642, C444:C3642= "6D-PM-1020-01", "No Squirrels Found")</f>
        <v>No Squirrels Found</v>
      </c>
      <c r="G444" s="8" t="s">
        <v>34</v>
      </c>
      <c r="H444" s="10">
        <v>10182018</v>
      </c>
      <c r="I444" s="10">
        <v>8</v>
      </c>
      <c r="J444" s="8" t="s">
        <v>39</v>
      </c>
      <c r="K444" s="8" t="s">
        <v>40</v>
      </c>
      <c r="L444" s="8" t="s">
        <v>117</v>
      </c>
      <c r="M444" s="8" t="s">
        <v>118</v>
      </c>
      <c r="N444" s="11" t="s">
        <v>1383</v>
      </c>
      <c r="O444" s="8" t="s">
        <v>43</v>
      </c>
      <c r="P444" s="8" t="b">
        <v>0</v>
      </c>
      <c r="R444" s="8" t="b">
        <v>0</v>
      </c>
      <c r="S444" s="8" t="b">
        <v>0</v>
      </c>
      <c r="T444" s="8" t="b">
        <v>0</v>
      </c>
      <c r="U444" s="8" t="b">
        <v>0</v>
      </c>
      <c r="V444" s="8" t="b">
        <v>1</v>
      </c>
      <c r="X444" s="8" t="b">
        <v>0</v>
      </c>
      <c r="Y444" s="8" t="b">
        <v>0</v>
      </c>
      <c r="Z444" s="8" t="b">
        <v>0</v>
      </c>
      <c r="AA444" s="8" t="b">
        <v>0</v>
      </c>
      <c r="AB444" s="8" t="b">
        <v>0</v>
      </c>
      <c r="AC444" s="8" t="b">
        <v>0</v>
      </c>
      <c r="AD444" s="8" t="b">
        <v>1</v>
      </c>
      <c r="AE444" s="8" t="b">
        <v>0</v>
      </c>
      <c r="AG444" s="11" t="b" cm="1">
        <f t="array" ref="AG444">IF(OR(Y444:AA444="TRUE", AE444="true"), "Threatened")</f>
        <v>0</v>
      </c>
      <c r="AH444" s="11" t="s">
        <v>1384</v>
      </c>
      <c r="AI444" s="8" t="b">
        <v>1</v>
      </c>
    </row>
    <row r="445" spans="1:35" ht="31.2">
      <c r="A445" s="8">
        <v>-73.964146240000005</v>
      </c>
      <c r="B445" s="8">
        <v>40.777831599999999</v>
      </c>
      <c r="C445" s="8" t="s">
        <v>1385</v>
      </c>
      <c r="D445" s="8" t="s">
        <v>1144</v>
      </c>
      <c r="E445" s="8" t="b">
        <f t="shared" si="6"/>
        <v>0</v>
      </c>
      <c r="F445" s="8" t="str" cm="1">
        <f t="array" ref="F445">_xlfn._xlws.FILTER(E445:E3643, C445:C3643= "6D-PM-1020-01", "No Squirrels Found")</f>
        <v>No Squirrels Found</v>
      </c>
      <c r="G445" s="8" t="s">
        <v>34</v>
      </c>
      <c r="H445" s="10">
        <v>10072018</v>
      </c>
      <c r="I445" s="10">
        <v>9</v>
      </c>
      <c r="J445" s="8" t="s">
        <v>39</v>
      </c>
      <c r="K445" s="8" t="s">
        <v>40</v>
      </c>
      <c r="L445" s="8" t="s">
        <v>41</v>
      </c>
      <c r="M445" s="8" t="s">
        <v>42</v>
      </c>
      <c r="O445" s="8" t="s">
        <v>50</v>
      </c>
      <c r="P445" s="8">
        <v>20</v>
      </c>
      <c r="R445" s="8" t="b">
        <v>0</v>
      </c>
      <c r="S445" s="8" t="b">
        <v>0</v>
      </c>
      <c r="T445" s="8" t="b">
        <v>1</v>
      </c>
      <c r="U445" s="8" t="b">
        <v>0</v>
      </c>
      <c r="V445" s="8" t="b">
        <v>0</v>
      </c>
      <c r="W445" s="11" t="s">
        <v>1386</v>
      </c>
      <c r="X445" s="8" t="b">
        <v>0</v>
      </c>
      <c r="Y445" s="8" t="b">
        <v>0</v>
      </c>
      <c r="Z445" s="8" t="b">
        <v>0</v>
      </c>
      <c r="AA445" s="8" t="b">
        <v>0</v>
      </c>
      <c r="AB445" s="8" t="b">
        <v>0</v>
      </c>
      <c r="AC445" s="8" t="b">
        <v>0</v>
      </c>
      <c r="AD445" s="8" t="b">
        <v>1</v>
      </c>
      <c r="AE445" s="8" t="b">
        <v>0</v>
      </c>
      <c r="AG445" s="11" t="b" cm="1">
        <f t="array" ref="AG445">IF(OR(Y445:AA445="TRUE", AE445="true"), "Threatened")</f>
        <v>0</v>
      </c>
      <c r="AH445" s="11" t="s">
        <v>1387</v>
      </c>
      <c r="AI445" s="8" t="b">
        <v>0</v>
      </c>
    </row>
    <row r="446" spans="1:35" ht="31.2">
      <c r="A446" s="8">
        <v>-73.971405730000001</v>
      </c>
      <c r="B446" s="8">
        <v>40.772037509999997</v>
      </c>
      <c r="C446" s="8" t="s">
        <v>1388</v>
      </c>
      <c r="D446" s="8" t="s">
        <v>527</v>
      </c>
      <c r="E446" s="8" t="b">
        <f t="shared" si="6"/>
        <v>0</v>
      </c>
      <c r="F446" s="8" t="str" cm="1">
        <f t="array" ref="F446">_xlfn._xlws.FILTER(E446:E3644, C446:C3644= "6D-PM-1020-01", "No Squirrels Found")</f>
        <v>No Squirrels Found</v>
      </c>
      <c r="G446" s="8" t="s">
        <v>34</v>
      </c>
      <c r="H446" s="10">
        <v>10142018</v>
      </c>
      <c r="I446" s="10">
        <v>4</v>
      </c>
      <c r="J446" s="8" t="s">
        <v>39</v>
      </c>
      <c r="K446" s="8" t="s">
        <v>40</v>
      </c>
      <c r="L446" s="8" t="s">
        <v>41</v>
      </c>
      <c r="M446" s="8" t="s">
        <v>42</v>
      </c>
      <c r="O446" s="8" t="s">
        <v>43</v>
      </c>
      <c r="P446" s="8" t="b">
        <v>0</v>
      </c>
      <c r="R446" s="8" t="b">
        <v>0</v>
      </c>
      <c r="S446" s="8" t="b">
        <v>0</v>
      </c>
      <c r="T446" s="8" t="b">
        <v>0</v>
      </c>
      <c r="U446" s="8" t="b">
        <v>0</v>
      </c>
      <c r="V446" s="8" t="b">
        <v>1</v>
      </c>
      <c r="X446" s="8" t="b">
        <v>0</v>
      </c>
      <c r="Y446" s="8" t="b">
        <v>0</v>
      </c>
      <c r="Z446" s="8" t="b">
        <v>0</v>
      </c>
      <c r="AA446" s="8" t="b">
        <v>0</v>
      </c>
      <c r="AB446" s="8" t="b">
        <v>0</v>
      </c>
      <c r="AC446" s="8" t="b">
        <v>0</v>
      </c>
      <c r="AD446" s="8" t="b">
        <v>1</v>
      </c>
      <c r="AE446" s="8" t="b">
        <v>0</v>
      </c>
      <c r="AG446" s="11" t="b" cm="1">
        <f t="array" ref="AG446">IF(OR(Y446:AA446="TRUE", AE446="true"), "Threatened")</f>
        <v>0</v>
      </c>
      <c r="AH446" s="11" t="s">
        <v>1389</v>
      </c>
      <c r="AI446" s="8" t="b">
        <v>1</v>
      </c>
    </row>
    <row r="447" spans="1:35" ht="31.2">
      <c r="A447" s="8">
        <v>-73.967877430000001</v>
      </c>
      <c r="B447" s="8">
        <v>40.773853520000003</v>
      </c>
      <c r="C447" s="8" t="s">
        <v>1390</v>
      </c>
      <c r="D447" s="8" t="s">
        <v>1391</v>
      </c>
      <c r="E447" s="8" t="b">
        <f t="shared" si="6"/>
        <v>0</v>
      </c>
      <c r="F447" s="8" t="str" cm="1">
        <f t="array" ref="F447">_xlfn._xlws.FILTER(E447:E3645, C447:C3645= "6D-PM-1020-01", "No Squirrels Found")</f>
        <v>No Squirrels Found</v>
      </c>
      <c r="G447" s="8" t="s">
        <v>34</v>
      </c>
      <c r="H447" s="10">
        <v>10072018</v>
      </c>
      <c r="I447" s="10">
        <v>4</v>
      </c>
      <c r="K447" s="8" t="s">
        <v>40</v>
      </c>
      <c r="L447" s="8" t="s">
        <v>41</v>
      </c>
      <c r="M447" s="8" t="s">
        <v>42</v>
      </c>
      <c r="R447" s="8" t="b">
        <v>0</v>
      </c>
      <c r="S447" s="8" t="b">
        <v>0</v>
      </c>
      <c r="T447" s="8" t="b">
        <v>0</v>
      </c>
      <c r="U447" s="8" t="b">
        <v>1</v>
      </c>
      <c r="V447" s="8" t="b">
        <v>0</v>
      </c>
      <c r="W447" s="11" t="s">
        <v>1392</v>
      </c>
      <c r="X447" s="8" t="b">
        <v>0</v>
      </c>
      <c r="Y447" s="8" t="b">
        <v>0</v>
      </c>
      <c r="Z447" s="8" t="b">
        <v>0</v>
      </c>
      <c r="AA447" s="8" t="b">
        <v>0</v>
      </c>
      <c r="AB447" s="8" t="b">
        <v>0</v>
      </c>
      <c r="AC447" s="8" t="b">
        <v>0</v>
      </c>
      <c r="AD447" s="8" t="b">
        <v>1</v>
      </c>
      <c r="AE447" s="8" t="b">
        <v>0</v>
      </c>
      <c r="AG447" s="11" t="b" cm="1">
        <f t="array" ref="AG447">IF(OR(Y447:AA447="TRUE", AE447="true"), "Threatened")</f>
        <v>0</v>
      </c>
      <c r="AH447" s="11" t="s">
        <v>1393</v>
      </c>
      <c r="AI447" s="8" t="b">
        <v>0</v>
      </c>
    </row>
    <row r="448" spans="1:35" ht="31.2">
      <c r="A448" s="8">
        <v>-73.972590600000004</v>
      </c>
      <c r="B448" s="8">
        <v>40.771388969999997</v>
      </c>
      <c r="C448" s="8" t="s">
        <v>1394</v>
      </c>
      <c r="D448" s="8" t="s">
        <v>776</v>
      </c>
      <c r="E448" s="8" t="b">
        <f t="shared" si="6"/>
        <v>0</v>
      </c>
      <c r="F448" s="8" t="str" cm="1">
        <f t="array" ref="F448">_xlfn._xlws.FILTER(E448:E3646, C448:C3646= "6D-PM-1020-01", "No Squirrels Found")</f>
        <v>No Squirrels Found</v>
      </c>
      <c r="G448" s="8" t="s">
        <v>34</v>
      </c>
      <c r="H448" s="10">
        <v>10122018</v>
      </c>
      <c r="I448" s="10">
        <v>5</v>
      </c>
      <c r="J448" s="8" t="s">
        <v>39</v>
      </c>
      <c r="K448" s="8" t="s">
        <v>40</v>
      </c>
      <c r="L448" s="8" t="s">
        <v>41</v>
      </c>
      <c r="M448" s="8" t="s">
        <v>42</v>
      </c>
      <c r="O448" s="8" t="s">
        <v>43</v>
      </c>
      <c r="P448" s="8" t="b">
        <v>0</v>
      </c>
      <c r="R448" s="8" t="b">
        <v>1</v>
      </c>
      <c r="S448" s="8" t="b">
        <v>0</v>
      </c>
      <c r="T448" s="8" t="b">
        <v>0</v>
      </c>
      <c r="U448" s="8" t="b">
        <v>0</v>
      </c>
      <c r="V448" s="8" t="b">
        <v>0</v>
      </c>
      <c r="X448" s="8" t="b">
        <v>0</v>
      </c>
      <c r="Y448" s="8" t="b">
        <v>0</v>
      </c>
      <c r="Z448" s="8" t="b">
        <v>0</v>
      </c>
      <c r="AA448" s="8" t="b">
        <v>0</v>
      </c>
      <c r="AB448" s="8" t="b">
        <v>1</v>
      </c>
      <c r="AC448" s="8" t="b">
        <v>0</v>
      </c>
      <c r="AD448" s="8" t="b">
        <v>0</v>
      </c>
      <c r="AE448" s="8" t="b">
        <v>0</v>
      </c>
      <c r="AG448" s="11" t="b" cm="1">
        <f t="array" ref="AG448">IF(OR(Y448:AA448="TRUE", AE448="true"), "Threatened")</f>
        <v>0</v>
      </c>
      <c r="AH448" s="11" t="s">
        <v>1395</v>
      </c>
      <c r="AI448" s="8" t="b">
        <v>1</v>
      </c>
    </row>
    <row r="449" spans="1:35" ht="31.2">
      <c r="A449" s="8">
        <v>-73.970692929999998</v>
      </c>
      <c r="B449" s="8">
        <v>40.776047390000002</v>
      </c>
      <c r="C449" s="8" t="s">
        <v>1396</v>
      </c>
      <c r="D449" s="8" t="s">
        <v>79</v>
      </c>
      <c r="E449" s="8" t="b">
        <f t="shared" si="6"/>
        <v>0</v>
      </c>
      <c r="F449" s="8" t="str" cm="1">
        <f t="array" ref="F449">_xlfn._xlws.FILTER(E449:E3647, C449:C3647= "6D-PM-1020-01", "No Squirrels Found")</f>
        <v>No Squirrels Found</v>
      </c>
      <c r="G449" s="8" t="s">
        <v>34</v>
      </c>
      <c r="H449" s="10">
        <v>10082018</v>
      </c>
      <c r="I449" s="10">
        <v>6</v>
      </c>
      <c r="J449" s="8" t="s">
        <v>39</v>
      </c>
      <c r="K449" s="8" t="s">
        <v>40</v>
      </c>
      <c r="L449" s="8" t="s">
        <v>84</v>
      </c>
      <c r="M449" s="8" t="s">
        <v>103</v>
      </c>
      <c r="O449" s="8" t="s">
        <v>43</v>
      </c>
      <c r="P449" s="8" t="b">
        <v>0</v>
      </c>
      <c r="R449" s="8" t="b">
        <v>0</v>
      </c>
      <c r="S449" s="8" t="b">
        <v>0</v>
      </c>
      <c r="T449" s="8" t="b">
        <v>0</v>
      </c>
      <c r="U449" s="8" t="b">
        <v>0</v>
      </c>
      <c r="V449" s="8" t="b">
        <v>1</v>
      </c>
      <c r="X449" s="8" t="b">
        <v>0</v>
      </c>
      <c r="Y449" s="8" t="b">
        <v>0</v>
      </c>
      <c r="Z449" s="8" t="b">
        <v>0</v>
      </c>
      <c r="AA449" s="8" t="b">
        <v>0</v>
      </c>
      <c r="AB449" s="8" t="b">
        <v>0</v>
      </c>
      <c r="AC449" s="8" t="b">
        <v>0</v>
      </c>
      <c r="AD449" s="8" t="b">
        <v>1</v>
      </c>
      <c r="AE449" s="8" t="b">
        <v>0</v>
      </c>
      <c r="AG449" s="11" t="b" cm="1">
        <f t="array" ref="AG449">IF(OR(Y449:AA449="TRUE", AE449="true"), "Threatened")</f>
        <v>0</v>
      </c>
      <c r="AH449" s="11" t="s">
        <v>1397</v>
      </c>
      <c r="AI449" s="8" t="b">
        <v>1</v>
      </c>
    </row>
    <row r="450" spans="1:35" ht="31.2">
      <c r="A450" s="8">
        <v>-73.970133520000005</v>
      </c>
      <c r="B450" s="8">
        <v>40.772205100000001</v>
      </c>
      <c r="C450" s="8" t="s">
        <v>1398</v>
      </c>
      <c r="D450" s="8" t="s">
        <v>609</v>
      </c>
      <c r="E450" s="8" t="b">
        <f t="shared" si="6"/>
        <v>0</v>
      </c>
      <c r="F450" s="8" t="str" cm="1">
        <f t="array" ref="F450">_xlfn._xlws.FILTER(E450:E3648, C450:C3648= "6D-PM-1020-01", "No Squirrels Found")</f>
        <v>No Squirrels Found</v>
      </c>
      <c r="G450" s="8" t="s">
        <v>48</v>
      </c>
      <c r="H450" s="10">
        <v>10062018</v>
      </c>
      <c r="I450" s="10">
        <v>10</v>
      </c>
      <c r="J450" s="8" t="s">
        <v>39</v>
      </c>
      <c r="K450" s="8" t="s">
        <v>40</v>
      </c>
      <c r="M450" s="8" t="s">
        <v>55</v>
      </c>
      <c r="O450" s="8" t="s">
        <v>43</v>
      </c>
      <c r="P450" s="8" t="b">
        <v>0</v>
      </c>
      <c r="R450" s="8" t="b">
        <v>0</v>
      </c>
      <c r="S450" s="8" t="b">
        <v>1</v>
      </c>
      <c r="T450" s="8" t="b">
        <v>0</v>
      </c>
      <c r="U450" s="8" t="b">
        <v>0</v>
      </c>
      <c r="V450" s="8" t="b">
        <v>0</v>
      </c>
      <c r="X450" s="8" t="b">
        <v>0</v>
      </c>
      <c r="Y450" s="8" t="b">
        <v>1</v>
      </c>
      <c r="Z450" s="8" t="b">
        <v>0</v>
      </c>
      <c r="AA450" s="8" t="b">
        <v>0</v>
      </c>
      <c r="AB450" s="8" t="b">
        <v>0</v>
      </c>
      <c r="AC450" s="8" t="b">
        <v>0</v>
      </c>
      <c r="AD450" s="8" t="b">
        <v>0</v>
      </c>
      <c r="AE450" s="8" t="b">
        <v>0</v>
      </c>
      <c r="AG450" s="11" t="b" cm="1">
        <f t="array" ref="AG450">IF(OR(Y450:AA450="TRUE", AE450="true"), "Threatened")</f>
        <v>0</v>
      </c>
      <c r="AH450" s="11" t="s">
        <v>1399</v>
      </c>
      <c r="AI450" s="8" t="b">
        <v>1</v>
      </c>
    </row>
    <row r="451" spans="1:35" ht="31.2">
      <c r="A451" s="8">
        <v>-73.964429319999994</v>
      </c>
      <c r="B451" s="8">
        <v>40.781382919999999</v>
      </c>
      <c r="C451" s="8" t="s">
        <v>1400</v>
      </c>
      <c r="D451" s="8" t="s">
        <v>1202</v>
      </c>
      <c r="E451" s="8" t="b">
        <f t="shared" ref="E451:E514" si="7">OR(D451 = "05D", D451 = "07D", D451 = "06C", D451 = "06E")</f>
        <v>0</v>
      </c>
      <c r="F451" s="8" t="str" cm="1">
        <f t="array" ref="F451">_xlfn._xlws.FILTER(E451:E3649, C451:C3649= "6D-PM-1020-01", "No Squirrels Found")</f>
        <v>No Squirrels Found</v>
      </c>
      <c r="G451" s="8" t="s">
        <v>48</v>
      </c>
      <c r="H451" s="10">
        <v>10182018</v>
      </c>
      <c r="I451" s="10">
        <v>2</v>
      </c>
      <c r="J451" s="8" t="s">
        <v>39</v>
      </c>
      <c r="K451" s="8" t="s">
        <v>40</v>
      </c>
      <c r="L451" s="8" t="s">
        <v>41</v>
      </c>
      <c r="M451" s="8" t="s">
        <v>42</v>
      </c>
      <c r="O451" s="8" t="s">
        <v>43</v>
      </c>
      <c r="P451" s="8" t="b">
        <v>0</v>
      </c>
      <c r="R451" s="8" t="b">
        <v>0</v>
      </c>
      <c r="S451" s="8" t="b">
        <v>0</v>
      </c>
      <c r="T451" s="8" t="b">
        <v>0</v>
      </c>
      <c r="U451" s="8" t="b">
        <v>1</v>
      </c>
      <c r="V451" s="8" t="b">
        <v>0</v>
      </c>
      <c r="X451" s="8" t="b">
        <v>0</v>
      </c>
      <c r="Y451" s="8" t="b">
        <v>0</v>
      </c>
      <c r="Z451" s="8" t="b">
        <v>0</v>
      </c>
      <c r="AA451" s="8" t="b">
        <v>0</v>
      </c>
      <c r="AB451" s="8" t="b">
        <v>1</v>
      </c>
      <c r="AC451" s="8" t="b">
        <v>0</v>
      </c>
      <c r="AD451" s="8" t="b">
        <v>1</v>
      </c>
      <c r="AE451" s="8" t="b">
        <v>0</v>
      </c>
      <c r="AG451" s="11" t="b" cm="1">
        <f t="array" ref="AG451">IF(OR(Y451:AA451="TRUE", AE451="true"), "Threatened")</f>
        <v>0</v>
      </c>
      <c r="AH451" s="11" t="s">
        <v>1401</v>
      </c>
      <c r="AI451" s="8" t="b">
        <v>1</v>
      </c>
    </row>
    <row r="452" spans="1:35" ht="31.2">
      <c r="A452" s="8">
        <v>-73.975314060000002</v>
      </c>
      <c r="B452" s="8">
        <v>40.773403780000002</v>
      </c>
      <c r="C452" s="8" t="s">
        <v>1402</v>
      </c>
      <c r="D452" s="8" t="s">
        <v>1403</v>
      </c>
      <c r="E452" s="8" t="b">
        <f t="shared" si="7"/>
        <v>0</v>
      </c>
      <c r="F452" s="8" t="str" cm="1">
        <f t="array" ref="F452">_xlfn._xlws.FILTER(E452:E3650, C452:C3650= "6D-PM-1020-01", "No Squirrels Found")</f>
        <v>No Squirrels Found</v>
      </c>
      <c r="G452" s="8" t="s">
        <v>48</v>
      </c>
      <c r="H452" s="10">
        <v>10062018</v>
      </c>
      <c r="I452" s="10">
        <v>2</v>
      </c>
      <c r="J452" s="8" t="s">
        <v>39</v>
      </c>
      <c r="K452" s="8" t="s">
        <v>40</v>
      </c>
      <c r="M452" s="8" t="s">
        <v>55</v>
      </c>
      <c r="O452" s="8" t="s">
        <v>43</v>
      </c>
      <c r="P452" s="8" t="b">
        <v>0</v>
      </c>
      <c r="R452" s="8" t="b">
        <v>1</v>
      </c>
      <c r="S452" s="8" t="b">
        <v>0</v>
      </c>
      <c r="T452" s="8" t="b">
        <v>0</v>
      </c>
      <c r="U452" s="8" t="b">
        <v>0</v>
      </c>
      <c r="V452" s="8" t="b">
        <v>0</v>
      </c>
      <c r="X452" s="8" t="b">
        <v>0</v>
      </c>
      <c r="Y452" s="8" t="b">
        <v>0</v>
      </c>
      <c r="Z452" s="8" t="b">
        <v>0</v>
      </c>
      <c r="AA452" s="8" t="b">
        <v>0</v>
      </c>
      <c r="AB452" s="8" t="b">
        <v>0</v>
      </c>
      <c r="AC452" s="8" t="b">
        <v>0</v>
      </c>
      <c r="AD452" s="8" t="b">
        <v>1</v>
      </c>
      <c r="AE452" s="8" t="b">
        <v>0</v>
      </c>
      <c r="AG452" s="11" t="b" cm="1">
        <f t="array" ref="AG452">IF(OR(Y452:AA452="TRUE", AE452="true"), "Threatened")</f>
        <v>0</v>
      </c>
      <c r="AH452" s="11" t="s">
        <v>1404</v>
      </c>
      <c r="AI452" s="8" t="b">
        <v>1</v>
      </c>
    </row>
    <row r="453" spans="1:35" ht="31.2">
      <c r="A453" s="8">
        <v>-73.960300329999995</v>
      </c>
      <c r="B453" s="8">
        <v>40.795347589999999</v>
      </c>
      <c r="C453" s="8" t="s">
        <v>1405</v>
      </c>
      <c r="D453" s="8" t="s">
        <v>1406</v>
      </c>
      <c r="E453" s="8" t="b">
        <f t="shared" si="7"/>
        <v>0</v>
      </c>
      <c r="F453" s="8" t="str" cm="1">
        <f t="array" ref="F453">_xlfn._xlws.FILTER(E453:E3651, C453:C3651= "6D-PM-1020-01", "No Squirrels Found")</f>
        <v>No Squirrels Found</v>
      </c>
      <c r="G453" s="8" t="s">
        <v>48</v>
      </c>
      <c r="H453" s="10">
        <v>10132018</v>
      </c>
      <c r="I453" s="10">
        <v>3</v>
      </c>
      <c r="K453" s="8" t="s">
        <v>40</v>
      </c>
      <c r="M453" s="8" t="s">
        <v>55</v>
      </c>
      <c r="O453" s="8" t="s">
        <v>43</v>
      </c>
      <c r="P453" s="8" t="b">
        <v>0</v>
      </c>
      <c r="R453" s="8" t="b">
        <v>1</v>
      </c>
      <c r="S453" s="8" t="b">
        <v>0</v>
      </c>
      <c r="T453" s="8" t="b">
        <v>0</v>
      </c>
      <c r="U453" s="8" t="b">
        <v>0</v>
      </c>
      <c r="V453" s="8" t="b">
        <v>0</v>
      </c>
      <c r="X453" s="8" t="b">
        <v>0</v>
      </c>
      <c r="Y453" s="8" t="b">
        <v>0</v>
      </c>
      <c r="Z453" s="8" t="b">
        <v>0</v>
      </c>
      <c r="AA453" s="8" t="b">
        <v>0</v>
      </c>
      <c r="AB453" s="8" t="b">
        <v>0</v>
      </c>
      <c r="AC453" s="8" t="b">
        <v>0</v>
      </c>
      <c r="AD453" s="8" t="b">
        <v>1</v>
      </c>
      <c r="AE453" s="8" t="b">
        <v>0</v>
      </c>
      <c r="AG453" s="11" t="b" cm="1">
        <f t="array" ref="AG453">IF(OR(Y453:AA453="TRUE", AE453="true"), "Threatened")</f>
        <v>0</v>
      </c>
      <c r="AH453" s="11" t="s">
        <v>1407</v>
      </c>
      <c r="AI453" s="8" t="b">
        <v>1</v>
      </c>
    </row>
    <row r="454" spans="1:35" ht="31.2">
      <c r="A454" s="8">
        <v>-73.959514029999994</v>
      </c>
      <c r="B454" s="8">
        <v>40.789911789999998</v>
      </c>
      <c r="C454" s="8" t="s">
        <v>1408</v>
      </c>
      <c r="D454" s="8" t="s">
        <v>1409</v>
      </c>
      <c r="E454" s="8" t="b">
        <f t="shared" si="7"/>
        <v>0</v>
      </c>
      <c r="F454" s="8" t="str" cm="1">
        <f t="array" ref="F454">_xlfn._xlws.FILTER(E454:E3652, C454:C3652= "6D-PM-1020-01", "No Squirrels Found")</f>
        <v>No Squirrels Found</v>
      </c>
      <c r="G454" s="8" t="s">
        <v>34</v>
      </c>
      <c r="H454" s="10">
        <v>10062018</v>
      </c>
      <c r="I454" s="10">
        <v>2</v>
      </c>
      <c r="J454" s="8" t="s">
        <v>39</v>
      </c>
      <c r="K454" s="8" t="s">
        <v>40</v>
      </c>
      <c r="L454" s="8" t="s">
        <v>41</v>
      </c>
      <c r="M454" s="8" t="s">
        <v>42</v>
      </c>
      <c r="O454" s="8" t="s">
        <v>43</v>
      </c>
      <c r="P454" s="8" t="b">
        <v>0</v>
      </c>
      <c r="Q454" s="8" t="s">
        <v>1410</v>
      </c>
      <c r="R454" s="8" t="b">
        <v>0</v>
      </c>
      <c r="S454" s="8" t="b">
        <v>0</v>
      </c>
      <c r="T454" s="8" t="b">
        <v>0</v>
      </c>
      <c r="U454" s="8" t="b">
        <v>1</v>
      </c>
      <c r="V454" s="8" t="b">
        <v>1</v>
      </c>
      <c r="X454" s="8" t="b">
        <v>0</v>
      </c>
      <c r="Y454" s="8" t="b">
        <v>1</v>
      </c>
      <c r="Z454" s="8" t="b">
        <v>0</v>
      </c>
      <c r="AA454" s="8" t="b">
        <v>0</v>
      </c>
      <c r="AB454" s="8" t="b">
        <v>0</v>
      </c>
      <c r="AC454" s="8" t="b">
        <v>0</v>
      </c>
      <c r="AD454" s="8" t="b">
        <v>1</v>
      </c>
      <c r="AE454" s="8" t="b">
        <v>0</v>
      </c>
      <c r="AG454" s="11" t="b" cm="1">
        <f t="array" ref="AG454">IF(OR(Y454:AA454="TRUE", AE454="true"), "Threatened")</f>
        <v>0</v>
      </c>
      <c r="AH454" s="11" t="s">
        <v>1411</v>
      </c>
      <c r="AI454" s="8" t="b">
        <v>1</v>
      </c>
    </row>
    <row r="455" spans="1:35" ht="31.2">
      <c r="A455" s="8">
        <v>-73.975279319999999</v>
      </c>
      <c r="B455" s="8">
        <v>40.773396009999999</v>
      </c>
      <c r="C455" s="8" t="s">
        <v>1412</v>
      </c>
      <c r="D455" s="8" t="s">
        <v>1403</v>
      </c>
      <c r="E455" s="8" t="b">
        <f t="shared" si="7"/>
        <v>0</v>
      </c>
      <c r="F455" s="8" t="str" cm="1">
        <f t="array" ref="F455">_xlfn._xlws.FILTER(E455:E3653, C455:C3653= "6D-PM-1020-01", "No Squirrels Found")</f>
        <v>No Squirrels Found</v>
      </c>
      <c r="G455" s="8" t="s">
        <v>48</v>
      </c>
      <c r="H455" s="10">
        <v>10062018</v>
      </c>
      <c r="I455" s="10">
        <v>3</v>
      </c>
      <c r="J455" s="8" t="s">
        <v>39</v>
      </c>
      <c r="K455" s="8" t="s">
        <v>41</v>
      </c>
      <c r="M455" s="8" t="s">
        <v>49</v>
      </c>
      <c r="O455" s="8" t="s">
        <v>43</v>
      </c>
      <c r="P455" s="8" t="b">
        <v>0</v>
      </c>
      <c r="R455" s="8" t="b">
        <v>1</v>
      </c>
      <c r="S455" s="8" t="b">
        <v>0</v>
      </c>
      <c r="T455" s="8" t="b">
        <v>0</v>
      </c>
      <c r="U455" s="8" t="b">
        <v>0</v>
      </c>
      <c r="V455" s="8" t="b">
        <v>0</v>
      </c>
      <c r="X455" s="8" t="b">
        <v>0</v>
      </c>
      <c r="Y455" s="8" t="b">
        <v>0</v>
      </c>
      <c r="Z455" s="8" t="b">
        <v>0</v>
      </c>
      <c r="AA455" s="8" t="b">
        <v>0</v>
      </c>
      <c r="AB455" s="8" t="b">
        <v>0</v>
      </c>
      <c r="AC455" s="8" t="b">
        <v>0</v>
      </c>
      <c r="AD455" s="8" t="b">
        <v>1</v>
      </c>
      <c r="AE455" s="8" t="b">
        <v>0</v>
      </c>
      <c r="AG455" s="11" t="b" cm="1">
        <f t="array" ref="AG455">IF(OR(Y455:AA455="TRUE", AE455="true"), "Threatened")</f>
        <v>0</v>
      </c>
      <c r="AH455" s="11" t="s">
        <v>1413</v>
      </c>
      <c r="AI455" s="8" t="b">
        <v>1</v>
      </c>
    </row>
    <row r="456" spans="1:35" ht="31.2">
      <c r="A456" s="8">
        <v>-73.968857470000003</v>
      </c>
      <c r="B456" s="8">
        <v>40.783782520000003</v>
      </c>
      <c r="C456" s="8" t="s">
        <v>1414</v>
      </c>
      <c r="D456" s="8" t="s">
        <v>1415</v>
      </c>
      <c r="E456" s="8" t="b">
        <f t="shared" si="7"/>
        <v>0</v>
      </c>
      <c r="F456" s="8" t="str" cm="1">
        <f t="array" ref="F456">_xlfn._xlws.FILTER(E456:E3654, C456:C3654= "6D-PM-1020-01", "No Squirrels Found")</f>
        <v>No Squirrels Found</v>
      </c>
      <c r="G456" s="8" t="s">
        <v>48</v>
      </c>
      <c r="H456" s="10">
        <v>10192018</v>
      </c>
      <c r="I456" s="10">
        <v>4</v>
      </c>
      <c r="M456" s="8" t="s">
        <v>35</v>
      </c>
      <c r="R456" s="8" t="b">
        <v>0</v>
      </c>
      <c r="S456" s="8" t="b">
        <v>0</v>
      </c>
      <c r="T456" s="8" t="b">
        <v>0</v>
      </c>
      <c r="U456" s="8" t="b">
        <v>0</v>
      </c>
      <c r="V456" s="8" t="b">
        <v>0</v>
      </c>
      <c r="X456" s="8" t="b">
        <v>0</v>
      </c>
      <c r="Y456" s="8" t="b">
        <v>0</v>
      </c>
      <c r="Z456" s="8" t="b">
        <v>0</v>
      </c>
      <c r="AA456" s="8" t="b">
        <v>0</v>
      </c>
      <c r="AB456" s="8" t="b">
        <v>0</v>
      </c>
      <c r="AC456" s="8" t="b">
        <v>0</v>
      </c>
      <c r="AD456" s="8" t="b">
        <v>0</v>
      </c>
      <c r="AE456" s="8" t="b">
        <v>0</v>
      </c>
      <c r="AG456" s="11" t="b" cm="1">
        <f t="array" ref="AG456">IF(OR(Y456:AA456="TRUE", AE456="true"), "Threatened")</f>
        <v>0</v>
      </c>
      <c r="AH456" s="11" t="s">
        <v>1416</v>
      </c>
      <c r="AI456" s="8" t="b">
        <v>1</v>
      </c>
    </row>
    <row r="457" spans="1:35" ht="31.2">
      <c r="A457" s="8">
        <v>-73.954787800000005</v>
      </c>
      <c r="B457" s="8">
        <v>40.789915190000002</v>
      </c>
      <c r="C457" s="8" t="s">
        <v>1417</v>
      </c>
      <c r="D457" s="8" t="s">
        <v>924</v>
      </c>
      <c r="E457" s="8" t="b">
        <f t="shared" si="7"/>
        <v>0</v>
      </c>
      <c r="F457" s="8" t="str" cm="1">
        <f t="array" ref="F457">_xlfn._xlws.FILTER(E457:E3655, C457:C3655= "6D-PM-1020-01", "No Squirrels Found")</f>
        <v>No Squirrels Found</v>
      </c>
      <c r="G457" s="8" t="s">
        <v>34</v>
      </c>
      <c r="H457" s="10">
        <v>10062018</v>
      </c>
      <c r="I457" s="10">
        <v>5</v>
      </c>
      <c r="J457" s="8" t="s">
        <v>39</v>
      </c>
      <c r="K457" s="8" t="s">
        <v>40</v>
      </c>
      <c r="M457" s="8" t="s">
        <v>55</v>
      </c>
      <c r="O457" s="8" t="s">
        <v>43</v>
      </c>
      <c r="P457" s="8" t="b">
        <v>0</v>
      </c>
      <c r="R457" s="8" t="b">
        <v>0</v>
      </c>
      <c r="S457" s="8" t="b">
        <v>0</v>
      </c>
      <c r="T457" s="8" t="b">
        <v>0</v>
      </c>
      <c r="U457" s="8" t="b">
        <v>1</v>
      </c>
      <c r="V457" s="8" t="b">
        <v>1</v>
      </c>
      <c r="X457" s="8" t="b">
        <v>0</v>
      </c>
      <c r="Y457" s="8" t="b">
        <v>0</v>
      </c>
      <c r="Z457" s="8" t="b">
        <v>0</v>
      </c>
      <c r="AA457" s="8" t="b">
        <v>0</v>
      </c>
      <c r="AB457" s="8" t="b">
        <v>0</v>
      </c>
      <c r="AC457" s="8" t="b">
        <v>0</v>
      </c>
      <c r="AD457" s="8" t="b">
        <v>1</v>
      </c>
      <c r="AE457" s="8" t="b">
        <v>0</v>
      </c>
      <c r="AG457" s="11" t="b" cm="1">
        <f t="array" ref="AG457">IF(OR(Y457:AA457="TRUE", AE457="true"), "Threatened")</f>
        <v>0</v>
      </c>
      <c r="AH457" s="11" t="s">
        <v>1418</v>
      </c>
      <c r="AI457" s="8" t="b">
        <v>1</v>
      </c>
    </row>
    <row r="458" spans="1:35" ht="31.2">
      <c r="A458" s="8">
        <v>-73.965848280000003</v>
      </c>
      <c r="B458" s="8">
        <v>40.779724299999998</v>
      </c>
      <c r="C458" s="8" t="s">
        <v>1419</v>
      </c>
      <c r="D458" s="8" t="s">
        <v>1035</v>
      </c>
      <c r="E458" s="8" t="b">
        <f t="shared" si="7"/>
        <v>0</v>
      </c>
      <c r="F458" s="8" t="str" cm="1">
        <f t="array" ref="F458">_xlfn._xlws.FILTER(E458:E3656, C458:C3656= "6D-PM-1020-01", "No Squirrels Found")</f>
        <v>No Squirrels Found</v>
      </c>
      <c r="G458" s="8" t="s">
        <v>34</v>
      </c>
      <c r="H458" s="10">
        <v>10172018</v>
      </c>
      <c r="I458" s="10">
        <v>1</v>
      </c>
      <c r="J458" s="8" t="s">
        <v>39</v>
      </c>
      <c r="K458" s="8" t="s">
        <v>40</v>
      </c>
      <c r="L458" s="8" t="s">
        <v>41</v>
      </c>
      <c r="M458" s="8" t="s">
        <v>42</v>
      </c>
      <c r="O458" s="8" t="s">
        <v>43</v>
      </c>
      <c r="P458" s="8" t="b">
        <v>0</v>
      </c>
      <c r="R458" s="8" t="b">
        <v>0</v>
      </c>
      <c r="S458" s="8" t="b">
        <v>0</v>
      </c>
      <c r="T458" s="8" t="b">
        <v>1</v>
      </c>
      <c r="U458" s="8" t="b">
        <v>0</v>
      </c>
      <c r="V458" s="8" t="b">
        <v>0</v>
      </c>
      <c r="X458" s="8" t="b">
        <v>0</v>
      </c>
      <c r="Y458" s="8" t="b">
        <v>0</v>
      </c>
      <c r="Z458" s="8" t="b">
        <v>0</v>
      </c>
      <c r="AA458" s="8" t="b">
        <v>0</v>
      </c>
      <c r="AB458" s="8" t="b">
        <v>0</v>
      </c>
      <c r="AC458" s="8" t="b">
        <v>0</v>
      </c>
      <c r="AD458" s="8" t="b">
        <v>1</v>
      </c>
      <c r="AE458" s="8" t="b">
        <v>0</v>
      </c>
      <c r="AG458" s="11" t="b" cm="1">
        <f t="array" ref="AG458">IF(OR(Y458:AA458="TRUE", AE458="true"), "Threatened")</f>
        <v>0</v>
      </c>
      <c r="AH458" s="11" t="s">
        <v>1420</v>
      </c>
      <c r="AI458" s="8" t="b">
        <v>1</v>
      </c>
    </row>
    <row r="459" spans="1:35" ht="31.2">
      <c r="A459" s="8">
        <v>-73.97357504</v>
      </c>
      <c r="B459" s="8">
        <v>40.769450030000002</v>
      </c>
      <c r="C459" s="8" t="s">
        <v>1421</v>
      </c>
      <c r="D459" s="8" t="s">
        <v>524</v>
      </c>
      <c r="E459" s="8" t="b">
        <f t="shared" si="7"/>
        <v>0</v>
      </c>
      <c r="F459" s="8" t="str" cm="1">
        <f t="array" ref="F459">_xlfn._xlws.FILTER(E459:E3657, C459:C3657= "6D-PM-1020-01", "No Squirrels Found")</f>
        <v>No Squirrels Found</v>
      </c>
      <c r="G459" s="8" t="s">
        <v>34</v>
      </c>
      <c r="H459" s="10">
        <v>10082018</v>
      </c>
      <c r="I459" s="10">
        <v>6</v>
      </c>
      <c r="J459" s="8" t="s">
        <v>39</v>
      </c>
      <c r="K459" s="8" t="s">
        <v>41</v>
      </c>
      <c r="L459" s="8" t="s">
        <v>135</v>
      </c>
      <c r="M459" s="8" t="s">
        <v>136</v>
      </c>
      <c r="N459" s="11" t="s">
        <v>1422</v>
      </c>
      <c r="R459" s="8" t="b">
        <v>0</v>
      </c>
      <c r="S459" s="8" t="b">
        <v>0</v>
      </c>
      <c r="T459" s="8" t="b">
        <v>0</v>
      </c>
      <c r="U459" s="8" t="b">
        <v>0</v>
      </c>
      <c r="V459" s="8" t="b">
        <v>0</v>
      </c>
      <c r="X459" s="8" t="b">
        <v>0</v>
      </c>
      <c r="Y459" s="8" t="b">
        <v>0</v>
      </c>
      <c r="Z459" s="8" t="b">
        <v>0</v>
      </c>
      <c r="AA459" s="8" t="b">
        <v>0</v>
      </c>
      <c r="AB459" s="8" t="b">
        <v>0</v>
      </c>
      <c r="AC459" s="8" t="b">
        <v>0</v>
      </c>
      <c r="AD459" s="8" t="b">
        <v>1</v>
      </c>
      <c r="AE459" s="8" t="b">
        <v>0</v>
      </c>
      <c r="AG459" s="11" t="b" cm="1">
        <f t="array" ref="AG459">IF(OR(Y459:AA459="TRUE", AE459="true"), "Threatened")</f>
        <v>0</v>
      </c>
      <c r="AH459" s="11" t="s">
        <v>1423</v>
      </c>
      <c r="AI459" s="8" t="b">
        <v>1</v>
      </c>
    </row>
    <row r="460" spans="1:35" ht="31.2">
      <c r="A460" s="8">
        <v>-73.962454690000001</v>
      </c>
      <c r="B460" s="8">
        <v>40.788823499999999</v>
      </c>
      <c r="C460" s="8" t="s">
        <v>1424</v>
      </c>
      <c r="D460" s="8" t="s">
        <v>1425</v>
      </c>
      <c r="E460" s="8" t="b">
        <f t="shared" si="7"/>
        <v>0</v>
      </c>
      <c r="F460" s="8" t="str" cm="1">
        <f t="array" ref="F460">_xlfn._xlws.FILTER(E460:E3658, C460:C3658= "6D-PM-1020-01", "No Squirrels Found")</f>
        <v>No Squirrels Found</v>
      </c>
      <c r="G460" s="8" t="s">
        <v>48</v>
      </c>
      <c r="H460" s="10">
        <v>10142018</v>
      </c>
      <c r="I460" s="10">
        <v>4</v>
      </c>
      <c r="J460" s="8" t="s">
        <v>54</v>
      </c>
      <c r="K460" s="8" t="s">
        <v>40</v>
      </c>
      <c r="M460" s="8" t="s">
        <v>55</v>
      </c>
      <c r="O460" s="8" t="s">
        <v>43</v>
      </c>
      <c r="P460" s="8" t="b">
        <v>0</v>
      </c>
      <c r="Q460" s="8" t="s">
        <v>1426</v>
      </c>
      <c r="R460" s="8" t="b">
        <v>0</v>
      </c>
      <c r="S460" s="8" t="b">
        <v>0</v>
      </c>
      <c r="T460" s="8" t="b">
        <v>0</v>
      </c>
      <c r="U460" s="8" t="b">
        <v>0</v>
      </c>
      <c r="V460" s="8" t="b">
        <v>1</v>
      </c>
      <c r="X460" s="8" t="b">
        <v>0</v>
      </c>
      <c r="Y460" s="8" t="b">
        <v>0</v>
      </c>
      <c r="Z460" s="8" t="b">
        <v>0</v>
      </c>
      <c r="AA460" s="8" t="b">
        <v>0</v>
      </c>
      <c r="AB460" s="8" t="b">
        <v>0</v>
      </c>
      <c r="AC460" s="8" t="b">
        <v>0</v>
      </c>
      <c r="AD460" s="8" t="b">
        <v>1</v>
      </c>
      <c r="AE460" s="8" t="b">
        <v>0</v>
      </c>
      <c r="AG460" s="11" t="b" cm="1">
        <f t="array" ref="AG460">IF(OR(Y460:AA460="TRUE", AE460="true"), "Threatened")</f>
        <v>0</v>
      </c>
      <c r="AH460" s="11" t="s">
        <v>1427</v>
      </c>
      <c r="AI460" s="8" t="b">
        <v>1</v>
      </c>
    </row>
    <row r="461" spans="1:35" ht="31.2">
      <c r="A461" s="8">
        <v>-73.954913520000005</v>
      </c>
      <c r="B461" s="8">
        <v>40.798525900000001</v>
      </c>
      <c r="C461" s="8" t="s">
        <v>1428</v>
      </c>
      <c r="D461" s="8" t="s">
        <v>1429</v>
      </c>
      <c r="E461" s="8" t="b">
        <f t="shared" si="7"/>
        <v>0</v>
      </c>
      <c r="F461" s="8" t="str" cm="1">
        <f t="array" ref="F461">_xlfn._xlws.FILTER(E461:E3659, C461:C3659= "6D-PM-1020-01", "No Squirrels Found")</f>
        <v>No Squirrels Found</v>
      </c>
      <c r="G461" s="8" t="s">
        <v>34</v>
      </c>
      <c r="H461" s="10">
        <v>10132018</v>
      </c>
      <c r="I461" s="10">
        <v>3</v>
      </c>
      <c r="J461" s="8" t="s">
        <v>39</v>
      </c>
      <c r="K461" s="8" t="s">
        <v>40</v>
      </c>
      <c r="L461" s="8" t="s">
        <v>41</v>
      </c>
      <c r="M461" s="8" t="s">
        <v>42</v>
      </c>
      <c r="O461" s="8" t="s">
        <v>50</v>
      </c>
      <c r="P461" s="8">
        <v>25</v>
      </c>
      <c r="Q461" s="8" t="s">
        <v>466</v>
      </c>
      <c r="R461" s="8" t="b">
        <v>0</v>
      </c>
      <c r="S461" s="8" t="b">
        <v>0</v>
      </c>
      <c r="T461" s="8" t="b">
        <v>0</v>
      </c>
      <c r="U461" s="8" t="b">
        <v>1</v>
      </c>
      <c r="V461" s="8" t="b">
        <v>0</v>
      </c>
      <c r="X461" s="8" t="b">
        <v>0</v>
      </c>
      <c r="Y461" s="8" t="b">
        <v>0</v>
      </c>
      <c r="Z461" s="8" t="b">
        <v>0</v>
      </c>
      <c r="AA461" s="8" t="b">
        <v>0</v>
      </c>
      <c r="AB461" s="8" t="b">
        <v>0</v>
      </c>
      <c r="AC461" s="8" t="b">
        <v>0</v>
      </c>
      <c r="AD461" s="8" t="b">
        <v>1</v>
      </c>
      <c r="AE461" s="8" t="b">
        <v>0</v>
      </c>
      <c r="AG461" s="11" t="b" cm="1">
        <f t="array" ref="AG461">IF(OR(Y461:AA461="TRUE", AE461="true"), "Threatened")</f>
        <v>0</v>
      </c>
      <c r="AH461" s="11" t="s">
        <v>1430</v>
      </c>
      <c r="AI461" s="8" t="b">
        <v>1</v>
      </c>
    </row>
    <row r="462" spans="1:35" ht="31.2">
      <c r="A462" s="8">
        <v>-73.964819539999993</v>
      </c>
      <c r="B462" s="8">
        <v>40.779640000000001</v>
      </c>
      <c r="C462" s="8" t="s">
        <v>1431</v>
      </c>
      <c r="D462" s="8" t="s">
        <v>1432</v>
      </c>
      <c r="E462" s="8" t="b">
        <f t="shared" si="7"/>
        <v>0</v>
      </c>
      <c r="F462" s="8" t="str" cm="1">
        <f t="array" ref="F462">_xlfn._xlws.FILTER(E462:E3660, C462:C3660= "6D-PM-1020-01", "No Squirrels Found")</f>
        <v>No Squirrels Found</v>
      </c>
      <c r="G462" s="8" t="s">
        <v>34</v>
      </c>
      <c r="H462" s="10">
        <v>10172018</v>
      </c>
      <c r="I462" s="10">
        <v>3</v>
      </c>
      <c r="J462" s="8" t="s">
        <v>39</v>
      </c>
      <c r="K462" s="8" t="s">
        <v>41</v>
      </c>
      <c r="M462" s="8" t="s">
        <v>49</v>
      </c>
      <c r="O462" s="8" t="s">
        <v>43</v>
      </c>
      <c r="P462" s="8" t="b">
        <v>0</v>
      </c>
      <c r="R462" s="8" t="b">
        <v>0</v>
      </c>
      <c r="S462" s="8" t="b">
        <v>0</v>
      </c>
      <c r="T462" s="8" t="b">
        <v>1</v>
      </c>
      <c r="U462" s="8" t="b">
        <v>1</v>
      </c>
      <c r="V462" s="8" t="b">
        <v>0</v>
      </c>
      <c r="W462" s="11" t="s">
        <v>1433</v>
      </c>
      <c r="X462" s="8" t="b">
        <v>0</v>
      </c>
      <c r="Y462" s="8" t="b">
        <v>0</v>
      </c>
      <c r="Z462" s="8" t="b">
        <v>0</v>
      </c>
      <c r="AA462" s="8" t="b">
        <v>0</v>
      </c>
      <c r="AB462" s="8" t="b">
        <v>1</v>
      </c>
      <c r="AC462" s="8" t="b">
        <v>0</v>
      </c>
      <c r="AD462" s="8" t="b">
        <v>0</v>
      </c>
      <c r="AE462" s="8" t="b">
        <v>0</v>
      </c>
      <c r="AG462" s="11" t="b" cm="1">
        <f t="array" ref="AG462">IF(OR(Y462:AA462="TRUE", AE462="true"), "Threatened")</f>
        <v>0</v>
      </c>
      <c r="AH462" s="11" t="s">
        <v>1434</v>
      </c>
      <c r="AI462" s="8" t="b">
        <v>0</v>
      </c>
    </row>
    <row r="463" spans="1:35" ht="31.2">
      <c r="A463" s="8">
        <v>-73.966178589999998</v>
      </c>
      <c r="B463" s="8">
        <v>40.774256989999998</v>
      </c>
      <c r="C463" s="8" t="s">
        <v>1435</v>
      </c>
      <c r="D463" s="8" t="s">
        <v>1436</v>
      </c>
      <c r="E463" s="8" t="b">
        <f t="shared" si="7"/>
        <v>0</v>
      </c>
      <c r="F463" s="8" t="str" cm="1">
        <f t="array" ref="F463">_xlfn._xlws.FILTER(E463:E3661, C463:C3661= "6D-PM-1020-01", "No Squirrels Found")</f>
        <v>No Squirrels Found</v>
      </c>
      <c r="G463" s="8" t="s">
        <v>34</v>
      </c>
      <c r="H463" s="10">
        <v>10082018</v>
      </c>
      <c r="I463" s="10">
        <v>1</v>
      </c>
      <c r="J463" s="8" t="s">
        <v>39</v>
      </c>
      <c r="K463" s="8" t="s">
        <v>40</v>
      </c>
      <c r="L463" s="8" t="s">
        <v>41</v>
      </c>
      <c r="M463" s="8" t="s">
        <v>42</v>
      </c>
      <c r="O463" s="8" t="s">
        <v>50</v>
      </c>
      <c r="P463" s="8">
        <v>5</v>
      </c>
      <c r="Q463" s="8" t="s">
        <v>1437</v>
      </c>
      <c r="R463" s="8" t="b">
        <v>1</v>
      </c>
      <c r="S463" s="8" t="b">
        <v>0</v>
      </c>
      <c r="T463" s="8" t="b">
        <v>1</v>
      </c>
      <c r="U463" s="8" t="b">
        <v>0</v>
      </c>
      <c r="V463" s="8" t="b">
        <v>0</v>
      </c>
      <c r="X463" s="8" t="b">
        <v>0</v>
      </c>
      <c r="Y463" s="8" t="b">
        <v>0</v>
      </c>
      <c r="Z463" s="8" t="b">
        <v>0</v>
      </c>
      <c r="AA463" s="8" t="b">
        <v>0</v>
      </c>
      <c r="AB463" s="8" t="b">
        <v>0</v>
      </c>
      <c r="AC463" s="8" t="b">
        <v>0</v>
      </c>
      <c r="AD463" s="8" t="b">
        <v>1</v>
      </c>
      <c r="AE463" s="8" t="b">
        <v>0</v>
      </c>
      <c r="AG463" s="11" t="b" cm="1">
        <f t="array" ref="AG463">IF(OR(Y463:AA463="TRUE", AE463="true"), "Threatened")</f>
        <v>0</v>
      </c>
      <c r="AH463" s="11" t="s">
        <v>1438</v>
      </c>
      <c r="AI463" s="8" t="b">
        <v>1</v>
      </c>
    </row>
    <row r="464" spans="1:35" ht="31.2">
      <c r="A464" s="8">
        <v>-73.959210310000003</v>
      </c>
      <c r="B464" s="8">
        <v>40.790439069999998</v>
      </c>
      <c r="C464" s="8" t="s">
        <v>1439</v>
      </c>
      <c r="D464" s="8" t="s">
        <v>75</v>
      </c>
      <c r="E464" s="8" t="b">
        <f t="shared" si="7"/>
        <v>0</v>
      </c>
      <c r="F464" s="8" t="str" cm="1">
        <f t="array" ref="F464">_xlfn._xlws.FILTER(E464:E3662, C464:C3662= "6D-PM-1020-01", "No Squirrels Found")</f>
        <v>No Squirrels Found</v>
      </c>
      <c r="G464" s="8" t="s">
        <v>34</v>
      </c>
      <c r="H464" s="10">
        <v>10172018</v>
      </c>
      <c r="I464" s="10">
        <v>10</v>
      </c>
      <c r="J464" s="8" t="s">
        <v>39</v>
      </c>
      <c r="K464" s="8" t="s">
        <v>40</v>
      </c>
      <c r="M464" s="8" t="s">
        <v>55</v>
      </c>
      <c r="O464" s="8" t="s">
        <v>43</v>
      </c>
      <c r="P464" s="8" t="b">
        <v>0</v>
      </c>
      <c r="R464" s="8" t="b">
        <v>0</v>
      </c>
      <c r="S464" s="8" t="b">
        <v>0</v>
      </c>
      <c r="T464" s="8" t="b">
        <v>0</v>
      </c>
      <c r="U464" s="8" t="b">
        <v>1</v>
      </c>
      <c r="V464" s="8" t="b">
        <v>1</v>
      </c>
      <c r="X464" s="8" t="b">
        <v>0</v>
      </c>
      <c r="Y464" s="8" t="b">
        <v>0</v>
      </c>
      <c r="Z464" s="8" t="b">
        <v>0</v>
      </c>
      <c r="AA464" s="8" t="b">
        <v>0</v>
      </c>
      <c r="AB464" s="8" t="b">
        <v>0</v>
      </c>
      <c r="AC464" s="8" t="b">
        <v>0</v>
      </c>
      <c r="AD464" s="8" t="b">
        <v>0</v>
      </c>
      <c r="AE464" s="8" t="b">
        <v>1</v>
      </c>
      <c r="AG464" s="11" t="b" cm="1">
        <f t="array" ref="AG464">IF(OR(Y464:AA464="TRUE", AE464="true"), "Threatened")</f>
        <v>0</v>
      </c>
      <c r="AH464" s="11" t="s">
        <v>1440</v>
      </c>
      <c r="AI464" s="8" t="b">
        <v>1</v>
      </c>
    </row>
    <row r="465" spans="1:35" ht="31.2">
      <c r="A465" s="8">
        <v>-73.966445039999996</v>
      </c>
      <c r="B465" s="8">
        <v>40.788784489999998</v>
      </c>
      <c r="C465" s="8" t="s">
        <v>1441</v>
      </c>
      <c r="D465" s="8" t="s">
        <v>1074</v>
      </c>
      <c r="E465" s="8" t="b">
        <f t="shared" si="7"/>
        <v>0</v>
      </c>
      <c r="F465" s="8" t="str" cm="1">
        <f t="array" ref="F465">_xlfn._xlws.FILTER(E465:E3663, C465:C3663= "6D-PM-1020-01", "No Squirrels Found")</f>
        <v>No Squirrels Found</v>
      </c>
      <c r="G465" s="8" t="s">
        <v>48</v>
      </c>
      <c r="H465" s="10">
        <v>10082018</v>
      </c>
      <c r="I465" s="10">
        <v>2</v>
      </c>
      <c r="J465" s="8" t="s">
        <v>39</v>
      </c>
      <c r="K465" s="8" t="s">
        <v>41</v>
      </c>
      <c r="L465" s="8" t="s">
        <v>84</v>
      </c>
      <c r="M465" s="8" t="s">
        <v>85</v>
      </c>
      <c r="O465" s="8" t="s">
        <v>43</v>
      </c>
      <c r="P465" s="8" t="b">
        <v>0</v>
      </c>
      <c r="R465" s="8" t="b">
        <v>1</v>
      </c>
      <c r="S465" s="8" t="b">
        <v>0</v>
      </c>
      <c r="T465" s="8" t="b">
        <v>0</v>
      </c>
      <c r="U465" s="8" t="b">
        <v>0</v>
      </c>
      <c r="V465" s="8" t="b">
        <v>0</v>
      </c>
      <c r="X465" s="8" t="b">
        <v>0</v>
      </c>
      <c r="Y465" s="8" t="b">
        <v>0</v>
      </c>
      <c r="Z465" s="8" t="b">
        <v>0</v>
      </c>
      <c r="AA465" s="8" t="b">
        <v>0</v>
      </c>
      <c r="AB465" s="8" t="b">
        <v>0</v>
      </c>
      <c r="AC465" s="8" t="b">
        <v>0</v>
      </c>
      <c r="AD465" s="8" t="b">
        <v>0</v>
      </c>
      <c r="AE465" s="8" t="b">
        <v>1</v>
      </c>
      <c r="AG465" s="11" t="b" cm="1">
        <f t="array" ref="AG465">IF(OR(Y465:AA465="TRUE", AE465="true"), "Threatened")</f>
        <v>0</v>
      </c>
      <c r="AH465" s="11" t="s">
        <v>1442</v>
      </c>
      <c r="AI465" s="8" t="b">
        <v>1</v>
      </c>
    </row>
    <row r="466" spans="1:35" ht="31.2">
      <c r="A466" s="8">
        <v>-73.968304110000005</v>
      </c>
      <c r="B466" s="8">
        <v>40.786265229999998</v>
      </c>
      <c r="C466" s="8" t="s">
        <v>1443</v>
      </c>
      <c r="D466" s="8" t="s">
        <v>1444</v>
      </c>
      <c r="E466" s="8" t="b">
        <f t="shared" si="7"/>
        <v>0</v>
      </c>
      <c r="F466" s="8" t="str" cm="1">
        <f t="array" ref="F466">_xlfn._xlws.FILTER(E466:E3664, C466:C3664= "6D-PM-1020-01", "No Squirrels Found")</f>
        <v>No Squirrels Found</v>
      </c>
      <c r="G466" s="8" t="s">
        <v>48</v>
      </c>
      <c r="H466" s="10">
        <v>10142018</v>
      </c>
      <c r="I466" s="10">
        <v>1</v>
      </c>
      <c r="J466" s="8" t="s">
        <v>39</v>
      </c>
      <c r="K466" s="8" t="s">
        <v>40</v>
      </c>
      <c r="L466" s="8" t="s">
        <v>84</v>
      </c>
      <c r="M466" s="8" t="s">
        <v>103</v>
      </c>
      <c r="O466" s="8" t="s">
        <v>43</v>
      </c>
      <c r="P466" s="8" t="b">
        <v>0</v>
      </c>
      <c r="R466" s="8" t="b">
        <v>1</v>
      </c>
      <c r="S466" s="8" t="b">
        <v>0</v>
      </c>
      <c r="T466" s="8" t="b">
        <v>0</v>
      </c>
      <c r="U466" s="8" t="b">
        <v>0</v>
      </c>
      <c r="V466" s="8" t="b">
        <v>0</v>
      </c>
      <c r="X466" s="8" t="b">
        <v>0</v>
      </c>
      <c r="Y466" s="8" t="b">
        <v>0</v>
      </c>
      <c r="Z466" s="8" t="b">
        <v>0</v>
      </c>
      <c r="AA466" s="8" t="b">
        <v>0</v>
      </c>
      <c r="AB466" s="8" t="b">
        <v>0</v>
      </c>
      <c r="AC466" s="8" t="b">
        <v>0</v>
      </c>
      <c r="AD466" s="8" t="b">
        <v>0</v>
      </c>
      <c r="AE466" s="8" t="b">
        <v>0</v>
      </c>
      <c r="AF466" s="11" t="s">
        <v>1445</v>
      </c>
      <c r="AG466" s="11" t="b" cm="1">
        <f t="array" ref="AG466">IF(OR(Y466:AA466="TRUE", AE466="true"), "Threatened")</f>
        <v>0</v>
      </c>
      <c r="AH466" s="11" t="s">
        <v>1446</v>
      </c>
      <c r="AI466" s="8" t="b">
        <v>1</v>
      </c>
    </row>
    <row r="467" spans="1:35" ht="31.2">
      <c r="A467" s="8">
        <v>-73.970308720000006</v>
      </c>
      <c r="B467" s="8">
        <v>40.776398569999998</v>
      </c>
      <c r="C467" s="8" t="s">
        <v>1447</v>
      </c>
      <c r="D467" s="8" t="s">
        <v>121</v>
      </c>
      <c r="E467" s="8" t="b">
        <f t="shared" si="7"/>
        <v>0</v>
      </c>
      <c r="F467" s="8" t="str" cm="1">
        <f t="array" ref="F467">_xlfn._xlws.FILTER(E467:E3665, C467:C3665= "6D-PM-1020-01", "No Squirrels Found")</f>
        <v>No Squirrels Found</v>
      </c>
      <c r="G467" s="8" t="s">
        <v>48</v>
      </c>
      <c r="H467" s="10">
        <v>10082018</v>
      </c>
      <c r="I467" s="10">
        <v>20</v>
      </c>
      <c r="J467" s="8" t="s">
        <v>39</v>
      </c>
      <c r="K467" s="8" t="s">
        <v>40</v>
      </c>
      <c r="M467" s="8" t="s">
        <v>55</v>
      </c>
      <c r="O467" s="8" t="s">
        <v>43</v>
      </c>
      <c r="P467" s="8" t="b">
        <v>0</v>
      </c>
      <c r="R467" s="8" t="b">
        <v>0</v>
      </c>
      <c r="S467" s="8" t="b">
        <v>0</v>
      </c>
      <c r="T467" s="8" t="b">
        <v>0</v>
      </c>
      <c r="U467" s="8" t="b">
        <v>0</v>
      </c>
      <c r="V467" s="8" t="b">
        <v>1</v>
      </c>
      <c r="W467" s="11" t="s">
        <v>122</v>
      </c>
      <c r="X467" s="8" t="b">
        <v>0</v>
      </c>
      <c r="Y467" s="8" t="b">
        <v>0</v>
      </c>
      <c r="Z467" s="8" t="b">
        <v>0</v>
      </c>
      <c r="AA467" s="8" t="b">
        <v>0</v>
      </c>
      <c r="AB467" s="8" t="b">
        <v>0</v>
      </c>
      <c r="AC467" s="8" t="b">
        <v>0</v>
      </c>
      <c r="AD467" s="8" t="b">
        <v>1</v>
      </c>
      <c r="AE467" s="8" t="b">
        <v>0</v>
      </c>
      <c r="AG467" s="11" t="b" cm="1">
        <f t="array" ref="AG467">IF(OR(Y467:AA467="TRUE", AE467="true"), "Threatened")</f>
        <v>0</v>
      </c>
      <c r="AH467" s="11" t="s">
        <v>1448</v>
      </c>
      <c r="AI467" s="8" t="b">
        <v>0</v>
      </c>
    </row>
    <row r="468" spans="1:35" ht="31.2">
      <c r="A468" s="8">
        <v>-73.957972409999996</v>
      </c>
      <c r="B468" s="8">
        <v>40.79487099</v>
      </c>
      <c r="C468" s="8" t="s">
        <v>1449</v>
      </c>
      <c r="D468" s="8" t="s">
        <v>405</v>
      </c>
      <c r="E468" s="8" t="b">
        <f t="shared" si="7"/>
        <v>0</v>
      </c>
      <c r="F468" s="8" t="str" cm="1">
        <f t="array" ref="F468">_xlfn._xlws.FILTER(E468:E3666, C468:C3666= "6D-PM-1020-01", "No Squirrels Found")</f>
        <v>No Squirrels Found</v>
      </c>
      <c r="G468" s="8" t="s">
        <v>48</v>
      </c>
      <c r="H468" s="10">
        <v>10182018</v>
      </c>
      <c r="I468" s="10">
        <v>1</v>
      </c>
      <c r="J468" s="8" t="s">
        <v>54</v>
      </c>
      <c r="K468" s="8" t="s">
        <v>40</v>
      </c>
      <c r="L468" s="8" t="s">
        <v>84</v>
      </c>
      <c r="M468" s="8" t="s">
        <v>103</v>
      </c>
      <c r="O468" s="8" t="s">
        <v>43</v>
      </c>
      <c r="P468" s="8" t="b">
        <v>0</v>
      </c>
      <c r="R468" s="8" t="b">
        <v>0</v>
      </c>
      <c r="S468" s="8" t="b">
        <v>0</v>
      </c>
      <c r="T468" s="8" t="b">
        <v>0</v>
      </c>
      <c r="U468" s="8" t="b">
        <v>0</v>
      </c>
      <c r="V468" s="8" t="b">
        <v>1</v>
      </c>
      <c r="X468" s="8" t="b">
        <v>0</v>
      </c>
      <c r="Y468" s="8" t="b">
        <v>0</v>
      </c>
      <c r="Z468" s="8" t="b">
        <v>0</v>
      </c>
      <c r="AA468" s="8" t="b">
        <v>0</v>
      </c>
      <c r="AB468" s="8" t="b">
        <v>0</v>
      </c>
      <c r="AC468" s="8" t="b">
        <v>0</v>
      </c>
      <c r="AD468" s="8" t="b">
        <v>1</v>
      </c>
      <c r="AE468" s="8" t="b">
        <v>0</v>
      </c>
      <c r="AG468" s="11" t="b" cm="1">
        <f t="array" ref="AG468">IF(OR(Y468:AA468="TRUE", AE468="true"), "Threatened")</f>
        <v>0</v>
      </c>
      <c r="AH468" s="11" t="s">
        <v>1450</v>
      </c>
      <c r="AI468" s="8" t="b">
        <v>1</v>
      </c>
    </row>
    <row r="469" spans="1:35" ht="31.2">
      <c r="A469" s="8">
        <v>-73.978065970000003</v>
      </c>
      <c r="B469" s="8">
        <v>40.767238229999997</v>
      </c>
      <c r="C469" s="8" t="s">
        <v>1451</v>
      </c>
      <c r="D469" s="8" t="s">
        <v>1278</v>
      </c>
      <c r="E469" s="8" t="b">
        <f t="shared" si="7"/>
        <v>0</v>
      </c>
      <c r="F469" s="8" t="str" cm="1">
        <f t="array" ref="F469">_xlfn._xlws.FILTER(E469:E3667, C469:C3667= "6D-PM-1020-01", "No Squirrels Found")</f>
        <v>No Squirrels Found</v>
      </c>
      <c r="G469" s="8" t="s">
        <v>34</v>
      </c>
      <c r="H469" s="10">
        <v>10072018</v>
      </c>
      <c r="I469" s="10">
        <v>6</v>
      </c>
      <c r="J469" s="8" t="s">
        <v>39</v>
      </c>
      <c r="K469" s="8" t="s">
        <v>40</v>
      </c>
      <c r="L469" s="8" t="s">
        <v>84</v>
      </c>
      <c r="M469" s="8" t="s">
        <v>103</v>
      </c>
      <c r="O469" s="8" t="s">
        <v>43</v>
      </c>
      <c r="P469" s="8" t="b">
        <v>0</v>
      </c>
      <c r="R469" s="8" t="b">
        <v>0</v>
      </c>
      <c r="S469" s="8" t="b">
        <v>0</v>
      </c>
      <c r="T469" s="8" t="b">
        <v>0</v>
      </c>
      <c r="U469" s="8" t="b">
        <v>0</v>
      </c>
      <c r="V469" s="8" t="b">
        <v>1</v>
      </c>
      <c r="X469" s="8" t="b">
        <v>0</v>
      </c>
      <c r="Y469" s="8" t="b">
        <v>0</v>
      </c>
      <c r="Z469" s="8" t="b">
        <v>0</v>
      </c>
      <c r="AA469" s="8" t="b">
        <v>0</v>
      </c>
      <c r="AB469" s="8" t="b">
        <v>0</v>
      </c>
      <c r="AC469" s="8" t="b">
        <v>0</v>
      </c>
      <c r="AD469" s="8" t="b">
        <v>1</v>
      </c>
      <c r="AE469" s="8" t="b">
        <v>0</v>
      </c>
      <c r="AG469" s="11" t="b" cm="1">
        <f t="array" ref="AG469">IF(OR(Y469:AA469="TRUE", AE469="true"), "Threatened")</f>
        <v>0</v>
      </c>
      <c r="AH469" s="11" t="s">
        <v>1452</v>
      </c>
      <c r="AI469" s="8" t="b">
        <v>1</v>
      </c>
    </row>
    <row r="470" spans="1:35" ht="31.2">
      <c r="A470" s="8">
        <v>-73.971720140000002</v>
      </c>
      <c r="B470" s="8">
        <v>40.776120280000001</v>
      </c>
      <c r="C470" s="8" t="s">
        <v>1453</v>
      </c>
      <c r="D470" s="8" t="s">
        <v>426</v>
      </c>
      <c r="E470" s="8" t="b">
        <f t="shared" si="7"/>
        <v>0</v>
      </c>
      <c r="F470" s="8" t="str" cm="1">
        <f t="array" ref="F470">_xlfn._xlws.FILTER(E470:E3668, C470:C3668= "6D-PM-1020-01", "No Squirrels Found")</f>
        <v>No Squirrels Found</v>
      </c>
      <c r="G470" s="8" t="s">
        <v>34</v>
      </c>
      <c r="H470" s="10">
        <v>10182018</v>
      </c>
      <c r="I470" s="10">
        <v>2</v>
      </c>
      <c r="J470" s="8" t="s">
        <v>39</v>
      </c>
      <c r="K470" s="8" t="s">
        <v>40</v>
      </c>
      <c r="L470" s="8" t="s">
        <v>84</v>
      </c>
      <c r="M470" s="8" t="s">
        <v>103</v>
      </c>
      <c r="O470" s="8" t="s">
        <v>43</v>
      </c>
      <c r="P470" s="8" t="b">
        <v>0</v>
      </c>
      <c r="R470" s="8" t="b">
        <v>1</v>
      </c>
      <c r="S470" s="8" t="b">
        <v>0</v>
      </c>
      <c r="T470" s="8" t="b">
        <v>0</v>
      </c>
      <c r="U470" s="8" t="b">
        <v>0</v>
      </c>
      <c r="V470" s="8" t="b">
        <v>0</v>
      </c>
      <c r="X470" s="8" t="b">
        <v>0</v>
      </c>
      <c r="Y470" s="8" t="b">
        <v>0</v>
      </c>
      <c r="Z470" s="8" t="b">
        <v>0</v>
      </c>
      <c r="AA470" s="8" t="b">
        <v>0</v>
      </c>
      <c r="AB470" s="8" t="b">
        <v>0</v>
      </c>
      <c r="AC470" s="8" t="b">
        <v>0</v>
      </c>
      <c r="AD470" s="8" t="b">
        <v>1</v>
      </c>
      <c r="AE470" s="8" t="b">
        <v>0</v>
      </c>
      <c r="AG470" s="11" t="b" cm="1">
        <f t="array" ref="AG470">IF(OR(Y470:AA470="TRUE", AE470="true"), "Threatened")</f>
        <v>0</v>
      </c>
      <c r="AH470" s="11" t="s">
        <v>1454</v>
      </c>
      <c r="AI470" s="8" t="b">
        <v>1</v>
      </c>
    </row>
    <row r="471" spans="1:35" ht="31.2">
      <c r="A471" s="8">
        <v>-73.958124299999994</v>
      </c>
      <c r="B471" s="8">
        <v>40.794431469999999</v>
      </c>
      <c r="C471" s="8" t="s">
        <v>1455</v>
      </c>
      <c r="D471" s="8" t="s">
        <v>1456</v>
      </c>
      <c r="E471" s="8" t="b">
        <f t="shared" si="7"/>
        <v>0</v>
      </c>
      <c r="F471" s="8" t="str" cm="1">
        <f t="array" ref="F471">_xlfn._xlws.FILTER(E471:E3669, C471:C3669= "6D-PM-1020-01", "No Squirrels Found")</f>
        <v>No Squirrels Found</v>
      </c>
      <c r="G471" s="8" t="s">
        <v>48</v>
      </c>
      <c r="H471" s="10">
        <v>10072018</v>
      </c>
      <c r="I471" s="10">
        <v>1</v>
      </c>
      <c r="J471" s="8" t="s">
        <v>39</v>
      </c>
      <c r="K471" s="8" t="s">
        <v>41</v>
      </c>
      <c r="L471" s="8" t="s">
        <v>40</v>
      </c>
      <c r="M471" s="8" t="s">
        <v>110</v>
      </c>
      <c r="O471" s="8" t="s">
        <v>43</v>
      </c>
      <c r="P471" s="8" t="b">
        <v>0</v>
      </c>
      <c r="R471" s="8" t="b">
        <v>0</v>
      </c>
      <c r="S471" s="8" t="b">
        <v>0</v>
      </c>
      <c r="T471" s="8" t="b">
        <v>1</v>
      </c>
      <c r="U471" s="8" t="b">
        <v>0</v>
      </c>
      <c r="V471" s="8" t="b">
        <v>1</v>
      </c>
      <c r="X471" s="8" t="b">
        <v>0</v>
      </c>
      <c r="Y471" s="8" t="b">
        <v>0</v>
      </c>
      <c r="Z471" s="8" t="b">
        <v>0</v>
      </c>
      <c r="AA471" s="8" t="b">
        <v>0</v>
      </c>
      <c r="AB471" s="8" t="b">
        <v>0</v>
      </c>
      <c r="AC471" s="8" t="b">
        <v>0</v>
      </c>
      <c r="AD471" s="8" t="b">
        <v>0</v>
      </c>
      <c r="AE471" s="8" t="b">
        <v>1</v>
      </c>
      <c r="AF471" s="11" t="s">
        <v>1457</v>
      </c>
      <c r="AG471" s="11" t="b" cm="1">
        <f t="array" ref="AG471">IF(OR(Y471:AA471="TRUE", AE471="true"), "Threatened")</f>
        <v>0</v>
      </c>
      <c r="AH471" s="11" t="s">
        <v>1458</v>
      </c>
      <c r="AI471" s="8" t="b">
        <v>1</v>
      </c>
    </row>
    <row r="472" spans="1:35" ht="31.2">
      <c r="A472" s="8">
        <v>-73.97072154</v>
      </c>
      <c r="B472" s="8">
        <v>40.772750809999998</v>
      </c>
      <c r="C472" s="8" t="s">
        <v>1459</v>
      </c>
      <c r="D472" s="8" t="s">
        <v>609</v>
      </c>
      <c r="E472" s="8" t="b">
        <f t="shared" si="7"/>
        <v>0</v>
      </c>
      <c r="F472" s="8" t="str" cm="1">
        <f t="array" ref="F472">_xlfn._xlws.FILTER(E472:E3670, C472:C3670= "6D-PM-1020-01", "No Squirrels Found")</f>
        <v>No Squirrels Found</v>
      </c>
      <c r="G472" s="8" t="s">
        <v>48</v>
      </c>
      <c r="H472" s="10">
        <v>10062018</v>
      </c>
      <c r="I472" s="10">
        <v>5</v>
      </c>
      <c r="J472" s="8" t="s">
        <v>39</v>
      </c>
      <c r="K472" s="8" t="s">
        <v>40</v>
      </c>
      <c r="M472" s="8" t="s">
        <v>55</v>
      </c>
      <c r="O472" s="8" t="s">
        <v>43</v>
      </c>
      <c r="P472" s="8" t="b">
        <v>0</v>
      </c>
      <c r="R472" s="8" t="b">
        <v>0</v>
      </c>
      <c r="S472" s="8" t="b">
        <v>1</v>
      </c>
      <c r="T472" s="8" t="b">
        <v>0</v>
      </c>
      <c r="U472" s="8" t="b">
        <v>0</v>
      </c>
      <c r="V472" s="8" t="b">
        <v>0</v>
      </c>
      <c r="W472" s="11" t="s">
        <v>1460</v>
      </c>
      <c r="X472" s="8" t="b">
        <v>1</v>
      </c>
      <c r="Y472" s="8" t="b">
        <v>0</v>
      </c>
      <c r="Z472" s="8" t="b">
        <v>0</v>
      </c>
      <c r="AA472" s="8" t="b">
        <v>0</v>
      </c>
      <c r="AB472" s="8" t="b">
        <v>0</v>
      </c>
      <c r="AC472" s="8" t="b">
        <v>0</v>
      </c>
      <c r="AD472" s="8" t="b">
        <v>0</v>
      </c>
      <c r="AE472" s="8" t="b">
        <v>0</v>
      </c>
      <c r="AG472" s="11" t="b" cm="1">
        <f t="array" ref="AG472">IF(OR(Y472:AA472="TRUE", AE472="true"), "Threatened")</f>
        <v>0</v>
      </c>
      <c r="AH472" s="11" t="s">
        <v>1461</v>
      </c>
      <c r="AI472" s="8" t="b">
        <v>0</v>
      </c>
    </row>
    <row r="473" spans="1:35" ht="31.2">
      <c r="A473" s="8">
        <v>-73.970272120000004</v>
      </c>
      <c r="B473" s="8">
        <v>40.770101179999997</v>
      </c>
      <c r="C473" s="8" t="s">
        <v>1462</v>
      </c>
      <c r="D473" s="8" t="s">
        <v>113</v>
      </c>
      <c r="E473" s="8" t="b">
        <f t="shared" si="7"/>
        <v>0</v>
      </c>
      <c r="F473" s="8" t="str" cm="1">
        <f t="array" ref="F473">_xlfn._xlws.FILTER(E473:E3671, C473:C3671= "6D-PM-1020-01", "No Squirrels Found")</f>
        <v>No Squirrels Found</v>
      </c>
      <c r="G473" s="8" t="s">
        <v>48</v>
      </c>
      <c r="H473" s="10">
        <v>10062018</v>
      </c>
      <c r="I473" s="10">
        <v>15</v>
      </c>
      <c r="J473" s="8" t="s">
        <v>39</v>
      </c>
      <c r="K473" s="8" t="s">
        <v>40</v>
      </c>
      <c r="L473" s="8" t="s">
        <v>41</v>
      </c>
      <c r="M473" s="8" t="s">
        <v>42</v>
      </c>
      <c r="O473" s="8" t="s">
        <v>43</v>
      </c>
      <c r="P473" s="8" t="b">
        <v>0</v>
      </c>
      <c r="R473" s="8" t="b">
        <v>0</v>
      </c>
      <c r="S473" s="8" t="b">
        <v>0</v>
      </c>
      <c r="T473" s="8" t="b">
        <v>0</v>
      </c>
      <c r="U473" s="8" t="b">
        <v>0</v>
      </c>
      <c r="V473" s="8" t="b">
        <v>1</v>
      </c>
      <c r="X473" s="8" t="b">
        <v>0</v>
      </c>
      <c r="Y473" s="8" t="b">
        <v>0</v>
      </c>
      <c r="Z473" s="8" t="b">
        <v>0</v>
      </c>
      <c r="AA473" s="8" t="b">
        <v>0</v>
      </c>
      <c r="AB473" s="8" t="b">
        <v>0</v>
      </c>
      <c r="AC473" s="8" t="b">
        <v>0</v>
      </c>
      <c r="AD473" s="8" t="b">
        <v>1</v>
      </c>
      <c r="AE473" s="8" t="b">
        <v>0</v>
      </c>
      <c r="AG473" s="11" t="b" cm="1">
        <f t="array" ref="AG473">IF(OR(Y473:AA473="TRUE", AE473="true"), "Threatened")</f>
        <v>0</v>
      </c>
      <c r="AH473" s="11" t="s">
        <v>1463</v>
      </c>
      <c r="AI473" s="8" t="b">
        <v>1</v>
      </c>
    </row>
    <row r="474" spans="1:35" ht="31.2">
      <c r="A474" s="8">
        <v>-73.957013000000003</v>
      </c>
      <c r="B474" s="8">
        <v>40.799602739999997</v>
      </c>
      <c r="C474" s="8" t="s">
        <v>1464</v>
      </c>
      <c r="D474" s="8" t="s">
        <v>1465</v>
      </c>
      <c r="E474" s="8" t="b">
        <f t="shared" si="7"/>
        <v>0</v>
      </c>
      <c r="F474" s="8" t="str" cm="1">
        <f t="array" ref="F474">_xlfn._xlws.FILTER(E474:E3672, C474:C3672= "6D-PM-1020-01", "No Squirrels Found")</f>
        <v>No Squirrels Found</v>
      </c>
      <c r="G474" s="8" t="s">
        <v>48</v>
      </c>
      <c r="H474" s="10">
        <v>10142018</v>
      </c>
      <c r="I474" s="10">
        <v>2</v>
      </c>
      <c r="J474" s="8" t="s">
        <v>39</v>
      </c>
      <c r="K474" s="8" t="s">
        <v>192</v>
      </c>
      <c r="M474" s="8" t="s">
        <v>193</v>
      </c>
      <c r="O474" s="8" t="s">
        <v>43</v>
      </c>
      <c r="P474" s="8" t="b">
        <v>0</v>
      </c>
      <c r="R474" s="8" t="b">
        <v>0</v>
      </c>
      <c r="S474" s="8" t="b">
        <v>0</v>
      </c>
      <c r="T474" s="8" t="b">
        <v>0</v>
      </c>
      <c r="U474" s="8" t="b">
        <v>0</v>
      </c>
      <c r="V474" s="8" t="b">
        <v>1</v>
      </c>
      <c r="W474" s="11" t="s">
        <v>355</v>
      </c>
      <c r="X474" s="8" t="b">
        <v>0</v>
      </c>
      <c r="Y474" s="8" t="b">
        <v>0</v>
      </c>
      <c r="Z474" s="8" t="b">
        <v>0</v>
      </c>
      <c r="AA474" s="8" t="b">
        <v>0</v>
      </c>
      <c r="AB474" s="8" t="b">
        <v>0</v>
      </c>
      <c r="AC474" s="8" t="b">
        <v>0</v>
      </c>
      <c r="AD474" s="8" t="b">
        <v>1</v>
      </c>
      <c r="AE474" s="8" t="b">
        <v>0</v>
      </c>
      <c r="AG474" s="11" t="b" cm="1">
        <f t="array" ref="AG474">IF(OR(Y474:AA474="TRUE", AE474="true"), "Threatened")</f>
        <v>0</v>
      </c>
      <c r="AH474" s="11" t="s">
        <v>1466</v>
      </c>
      <c r="AI474" s="8" t="b">
        <v>0</v>
      </c>
    </row>
    <row r="475" spans="1:35" ht="31.2">
      <c r="A475" s="8">
        <v>-73.954065229999998</v>
      </c>
      <c r="B475" s="8">
        <v>40.79552262</v>
      </c>
      <c r="C475" s="8" t="s">
        <v>1467</v>
      </c>
      <c r="D475" s="8" t="s">
        <v>153</v>
      </c>
      <c r="E475" s="8" t="b">
        <f t="shared" si="7"/>
        <v>0</v>
      </c>
      <c r="F475" s="8" t="str" cm="1">
        <f t="array" ref="F475">_xlfn._xlws.FILTER(E475:E3673, C475:C3673= "6D-PM-1020-01", "No Squirrels Found")</f>
        <v>No Squirrels Found</v>
      </c>
      <c r="G475" s="8" t="s">
        <v>34</v>
      </c>
      <c r="H475" s="10">
        <v>10132018</v>
      </c>
      <c r="I475" s="10">
        <v>5</v>
      </c>
      <c r="J475" s="8" t="s">
        <v>39</v>
      </c>
      <c r="K475" s="8" t="s">
        <v>40</v>
      </c>
      <c r="L475" s="8" t="s">
        <v>41</v>
      </c>
      <c r="M475" s="8" t="s">
        <v>42</v>
      </c>
      <c r="O475" s="8" t="s">
        <v>43</v>
      </c>
      <c r="P475" s="8" t="b">
        <v>0</v>
      </c>
      <c r="R475" s="8" t="b">
        <v>0</v>
      </c>
      <c r="S475" s="8" t="b">
        <v>1</v>
      </c>
      <c r="T475" s="8" t="b">
        <v>0</v>
      </c>
      <c r="U475" s="8" t="b">
        <v>0</v>
      </c>
      <c r="V475" s="8" t="b">
        <v>1</v>
      </c>
      <c r="X475" s="8" t="b">
        <v>0</v>
      </c>
      <c r="Y475" s="8" t="b">
        <v>0</v>
      </c>
      <c r="Z475" s="8" t="b">
        <v>0</v>
      </c>
      <c r="AA475" s="8" t="b">
        <v>0</v>
      </c>
      <c r="AB475" s="8" t="b">
        <v>0</v>
      </c>
      <c r="AC475" s="8" t="b">
        <v>0</v>
      </c>
      <c r="AD475" s="8" t="b">
        <v>0</v>
      </c>
      <c r="AE475" s="8" t="b">
        <v>0</v>
      </c>
      <c r="AG475" s="11" t="b" cm="1">
        <f t="array" ref="AG475">IF(OR(Y475:AA475="TRUE", AE475="true"), "Threatened")</f>
        <v>0</v>
      </c>
      <c r="AH475" s="11" t="s">
        <v>1468</v>
      </c>
      <c r="AI475" s="8" t="b">
        <v>1</v>
      </c>
    </row>
    <row r="476" spans="1:35" ht="31.2">
      <c r="A476" s="8">
        <v>-73.969785560000005</v>
      </c>
      <c r="B476" s="8">
        <v>40.774218640000001</v>
      </c>
      <c r="C476" s="8" t="s">
        <v>1469</v>
      </c>
      <c r="D476" s="8" t="s">
        <v>655</v>
      </c>
      <c r="E476" s="8" t="b">
        <f t="shared" si="7"/>
        <v>0</v>
      </c>
      <c r="F476" s="8" t="str" cm="1">
        <f t="array" ref="F476">_xlfn._xlws.FILTER(E476:E3674, C476:C3674= "6D-PM-1020-01", "No Squirrels Found")</f>
        <v>No Squirrels Found</v>
      </c>
      <c r="G476" s="8" t="s">
        <v>34</v>
      </c>
      <c r="H476" s="10">
        <v>10072018</v>
      </c>
      <c r="I476" s="10">
        <v>5</v>
      </c>
      <c r="J476" s="8" t="s">
        <v>39</v>
      </c>
      <c r="K476" s="8" t="s">
        <v>40</v>
      </c>
      <c r="L476" s="8" t="s">
        <v>84</v>
      </c>
      <c r="M476" s="8" t="s">
        <v>103</v>
      </c>
      <c r="O476" s="8" t="s">
        <v>43</v>
      </c>
      <c r="P476" s="8" t="b">
        <v>0</v>
      </c>
      <c r="R476" s="8" t="b">
        <v>0</v>
      </c>
      <c r="S476" s="8" t="b">
        <v>0</v>
      </c>
      <c r="T476" s="8" t="b">
        <v>0</v>
      </c>
      <c r="U476" s="8" t="b">
        <v>1</v>
      </c>
      <c r="V476" s="8" t="b">
        <v>1</v>
      </c>
      <c r="X476" s="8" t="b">
        <v>0</v>
      </c>
      <c r="Y476" s="8" t="b">
        <v>0</v>
      </c>
      <c r="Z476" s="8" t="b">
        <v>0</v>
      </c>
      <c r="AA476" s="8" t="b">
        <v>0</v>
      </c>
      <c r="AB476" s="8" t="b">
        <v>0</v>
      </c>
      <c r="AC476" s="8" t="b">
        <v>0</v>
      </c>
      <c r="AD476" s="8" t="b">
        <v>1</v>
      </c>
      <c r="AE476" s="8" t="b">
        <v>0</v>
      </c>
      <c r="AG476" s="11" t="b" cm="1">
        <f t="array" ref="AG476">IF(OR(Y476:AA476="TRUE", AE476="true"), "Threatened")</f>
        <v>0</v>
      </c>
      <c r="AH476" s="11" t="s">
        <v>1470</v>
      </c>
      <c r="AI476" s="8" t="b">
        <v>1</v>
      </c>
    </row>
    <row r="477" spans="1:35" ht="31.2">
      <c r="A477" s="8">
        <v>-73.969096820000004</v>
      </c>
      <c r="B477" s="8">
        <v>40.76992327</v>
      </c>
      <c r="C477" s="8" t="s">
        <v>1471</v>
      </c>
      <c r="D477" s="8" t="s">
        <v>1326</v>
      </c>
      <c r="E477" s="8" t="b">
        <f t="shared" si="7"/>
        <v>0</v>
      </c>
      <c r="F477" s="8" t="str" cm="1">
        <f t="array" ref="F477">_xlfn._xlws.FILTER(E477:E3675, C477:C3675= "6D-PM-1020-01", "No Squirrels Found")</f>
        <v>No Squirrels Found</v>
      </c>
      <c r="G477" s="8" t="s">
        <v>48</v>
      </c>
      <c r="H477" s="10">
        <v>10062018</v>
      </c>
      <c r="I477" s="10">
        <v>8</v>
      </c>
      <c r="J477" s="8" t="s">
        <v>39</v>
      </c>
      <c r="K477" s="8" t="s">
        <v>40</v>
      </c>
      <c r="L477" s="8" t="s">
        <v>41</v>
      </c>
      <c r="M477" s="8" t="s">
        <v>42</v>
      </c>
      <c r="O477" s="8" t="s">
        <v>50</v>
      </c>
      <c r="P477" s="8">
        <v>6</v>
      </c>
      <c r="Q477" s="8" t="s">
        <v>206</v>
      </c>
      <c r="R477" s="8" t="b">
        <v>0</v>
      </c>
      <c r="S477" s="8" t="b">
        <v>0</v>
      </c>
      <c r="T477" s="8" t="b">
        <v>0</v>
      </c>
      <c r="U477" s="8" t="b">
        <v>0</v>
      </c>
      <c r="V477" s="8" t="b">
        <v>0</v>
      </c>
      <c r="X477" s="8" t="b">
        <v>1</v>
      </c>
      <c r="Y477" s="8" t="b">
        <v>1</v>
      </c>
      <c r="Z477" s="8" t="b">
        <v>0</v>
      </c>
      <c r="AA477" s="8" t="b">
        <v>0</v>
      </c>
      <c r="AB477" s="8" t="b">
        <v>0</v>
      </c>
      <c r="AC477" s="8" t="b">
        <v>0</v>
      </c>
      <c r="AD477" s="8" t="b">
        <v>0</v>
      </c>
      <c r="AE477" s="8" t="b">
        <v>0</v>
      </c>
      <c r="AF477" s="11" t="s">
        <v>1472</v>
      </c>
      <c r="AG477" s="11" t="b" cm="1">
        <f t="array" ref="AG477">IF(OR(Y477:AA477="TRUE", AE477="true"), "Threatened")</f>
        <v>0</v>
      </c>
      <c r="AH477" s="11" t="s">
        <v>1473</v>
      </c>
      <c r="AI477" s="8" t="b">
        <v>1</v>
      </c>
    </row>
    <row r="478" spans="1:35" ht="31.2">
      <c r="A478" s="8">
        <v>-73.970148120000005</v>
      </c>
      <c r="B478" s="8">
        <v>40.775111039999999</v>
      </c>
      <c r="C478" s="8" t="s">
        <v>1474</v>
      </c>
      <c r="D478" s="8" t="s">
        <v>655</v>
      </c>
      <c r="E478" s="8" t="b">
        <f t="shared" si="7"/>
        <v>0</v>
      </c>
      <c r="F478" s="8" t="str" cm="1">
        <f t="array" ref="F478">_xlfn._xlws.FILTER(E478:E3676, C478:C3676= "6D-PM-1020-01", "No Squirrels Found")</f>
        <v>No Squirrels Found</v>
      </c>
      <c r="G478" s="8" t="s">
        <v>48</v>
      </c>
      <c r="H478" s="10">
        <v>10202018</v>
      </c>
      <c r="I478" s="10">
        <v>6</v>
      </c>
      <c r="J478" s="8" t="s">
        <v>39</v>
      </c>
      <c r="K478" s="8" t="s">
        <v>41</v>
      </c>
      <c r="L478" s="8" t="s">
        <v>84</v>
      </c>
      <c r="M478" s="8" t="s">
        <v>85</v>
      </c>
      <c r="O478" s="8" t="s">
        <v>43</v>
      </c>
      <c r="P478" s="8" t="b">
        <v>0</v>
      </c>
      <c r="R478" s="8" t="b">
        <v>1</v>
      </c>
      <c r="S478" s="8" t="b">
        <v>0</v>
      </c>
      <c r="T478" s="8" t="b">
        <v>0</v>
      </c>
      <c r="U478" s="8" t="b">
        <v>0</v>
      </c>
      <c r="V478" s="8" t="b">
        <v>0</v>
      </c>
      <c r="X478" s="8" t="b">
        <v>0</v>
      </c>
      <c r="Y478" s="8" t="b">
        <v>0</v>
      </c>
      <c r="Z478" s="8" t="b">
        <v>0</v>
      </c>
      <c r="AA478" s="8" t="b">
        <v>0</v>
      </c>
      <c r="AB478" s="8" t="b">
        <v>0</v>
      </c>
      <c r="AC478" s="8" t="b">
        <v>0</v>
      </c>
      <c r="AD478" s="8" t="b">
        <v>0</v>
      </c>
      <c r="AE478" s="8" t="b">
        <v>0</v>
      </c>
      <c r="AG478" s="11" t="b" cm="1">
        <f t="array" ref="AG478">IF(OR(Y478:AA478="TRUE", AE478="true"), "Threatened")</f>
        <v>0</v>
      </c>
      <c r="AH478" s="11" t="s">
        <v>1475</v>
      </c>
      <c r="AI478" s="8" t="b">
        <v>1</v>
      </c>
    </row>
    <row r="479" spans="1:35" ht="31.2">
      <c r="A479" s="8">
        <v>-73.954482810000002</v>
      </c>
      <c r="B479" s="8">
        <v>40.798703179999997</v>
      </c>
      <c r="C479" s="8" t="s">
        <v>1476</v>
      </c>
      <c r="D479" s="8" t="s">
        <v>1429</v>
      </c>
      <c r="E479" s="8" t="b">
        <f t="shared" si="7"/>
        <v>0</v>
      </c>
      <c r="F479" s="8" t="str" cm="1">
        <f t="array" ref="F479">_xlfn._xlws.FILTER(E479:E3677, C479:C3677= "6D-PM-1020-01", "No Squirrels Found")</f>
        <v>No Squirrels Found</v>
      </c>
      <c r="G479" s="8" t="s">
        <v>34</v>
      </c>
      <c r="H479" s="10">
        <v>10132018</v>
      </c>
      <c r="I479" s="10">
        <v>1</v>
      </c>
      <c r="J479" s="8" t="s">
        <v>39</v>
      </c>
      <c r="K479" s="8" t="s">
        <v>40</v>
      </c>
      <c r="L479" s="8" t="s">
        <v>41</v>
      </c>
      <c r="M479" s="8" t="s">
        <v>42</v>
      </c>
      <c r="N479" s="11" t="s">
        <v>1477</v>
      </c>
      <c r="O479" s="8" t="s">
        <v>43</v>
      </c>
      <c r="P479" s="8" t="b">
        <v>0</v>
      </c>
      <c r="R479" s="8" t="b">
        <v>0</v>
      </c>
      <c r="S479" s="8" t="b">
        <v>0</v>
      </c>
      <c r="T479" s="8" t="b">
        <v>0</v>
      </c>
      <c r="U479" s="8" t="b">
        <v>0</v>
      </c>
      <c r="V479" s="8" t="b">
        <v>1</v>
      </c>
      <c r="W479" s="11" t="s">
        <v>1478</v>
      </c>
      <c r="X479" s="8" t="b">
        <v>0</v>
      </c>
      <c r="Y479" s="8" t="b">
        <v>0</v>
      </c>
      <c r="Z479" s="8" t="b">
        <v>0</v>
      </c>
      <c r="AA479" s="8" t="b">
        <v>0</v>
      </c>
      <c r="AB479" s="8" t="b">
        <v>0</v>
      </c>
      <c r="AC479" s="8" t="b">
        <v>1</v>
      </c>
      <c r="AD479" s="8" t="b">
        <v>1</v>
      </c>
      <c r="AE479" s="8" t="b">
        <v>0</v>
      </c>
      <c r="AG479" s="11" t="b" cm="1">
        <f t="array" ref="AG479">IF(OR(Y479:AA479="TRUE", AE479="true"), "Threatened")</f>
        <v>0</v>
      </c>
      <c r="AH479" s="11" t="s">
        <v>1479</v>
      </c>
      <c r="AI479" s="8" t="b">
        <v>0</v>
      </c>
    </row>
    <row r="480" spans="1:35" ht="31.2">
      <c r="A480" s="8">
        <v>-73.956940340000003</v>
      </c>
      <c r="B480" s="8">
        <v>40.795659960000002</v>
      </c>
      <c r="C480" s="8" t="s">
        <v>1480</v>
      </c>
      <c r="D480" s="8" t="s">
        <v>841</v>
      </c>
      <c r="E480" s="8" t="b">
        <f t="shared" si="7"/>
        <v>0</v>
      </c>
      <c r="F480" s="8" t="str" cm="1">
        <f t="array" ref="F480">_xlfn._xlws.FILTER(E480:E3678, C480:C3678= "6D-PM-1020-01", "No Squirrels Found")</f>
        <v>No Squirrels Found</v>
      </c>
      <c r="G480" s="8" t="s">
        <v>34</v>
      </c>
      <c r="H480" s="10">
        <v>10062018</v>
      </c>
      <c r="I480" s="10">
        <v>1</v>
      </c>
      <c r="J480" s="8" t="s">
        <v>39</v>
      </c>
      <c r="K480" s="8" t="s">
        <v>40</v>
      </c>
      <c r="L480" s="8" t="s">
        <v>41</v>
      </c>
      <c r="M480" s="8" t="s">
        <v>42</v>
      </c>
      <c r="O480" s="8" t="s">
        <v>43</v>
      </c>
      <c r="P480" s="8" t="b">
        <v>0</v>
      </c>
      <c r="R480" s="8" t="b">
        <v>1</v>
      </c>
      <c r="S480" s="8" t="b">
        <v>0</v>
      </c>
      <c r="T480" s="8" t="b">
        <v>0</v>
      </c>
      <c r="U480" s="8" t="b">
        <v>0</v>
      </c>
      <c r="V480" s="8" t="b">
        <v>0</v>
      </c>
      <c r="X480" s="8" t="b">
        <v>0</v>
      </c>
      <c r="Y480" s="8" t="b">
        <v>0</v>
      </c>
      <c r="Z480" s="8" t="b">
        <v>0</v>
      </c>
      <c r="AA480" s="8" t="b">
        <v>0</v>
      </c>
      <c r="AB480" s="8" t="b">
        <v>0</v>
      </c>
      <c r="AC480" s="8" t="b">
        <v>0</v>
      </c>
      <c r="AD480" s="8" t="b">
        <v>0</v>
      </c>
      <c r="AE480" s="8" t="b">
        <v>0</v>
      </c>
      <c r="AF480" s="11" t="s">
        <v>1481</v>
      </c>
      <c r="AG480" s="11" t="b" cm="1">
        <f t="array" ref="AG480">IF(OR(Y480:AA480="TRUE", AE480="true"), "Threatened")</f>
        <v>0</v>
      </c>
      <c r="AH480" s="11" t="s">
        <v>1482</v>
      </c>
      <c r="AI480" s="8" t="b">
        <v>1</v>
      </c>
    </row>
    <row r="481" spans="1:35" ht="31.2">
      <c r="A481" s="8">
        <v>-73.964129330000006</v>
      </c>
      <c r="B481" s="8">
        <v>40.790765399999998</v>
      </c>
      <c r="C481" s="8" t="s">
        <v>1483</v>
      </c>
      <c r="D481" s="8" t="s">
        <v>911</v>
      </c>
      <c r="E481" s="8" t="b">
        <f t="shared" si="7"/>
        <v>0</v>
      </c>
      <c r="F481" s="8" t="str" cm="1">
        <f t="array" ref="F481">_xlfn._xlws.FILTER(E481:E3679, C481:C3679= "6D-PM-1020-01", "No Squirrels Found")</f>
        <v>No Squirrels Found</v>
      </c>
      <c r="G481" s="8" t="s">
        <v>48</v>
      </c>
      <c r="H481" s="10">
        <v>10072018</v>
      </c>
      <c r="I481" s="10">
        <v>3</v>
      </c>
      <c r="J481" s="8" t="s">
        <v>39</v>
      </c>
      <c r="K481" s="8" t="s">
        <v>40</v>
      </c>
      <c r="M481" s="8" t="s">
        <v>55</v>
      </c>
      <c r="O481" s="8" t="s">
        <v>50</v>
      </c>
      <c r="P481" s="8">
        <v>30</v>
      </c>
      <c r="R481" s="8" t="b">
        <v>1</v>
      </c>
      <c r="S481" s="8" t="b">
        <v>0</v>
      </c>
      <c r="T481" s="8" t="b">
        <v>0</v>
      </c>
      <c r="U481" s="8" t="b">
        <v>0</v>
      </c>
      <c r="V481" s="8" t="b">
        <v>0</v>
      </c>
      <c r="X481" s="8" t="b">
        <v>0</v>
      </c>
      <c r="Y481" s="8" t="b">
        <v>0</v>
      </c>
      <c r="Z481" s="8" t="b">
        <v>0</v>
      </c>
      <c r="AA481" s="8" t="b">
        <v>0</v>
      </c>
      <c r="AB481" s="8" t="b">
        <v>0</v>
      </c>
      <c r="AC481" s="8" t="b">
        <v>0</v>
      </c>
      <c r="AD481" s="8" t="b">
        <v>0</v>
      </c>
      <c r="AE481" s="8" t="b">
        <v>0</v>
      </c>
      <c r="AG481" s="11" t="b" cm="1">
        <f t="array" ref="AG481">IF(OR(Y481:AA481="TRUE", AE481="true"), "Threatened")</f>
        <v>0</v>
      </c>
      <c r="AH481" s="11" t="s">
        <v>1484</v>
      </c>
      <c r="AI481" s="8" t="b">
        <v>1</v>
      </c>
    </row>
    <row r="482" spans="1:35" ht="31.2">
      <c r="A482" s="8">
        <v>-73.971430330000004</v>
      </c>
      <c r="B482" s="8">
        <v>40.774593490000001</v>
      </c>
      <c r="C482" s="8" t="s">
        <v>1485</v>
      </c>
      <c r="D482" s="8" t="s">
        <v>1115</v>
      </c>
      <c r="E482" s="8" t="b">
        <f t="shared" si="7"/>
        <v>0</v>
      </c>
      <c r="F482" s="8" t="str" cm="1">
        <f t="array" ref="F482">_xlfn._xlws.FILTER(E482:E3680, C482:C3680= "6D-PM-1020-01", "No Squirrels Found")</f>
        <v>No Squirrels Found</v>
      </c>
      <c r="G482" s="8" t="s">
        <v>48</v>
      </c>
      <c r="H482" s="10">
        <v>10132018</v>
      </c>
      <c r="I482" s="10">
        <v>4</v>
      </c>
      <c r="J482" s="8" t="s">
        <v>39</v>
      </c>
      <c r="K482" s="8" t="s">
        <v>192</v>
      </c>
      <c r="M482" s="8" t="s">
        <v>193</v>
      </c>
      <c r="O482" s="8" t="s">
        <v>43</v>
      </c>
      <c r="P482" s="8" t="b">
        <v>0</v>
      </c>
      <c r="R482" s="8" t="b">
        <v>0</v>
      </c>
      <c r="S482" s="8" t="b">
        <v>0</v>
      </c>
      <c r="T482" s="8" t="b">
        <v>0</v>
      </c>
      <c r="U482" s="8" t="b">
        <v>0</v>
      </c>
      <c r="V482" s="8" t="b">
        <v>1</v>
      </c>
      <c r="W482" s="11" t="s">
        <v>521</v>
      </c>
      <c r="X482" s="8" t="b">
        <v>0</v>
      </c>
      <c r="Y482" s="8" t="b">
        <v>0</v>
      </c>
      <c r="Z482" s="8" t="b">
        <v>0</v>
      </c>
      <c r="AA482" s="8" t="b">
        <v>0</v>
      </c>
      <c r="AB482" s="8" t="b">
        <v>0</v>
      </c>
      <c r="AC482" s="8" t="b">
        <v>0</v>
      </c>
      <c r="AD482" s="8" t="b">
        <v>1</v>
      </c>
      <c r="AE482" s="8" t="b">
        <v>0</v>
      </c>
      <c r="AG482" s="11" t="b" cm="1">
        <f t="array" ref="AG482">IF(OR(Y482:AA482="TRUE", AE482="true"), "Threatened")</f>
        <v>0</v>
      </c>
      <c r="AH482" s="11" t="s">
        <v>1486</v>
      </c>
      <c r="AI482" s="8" t="b">
        <v>0</v>
      </c>
    </row>
    <row r="483" spans="1:35" ht="31.2">
      <c r="A483" s="8">
        <v>-73.972179780000005</v>
      </c>
      <c r="B483" s="8">
        <v>40.780121379999997</v>
      </c>
      <c r="C483" s="8" t="s">
        <v>1487</v>
      </c>
      <c r="D483" s="8" t="s">
        <v>1106</v>
      </c>
      <c r="E483" s="8" t="b">
        <f t="shared" si="7"/>
        <v>0</v>
      </c>
      <c r="F483" s="8" t="str" cm="1">
        <f t="array" ref="F483">_xlfn._xlws.FILTER(E483:E3681, C483:C3681= "6D-PM-1020-01", "No Squirrels Found")</f>
        <v>No Squirrels Found</v>
      </c>
      <c r="G483" s="8" t="s">
        <v>34</v>
      </c>
      <c r="H483" s="10">
        <v>10192018</v>
      </c>
      <c r="I483" s="10">
        <v>7</v>
      </c>
      <c r="J483" s="8" t="s">
        <v>54</v>
      </c>
      <c r="K483" s="8" t="s">
        <v>40</v>
      </c>
      <c r="L483" s="8" t="s">
        <v>117</v>
      </c>
      <c r="M483" s="8" t="s">
        <v>118</v>
      </c>
      <c r="O483" s="8" t="s">
        <v>43</v>
      </c>
      <c r="P483" s="8" t="b">
        <v>0</v>
      </c>
      <c r="R483" s="8" t="b">
        <v>0</v>
      </c>
      <c r="S483" s="8" t="b">
        <v>0</v>
      </c>
      <c r="T483" s="8" t="b">
        <v>0</v>
      </c>
      <c r="U483" s="8" t="b">
        <v>0</v>
      </c>
      <c r="V483" s="8" t="b">
        <v>1</v>
      </c>
      <c r="X483" s="8" t="b">
        <v>0</v>
      </c>
      <c r="Y483" s="8" t="b">
        <v>0</v>
      </c>
      <c r="Z483" s="8" t="b">
        <v>0</v>
      </c>
      <c r="AA483" s="8" t="b">
        <v>0</v>
      </c>
      <c r="AB483" s="8" t="b">
        <v>1</v>
      </c>
      <c r="AC483" s="8" t="b">
        <v>1</v>
      </c>
      <c r="AD483" s="8" t="b">
        <v>0</v>
      </c>
      <c r="AE483" s="8" t="b">
        <v>0</v>
      </c>
      <c r="AF483" s="11" t="s">
        <v>1488</v>
      </c>
      <c r="AG483" s="11" t="b" cm="1">
        <f t="array" ref="AG483">IF(OR(Y483:AA483="TRUE", AE483="true"), "Threatened")</f>
        <v>0</v>
      </c>
      <c r="AH483" s="11" t="s">
        <v>1489</v>
      </c>
      <c r="AI483" s="8" t="b">
        <v>1</v>
      </c>
    </row>
    <row r="484" spans="1:35" ht="31.2">
      <c r="A484" s="8">
        <v>-73.9789952</v>
      </c>
      <c r="B484" s="8">
        <v>40.76977583</v>
      </c>
      <c r="C484" s="8" t="s">
        <v>1490</v>
      </c>
      <c r="D484" s="8" t="s">
        <v>889</v>
      </c>
      <c r="E484" s="8" t="b">
        <f t="shared" si="7"/>
        <v>0</v>
      </c>
      <c r="F484" s="8" t="str" cm="1">
        <f t="array" ref="F484">_xlfn._xlws.FILTER(E484:E3682, C484:C3682= "6D-PM-1020-01", "No Squirrels Found")</f>
        <v>No Squirrels Found</v>
      </c>
      <c r="G484" s="8" t="s">
        <v>48</v>
      </c>
      <c r="H484" s="10">
        <v>10102018</v>
      </c>
      <c r="I484" s="10">
        <v>3</v>
      </c>
      <c r="J484" s="8" t="s">
        <v>54</v>
      </c>
      <c r="K484" s="8" t="s">
        <v>40</v>
      </c>
      <c r="L484" s="8" t="s">
        <v>84</v>
      </c>
      <c r="M484" s="8" t="s">
        <v>103</v>
      </c>
      <c r="O484" s="8" t="s">
        <v>50</v>
      </c>
      <c r="P484" s="8">
        <v>25</v>
      </c>
      <c r="R484" s="8" t="b">
        <v>0</v>
      </c>
      <c r="S484" s="8" t="b">
        <v>0</v>
      </c>
      <c r="T484" s="8" t="b">
        <v>1</v>
      </c>
      <c r="U484" s="8" t="b">
        <v>0</v>
      </c>
      <c r="V484" s="8" t="b">
        <v>0</v>
      </c>
      <c r="X484" s="8" t="b">
        <v>0</v>
      </c>
      <c r="Y484" s="8" t="b">
        <v>0</v>
      </c>
      <c r="Z484" s="8" t="b">
        <v>0</v>
      </c>
      <c r="AA484" s="8" t="b">
        <v>0</v>
      </c>
      <c r="AB484" s="8" t="b">
        <v>0</v>
      </c>
      <c r="AC484" s="8" t="b">
        <v>0</v>
      </c>
      <c r="AD484" s="8" t="b">
        <v>1</v>
      </c>
      <c r="AE484" s="8" t="b">
        <v>0</v>
      </c>
      <c r="AG484" s="11" t="b" cm="1">
        <f t="array" ref="AG484">IF(OR(Y484:AA484="TRUE", AE484="true"), "Threatened")</f>
        <v>0</v>
      </c>
      <c r="AH484" s="11" t="s">
        <v>1491</v>
      </c>
      <c r="AI484" s="8" t="b">
        <v>1</v>
      </c>
    </row>
    <row r="485" spans="1:35" ht="31.2">
      <c r="A485" s="8">
        <v>-73.966652659999994</v>
      </c>
      <c r="B485" s="8">
        <v>40.775611169999998</v>
      </c>
      <c r="C485" s="8" t="s">
        <v>1492</v>
      </c>
      <c r="D485" s="8" t="s">
        <v>1320</v>
      </c>
      <c r="E485" s="8" t="b">
        <f t="shared" si="7"/>
        <v>0</v>
      </c>
      <c r="F485" s="8" t="str" cm="1">
        <f t="array" ref="F485">_xlfn._xlws.FILTER(E485:E3683, C485:C3683= "6D-PM-1020-01", "No Squirrels Found")</f>
        <v>No Squirrels Found</v>
      </c>
      <c r="G485" s="8" t="s">
        <v>48</v>
      </c>
      <c r="H485" s="10">
        <v>10072018</v>
      </c>
      <c r="I485" s="10">
        <v>2</v>
      </c>
      <c r="J485" s="8" t="s">
        <v>54</v>
      </c>
      <c r="K485" s="8" t="s">
        <v>40</v>
      </c>
      <c r="L485" s="8" t="s">
        <v>41</v>
      </c>
      <c r="M485" s="8" t="s">
        <v>42</v>
      </c>
      <c r="O485" s="8" t="s">
        <v>43</v>
      </c>
      <c r="P485" s="8" t="b">
        <v>0</v>
      </c>
      <c r="R485" s="8" t="b">
        <v>0</v>
      </c>
      <c r="S485" s="8" t="b">
        <v>0</v>
      </c>
      <c r="T485" s="8" t="b">
        <v>0</v>
      </c>
      <c r="U485" s="8" t="b">
        <v>0</v>
      </c>
      <c r="V485" s="8" t="b">
        <v>0</v>
      </c>
      <c r="W485" s="11" t="s">
        <v>141</v>
      </c>
      <c r="X485" s="8" t="b">
        <v>0</v>
      </c>
      <c r="Y485" s="8" t="b">
        <v>0</v>
      </c>
      <c r="Z485" s="8" t="b">
        <v>0</v>
      </c>
      <c r="AA485" s="8" t="b">
        <v>0</v>
      </c>
      <c r="AB485" s="8" t="b">
        <v>0</v>
      </c>
      <c r="AC485" s="8" t="b">
        <v>0</v>
      </c>
      <c r="AD485" s="8" t="b">
        <v>1</v>
      </c>
      <c r="AE485" s="8" t="b">
        <v>0</v>
      </c>
      <c r="AG485" s="11" t="b" cm="1">
        <f t="array" ref="AG485">IF(OR(Y485:AA485="TRUE", AE485="true"), "Threatened")</f>
        <v>0</v>
      </c>
      <c r="AH485" s="11" t="s">
        <v>1493</v>
      </c>
      <c r="AI485" s="8" t="b">
        <v>0</v>
      </c>
    </row>
    <row r="486" spans="1:35" ht="31.2">
      <c r="A486" s="8">
        <v>-73.967742319999999</v>
      </c>
      <c r="B486" s="8">
        <v>40.772881339999998</v>
      </c>
      <c r="C486" s="8" t="s">
        <v>1494</v>
      </c>
      <c r="D486" s="8" t="s">
        <v>1270</v>
      </c>
      <c r="E486" s="8" t="b">
        <f t="shared" si="7"/>
        <v>0</v>
      </c>
      <c r="F486" s="8" t="str" cm="1">
        <f t="array" ref="F486">_xlfn._xlws.FILTER(E486:E3684, C486:C3684= "6D-PM-1020-01", "No Squirrels Found")</f>
        <v>No Squirrels Found</v>
      </c>
      <c r="G486" s="8" t="s">
        <v>48</v>
      </c>
      <c r="H486" s="10">
        <v>10122018</v>
      </c>
      <c r="I486" s="10">
        <v>2</v>
      </c>
      <c r="J486" s="8" t="s">
        <v>39</v>
      </c>
      <c r="K486" s="8" t="s">
        <v>41</v>
      </c>
      <c r="L486" s="8" t="s">
        <v>84</v>
      </c>
      <c r="M486" s="8" t="s">
        <v>85</v>
      </c>
      <c r="O486" s="8" t="s">
        <v>43</v>
      </c>
      <c r="P486" s="8" t="b">
        <v>0</v>
      </c>
      <c r="R486" s="8" t="b">
        <v>0</v>
      </c>
      <c r="S486" s="8" t="b">
        <v>0</v>
      </c>
      <c r="T486" s="8" t="b">
        <v>0</v>
      </c>
      <c r="U486" s="8" t="b">
        <v>0</v>
      </c>
      <c r="V486" s="8" t="b">
        <v>1</v>
      </c>
      <c r="X486" s="8" t="b">
        <v>0</v>
      </c>
      <c r="Y486" s="8" t="b">
        <v>0</v>
      </c>
      <c r="Z486" s="8" t="b">
        <v>0</v>
      </c>
      <c r="AA486" s="8" t="b">
        <v>0</v>
      </c>
      <c r="AB486" s="8" t="b">
        <v>1</v>
      </c>
      <c r="AC486" s="8" t="b">
        <v>0</v>
      </c>
      <c r="AD486" s="8" t="b">
        <v>1</v>
      </c>
      <c r="AE486" s="8" t="b">
        <v>0</v>
      </c>
      <c r="AG486" s="11" t="b" cm="1">
        <f t="array" ref="AG486">IF(OR(Y486:AA486="TRUE", AE486="true"), "Threatened")</f>
        <v>0</v>
      </c>
      <c r="AH486" s="11" t="s">
        <v>1495</v>
      </c>
      <c r="AI486" s="8" t="b">
        <v>1</v>
      </c>
    </row>
    <row r="487" spans="1:35" ht="31.2">
      <c r="A487" s="8">
        <v>-73.971213390000003</v>
      </c>
      <c r="B487" s="8">
        <v>40.76987209</v>
      </c>
      <c r="C487" s="8" t="s">
        <v>1496</v>
      </c>
      <c r="D487" s="8" t="s">
        <v>113</v>
      </c>
      <c r="E487" s="8" t="b">
        <f t="shared" si="7"/>
        <v>0</v>
      </c>
      <c r="F487" s="8" t="str" cm="1">
        <f t="array" ref="F487">_xlfn._xlws.FILTER(E487:E3685, C487:C3685= "6D-PM-1020-01", "No Squirrels Found")</f>
        <v>No Squirrels Found</v>
      </c>
      <c r="G487" s="8" t="s">
        <v>48</v>
      </c>
      <c r="H487" s="10">
        <v>10062018</v>
      </c>
      <c r="I487" s="10">
        <v>4</v>
      </c>
      <c r="J487" s="8" t="s">
        <v>39</v>
      </c>
      <c r="K487" s="8" t="s">
        <v>40</v>
      </c>
      <c r="L487" s="8" t="s">
        <v>41</v>
      </c>
      <c r="M487" s="8" t="s">
        <v>42</v>
      </c>
      <c r="O487" s="8" t="s">
        <v>43</v>
      </c>
      <c r="P487" s="8" t="b">
        <v>0</v>
      </c>
      <c r="R487" s="8" t="b">
        <v>0</v>
      </c>
      <c r="S487" s="8" t="b">
        <v>0</v>
      </c>
      <c r="T487" s="8" t="b">
        <v>0</v>
      </c>
      <c r="U487" s="8" t="b">
        <v>0</v>
      </c>
      <c r="V487" s="8" t="b">
        <v>1</v>
      </c>
      <c r="X487" s="8" t="b">
        <v>0</v>
      </c>
      <c r="Y487" s="8" t="b">
        <v>0</v>
      </c>
      <c r="Z487" s="8" t="b">
        <v>0</v>
      </c>
      <c r="AA487" s="8" t="b">
        <v>0</v>
      </c>
      <c r="AB487" s="8" t="b">
        <v>0</v>
      </c>
      <c r="AC487" s="8" t="b">
        <v>0</v>
      </c>
      <c r="AD487" s="8" t="b">
        <v>1</v>
      </c>
      <c r="AE487" s="8" t="b">
        <v>0</v>
      </c>
      <c r="AG487" s="11" t="b" cm="1">
        <f t="array" ref="AG487">IF(OR(Y487:AA487="TRUE", AE487="true"), "Threatened")</f>
        <v>0</v>
      </c>
      <c r="AH487" s="11" t="s">
        <v>1497</v>
      </c>
      <c r="AI487" s="8" t="b">
        <v>1</v>
      </c>
    </row>
    <row r="488" spans="1:35" ht="31.2">
      <c r="A488" s="8">
        <v>-73.966652109999998</v>
      </c>
      <c r="B488" s="8">
        <v>40.784275350000001</v>
      </c>
      <c r="C488" s="8" t="s">
        <v>1498</v>
      </c>
      <c r="D488" s="8" t="s">
        <v>286</v>
      </c>
      <c r="E488" s="8" t="b">
        <f t="shared" si="7"/>
        <v>0</v>
      </c>
      <c r="F488" s="8" t="str" cm="1">
        <f t="array" ref="F488">_xlfn._xlws.FILTER(E488:E3686, C488:C3686= "6D-PM-1020-01", "No Squirrels Found")</f>
        <v>No Squirrels Found</v>
      </c>
      <c r="G488" s="8" t="s">
        <v>34</v>
      </c>
      <c r="H488" s="10">
        <v>10142018</v>
      </c>
      <c r="I488" s="10">
        <v>2</v>
      </c>
      <c r="J488" s="8" t="s">
        <v>39</v>
      </c>
      <c r="K488" s="8" t="s">
        <v>40</v>
      </c>
      <c r="M488" s="8" t="s">
        <v>55</v>
      </c>
      <c r="O488" s="8" t="s">
        <v>43</v>
      </c>
      <c r="P488" s="8" t="b">
        <v>0</v>
      </c>
      <c r="Q488" s="8" t="s">
        <v>1499</v>
      </c>
      <c r="R488" s="8" t="b">
        <v>1</v>
      </c>
      <c r="S488" s="8" t="b">
        <v>0</v>
      </c>
      <c r="T488" s="8" t="b">
        <v>0</v>
      </c>
      <c r="U488" s="8" t="b">
        <v>0</v>
      </c>
      <c r="V488" s="8" t="b">
        <v>1</v>
      </c>
      <c r="X488" s="8" t="b">
        <v>0</v>
      </c>
      <c r="Y488" s="8" t="b">
        <v>0</v>
      </c>
      <c r="Z488" s="8" t="b">
        <v>0</v>
      </c>
      <c r="AA488" s="8" t="b">
        <v>0</v>
      </c>
      <c r="AB488" s="8" t="b">
        <v>0</v>
      </c>
      <c r="AC488" s="8" t="b">
        <v>0</v>
      </c>
      <c r="AD488" s="8" t="b">
        <v>0</v>
      </c>
      <c r="AE488" s="8" t="b">
        <v>0</v>
      </c>
      <c r="AG488" s="11" t="b" cm="1">
        <f t="array" ref="AG488">IF(OR(Y488:AA488="TRUE", AE488="true"), "Threatened")</f>
        <v>0</v>
      </c>
      <c r="AH488" s="11" t="s">
        <v>1500</v>
      </c>
      <c r="AI488" s="8" t="b">
        <v>1</v>
      </c>
    </row>
    <row r="489" spans="1:35" ht="31.2">
      <c r="A489" s="8">
        <v>-73.961575109999998</v>
      </c>
      <c r="B489" s="8">
        <v>40.79545512</v>
      </c>
      <c r="C489" s="8" t="s">
        <v>1501</v>
      </c>
      <c r="D489" s="8" t="s">
        <v>387</v>
      </c>
      <c r="E489" s="8" t="b">
        <f t="shared" si="7"/>
        <v>0</v>
      </c>
      <c r="F489" s="8" t="str" cm="1">
        <f t="array" ref="F489">_xlfn._xlws.FILTER(E489:E3687, C489:C3687= "6D-PM-1020-01", "No Squirrels Found")</f>
        <v>No Squirrels Found</v>
      </c>
      <c r="G489" s="8" t="s">
        <v>48</v>
      </c>
      <c r="H489" s="10">
        <v>10182018</v>
      </c>
      <c r="I489" s="10">
        <v>1</v>
      </c>
      <c r="J489" s="8" t="s">
        <v>54</v>
      </c>
      <c r="K489" s="8" t="s">
        <v>40</v>
      </c>
      <c r="L489" s="8" t="s">
        <v>84</v>
      </c>
      <c r="M489" s="8" t="s">
        <v>103</v>
      </c>
      <c r="O489" s="8" t="s">
        <v>50</v>
      </c>
      <c r="P489" s="8">
        <v>15</v>
      </c>
      <c r="R489" s="8" t="b">
        <v>0</v>
      </c>
      <c r="S489" s="8" t="b">
        <v>0</v>
      </c>
      <c r="T489" s="8" t="b">
        <v>0</v>
      </c>
      <c r="U489" s="8" t="b">
        <v>1</v>
      </c>
      <c r="V489" s="8" t="b">
        <v>0</v>
      </c>
      <c r="W489" s="11" t="s">
        <v>1502</v>
      </c>
      <c r="X489" s="8" t="b">
        <v>0</v>
      </c>
      <c r="Y489" s="8" t="b">
        <v>0</v>
      </c>
      <c r="Z489" s="8" t="b">
        <v>0</v>
      </c>
      <c r="AA489" s="8" t="b">
        <v>0</v>
      </c>
      <c r="AB489" s="8" t="b">
        <v>0</v>
      </c>
      <c r="AC489" s="8" t="b">
        <v>0</v>
      </c>
      <c r="AD489" s="8" t="b">
        <v>1</v>
      </c>
      <c r="AE489" s="8" t="b">
        <v>0</v>
      </c>
      <c r="AG489" s="11" t="b" cm="1">
        <f t="array" ref="AG489">IF(OR(Y489:AA489="TRUE", AE489="true"), "Threatened")</f>
        <v>0</v>
      </c>
      <c r="AH489" s="11" t="s">
        <v>1503</v>
      </c>
      <c r="AI489" s="8" t="b">
        <v>0</v>
      </c>
    </row>
    <row r="490" spans="1:35" ht="31.2">
      <c r="A490" s="8">
        <v>-73.977802969999999</v>
      </c>
      <c r="B490" s="8">
        <v>40.767632110000001</v>
      </c>
      <c r="C490" s="8" t="s">
        <v>1504</v>
      </c>
      <c r="D490" s="8" t="s">
        <v>768</v>
      </c>
      <c r="E490" s="8" t="b">
        <f t="shared" si="7"/>
        <v>0</v>
      </c>
      <c r="F490" s="8" t="str" cm="1">
        <f t="array" ref="F490">_xlfn._xlws.FILTER(E490:E3688, C490:C3688= "6D-PM-1020-01", "No Squirrels Found")</f>
        <v>No Squirrels Found</v>
      </c>
      <c r="G490" s="8" t="s">
        <v>48</v>
      </c>
      <c r="H490" s="10">
        <v>10072018</v>
      </c>
      <c r="I490" s="10">
        <v>6</v>
      </c>
      <c r="J490" s="8" t="s">
        <v>39</v>
      </c>
      <c r="K490" s="8" t="s">
        <v>40</v>
      </c>
      <c r="L490" s="8" t="s">
        <v>117</v>
      </c>
      <c r="M490" s="8" t="s">
        <v>118</v>
      </c>
      <c r="O490" s="8" t="s">
        <v>43</v>
      </c>
      <c r="P490" s="8" t="b">
        <v>0</v>
      </c>
      <c r="R490" s="8" t="b">
        <v>0</v>
      </c>
      <c r="S490" s="8" t="b">
        <v>0</v>
      </c>
      <c r="T490" s="8" t="b">
        <v>0</v>
      </c>
      <c r="U490" s="8" t="b">
        <v>1</v>
      </c>
      <c r="V490" s="8" t="b">
        <v>1</v>
      </c>
      <c r="X490" s="8" t="b">
        <v>0</v>
      </c>
      <c r="Y490" s="8" t="b">
        <v>0</v>
      </c>
      <c r="Z490" s="8" t="b">
        <v>0</v>
      </c>
      <c r="AA490" s="8" t="b">
        <v>0</v>
      </c>
      <c r="AB490" s="8" t="b">
        <v>0</v>
      </c>
      <c r="AC490" s="8" t="b">
        <v>0</v>
      </c>
      <c r="AD490" s="8" t="b">
        <v>1</v>
      </c>
      <c r="AE490" s="8" t="b">
        <v>0</v>
      </c>
      <c r="AG490" s="11" t="b" cm="1">
        <f t="array" ref="AG490">IF(OR(Y490:AA490="TRUE", AE490="true"), "Threatened")</f>
        <v>0</v>
      </c>
      <c r="AH490" s="11" t="s">
        <v>1505</v>
      </c>
      <c r="AI490" s="8" t="b">
        <v>1</v>
      </c>
    </row>
    <row r="491" spans="1:35" ht="31.2">
      <c r="A491" s="8">
        <v>-73.978426470000002</v>
      </c>
      <c r="B491" s="8">
        <v>40.7719041</v>
      </c>
      <c r="C491" s="8" t="s">
        <v>1506</v>
      </c>
      <c r="D491" s="8" t="s">
        <v>874</v>
      </c>
      <c r="E491" s="8" t="b">
        <f t="shared" si="7"/>
        <v>0</v>
      </c>
      <c r="F491" s="8" t="str" cm="1">
        <f t="array" ref="F491">_xlfn._xlws.FILTER(E491:E3689, C491:C3689= "6D-PM-1020-01", "No Squirrels Found")</f>
        <v>No Squirrels Found</v>
      </c>
      <c r="G491" s="8" t="s">
        <v>34</v>
      </c>
      <c r="H491" s="10">
        <v>10122018</v>
      </c>
      <c r="I491" s="10">
        <v>4</v>
      </c>
      <c r="J491" s="8" t="s">
        <v>39</v>
      </c>
      <c r="K491" s="8" t="s">
        <v>41</v>
      </c>
      <c r="L491" s="8" t="s">
        <v>84</v>
      </c>
      <c r="M491" s="8" t="s">
        <v>85</v>
      </c>
      <c r="O491" s="8" t="s">
        <v>43</v>
      </c>
      <c r="P491" s="8" t="b">
        <v>0</v>
      </c>
      <c r="R491" s="8" t="b">
        <v>1</v>
      </c>
      <c r="S491" s="8" t="b">
        <v>0</v>
      </c>
      <c r="T491" s="8" t="b">
        <v>0</v>
      </c>
      <c r="U491" s="8" t="b">
        <v>0</v>
      </c>
      <c r="V491" s="8" t="b">
        <v>1</v>
      </c>
      <c r="X491" s="8" t="b">
        <v>0</v>
      </c>
      <c r="Y491" s="8" t="b">
        <v>0</v>
      </c>
      <c r="Z491" s="8" t="b">
        <v>0</v>
      </c>
      <c r="AA491" s="8" t="b">
        <v>0</v>
      </c>
      <c r="AB491" s="8" t="b">
        <v>0</v>
      </c>
      <c r="AC491" s="8" t="b">
        <v>0</v>
      </c>
      <c r="AD491" s="8" t="b">
        <v>0</v>
      </c>
      <c r="AE491" s="8" t="b">
        <v>0</v>
      </c>
      <c r="AG491" s="11" t="b" cm="1">
        <f t="array" ref="AG491">IF(OR(Y491:AA491="TRUE", AE491="true"), "Threatened")</f>
        <v>0</v>
      </c>
      <c r="AH491" s="11" t="s">
        <v>1507</v>
      </c>
      <c r="AI491" s="8" t="b">
        <v>1</v>
      </c>
    </row>
    <row r="492" spans="1:35" ht="31.2">
      <c r="A492" s="8">
        <v>-73.968847080000003</v>
      </c>
      <c r="B492" s="8">
        <v>40.784465189999999</v>
      </c>
      <c r="C492" s="8" t="s">
        <v>1508</v>
      </c>
      <c r="D492" s="8" t="s">
        <v>313</v>
      </c>
      <c r="E492" s="8" t="b">
        <f t="shared" si="7"/>
        <v>0</v>
      </c>
      <c r="F492" s="8" t="str" cm="1">
        <f t="array" ref="F492">_xlfn._xlws.FILTER(E492:E3690, C492:C3690= "6D-PM-1020-01", "No Squirrels Found")</f>
        <v>No Squirrels Found</v>
      </c>
      <c r="G492" s="8" t="s">
        <v>48</v>
      </c>
      <c r="H492" s="10">
        <v>10082018</v>
      </c>
      <c r="I492" s="10">
        <v>3</v>
      </c>
      <c r="J492" s="8" t="s">
        <v>39</v>
      </c>
      <c r="K492" s="8" t="s">
        <v>40</v>
      </c>
      <c r="M492" s="8" t="s">
        <v>55</v>
      </c>
      <c r="O492" s="8" t="s">
        <v>43</v>
      </c>
      <c r="P492" s="8" t="b">
        <v>0</v>
      </c>
      <c r="R492" s="8" t="b">
        <v>0</v>
      </c>
      <c r="S492" s="8" t="b">
        <v>0</v>
      </c>
      <c r="T492" s="8" t="b">
        <v>0</v>
      </c>
      <c r="U492" s="8" t="b">
        <v>0</v>
      </c>
      <c r="V492" s="8" t="b">
        <v>1</v>
      </c>
      <c r="X492" s="8" t="b">
        <v>0</v>
      </c>
      <c r="Y492" s="8" t="b">
        <v>0</v>
      </c>
      <c r="Z492" s="8" t="b">
        <v>0</v>
      </c>
      <c r="AA492" s="8" t="b">
        <v>0</v>
      </c>
      <c r="AB492" s="8" t="b">
        <v>0</v>
      </c>
      <c r="AC492" s="8" t="b">
        <v>0</v>
      </c>
      <c r="AD492" s="8" t="b">
        <v>0</v>
      </c>
      <c r="AE492" s="8" t="b">
        <v>1</v>
      </c>
      <c r="AG492" s="11" t="b" cm="1">
        <f t="array" ref="AG492">IF(OR(Y492:AA492="TRUE", AE492="true"), "Threatened")</f>
        <v>0</v>
      </c>
      <c r="AH492" s="11" t="s">
        <v>1509</v>
      </c>
      <c r="AI492" s="8" t="b">
        <v>1</v>
      </c>
    </row>
    <row r="493" spans="1:35" ht="31.2">
      <c r="A493" s="8">
        <v>-73.970301090000007</v>
      </c>
      <c r="B493" s="8">
        <v>40.770198360000002</v>
      </c>
      <c r="C493" s="8" t="s">
        <v>1510</v>
      </c>
      <c r="D493" s="8" t="s">
        <v>199</v>
      </c>
      <c r="E493" s="8" t="b">
        <f t="shared" si="7"/>
        <v>0</v>
      </c>
      <c r="F493" s="8" t="str" cm="1">
        <f t="array" ref="F493">_xlfn._xlws.FILTER(E493:E3691, C493:C3691= "6D-PM-1020-01", "No Squirrels Found")</f>
        <v>No Squirrels Found</v>
      </c>
      <c r="G493" s="8" t="s">
        <v>34</v>
      </c>
      <c r="H493" s="10">
        <v>10142018</v>
      </c>
      <c r="I493" s="10">
        <v>6</v>
      </c>
      <c r="J493" s="8" t="s">
        <v>39</v>
      </c>
      <c r="K493" s="8" t="s">
        <v>40</v>
      </c>
      <c r="M493" s="8" t="s">
        <v>55</v>
      </c>
      <c r="O493" s="8" t="s">
        <v>43</v>
      </c>
      <c r="P493" s="8" t="b">
        <v>0</v>
      </c>
      <c r="R493" s="8" t="b">
        <v>0</v>
      </c>
      <c r="S493" s="8" t="b">
        <v>0</v>
      </c>
      <c r="T493" s="8" t="b">
        <v>0</v>
      </c>
      <c r="U493" s="8" t="b">
        <v>0</v>
      </c>
      <c r="V493" s="8" t="b">
        <v>1</v>
      </c>
      <c r="X493" s="8" t="b">
        <v>0</v>
      </c>
      <c r="Y493" s="8" t="b">
        <v>0</v>
      </c>
      <c r="Z493" s="8" t="b">
        <v>0</v>
      </c>
      <c r="AA493" s="8" t="b">
        <v>0</v>
      </c>
      <c r="AB493" s="8" t="b">
        <v>0</v>
      </c>
      <c r="AC493" s="8" t="b">
        <v>0</v>
      </c>
      <c r="AD493" s="8" t="b">
        <v>1</v>
      </c>
      <c r="AE493" s="8" t="b">
        <v>0</v>
      </c>
      <c r="AG493" s="11" t="b" cm="1">
        <f t="array" ref="AG493">IF(OR(Y493:AA493="TRUE", AE493="true"), "Threatened")</f>
        <v>0</v>
      </c>
      <c r="AH493" s="11" t="s">
        <v>1511</v>
      </c>
      <c r="AI493" s="8" t="b">
        <v>1</v>
      </c>
    </row>
    <row r="494" spans="1:35" ht="31.2">
      <c r="A494" s="8">
        <v>-73.977685480000005</v>
      </c>
      <c r="B494" s="8">
        <v>40.768310229999997</v>
      </c>
      <c r="C494" s="8" t="s">
        <v>1512</v>
      </c>
      <c r="D494" s="8" t="s">
        <v>512</v>
      </c>
      <c r="E494" s="8" t="b">
        <f t="shared" si="7"/>
        <v>0</v>
      </c>
      <c r="F494" s="8" t="str" cm="1">
        <f t="array" ref="F494">_xlfn._xlws.FILTER(E494:E3692, C494:C3692= "6D-PM-1020-01", "No Squirrels Found")</f>
        <v>No Squirrels Found</v>
      </c>
      <c r="G494" s="8" t="s">
        <v>48</v>
      </c>
      <c r="H494" s="10">
        <v>10062018</v>
      </c>
      <c r="I494" s="10">
        <v>4</v>
      </c>
      <c r="J494" s="8" t="s">
        <v>39</v>
      </c>
      <c r="K494" s="8" t="s">
        <v>41</v>
      </c>
      <c r="L494" s="8" t="s">
        <v>40</v>
      </c>
      <c r="M494" s="8" t="s">
        <v>110</v>
      </c>
      <c r="O494" s="8" t="s">
        <v>43</v>
      </c>
      <c r="P494" s="8" t="b">
        <v>0</v>
      </c>
      <c r="R494" s="8" t="b">
        <v>1</v>
      </c>
      <c r="S494" s="8" t="b">
        <v>0</v>
      </c>
      <c r="T494" s="8" t="b">
        <v>0</v>
      </c>
      <c r="U494" s="8" t="b">
        <v>0</v>
      </c>
      <c r="V494" s="8" t="b">
        <v>0</v>
      </c>
      <c r="X494" s="8" t="b">
        <v>0</v>
      </c>
      <c r="Y494" s="8" t="b">
        <v>0</v>
      </c>
      <c r="Z494" s="8" t="b">
        <v>0</v>
      </c>
      <c r="AA494" s="8" t="b">
        <v>0</v>
      </c>
      <c r="AB494" s="8" t="b">
        <v>0</v>
      </c>
      <c r="AC494" s="8" t="b">
        <v>0</v>
      </c>
      <c r="AD494" s="8" t="b">
        <v>0</v>
      </c>
      <c r="AE494" s="8" t="b">
        <v>1</v>
      </c>
      <c r="AF494" s="11" t="s">
        <v>1513</v>
      </c>
      <c r="AG494" s="11" t="b" cm="1">
        <f t="array" ref="AG494">IF(OR(Y494:AA494="TRUE", AE494="true"), "Threatened")</f>
        <v>0</v>
      </c>
      <c r="AH494" s="11" t="s">
        <v>1514</v>
      </c>
      <c r="AI494" s="8" t="b">
        <v>1</v>
      </c>
    </row>
    <row r="495" spans="1:35" ht="31.2">
      <c r="A495" s="8">
        <v>-73.95883757</v>
      </c>
      <c r="B495" s="8">
        <v>40.798500400000002</v>
      </c>
      <c r="C495" s="8" t="s">
        <v>1515</v>
      </c>
      <c r="D495" s="8" t="s">
        <v>458</v>
      </c>
      <c r="E495" s="8" t="b">
        <f t="shared" si="7"/>
        <v>0</v>
      </c>
      <c r="F495" s="8" t="str" cm="1">
        <f t="array" ref="F495">_xlfn._xlws.FILTER(E495:E3693, C495:C3693= "6D-PM-1020-01", "No Squirrels Found")</f>
        <v>No Squirrels Found</v>
      </c>
      <c r="G495" s="8" t="s">
        <v>34</v>
      </c>
      <c r="H495" s="10">
        <v>10142018</v>
      </c>
      <c r="I495" s="10">
        <v>6</v>
      </c>
      <c r="J495" s="8" t="s">
        <v>39</v>
      </c>
      <c r="K495" s="8" t="s">
        <v>40</v>
      </c>
      <c r="L495" s="8" t="s">
        <v>117</v>
      </c>
      <c r="M495" s="8" t="s">
        <v>118</v>
      </c>
      <c r="O495" s="8" t="s">
        <v>43</v>
      </c>
      <c r="P495" s="8" t="b">
        <v>0</v>
      </c>
      <c r="R495" s="8" t="b">
        <v>1</v>
      </c>
      <c r="S495" s="8" t="b">
        <v>0</v>
      </c>
      <c r="T495" s="8" t="b">
        <v>0</v>
      </c>
      <c r="U495" s="8" t="b">
        <v>0</v>
      </c>
      <c r="V495" s="8" t="b">
        <v>0</v>
      </c>
      <c r="X495" s="8" t="b">
        <v>0</v>
      </c>
      <c r="Y495" s="8" t="b">
        <v>0</v>
      </c>
      <c r="Z495" s="8" t="b">
        <v>0</v>
      </c>
      <c r="AA495" s="8" t="b">
        <v>0</v>
      </c>
      <c r="AB495" s="8" t="b">
        <v>0</v>
      </c>
      <c r="AC495" s="8" t="b">
        <v>0</v>
      </c>
      <c r="AD495" s="8" t="b">
        <v>0</v>
      </c>
      <c r="AE495" s="8" t="b">
        <v>0</v>
      </c>
      <c r="AG495" s="11" t="b" cm="1">
        <f t="array" ref="AG495">IF(OR(Y495:AA495="TRUE", AE495="true"), "Threatened")</f>
        <v>0</v>
      </c>
      <c r="AH495" s="11" t="s">
        <v>1516</v>
      </c>
      <c r="AI495" s="8" t="b">
        <v>1</v>
      </c>
    </row>
    <row r="496" spans="1:35" ht="31.2">
      <c r="A496" s="8">
        <v>-73.980100730000004</v>
      </c>
      <c r="B496" s="8">
        <v>40.767745560000002</v>
      </c>
      <c r="C496" s="8" t="s">
        <v>1517</v>
      </c>
      <c r="D496" s="8" t="s">
        <v>855</v>
      </c>
      <c r="E496" s="8" t="b">
        <f t="shared" si="7"/>
        <v>0</v>
      </c>
      <c r="F496" s="8" t="str" cm="1">
        <f t="array" ref="F496">_xlfn._xlws.FILTER(E496:E3694, C496:C3694= "6D-PM-1020-01", "No Squirrels Found")</f>
        <v>No Squirrels Found</v>
      </c>
      <c r="G496" s="8" t="s">
        <v>34</v>
      </c>
      <c r="H496" s="10">
        <v>10192018</v>
      </c>
      <c r="I496" s="10">
        <v>6</v>
      </c>
      <c r="J496" s="8" t="s">
        <v>54</v>
      </c>
      <c r="K496" s="8" t="s">
        <v>41</v>
      </c>
      <c r="L496" s="8" t="s">
        <v>84</v>
      </c>
      <c r="M496" s="8" t="s">
        <v>85</v>
      </c>
      <c r="O496" s="8" t="s">
        <v>43</v>
      </c>
      <c r="P496" s="8" t="b">
        <v>0</v>
      </c>
      <c r="R496" s="8" t="b">
        <v>0</v>
      </c>
      <c r="S496" s="8" t="b">
        <v>0</v>
      </c>
      <c r="T496" s="8" t="b">
        <v>0</v>
      </c>
      <c r="U496" s="8" t="b">
        <v>1</v>
      </c>
      <c r="V496" s="8" t="b">
        <v>0</v>
      </c>
      <c r="X496" s="8" t="b">
        <v>0</v>
      </c>
      <c r="Y496" s="8" t="b">
        <v>0</v>
      </c>
      <c r="Z496" s="8" t="b">
        <v>0</v>
      </c>
      <c r="AA496" s="8" t="b">
        <v>0</v>
      </c>
      <c r="AB496" s="8" t="b">
        <v>0</v>
      </c>
      <c r="AC496" s="8" t="b">
        <v>0</v>
      </c>
      <c r="AD496" s="8" t="b">
        <v>1</v>
      </c>
      <c r="AE496" s="8" t="b">
        <v>0</v>
      </c>
      <c r="AG496" s="11" t="b" cm="1">
        <f t="array" ref="AG496">IF(OR(Y496:AA496="TRUE", AE496="true"), "Threatened")</f>
        <v>0</v>
      </c>
      <c r="AH496" s="11" t="s">
        <v>1518</v>
      </c>
      <c r="AI496" s="8" t="b">
        <v>1</v>
      </c>
    </row>
    <row r="497" spans="1:35" ht="31.2">
      <c r="A497" s="8">
        <v>-73.954843069999995</v>
      </c>
      <c r="B497" s="8">
        <v>40.798207349999998</v>
      </c>
      <c r="C497" s="8" t="s">
        <v>1519</v>
      </c>
      <c r="D497" s="8" t="s">
        <v>1520</v>
      </c>
      <c r="E497" s="8" t="b">
        <f t="shared" si="7"/>
        <v>0</v>
      </c>
      <c r="F497" s="8" t="str" cm="1">
        <f t="array" ref="F497">_xlfn._xlws.FILTER(E497:E3695, C497:C3695= "6D-PM-1020-01", "No Squirrels Found")</f>
        <v>No Squirrels Found</v>
      </c>
      <c r="G497" s="8" t="s">
        <v>48</v>
      </c>
      <c r="H497" s="10">
        <v>10072018</v>
      </c>
      <c r="I497" s="10">
        <v>6</v>
      </c>
      <c r="J497" s="8" t="s">
        <v>39</v>
      </c>
      <c r="K497" s="8" t="s">
        <v>40</v>
      </c>
      <c r="M497" s="8" t="s">
        <v>55</v>
      </c>
      <c r="O497" s="8" t="s">
        <v>50</v>
      </c>
      <c r="P497" s="8">
        <v>30</v>
      </c>
      <c r="Q497" s="8" t="s">
        <v>206</v>
      </c>
      <c r="R497" s="8" t="b">
        <v>0</v>
      </c>
      <c r="S497" s="8" t="b">
        <v>0</v>
      </c>
      <c r="T497" s="8" t="b">
        <v>1</v>
      </c>
      <c r="U497" s="8" t="b">
        <v>0</v>
      </c>
      <c r="V497" s="8" t="b">
        <v>1</v>
      </c>
      <c r="X497" s="8" t="b">
        <v>0</v>
      </c>
      <c r="Y497" s="8" t="b">
        <v>0</v>
      </c>
      <c r="Z497" s="8" t="b">
        <v>0</v>
      </c>
      <c r="AA497" s="8" t="b">
        <v>0</v>
      </c>
      <c r="AB497" s="8" t="b">
        <v>0</v>
      </c>
      <c r="AC497" s="8" t="b">
        <v>0</v>
      </c>
      <c r="AD497" s="8" t="b">
        <v>0</v>
      </c>
      <c r="AE497" s="8" t="b">
        <v>0</v>
      </c>
      <c r="AG497" s="11" t="b" cm="1">
        <f t="array" ref="AG497">IF(OR(Y497:AA497="TRUE", AE497="true"), "Threatened")</f>
        <v>0</v>
      </c>
      <c r="AH497" s="11" t="s">
        <v>1521</v>
      </c>
      <c r="AI497" s="8" t="b">
        <v>1</v>
      </c>
    </row>
    <row r="498" spans="1:35" ht="31.2">
      <c r="A498" s="8">
        <v>-73.960216689999996</v>
      </c>
      <c r="B498" s="8">
        <v>40.7953811</v>
      </c>
      <c r="C498" s="8" t="s">
        <v>1522</v>
      </c>
      <c r="D498" s="8" t="s">
        <v>1406</v>
      </c>
      <c r="E498" s="8" t="b">
        <f t="shared" si="7"/>
        <v>0</v>
      </c>
      <c r="F498" s="8" t="str" cm="1">
        <f t="array" ref="F498">_xlfn._xlws.FILTER(E498:E3696, C498:C3696= "6D-PM-1020-01", "No Squirrels Found")</f>
        <v>No Squirrels Found</v>
      </c>
      <c r="G498" s="8" t="s">
        <v>48</v>
      </c>
      <c r="H498" s="10">
        <v>10132018</v>
      </c>
      <c r="I498" s="10">
        <v>4</v>
      </c>
      <c r="K498" s="8" t="s">
        <v>192</v>
      </c>
      <c r="M498" s="8" t="s">
        <v>193</v>
      </c>
      <c r="O498" s="8" t="s">
        <v>50</v>
      </c>
      <c r="P498" s="8">
        <v>20</v>
      </c>
      <c r="Q498" s="8" t="s">
        <v>1523</v>
      </c>
      <c r="R498" s="8" t="b">
        <v>0</v>
      </c>
      <c r="S498" s="8" t="b">
        <v>1</v>
      </c>
      <c r="T498" s="8" t="b">
        <v>0</v>
      </c>
      <c r="U498" s="8" t="b">
        <v>0</v>
      </c>
      <c r="V498" s="8" t="b">
        <v>0</v>
      </c>
      <c r="X498" s="8" t="b">
        <v>0</v>
      </c>
      <c r="Y498" s="8" t="b">
        <v>0</v>
      </c>
      <c r="Z498" s="8" t="b">
        <v>0</v>
      </c>
      <c r="AA498" s="8" t="b">
        <v>0</v>
      </c>
      <c r="AB498" s="8" t="b">
        <v>0</v>
      </c>
      <c r="AC498" s="8" t="b">
        <v>0</v>
      </c>
      <c r="AD498" s="8" t="b">
        <v>0</v>
      </c>
      <c r="AE498" s="8" t="b">
        <v>1</v>
      </c>
      <c r="AG498" s="11" t="b" cm="1">
        <f t="array" ref="AG498">IF(OR(Y498:AA498="TRUE", AE498="true"), "Threatened")</f>
        <v>0</v>
      </c>
      <c r="AH498" s="11" t="s">
        <v>1524</v>
      </c>
      <c r="AI498" s="8" t="b">
        <v>1</v>
      </c>
    </row>
    <row r="499" spans="1:35" ht="31.2">
      <c r="A499" s="8">
        <v>-73.966943290000003</v>
      </c>
      <c r="B499" s="8">
        <v>40.779136520000002</v>
      </c>
      <c r="C499" s="8" t="s">
        <v>1525</v>
      </c>
      <c r="D499" s="8" t="s">
        <v>1526</v>
      </c>
      <c r="E499" s="8" t="b">
        <f t="shared" si="7"/>
        <v>0</v>
      </c>
      <c r="F499" s="8" t="str" cm="1">
        <f t="array" ref="F499">_xlfn._xlws.FILTER(E499:E3697, C499:C3697= "6D-PM-1020-01", "No Squirrels Found")</f>
        <v>No Squirrels Found</v>
      </c>
      <c r="G499" s="8" t="s">
        <v>48</v>
      </c>
      <c r="H499" s="10">
        <v>10142018</v>
      </c>
      <c r="I499" s="10">
        <v>1</v>
      </c>
      <c r="J499" s="8" t="s">
        <v>39</v>
      </c>
      <c r="K499" s="8" t="s">
        <v>40</v>
      </c>
      <c r="L499" s="8" t="s">
        <v>84</v>
      </c>
      <c r="M499" s="8" t="s">
        <v>103</v>
      </c>
      <c r="O499" s="8" t="s">
        <v>50</v>
      </c>
      <c r="Q499" s="8" t="s">
        <v>1527</v>
      </c>
      <c r="R499" s="8" t="b">
        <v>0</v>
      </c>
      <c r="S499" s="8" t="b">
        <v>0</v>
      </c>
      <c r="T499" s="8" t="b">
        <v>0</v>
      </c>
      <c r="U499" s="8" t="b">
        <v>1</v>
      </c>
      <c r="V499" s="8" t="b">
        <v>0</v>
      </c>
      <c r="X499" s="8" t="b">
        <v>0</v>
      </c>
      <c r="Y499" s="8" t="b">
        <v>0</v>
      </c>
      <c r="Z499" s="8" t="b">
        <v>0</v>
      </c>
      <c r="AA499" s="8" t="b">
        <v>0</v>
      </c>
      <c r="AB499" s="8" t="b">
        <v>0</v>
      </c>
      <c r="AC499" s="8" t="b">
        <v>0</v>
      </c>
      <c r="AD499" s="8" t="b">
        <v>1</v>
      </c>
      <c r="AE499" s="8" t="b">
        <v>0</v>
      </c>
      <c r="AG499" s="11" t="b" cm="1">
        <f t="array" ref="AG499">IF(OR(Y499:AA499="TRUE", AE499="true"), "Threatened")</f>
        <v>0</v>
      </c>
      <c r="AH499" s="11" t="s">
        <v>1528</v>
      </c>
      <c r="AI499" s="8" t="b">
        <v>1</v>
      </c>
    </row>
    <row r="500" spans="1:35" ht="31.2">
      <c r="A500" s="8">
        <v>-73.965728810000002</v>
      </c>
      <c r="B500" s="8">
        <v>40.776457999999998</v>
      </c>
      <c r="C500" s="8" t="s">
        <v>1529</v>
      </c>
      <c r="D500" s="8" t="s">
        <v>1530</v>
      </c>
      <c r="E500" s="8" t="b">
        <f t="shared" si="7"/>
        <v>0</v>
      </c>
      <c r="F500" s="8" t="str" cm="1">
        <f t="array" ref="F500">_xlfn._xlws.FILTER(E500:E3698, C500:C3698= "6D-PM-1020-01", "No Squirrels Found")</f>
        <v>No Squirrels Found</v>
      </c>
      <c r="G500" s="8" t="s">
        <v>34</v>
      </c>
      <c r="H500" s="10">
        <v>10142018</v>
      </c>
      <c r="I500" s="10">
        <v>4</v>
      </c>
      <c r="J500" s="8" t="s">
        <v>39</v>
      </c>
      <c r="K500" s="8" t="s">
        <v>40</v>
      </c>
      <c r="L500" s="8" t="s">
        <v>41</v>
      </c>
      <c r="M500" s="8" t="s">
        <v>42</v>
      </c>
      <c r="O500" s="8" t="s">
        <v>43</v>
      </c>
      <c r="P500" s="8" t="b">
        <v>0</v>
      </c>
      <c r="R500" s="8" t="b">
        <v>1</v>
      </c>
      <c r="S500" s="8" t="b">
        <v>0</v>
      </c>
      <c r="T500" s="8" t="b">
        <v>0</v>
      </c>
      <c r="U500" s="8" t="b">
        <v>0</v>
      </c>
      <c r="V500" s="8" t="b">
        <v>0</v>
      </c>
      <c r="X500" s="8" t="b">
        <v>0</v>
      </c>
      <c r="Y500" s="8" t="b">
        <v>0</v>
      </c>
      <c r="Z500" s="8" t="b">
        <v>0</v>
      </c>
      <c r="AA500" s="8" t="b">
        <v>0</v>
      </c>
      <c r="AB500" s="8" t="b">
        <v>0</v>
      </c>
      <c r="AC500" s="8" t="b">
        <v>0</v>
      </c>
      <c r="AD500" s="8" t="b">
        <v>1</v>
      </c>
      <c r="AE500" s="8" t="b">
        <v>0</v>
      </c>
      <c r="AG500" s="11" t="b" cm="1">
        <f t="array" ref="AG500">IF(OR(Y500:AA500="TRUE", AE500="true"), "Threatened")</f>
        <v>0</v>
      </c>
      <c r="AH500" s="11" t="s">
        <v>1531</v>
      </c>
      <c r="AI500" s="8" t="b">
        <v>1</v>
      </c>
    </row>
    <row r="501" spans="1:35" ht="31.2">
      <c r="A501" s="8">
        <v>-73.956830550000006</v>
      </c>
      <c r="B501" s="8">
        <v>40.797408660000002</v>
      </c>
      <c r="C501" s="8" t="s">
        <v>1532</v>
      </c>
      <c r="D501" s="8" t="s">
        <v>1248</v>
      </c>
      <c r="E501" s="8" t="b">
        <f t="shared" si="7"/>
        <v>0</v>
      </c>
      <c r="F501" s="8" t="str" cm="1">
        <f t="array" ref="F501">_xlfn._xlws.FILTER(E501:E3699, C501:C3699= "6D-PM-1020-01", "No Squirrels Found")</f>
        <v>No Squirrels Found</v>
      </c>
      <c r="G501" s="8" t="s">
        <v>34</v>
      </c>
      <c r="H501" s="10">
        <v>10062018</v>
      </c>
      <c r="I501" s="10">
        <v>5</v>
      </c>
      <c r="J501" s="8" t="s">
        <v>39</v>
      </c>
      <c r="K501" s="8" t="s">
        <v>40</v>
      </c>
      <c r="M501" s="8" t="s">
        <v>55</v>
      </c>
      <c r="O501" s="8" t="s">
        <v>43</v>
      </c>
      <c r="P501" s="8" t="b">
        <v>0</v>
      </c>
      <c r="R501" s="8" t="b">
        <v>0</v>
      </c>
      <c r="S501" s="8" t="b">
        <v>0</v>
      </c>
      <c r="T501" s="8" t="b">
        <v>0</v>
      </c>
      <c r="U501" s="8" t="b">
        <v>0</v>
      </c>
      <c r="V501" s="8" t="b">
        <v>0</v>
      </c>
      <c r="X501" s="8" t="b">
        <v>0</v>
      </c>
      <c r="Y501" s="8" t="b">
        <v>0</v>
      </c>
      <c r="Z501" s="8" t="b">
        <v>0</v>
      </c>
      <c r="AA501" s="8" t="b">
        <v>0</v>
      </c>
      <c r="AB501" s="8" t="b">
        <v>0</v>
      </c>
      <c r="AC501" s="8" t="b">
        <v>0</v>
      </c>
      <c r="AD501" s="8" t="b">
        <v>0</v>
      </c>
      <c r="AE501" s="8" t="b">
        <v>0</v>
      </c>
      <c r="AG501" s="11" t="b" cm="1">
        <f t="array" ref="AG501">IF(OR(Y501:AA501="TRUE", AE501="true"), "Threatened")</f>
        <v>0</v>
      </c>
      <c r="AH501" s="11" t="s">
        <v>1533</v>
      </c>
      <c r="AI501" s="8" t="b">
        <v>1</v>
      </c>
    </row>
    <row r="502" spans="1:35" ht="31.2">
      <c r="A502" s="8">
        <v>-73.970879850000003</v>
      </c>
      <c r="B502" s="8">
        <v>40.776153209999997</v>
      </c>
      <c r="C502" s="8" t="s">
        <v>1534</v>
      </c>
      <c r="D502" s="8" t="s">
        <v>426</v>
      </c>
      <c r="E502" s="8" t="b">
        <f t="shared" si="7"/>
        <v>0</v>
      </c>
      <c r="F502" s="8" t="str" cm="1">
        <f t="array" ref="F502">_xlfn._xlws.FILTER(E502:E3700, C502:C3700= "6D-PM-1020-01", "No Squirrels Found")</f>
        <v>No Squirrels Found</v>
      </c>
      <c r="G502" s="8" t="s">
        <v>48</v>
      </c>
      <c r="H502" s="10">
        <v>10142018</v>
      </c>
      <c r="I502" s="10">
        <v>6</v>
      </c>
      <c r="J502" s="8" t="s">
        <v>39</v>
      </c>
      <c r="K502" s="8" t="s">
        <v>40</v>
      </c>
      <c r="L502" s="8" t="s">
        <v>41</v>
      </c>
      <c r="M502" s="8" t="s">
        <v>42</v>
      </c>
      <c r="O502" s="8" t="s">
        <v>43</v>
      </c>
      <c r="P502" s="8" t="b">
        <v>0</v>
      </c>
      <c r="R502" s="8" t="b">
        <v>1</v>
      </c>
      <c r="S502" s="8" t="b">
        <v>0</v>
      </c>
      <c r="T502" s="8" t="b">
        <v>0</v>
      </c>
      <c r="U502" s="8" t="b">
        <v>1</v>
      </c>
      <c r="V502" s="8" t="b">
        <v>0</v>
      </c>
      <c r="X502" s="8" t="b">
        <v>0</v>
      </c>
      <c r="Y502" s="8" t="b">
        <v>0</v>
      </c>
      <c r="Z502" s="8" t="b">
        <v>0</v>
      </c>
      <c r="AA502" s="8" t="b">
        <v>0</v>
      </c>
      <c r="AB502" s="8" t="b">
        <v>0</v>
      </c>
      <c r="AC502" s="8" t="b">
        <v>0</v>
      </c>
      <c r="AD502" s="8" t="b">
        <v>0</v>
      </c>
      <c r="AE502" s="8" t="b">
        <v>1</v>
      </c>
      <c r="AG502" s="11" t="b" cm="1">
        <f t="array" ref="AG502">IF(OR(Y502:AA502="TRUE", AE502="true"), "Threatened")</f>
        <v>0</v>
      </c>
      <c r="AH502" s="11" t="s">
        <v>1535</v>
      </c>
      <c r="AI502" s="8" t="b">
        <v>1</v>
      </c>
    </row>
    <row r="503" spans="1:35" ht="31.2">
      <c r="A503" s="8">
        <v>-73.968331250000006</v>
      </c>
      <c r="B503" s="8">
        <v>40.780166170000001</v>
      </c>
      <c r="C503" s="8" t="s">
        <v>1536</v>
      </c>
      <c r="D503" s="8" t="s">
        <v>1079</v>
      </c>
      <c r="E503" s="8" t="b">
        <f t="shared" si="7"/>
        <v>0</v>
      </c>
      <c r="F503" s="8" t="str" cm="1">
        <f t="array" ref="F503">_xlfn._xlws.FILTER(E503:E3701, C503:C3701= "6D-PM-1020-01", "No Squirrels Found")</f>
        <v>No Squirrels Found</v>
      </c>
      <c r="G503" s="8" t="s">
        <v>34</v>
      </c>
      <c r="H503" s="10">
        <v>10172018</v>
      </c>
      <c r="I503" s="10">
        <v>1</v>
      </c>
      <c r="J503" s="8" t="s">
        <v>39</v>
      </c>
      <c r="K503" s="8" t="s">
        <v>40</v>
      </c>
      <c r="M503" s="8" t="s">
        <v>55</v>
      </c>
      <c r="O503" s="8" t="s">
        <v>43</v>
      </c>
      <c r="P503" s="8" t="b">
        <v>0</v>
      </c>
      <c r="R503" s="8" t="b">
        <v>0</v>
      </c>
      <c r="S503" s="8" t="b">
        <v>0</v>
      </c>
      <c r="T503" s="8" t="b">
        <v>0</v>
      </c>
      <c r="U503" s="8" t="b">
        <v>0</v>
      </c>
      <c r="V503" s="8" t="b">
        <v>1</v>
      </c>
      <c r="X503" s="8" t="b">
        <v>0</v>
      </c>
      <c r="Y503" s="8" t="b">
        <v>0</v>
      </c>
      <c r="Z503" s="8" t="b">
        <v>0</v>
      </c>
      <c r="AA503" s="8" t="b">
        <v>0</v>
      </c>
      <c r="AB503" s="8" t="b">
        <v>0</v>
      </c>
      <c r="AC503" s="8" t="b">
        <v>0</v>
      </c>
      <c r="AD503" s="8" t="b">
        <v>0</v>
      </c>
      <c r="AE503" s="8" t="b">
        <v>0</v>
      </c>
      <c r="AG503" s="11" t="b" cm="1">
        <f t="array" ref="AG503">IF(OR(Y503:AA503="TRUE", AE503="true"), "Threatened")</f>
        <v>0</v>
      </c>
      <c r="AH503" s="11" t="s">
        <v>1537</v>
      </c>
      <c r="AI503" s="8" t="b">
        <v>1</v>
      </c>
    </row>
    <row r="504" spans="1:35" ht="31.2">
      <c r="A504" s="8">
        <v>-73.959834079999993</v>
      </c>
      <c r="B504" s="8">
        <v>40.791585699999999</v>
      </c>
      <c r="C504" s="8" t="s">
        <v>1538</v>
      </c>
      <c r="D504" s="8" t="s">
        <v>1205</v>
      </c>
      <c r="E504" s="8" t="b">
        <f t="shared" si="7"/>
        <v>0</v>
      </c>
      <c r="F504" s="8" t="str" cm="1">
        <f t="array" ref="F504">_xlfn._xlws.FILTER(E504:E3702, C504:C3702= "6D-PM-1020-01", "No Squirrels Found")</f>
        <v>No Squirrels Found</v>
      </c>
      <c r="G504" s="8" t="s">
        <v>34</v>
      </c>
      <c r="H504" s="10">
        <v>10062018</v>
      </c>
      <c r="I504" s="10">
        <v>2</v>
      </c>
      <c r="K504" s="8" t="s">
        <v>40</v>
      </c>
      <c r="L504" s="8" t="s">
        <v>41</v>
      </c>
      <c r="M504" s="8" t="s">
        <v>42</v>
      </c>
      <c r="O504" s="8" t="s">
        <v>50</v>
      </c>
      <c r="P504" s="8">
        <v>15</v>
      </c>
      <c r="R504" s="8" t="b">
        <v>0</v>
      </c>
      <c r="S504" s="8" t="b">
        <v>1</v>
      </c>
      <c r="T504" s="8" t="b">
        <v>0</v>
      </c>
      <c r="U504" s="8" t="b">
        <v>0</v>
      </c>
      <c r="V504" s="8" t="b">
        <v>0</v>
      </c>
      <c r="X504" s="8" t="b">
        <v>0</v>
      </c>
      <c r="Y504" s="8" t="b">
        <v>0</v>
      </c>
      <c r="Z504" s="8" t="b">
        <v>0</v>
      </c>
      <c r="AA504" s="8" t="b">
        <v>0</v>
      </c>
      <c r="AB504" s="8" t="b">
        <v>0</v>
      </c>
      <c r="AC504" s="8" t="b">
        <v>0</v>
      </c>
      <c r="AD504" s="8" t="b">
        <v>0</v>
      </c>
      <c r="AE504" s="8" t="b">
        <v>1</v>
      </c>
      <c r="AG504" s="11" t="b" cm="1">
        <f t="array" ref="AG504">IF(OR(Y504:AA504="TRUE", AE504="true"), "Threatened")</f>
        <v>0</v>
      </c>
      <c r="AH504" s="11" t="s">
        <v>1539</v>
      </c>
      <c r="AI504" s="8" t="b">
        <v>1</v>
      </c>
    </row>
    <row r="505" spans="1:35" ht="31.2">
      <c r="A505" s="8">
        <v>-73.953347600000001</v>
      </c>
      <c r="B505" s="8">
        <v>40.793300350000003</v>
      </c>
      <c r="C505" s="8" t="s">
        <v>1540</v>
      </c>
      <c r="D505" s="8" t="s">
        <v>867</v>
      </c>
      <c r="E505" s="8" t="b">
        <f t="shared" si="7"/>
        <v>0</v>
      </c>
      <c r="F505" s="8" t="str" cm="1">
        <f t="array" ref="F505">_xlfn._xlws.FILTER(E505:E3703, C505:C3703= "6D-PM-1020-01", "No Squirrels Found")</f>
        <v>No Squirrels Found</v>
      </c>
      <c r="G505" s="8" t="s">
        <v>34</v>
      </c>
      <c r="H505" s="10">
        <v>10062018</v>
      </c>
      <c r="I505" s="10">
        <v>2</v>
      </c>
      <c r="J505" s="8" t="s">
        <v>39</v>
      </c>
      <c r="K505" s="8" t="s">
        <v>40</v>
      </c>
      <c r="L505" s="8" t="s">
        <v>41</v>
      </c>
      <c r="M505" s="8" t="s">
        <v>42</v>
      </c>
      <c r="O505" s="8" t="s">
        <v>43</v>
      </c>
      <c r="P505" s="8" t="b">
        <v>0</v>
      </c>
      <c r="Q505" s="8" t="s">
        <v>206</v>
      </c>
      <c r="R505" s="8" t="b">
        <v>1</v>
      </c>
      <c r="S505" s="8" t="b">
        <v>0</v>
      </c>
      <c r="T505" s="8" t="b">
        <v>1</v>
      </c>
      <c r="U505" s="8" t="b">
        <v>0</v>
      </c>
      <c r="V505" s="8" t="b">
        <v>1</v>
      </c>
      <c r="X505" s="8" t="b">
        <v>1</v>
      </c>
      <c r="Y505" s="8" t="b">
        <v>0</v>
      </c>
      <c r="Z505" s="8" t="b">
        <v>0</v>
      </c>
      <c r="AA505" s="8" t="b">
        <v>0</v>
      </c>
      <c r="AB505" s="8" t="b">
        <v>0</v>
      </c>
      <c r="AC505" s="8" t="b">
        <v>0</v>
      </c>
      <c r="AD505" s="8" t="b">
        <v>0</v>
      </c>
      <c r="AE505" s="8" t="b">
        <v>1</v>
      </c>
      <c r="AF505" s="11" t="s">
        <v>1541</v>
      </c>
      <c r="AG505" s="11" t="b" cm="1">
        <f t="array" ref="AG505">IF(OR(Y505:AA505="TRUE", AE505="true"), "Threatened")</f>
        <v>0</v>
      </c>
      <c r="AH505" s="11" t="s">
        <v>1542</v>
      </c>
      <c r="AI505" s="8" t="b">
        <v>1</v>
      </c>
    </row>
    <row r="506" spans="1:35" ht="31.2">
      <c r="A506" s="8">
        <v>-73.967738729999994</v>
      </c>
      <c r="B506" s="8">
        <v>40.774269590000003</v>
      </c>
      <c r="C506" s="8" t="s">
        <v>1543</v>
      </c>
      <c r="D506" s="8" t="s">
        <v>1391</v>
      </c>
      <c r="E506" s="8" t="b">
        <f t="shared" si="7"/>
        <v>0</v>
      </c>
      <c r="F506" s="8" t="str" cm="1">
        <f t="array" ref="F506">_xlfn._xlws.FILTER(E506:E3704, C506:C3704= "6D-PM-1020-01", "No Squirrels Found")</f>
        <v>No Squirrels Found</v>
      </c>
      <c r="G506" s="8" t="s">
        <v>34</v>
      </c>
      <c r="H506" s="10">
        <v>10072018</v>
      </c>
      <c r="I506" s="10">
        <v>2</v>
      </c>
      <c r="J506" s="8" t="s">
        <v>39</v>
      </c>
      <c r="K506" s="8" t="s">
        <v>40</v>
      </c>
      <c r="L506" s="8" t="s">
        <v>41</v>
      </c>
      <c r="M506" s="8" t="s">
        <v>42</v>
      </c>
      <c r="O506" s="8" t="s">
        <v>50</v>
      </c>
      <c r="P506" s="8">
        <v>10</v>
      </c>
      <c r="Q506" s="8" t="s">
        <v>466</v>
      </c>
      <c r="R506" s="8" t="b">
        <v>0</v>
      </c>
      <c r="S506" s="8" t="b">
        <v>0</v>
      </c>
      <c r="T506" s="8" t="b">
        <v>1</v>
      </c>
      <c r="U506" s="8" t="b">
        <v>1</v>
      </c>
      <c r="V506" s="8" t="b">
        <v>0</v>
      </c>
      <c r="W506" s="11" t="s">
        <v>1544</v>
      </c>
      <c r="X506" s="8" t="b">
        <v>0</v>
      </c>
      <c r="Y506" s="8" t="b">
        <v>0</v>
      </c>
      <c r="Z506" s="8" t="b">
        <v>0</v>
      </c>
      <c r="AA506" s="8" t="b">
        <v>0</v>
      </c>
      <c r="AB506" s="8" t="b">
        <v>0</v>
      </c>
      <c r="AC506" s="8" t="b">
        <v>0</v>
      </c>
      <c r="AD506" s="8" t="b">
        <v>1</v>
      </c>
      <c r="AE506" s="8" t="b">
        <v>0</v>
      </c>
      <c r="AG506" s="11" t="b" cm="1">
        <f t="array" ref="AG506">IF(OR(Y506:AA506="TRUE", AE506="true"), "Threatened")</f>
        <v>0</v>
      </c>
      <c r="AH506" s="11" t="s">
        <v>1545</v>
      </c>
      <c r="AI506" s="8" t="b">
        <v>0</v>
      </c>
    </row>
    <row r="507" spans="1:35" ht="31.2">
      <c r="A507" s="8">
        <v>-73.964961110000004</v>
      </c>
      <c r="B507" s="8">
        <v>40.781437179999998</v>
      </c>
      <c r="C507" s="8" t="s">
        <v>1546</v>
      </c>
      <c r="D507" s="8" t="s">
        <v>1202</v>
      </c>
      <c r="E507" s="8" t="b">
        <f t="shared" si="7"/>
        <v>0</v>
      </c>
      <c r="F507" s="8" t="str" cm="1">
        <f t="array" ref="F507">_xlfn._xlws.FILTER(E507:E3705, C507:C3705= "6D-PM-1020-01", "No Squirrels Found")</f>
        <v>No Squirrels Found</v>
      </c>
      <c r="G507" s="8" t="s">
        <v>48</v>
      </c>
      <c r="H507" s="10">
        <v>10182018</v>
      </c>
      <c r="I507" s="10">
        <v>5</v>
      </c>
      <c r="J507" s="8" t="s">
        <v>39</v>
      </c>
      <c r="K507" s="8" t="s">
        <v>41</v>
      </c>
      <c r="L507" s="8" t="s">
        <v>40</v>
      </c>
      <c r="M507" s="8" t="s">
        <v>110</v>
      </c>
      <c r="O507" s="8" t="s">
        <v>50</v>
      </c>
      <c r="P507" s="8">
        <v>2</v>
      </c>
      <c r="R507" s="8" t="b">
        <v>0</v>
      </c>
      <c r="S507" s="8" t="b">
        <v>0</v>
      </c>
      <c r="T507" s="8" t="b">
        <v>1</v>
      </c>
      <c r="U507" s="8" t="b">
        <v>0</v>
      </c>
      <c r="V507" s="8" t="b">
        <v>0</v>
      </c>
      <c r="X507" s="8" t="b">
        <v>0</v>
      </c>
      <c r="Y507" s="8" t="b">
        <v>0</v>
      </c>
      <c r="Z507" s="8" t="b">
        <v>0</v>
      </c>
      <c r="AA507" s="8" t="b">
        <v>0</v>
      </c>
      <c r="AB507" s="8" t="b">
        <v>1</v>
      </c>
      <c r="AC507" s="8" t="b">
        <v>0</v>
      </c>
      <c r="AD507" s="8" t="b">
        <v>0</v>
      </c>
      <c r="AE507" s="8" t="b">
        <v>1</v>
      </c>
      <c r="AG507" s="11" t="b" cm="1">
        <f t="array" ref="AG507">IF(OR(Y507:AA507="TRUE", AE507="true"), "Threatened")</f>
        <v>0</v>
      </c>
      <c r="AH507" s="11" t="s">
        <v>1547</v>
      </c>
      <c r="AI507" s="8" t="b">
        <v>1</v>
      </c>
    </row>
    <row r="508" spans="1:35" ht="31.2">
      <c r="A508" s="8">
        <v>-73.974483559999996</v>
      </c>
      <c r="B508" s="8">
        <v>40.772952140000001</v>
      </c>
      <c r="C508" s="8" t="s">
        <v>1548</v>
      </c>
      <c r="D508" s="8" t="s">
        <v>1549</v>
      </c>
      <c r="E508" s="8" t="b">
        <f t="shared" si="7"/>
        <v>0</v>
      </c>
      <c r="F508" s="8" t="str" cm="1">
        <f t="array" ref="F508">_xlfn._xlws.FILTER(E508:E3706, C508:C3706= "6D-PM-1020-01", "No Squirrels Found")</f>
        <v>No Squirrels Found</v>
      </c>
      <c r="G508" s="8" t="s">
        <v>48</v>
      </c>
      <c r="H508" s="10">
        <v>10082018</v>
      </c>
      <c r="I508" s="10">
        <v>1</v>
      </c>
      <c r="J508" s="8" t="s">
        <v>39</v>
      </c>
      <c r="K508" s="8" t="s">
        <v>40</v>
      </c>
      <c r="M508" s="8" t="s">
        <v>55</v>
      </c>
      <c r="O508" s="8" t="s">
        <v>43</v>
      </c>
      <c r="P508" s="8" t="b">
        <v>0</v>
      </c>
      <c r="R508" s="8" t="b">
        <v>0</v>
      </c>
      <c r="S508" s="8" t="b">
        <v>0</v>
      </c>
      <c r="T508" s="8" t="b">
        <v>0</v>
      </c>
      <c r="U508" s="8" t="b">
        <v>0</v>
      </c>
      <c r="V508" s="8" t="b">
        <v>1</v>
      </c>
      <c r="X508" s="8" t="b">
        <v>0</v>
      </c>
      <c r="Y508" s="8" t="b">
        <v>0</v>
      </c>
      <c r="Z508" s="8" t="b">
        <v>0</v>
      </c>
      <c r="AA508" s="8" t="b">
        <v>1</v>
      </c>
      <c r="AB508" s="8" t="b">
        <v>0</v>
      </c>
      <c r="AC508" s="8" t="b">
        <v>0</v>
      </c>
      <c r="AD508" s="8" t="b">
        <v>0</v>
      </c>
      <c r="AE508" s="8" t="b">
        <v>1</v>
      </c>
      <c r="AG508" s="11" t="b" cm="1">
        <f t="array" ref="AG508">IF(OR(Y508:AA508="TRUE", AE508="true"), "Threatened")</f>
        <v>0</v>
      </c>
      <c r="AH508" s="11" t="s">
        <v>1550</v>
      </c>
      <c r="AI508" s="8" t="b">
        <v>1</v>
      </c>
    </row>
    <row r="509" spans="1:35" ht="31.2">
      <c r="A509" s="8">
        <v>-73.974691879999995</v>
      </c>
      <c r="B509" s="8">
        <v>40.765523190000003</v>
      </c>
      <c r="C509" s="8" t="s">
        <v>1551</v>
      </c>
      <c r="D509" s="8" t="s">
        <v>966</v>
      </c>
      <c r="E509" s="8" t="b">
        <f t="shared" si="7"/>
        <v>0</v>
      </c>
      <c r="F509" s="8" t="str" cm="1">
        <f t="array" ref="F509">_xlfn._xlws.FILTER(E509:E3707, C509:C3707= "6D-PM-1020-01", "No Squirrels Found")</f>
        <v>No Squirrels Found</v>
      </c>
      <c r="G509" s="8" t="s">
        <v>48</v>
      </c>
      <c r="H509" s="10">
        <v>10062018</v>
      </c>
      <c r="I509" s="10">
        <v>2</v>
      </c>
      <c r="J509" s="8" t="s">
        <v>54</v>
      </c>
      <c r="K509" s="8" t="s">
        <v>40</v>
      </c>
      <c r="L509" s="8" t="s">
        <v>84</v>
      </c>
      <c r="M509" s="8" t="s">
        <v>103</v>
      </c>
      <c r="O509" s="8" t="s">
        <v>50</v>
      </c>
      <c r="P509" s="8">
        <v>30</v>
      </c>
      <c r="R509" s="8" t="b">
        <v>0</v>
      </c>
      <c r="S509" s="8" t="b">
        <v>0</v>
      </c>
      <c r="T509" s="8" t="b">
        <v>1</v>
      </c>
      <c r="U509" s="8" t="b">
        <v>0</v>
      </c>
      <c r="V509" s="8" t="b">
        <v>1</v>
      </c>
      <c r="X509" s="8" t="b">
        <v>0</v>
      </c>
      <c r="Y509" s="8" t="b">
        <v>0</v>
      </c>
      <c r="Z509" s="8" t="b">
        <v>0</v>
      </c>
      <c r="AA509" s="8" t="b">
        <v>0</v>
      </c>
      <c r="AB509" s="8" t="b">
        <v>1</v>
      </c>
      <c r="AC509" s="8" t="b">
        <v>0</v>
      </c>
      <c r="AD509" s="8" t="b">
        <v>1</v>
      </c>
      <c r="AE509" s="8" t="b">
        <v>0</v>
      </c>
      <c r="AG509" s="11" t="b" cm="1">
        <f t="array" ref="AG509">IF(OR(Y509:AA509="TRUE", AE509="true"), "Threatened")</f>
        <v>0</v>
      </c>
      <c r="AH509" s="11" t="s">
        <v>1552</v>
      </c>
      <c r="AI509" s="8" t="b">
        <v>1</v>
      </c>
    </row>
    <row r="510" spans="1:35" ht="31.2">
      <c r="A510" s="8">
        <v>-73.971428959999997</v>
      </c>
      <c r="B510" s="8">
        <v>40.775067069999999</v>
      </c>
      <c r="C510" s="8" t="s">
        <v>1553</v>
      </c>
      <c r="D510" s="8" t="s">
        <v>738</v>
      </c>
      <c r="E510" s="8" t="b">
        <f t="shared" si="7"/>
        <v>0</v>
      </c>
      <c r="F510" s="8" t="str" cm="1">
        <f t="array" ref="F510">_xlfn._xlws.FILTER(E510:E3708, C510:C3708= "6D-PM-1020-01", "No Squirrels Found")</f>
        <v>No Squirrels Found</v>
      </c>
      <c r="G510" s="8" t="s">
        <v>34</v>
      </c>
      <c r="H510" s="10">
        <v>10182018</v>
      </c>
      <c r="I510" s="10">
        <v>4</v>
      </c>
      <c r="J510" s="8" t="s">
        <v>39</v>
      </c>
      <c r="K510" s="8" t="s">
        <v>41</v>
      </c>
      <c r="M510" s="8" t="s">
        <v>49</v>
      </c>
      <c r="O510" s="8" t="s">
        <v>50</v>
      </c>
      <c r="P510" s="8">
        <v>10</v>
      </c>
      <c r="R510" s="8" t="b">
        <v>0</v>
      </c>
      <c r="S510" s="8" t="b">
        <v>0</v>
      </c>
      <c r="T510" s="8" t="b">
        <v>1</v>
      </c>
      <c r="U510" s="8" t="b">
        <v>0</v>
      </c>
      <c r="V510" s="8" t="b">
        <v>0</v>
      </c>
      <c r="X510" s="8" t="b">
        <v>0</v>
      </c>
      <c r="Y510" s="8" t="b">
        <v>0</v>
      </c>
      <c r="Z510" s="8" t="b">
        <v>0</v>
      </c>
      <c r="AA510" s="8" t="b">
        <v>0</v>
      </c>
      <c r="AB510" s="8" t="b">
        <v>0</v>
      </c>
      <c r="AC510" s="8" t="b">
        <v>0</v>
      </c>
      <c r="AD510" s="8" t="b">
        <v>0</v>
      </c>
      <c r="AE510" s="8" t="b">
        <v>1</v>
      </c>
      <c r="AG510" s="11" t="b" cm="1">
        <f t="array" ref="AG510">IF(OR(Y510:AA510="TRUE", AE510="true"), "Threatened")</f>
        <v>0</v>
      </c>
      <c r="AH510" s="11" t="s">
        <v>1554</v>
      </c>
      <c r="AI510" s="8" t="b">
        <v>1</v>
      </c>
    </row>
    <row r="511" spans="1:35" ht="31.2">
      <c r="A511" s="8">
        <v>-73.963859080000006</v>
      </c>
      <c r="B511" s="8">
        <v>40.777678209999998</v>
      </c>
      <c r="C511" s="8" t="s">
        <v>1555</v>
      </c>
      <c r="D511" s="8" t="s">
        <v>1144</v>
      </c>
      <c r="E511" s="8" t="b">
        <f t="shared" si="7"/>
        <v>0</v>
      </c>
      <c r="F511" s="8" t="str" cm="1">
        <f t="array" ref="F511">_xlfn._xlws.FILTER(E511:E3709, C511:C3709= "6D-PM-1020-01", "No Squirrels Found")</f>
        <v>No Squirrels Found</v>
      </c>
      <c r="G511" s="8" t="s">
        <v>48</v>
      </c>
      <c r="H511" s="10">
        <v>10172018</v>
      </c>
      <c r="I511" s="10">
        <v>2</v>
      </c>
      <c r="J511" s="8" t="s">
        <v>39</v>
      </c>
      <c r="K511" s="8" t="s">
        <v>40</v>
      </c>
      <c r="L511" s="8" t="s">
        <v>192</v>
      </c>
      <c r="M511" s="8" t="s">
        <v>354</v>
      </c>
      <c r="O511" s="8" t="s">
        <v>50</v>
      </c>
      <c r="P511" s="8">
        <v>15</v>
      </c>
      <c r="R511" s="8" t="b">
        <v>0</v>
      </c>
      <c r="S511" s="8" t="b">
        <v>0</v>
      </c>
      <c r="T511" s="8" t="b">
        <v>1</v>
      </c>
      <c r="U511" s="8" t="b">
        <v>0</v>
      </c>
      <c r="V511" s="8" t="b">
        <v>0</v>
      </c>
      <c r="X511" s="8" t="b">
        <v>0</v>
      </c>
      <c r="Y511" s="8" t="b">
        <v>0</v>
      </c>
      <c r="Z511" s="8" t="b">
        <v>0</v>
      </c>
      <c r="AA511" s="8" t="b">
        <v>0</v>
      </c>
      <c r="AB511" s="8" t="b">
        <v>1</v>
      </c>
      <c r="AC511" s="8" t="b">
        <v>0</v>
      </c>
      <c r="AD511" s="8" t="b">
        <v>0</v>
      </c>
      <c r="AE511" s="8" t="b">
        <v>1</v>
      </c>
      <c r="AG511" s="11" t="b" cm="1">
        <f t="array" ref="AG511">IF(OR(Y511:AA511="TRUE", AE511="true"), "Threatened")</f>
        <v>0</v>
      </c>
      <c r="AH511" s="11" t="s">
        <v>1556</v>
      </c>
      <c r="AI511" s="8" t="b">
        <v>1</v>
      </c>
    </row>
    <row r="512" spans="1:35" ht="31.2">
      <c r="A512" s="8">
        <v>-73.96531426</v>
      </c>
      <c r="B512" s="8">
        <v>40.77600151</v>
      </c>
      <c r="C512" s="8" t="s">
        <v>1557</v>
      </c>
      <c r="D512" s="8" t="s">
        <v>419</v>
      </c>
      <c r="E512" s="8" t="b">
        <f t="shared" si="7"/>
        <v>0</v>
      </c>
      <c r="F512" s="8" t="str" cm="1">
        <f t="array" ref="F512">_xlfn._xlws.FILTER(E512:E3710, C512:C3710= "6D-PM-1020-01", "No Squirrels Found")</f>
        <v>No Squirrels Found</v>
      </c>
      <c r="G512" s="8" t="s">
        <v>48</v>
      </c>
      <c r="H512" s="10">
        <v>10082018</v>
      </c>
      <c r="I512" s="10">
        <v>4</v>
      </c>
      <c r="J512" s="8" t="s">
        <v>39</v>
      </c>
      <c r="K512" s="8" t="s">
        <v>40</v>
      </c>
      <c r="M512" s="8" t="s">
        <v>55</v>
      </c>
      <c r="O512" s="8" t="s">
        <v>43</v>
      </c>
      <c r="P512" s="8" t="b">
        <v>0</v>
      </c>
      <c r="R512" s="8" t="b">
        <v>0</v>
      </c>
      <c r="S512" s="8" t="b">
        <v>0</v>
      </c>
      <c r="T512" s="8" t="b">
        <v>1</v>
      </c>
      <c r="U512" s="8" t="b">
        <v>1</v>
      </c>
      <c r="V512" s="8" t="b">
        <v>0</v>
      </c>
      <c r="X512" s="8" t="b">
        <v>0</v>
      </c>
      <c r="Y512" s="8" t="b">
        <v>0</v>
      </c>
      <c r="Z512" s="8" t="b">
        <v>0</v>
      </c>
      <c r="AA512" s="8" t="b">
        <v>0</v>
      </c>
      <c r="AB512" s="8" t="b">
        <v>0</v>
      </c>
      <c r="AC512" s="8" t="b">
        <v>0</v>
      </c>
      <c r="AD512" s="8" t="b">
        <v>0</v>
      </c>
      <c r="AE512" s="8" t="b">
        <v>1</v>
      </c>
      <c r="AG512" s="11" t="b" cm="1">
        <f t="array" ref="AG512">IF(OR(Y512:AA512="TRUE", AE512="true"), "Threatened")</f>
        <v>0</v>
      </c>
      <c r="AH512" s="11" t="s">
        <v>1558</v>
      </c>
      <c r="AI512" s="8" t="b">
        <v>1</v>
      </c>
    </row>
    <row r="513" spans="1:35" ht="31.2">
      <c r="A513" s="8">
        <v>-73.958609820000007</v>
      </c>
      <c r="B513" s="8">
        <v>40.793965370000002</v>
      </c>
      <c r="C513" s="8" t="s">
        <v>1559</v>
      </c>
      <c r="D513" s="8" t="s">
        <v>515</v>
      </c>
      <c r="E513" s="8" t="b">
        <f t="shared" si="7"/>
        <v>0</v>
      </c>
      <c r="F513" s="8" t="str" cm="1">
        <f t="array" ref="F513">_xlfn._xlws.FILTER(E513:E3711, C513:C3711= "6D-PM-1020-01", "No Squirrels Found")</f>
        <v>No Squirrels Found</v>
      </c>
      <c r="G513" s="8" t="s">
        <v>48</v>
      </c>
      <c r="H513" s="10">
        <v>10192018</v>
      </c>
      <c r="I513" s="10">
        <v>1</v>
      </c>
      <c r="M513" s="8" t="s">
        <v>35</v>
      </c>
      <c r="O513" s="8" t="s">
        <v>50</v>
      </c>
      <c r="Q513" s="8" t="s">
        <v>1560</v>
      </c>
      <c r="R513" s="8" t="b">
        <v>0</v>
      </c>
      <c r="S513" s="8" t="b">
        <v>0</v>
      </c>
      <c r="T513" s="8" t="b">
        <v>0</v>
      </c>
      <c r="U513" s="8" t="b">
        <v>0</v>
      </c>
      <c r="V513" s="8" t="b">
        <v>0</v>
      </c>
      <c r="X513" s="8" t="b">
        <v>1</v>
      </c>
      <c r="Y513" s="8" t="b">
        <v>0</v>
      </c>
      <c r="Z513" s="8" t="b">
        <v>0</v>
      </c>
      <c r="AA513" s="8" t="b">
        <v>0</v>
      </c>
      <c r="AB513" s="8" t="b">
        <v>0</v>
      </c>
      <c r="AC513" s="8" t="b">
        <v>0</v>
      </c>
      <c r="AD513" s="8" t="b">
        <v>0</v>
      </c>
      <c r="AE513" s="8" t="b">
        <v>0</v>
      </c>
      <c r="AG513" s="11" t="b" cm="1">
        <f t="array" ref="AG513">IF(OR(Y513:AA513="TRUE", AE513="true"), "Threatened")</f>
        <v>0</v>
      </c>
      <c r="AH513" s="11" t="s">
        <v>1561</v>
      </c>
      <c r="AI513" s="8" t="b">
        <v>1</v>
      </c>
    </row>
    <row r="514" spans="1:35" ht="31.2">
      <c r="A514" s="8">
        <v>-73.963100690000005</v>
      </c>
      <c r="B514" s="8">
        <v>40.792025520000003</v>
      </c>
      <c r="C514" s="8" t="s">
        <v>1562</v>
      </c>
      <c r="D514" s="8" t="s">
        <v>785</v>
      </c>
      <c r="E514" s="8" t="b">
        <f t="shared" si="7"/>
        <v>0</v>
      </c>
      <c r="F514" s="8" t="str" cm="1">
        <f t="array" ref="F514">_xlfn._xlws.FILTER(E514:E3712, C514:C3712= "6D-PM-1020-01", "No Squirrels Found")</f>
        <v>No Squirrels Found</v>
      </c>
      <c r="G514" s="8" t="s">
        <v>48</v>
      </c>
      <c r="H514" s="10">
        <v>10172018</v>
      </c>
      <c r="I514" s="10">
        <v>2</v>
      </c>
      <c r="J514" s="8" t="s">
        <v>39</v>
      </c>
      <c r="K514" s="8" t="s">
        <v>40</v>
      </c>
      <c r="L514" s="8" t="s">
        <v>41</v>
      </c>
      <c r="M514" s="8" t="s">
        <v>42</v>
      </c>
      <c r="N514" s="11" t="s">
        <v>1563</v>
      </c>
      <c r="O514" s="8" t="s">
        <v>43</v>
      </c>
      <c r="P514" s="8" t="b">
        <v>0</v>
      </c>
      <c r="R514" s="8" t="b">
        <v>1</v>
      </c>
      <c r="S514" s="8" t="b">
        <v>0</v>
      </c>
      <c r="T514" s="8" t="b">
        <v>0</v>
      </c>
      <c r="U514" s="8" t="b">
        <v>0</v>
      </c>
      <c r="V514" s="8" t="b">
        <v>1</v>
      </c>
      <c r="X514" s="8" t="b">
        <v>0</v>
      </c>
      <c r="Y514" s="8" t="b">
        <v>0</v>
      </c>
      <c r="Z514" s="8" t="b">
        <v>0</v>
      </c>
      <c r="AA514" s="8" t="b">
        <v>0</v>
      </c>
      <c r="AB514" s="8" t="b">
        <v>1</v>
      </c>
      <c r="AC514" s="8" t="b">
        <v>0</v>
      </c>
      <c r="AD514" s="8" t="b">
        <v>0</v>
      </c>
      <c r="AE514" s="8" t="b">
        <v>1</v>
      </c>
      <c r="AG514" s="11" t="b" cm="1">
        <f t="array" ref="AG514">IF(OR(Y514:AA514="TRUE", AE514="true"), "Threatened")</f>
        <v>0</v>
      </c>
      <c r="AH514" s="11" t="s">
        <v>1564</v>
      </c>
      <c r="AI514" s="8" t="b">
        <v>1</v>
      </c>
    </row>
    <row r="515" spans="1:35" ht="31.2">
      <c r="A515" s="8">
        <v>-73.976835719999997</v>
      </c>
      <c r="B515" s="8">
        <v>40.768381339999998</v>
      </c>
      <c r="C515" s="8" t="s">
        <v>1565</v>
      </c>
      <c r="D515" s="8" t="s">
        <v>512</v>
      </c>
      <c r="E515" s="8" t="b">
        <f t="shared" ref="E515:E578" si="8">OR(D515 = "05D", D515 = "07D", D515 = "06C", D515 = "06E")</f>
        <v>0</v>
      </c>
      <c r="F515" s="8" t="str" cm="1">
        <f t="array" ref="F515">_xlfn._xlws.FILTER(E515:E3713, C515:C3713= "6D-PM-1020-01", "No Squirrels Found")</f>
        <v>No Squirrels Found</v>
      </c>
      <c r="G515" s="8" t="s">
        <v>34</v>
      </c>
      <c r="H515" s="10">
        <v>10102018</v>
      </c>
      <c r="I515" s="10">
        <v>12</v>
      </c>
      <c r="J515" s="8" t="s">
        <v>39</v>
      </c>
      <c r="K515" s="8" t="s">
        <v>41</v>
      </c>
      <c r="L515" s="8" t="s">
        <v>84</v>
      </c>
      <c r="M515" s="8" t="s">
        <v>85</v>
      </c>
      <c r="O515" s="8" t="s">
        <v>43</v>
      </c>
      <c r="P515" s="8" t="b">
        <v>0</v>
      </c>
      <c r="R515" s="8" t="b">
        <v>1</v>
      </c>
      <c r="S515" s="8" t="b">
        <v>1</v>
      </c>
      <c r="T515" s="8" t="b">
        <v>0</v>
      </c>
      <c r="U515" s="8" t="b">
        <v>0</v>
      </c>
      <c r="V515" s="8" t="b">
        <v>1</v>
      </c>
      <c r="X515" s="8" t="b">
        <v>0</v>
      </c>
      <c r="Y515" s="8" t="b">
        <v>1</v>
      </c>
      <c r="Z515" s="8" t="b">
        <v>0</v>
      </c>
      <c r="AA515" s="8" t="b">
        <v>0</v>
      </c>
      <c r="AB515" s="8" t="b">
        <v>0</v>
      </c>
      <c r="AC515" s="8" t="b">
        <v>0</v>
      </c>
      <c r="AD515" s="8" t="b">
        <v>0</v>
      </c>
      <c r="AE515" s="8" t="b">
        <v>0</v>
      </c>
      <c r="AG515" s="11" t="b" cm="1">
        <f t="array" ref="AG515">IF(OR(Y515:AA515="TRUE", AE515="true"), "Threatened")</f>
        <v>0</v>
      </c>
      <c r="AH515" s="11" t="s">
        <v>1566</v>
      </c>
      <c r="AI515" s="8" t="b">
        <v>1</v>
      </c>
    </row>
    <row r="516" spans="1:35" ht="31.2">
      <c r="A516" s="8">
        <v>-73.960148649999994</v>
      </c>
      <c r="B516" s="8">
        <v>40.794372410000001</v>
      </c>
      <c r="C516" s="8" t="s">
        <v>1567</v>
      </c>
      <c r="D516" s="8" t="s">
        <v>69</v>
      </c>
      <c r="E516" s="8" t="b">
        <f t="shared" si="8"/>
        <v>0</v>
      </c>
      <c r="F516" s="8" t="str" cm="1">
        <f t="array" ref="F516">_xlfn._xlws.FILTER(E516:E3714, C516:C3714= "6D-PM-1020-01", "No Squirrels Found")</f>
        <v>No Squirrels Found</v>
      </c>
      <c r="G516" s="8" t="s">
        <v>34</v>
      </c>
      <c r="H516" s="10">
        <v>10132018</v>
      </c>
      <c r="I516" s="10">
        <v>2</v>
      </c>
      <c r="K516" s="8" t="s">
        <v>40</v>
      </c>
      <c r="L516" s="8" t="s">
        <v>41</v>
      </c>
      <c r="M516" s="8" t="s">
        <v>42</v>
      </c>
      <c r="O516" s="8" t="s">
        <v>43</v>
      </c>
      <c r="P516" s="8" t="b">
        <v>0</v>
      </c>
      <c r="R516" s="8" t="b">
        <v>0</v>
      </c>
      <c r="S516" s="8" t="b">
        <v>0</v>
      </c>
      <c r="T516" s="8" t="b">
        <v>0</v>
      </c>
      <c r="U516" s="8" t="b">
        <v>0</v>
      </c>
      <c r="V516" s="8" t="b">
        <v>1</v>
      </c>
      <c r="X516" s="8" t="b">
        <v>0</v>
      </c>
      <c r="Y516" s="8" t="b">
        <v>0</v>
      </c>
      <c r="Z516" s="8" t="b">
        <v>0</v>
      </c>
      <c r="AA516" s="8" t="b">
        <v>0</v>
      </c>
      <c r="AB516" s="8" t="b">
        <v>0</v>
      </c>
      <c r="AC516" s="8" t="b">
        <v>1</v>
      </c>
      <c r="AD516" s="8" t="b">
        <v>0</v>
      </c>
      <c r="AE516" s="8" t="b">
        <v>0</v>
      </c>
      <c r="AF516" s="11" t="s">
        <v>1568</v>
      </c>
      <c r="AG516" s="11" t="b" cm="1">
        <f t="array" ref="AG516">IF(OR(Y516:AA516="TRUE", AE516="true"), "Threatened")</f>
        <v>0</v>
      </c>
      <c r="AH516" s="11" t="s">
        <v>1569</v>
      </c>
      <c r="AI516" s="8" t="b">
        <v>1</v>
      </c>
    </row>
    <row r="517" spans="1:35" ht="31.2">
      <c r="A517" s="8">
        <v>-73.959741840000007</v>
      </c>
      <c r="B517" s="8">
        <v>40.796441710000003</v>
      </c>
      <c r="C517" s="8" t="s">
        <v>1570</v>
      </c>
      <c r="D517" s="8" t="s">
        <v>972</v>
      </c>
      <c r="E517" s="8" t="b">
        <f t="shared" si="8"/>
        <v>0</v>
      </c>
      <c r="F517" s="8" t="str" cm="1">
        <f t="array" ref="F517">_xlfn._xlws.FILTER(E517:E3715, C517:C3715= "6D-PM-1020-01", "No Squirrels Found")</f>
        <v>No Squirrels Found</v>
      </c>
      <c r="G517" s="8" t="s">
        <v>34</v>
      </c>
      <c r="H517" s="10">
        <v>10132018</v>
      </c>
      <c r="I517" s="10">
        <v>5</v>
      </c>
      <c r="J517" s="8" t="s">
        <v>39</v>
      </c>
      <c r="K517" s="8" t="s">
        <v>40</v>
      </c>
      <c r="L517" s="8" t="s">
        <v>41</v>
      </c>
      <c r="M517" s="8" t="s">
        <v>42</v>
      </c>
      <c r="O517" s="8" t="s">
        <v>43</v>
      </c>
      <c r="P517" s="8" t="b">
        <v>0</v>
      </c>
      <c r="R517" s="8" t="b">
        <v>0</v>
      </c>
      <c r="S517" s="8" t="b">
        <v>0</v>
      </c>
      <c r="T517" s="8" t="b">
        <v>0</v>
      </c>
      <c r="U517" s="8" t="b">
        <v>1</v>
      </c>
      <c r="V517" s="8" t="b">
        <v>1</v>
      </c>
      <c r="X517" s="8" t="b">
        <v>0</v>
      </c>
      <c r="Y517" s="8" t="b">
        <v>0</v>
      </c>
      <c r="Z517" s="8" t="b">
        <v>0</v>
      </c>
      <c r="AA517" s="8" t="b">
        <v>0</v>
      </c>
      <c r="AB517" s="8" t="b">
        <v>0</v>
      </c>
      <c r="AC517" s="8" t="b">
        <v>0</v>
      </c>
      <c r="AD517" s="8" t="b">
        <v>1</v>
      </c>
      <c r="AE517" s="8" t="b">
        <v>0</v>
      </c>
      <c r="AG517" s="11" t="b" cm="1">
        <f t="array" ref="AG517">IF(OR(Y517:AA517="TRUE", AE517="true"), "Threatened")</f>
        <v>0</v>
      </c>
      <c r="AH517" s="11" t="s">
        <v>1571</v>
      </c>
      <c r="AI517" s="8" t="b">
        <v>1</v>
      </c>
    </row>
    <row r="518" spans="1:35" ht="31.2">
      <c r="A518" s="8">
        <v>-73.954959869999996</v>
      </c>
      <c r="B518" s="8">
        <v>40.798540500000001</v>
      </c>
      <c r="C518" s="8" t="s">
        <v>1572</v>
      </c>
      <c r="D518" s="8" t="s">
        <v>353</v>
      </c>
      <c r="E518" s="8" t="b">
        <f t="shared" si="8"/>
        <v>0</v>
      </c>
      <c r="F518" s="8" t="str" cm="1">
        <f t="array" ref="F518">_xlfn._xlws.FILTER(E518:E3716, C518:C3716= "6D-PM-1020-01", "No Squirrels Found")</f>
        <v>No Squirrels Found</v>
      </c>
      <c r="G518" s="8" t="s">
        <v>34</v>
      </c>
      <c r="H518" s="10">
        <v>10142018</v>
      </c>
      <c r="I518" s="10">
        <v>3</v>
      </c>
      <c r="J518" s="8" t="s">
        <v>39</v>
      </c>
      <c r="K518" s="8" t="s">
        <v>40</v>
      </c>
      <c r="L518" s="8" t="s">
        <v>84</v>
      </c>
      <c r="M518" s="8" t="s">
        <v>103</v>
      </c>
      <c r="O518" s="8" t="s">
        <v>43</v>
      </c>
      <c r="P518" s="8" t="b">
        <v>0</v>
      </c>
      <c r="R518" s="8" t="b">
        <v>1</v>
      </c>
      <c r="S518" s="8" t="b">
        <v>0</v>
      </c>
      <c r="T518" s="8" t="b">
        <v>0</v>
      </c>
      <c r="U518" s="8" t="b">
        <v>0</v>
      </c>
      <c r="V518" s="8" t="b">
        <v>0</v>
      </c>
      <c r="X518" s="8" t="b">
        <v>0</v>
      </c>
      <c r="Y518" s="8" t="b">
        <v>0</v>
      </c>
      <c r="Z518" s="8" t="b">
        <v>0</v>
      </c>
      <c r="AA518" s="8" t="b">
        <v>0</v>
      </c>
      <c r="AB518" s="8" t="b">
        <v>0</v>
      </c>
      <c r="AC518" s="8" t="b">
        <v>0</v>
      </c>
      <c r="AD518" s="8" t="b">
        <v>0</v>
      </c>
      <c r="AE518" s="8" t="b">
        <v>0</v>
      </c>
      <c r="AG518" s="11" t="b" cm="1">
        <f t="array" ref="AG518">IF(OR(Y518:AA518="TRUE", AE518="true"), "Threatened")</f>
        <v>0</v>
      </c>
      <c r="AH518" s="11" t="s">
        <v>1573</v>
      </c>
      <c r="AI518" s="8" t="b">
        <v>1</v>
      </c>
    </row>
    <row r="519" spans="1:35" ht="31.2">
      <c r="A519" s="8">
        <v>-73.968784740000004</v>
      </c>
      <c r="B519" s="8">
        <v>40.778185700000002</v>
      </c>
      <c r="C519" s="8" t="s">
        <v>1574</v>
      </c>
      <c r="D519" s="8" t="s">
        <v>271</v>
      </c>
      <c r="E519" s="8" t="b">
        <f t="shared" si="8"/>
        <v>0</v>
      </c>
      <c r="F519" s="8" t="str" cm="1">
        <f t="array" ref="F519">_xlfn._xlws.FILTER(E519:E3717, C519:C3717= "6D-PM-1020-01", "No Squirrels Found")</f>
        <v>No Squirrels Found</v>
      </c>
      <c r="G519" s="8" t="s">
        <v>48</v>
      </c>
      <c r="H519" s="10">
        <v>10142018</v>
      </c>
      <c r="I519" s="10">
        <v>9</v>
      </c>
      <c r="J519" s="8" t="s">
        <v>39</v>
      </c>
      <c r="K519" s="8" t="s">
        <v>40</v>
      </c>
      <c r="M519" s="8" t="s">
        <v>55</v>
      </c>
      <c r="O519" s="8" t="s">
        <v>50</v>
      </c>
      <c r="P519" s="8">
        <v>25</v>
      </c>
      <c r="Q519" s="8" t="s">
        <v>1087</v>
      </c>
      <c r="R519" s="8" t="b">
        <v>0</v>
      </c>
      <c r="S519" s="8" t="b">
        <v>0</v>
      </c>
      <c r="T519" s="8" t="b">
        <v>1</v>
      </c>
      <c r="U519" s="8" t="b">
        <v>0</v>
      </c>
      <c r="V519" s="8" t="b">
        <v>0</v>
      </c>
      <c r="X519" s="8" t="b">
        <v>0</v>
      </c>
      <c r="Y519" s="8" t="b">
        <v>0</v>
      </c>
      <c r="Z519" s="8" t="b">
        <v>0</v>
      </c>
      <c r="AA519" s="8" t="b">
        <v>0</v>
      </c>
      <c r="AB519" s="8" t="b">
        <v>0</v>
      </c>
      <c r="AC519" s="8" t="b">
        <v>0</v>
      </c>
      <c r="AD519" s="8" t="b">
        <v>1</v>
      </c>
      <c r="AE519" s="8" t="b">
        <v>0</v>
      </c>
      <c r="AG519" s="11" t="b" cm="1">
        <f t="array" ref="AG519">IF(OR(Y519:AA519="TRUE", AE519="true"), "Threatened")</f>
        <v>0</v>
      </c>
      <c r="AH519" s="11" t="s">
        <v>1575</v>
      </c>
      <c r="AI519" s="8" t="b">
        <v>1</v>
      </c>
    </row>
    <row r="520" spans="1:35" ht="31.2">
      <c r="A520" s="8">
        <v>-73.965901020000004</v>
      </c>
      <c r="B520" s="8">
        <v>40.779168370000001</v>
      </c>
      <c r="C520" s="8" t="s">
        <v>1576</v>
      </c>
      <c r="D520" s="8" t="s">
        <v>520</v>
      </c>
      <c r="E520" s="8" t="b">
        <f t="shared" si="8"/>
        <v>0</v>
      </c>
      <c r="F520" s="8" t="str" cm="1">
        <f t="array" ref="F520">_xlfn._xlws.FILTER(E520:E3718, C520:C3718= "6D-PM-1020-01", "No Squirrels Found")</f>
        <v>No Squirrels Found</v>
      </c>
      <c r="G520" s="8" t="s">
        <v>34</v>
      </c>
      <c r="H520" s="10">
        <v>10132018</v>
      </c>
      <c r="I520" s="10">
        <v>2</v>
      </c>
      <c r="J520" s="8" t="s">
        <v>39</v>
      </c>
      <c r="K520" s="8" t="s">
        <v>40</v>
      </c>
      <c r="M520" s="8" t="s">
        <v>55</v>
      </c>
      <c r="O520" s="8" t="s">
        <v>43</v>
      </c>
      <c r="P520" s="8" t="b">
        <v>0</v>
      </c>
      <c r="R520" s="8" t="b">
        <v>0</v>
      </c>
      <c r="S520" s="8" t="b">
        <v>0</v>
      </c>
      <c r="T520" s="8" t="b">
        <v>0</v>
      </c>
      <c r="U520" s="8" t="b">
        <v>1</v>
      </c>
      <c r="V520" s="8" t="b">
        <v>1</v>
      </c>
      <c r="X520" s="8" t="b">
        <v>0</v>
      </c>
      <c r="Y520" s="8" t="b">
        <v>0</v>
      </c>
      <c r="Z520" s="8" t="b">
        <v>0</v>
      </c>
      <c r="AA520" s="8" t="b">
        <v>0</v>
      </c>
      <c r="AB520" s="8" t="b">
        <v>0</v>
      </c>
      <c r="AC520" s="8" t="b">
        <v>0</v>
      </c>
      <c r="AD520" s="8" t="b">
        <v>0</v>
      </c>
      <c r="AE520" s="8" t="b">
        <v>0</v>
      </c>
      <c r="AG520" s="11" t="b" cm="1">
        <f t="array" ref="AG520">IF(OR(Y520:AA520="TRUE", AE520="true"), "Threatened")</f>
        <v>0</v>
      </c>
      <c r="AH520" s="11" t="s">
        <v>1577</v>
      </c>
      <c r="AI520" s="8" t="b">
        <v>1</v>
      </c>
    </row>
    <row r="521" spans="1:35" ht="31.2">
      <c r="A521" s="8">
        <v>-73.974944660000006</v>
      </c>
      <c r="B521" s="8">
        <v>40.77206597</v>
      </c>
      <c r="C521" s="8" t="s">
        <v>1578</v>
      </c>
      <c r="D521" s="8" t="s">
        <v>1579</v>
      </c>
      <c r="E521" s="8" t="b">
        <f t="shared" si="8"/>
        <v>1</v>
      </c>
      <c r="F521" s="8" t="str" cm="1">
        <f t="array" ref="F521">_xlfn._xlws.FILTER(E521:E3719, C521:C3719= "6D-PM-1020-01", "No Squirrels Found")</f>
        <v>No Squirrels Found</v>
      </c>
      <c r="G521" s="8" t="s">
        <v>34</v>
      </c>
      <c r="H521" s="10">
        <v>10102018</v>
      </c>
      <c r="I521" s="10">
        <v>1</v>
      </c>
      <c r="J521" s="8" t="s">
        <v>39</v>
      </c>
      <c r="K521" s="8" t="s">
        <v>40</v>
      </c>
      <c r="L521" s="8" t="s">
        <v>84</v>
      </c>
      <c r="M521" s="8" t="s">
        <v>103</v>
      </c>
      <c r="O521" s="8" t="s">
        <v>43</v>
      </c>
      <c r="P521" s="8" t="b">
        <v>0</v>
      </c>
      <c r="Q521" s="8" t="s">
        <v>1580</v>
      </c>
      <c r="R521" s="8" t="b">
        <v>1</v>
      </c>
      <c r="S521" s="8" t="b">
        <v>0</v>
      </c>
      <c r="T521" s="8" t="b">
        <v>0</v>
      </c>
      <c r="U521" s="8" t="b">
        <v>0</v>
      </c>
      <c r="V521" s="8" t="b">
        <v>0</v>
      </c>
      <c r="X521" s="8" t="b">
        <v>0</v>
      </c>
      <c r="Y521" s="8" t="b">
        <v>0</v>
      </c>
      <c r="Z521" s="8" t="b">
        <v>0</v>
      </c>
      <c r="AA521" s="8" t="b">
        <v>0</v>
      </c>
      <c r="AB521" s="8" t="b">
        <v>0</v>
      </c>
      <c r="AC521" s="8" t="b">
        <v>0</v>
      </c>
      <c r="AD521" s="8" t="b">
        <v>0</v>
      </c>
      <c r="AE521" s="8" t="b">
        <v>0</v>
      </c>
      <c r="AG521" s="11" t="b" cm="1">
        <f t="array" ref="AG521">IF(OR(Y521:AA521="TRUE", AE521="true"), "Threatened")</f>
        <v>0</v>
      </c>
      <c r="AH521" s="11" t="s">
        <v>1581</v>
      </c>
      <c r="AI521" s="8" t="b">
        <v>1</v>
      </c>
    </row>
    <row r="522" spans="1:35" ht="31.2">
      <c r="A522" s="8">
        <v>-73.971322880000002</v>
      </c>
      <c r="B522" s="8">
        <v>40.77141451</v>
      </c>
      <c r="C522" s="8" t="s">
        <v>1582</v>
      </c>
      <c r="D522" s="8" t="s">
        <v>1583</v>
      </c>
      <c r="E522" s="8" t="b">
        <f t="shared" si="8"/>
        <v>0</v>
      </c>
      <c r="F522" s="8" t="str" cm="1">
        <f t="array" ref="F522">_xlfn._xlws.FILTER(E522:E3720, C522:C3720= "6D-PM-1020-01", "No Squirrels Found")</f>
        <v>No Squirrels Found</v>
      </c>
      <c r="G522" s="8" t="s">
        <v>34</v>
      </c>
      <c r="H522" s="10">
        <v>10172018</v>
      </c>
      <c r="I522" s="10">
        <v>1</v>
      </c>
      <c r="J522" s="8" t="s">
        <v>39</v>
      </c>
      <c r="K522" s="8" t="s">
        <v>40</v>
      </c>
      <c r="L522" s="8" t="s">
        <v>117</v>
      </c>
      <c r="M522" s="8" t="s">
        <v>118</v>
      </c>
      <c r="O522" s="8" t="s">
        <v>43</v>
      </c>
      <c r="P522" s="8" t="b">
        <v>0</v>
      </c>
      <c r="R522" s="8" t="b">
        <v>0</v>
      </c>
      <c r="S522" s="8" t="b">
        <v>0</v>
      </c>
      <c r="T522" s="8" t="b">
        <v>0</v>
      </c>
      <c r="U522" s="8" t="b">
        <v>0</v>
      </c>
      <c r="V522" s="8" t="b">
        <v>1</v>
      </c>
      <c r="X522" s="8" t="b">
        <v>0</v>
      </c>
      <c r="Y522" s="8" t="b">
        <v>0</v>
      </c>
      <c r="Z522" s="8" t="b">
        <v>0</v>
      </c>
      <c r="AA522" s="8" t="b">
        <v>0</v>
      </c>
      <c r="AB522" s="8" t="b">
        <v>0</v>
      </c>
      <c r="AC522" s="8" t="b">
        <v>0</v>
      </c>
      <c r="AD522" s="8" t="b">
        <v>1</v>
      </c>
      <c r="AE522" s="8" t="b">
        <v>0</v>
      </c>
      <c r="AG522" s="11" t="b" cm="1">
        <f t="array" ref="AG522">IF(OR(Y522:AA522="TRUE", AE522="true"), "Threatened")</f>
        <v>0</v>
      </c>
      <c r="AH522" s="11" t="s">
        <v>1584</v>
      </c>
      <c r="AI522" s="8" t="b">
        <v>1</v>
      </c>
    </row>
    <row r="523" spans="1:35" ht="31.2">
      <c r="A523" s="8">
        <v>-73.977382109999994</v>
      </c>
      <c r="B523" s="8">
        <v>40.769045349999999</v>
      </c>
      <c r="C523" s="8" t="s">
        <v>1585</v>
      </c>
      <c r="D523" s="8" t="s">
        <v>1586</v>
      </c>
      <c r="E523" s="8" t="b">
        <f t="shared" si="8"/>
        <v>0</v>
      </c>
      <c r="F523" s="8" t="str" cm="1">
        <f t="array" ref="F523">_xlfn._xlws.FILTER(E523:E3721, C523:C3721= "6D-PM-1020-01", "No Squirrels Found")</f>
        <v>No Squirrels Found</v>
      </c>
      <c r="G523" s="8" t="s">
        <v>34</v>
      </c>
      <c r="H523" s="10">
        <v>10102018</v>
      </c>
      <c r="I523" s="10">
        <v>6</v>
      </c>
      <c r="J523" s="8" t="s">
        <v>39</v>
      </c>
      <c r="K523" s="8" t="s">
        <v>40</v>
      </c>
      <c r="L523" s="8" t="s">
        <v>41</v>
      </c>
      <c r="M523" s="8" t="s">
        <v>42</v>
      </c>
      <c r="O523" s="8" t="s">
        <v>43</v>
      </c>
      <c r="P523" s="8" t="b">
        <v>0</v>
      </c>
      <c r="Q523" s="8" t="s">
        <v>1587</v>
      </c>
      <c r="R523" s="8" t="b">
        <v>0</v>
      </c>
      <c r="S523" s="8" t="b">
        <v>0</v>
      </c>
      <c r="T523" s="8" t="b">
        <v>0</v>
      </c>
      <c r="U523" s="8" t="b">
        <v>1</v>
      </c>
      <c r="V523" s="8" t="b">
        <v>0</v>
      </c>
      <c r="X523" s="8" t="b">
        <v>0</v>
      </c>
      <c r="Y523" s="8" t="b">
        <v>0</v>
      </c>
      <c r="Z523" s="8" t="b">
        <v>0</v>
      </c>
      <c r="AA523" s="8" t="b">
        <v>0</v>
      </c>
      <c r="AB523" s="8" t="b">
        <v>1</v>
      </c>
      <c r="AC523" s="8" t="b">
        <v>0</v>
      </c>
      <c r="AD523" s="8" t="b">
        <v>0</v>
      </c>
      <c r="AE523" s="8" t="b">
        <v>1</v>
      </c>
      <c r="AG523" s="11" t="b" cm="1">
        <f t="array" ref="AG523">IF(OR(Y523:AA523="TRUE", AE523="true"), "Threatened")</f>
        <v>0</v>
      </c>
      <c r="AH523" s="11" t="s">
        <v>1588</v>
      </c>
      <c r="AI523" s="8" t="b">
        <v>1</v>
      </c>
    </row>
    <row r="524" spans="1:35" ht="31.2">
      <c r="A524" s="8">
        <v>-73.979310330000004</v>
      </c>
      <c r="B524" s="8">
        <v>40.767820149999999</v>
      </c>
      <c r="C524" s="8" t="s">
        <v>1589</v>
      </c>
      <c r="D524" s="8" t="s">
        <v>1301</v>
      </c>
      <c r="E524" s="8" t="b">
        <f t="shared" si="8"/>
        <v>0</v>
      </c>
      <c r="F524" s="8" t="str" cm="1">
        <f t="array" ref="F524">_xlfn._xlws.FILTER(E524:E3722, C524:C3722= "6D-PM-1020-01", "No Squirrels Found")</f>
        <v>No Squirrels Found</v>
      </c>
      <c r="G524" s="8" t="s">
        <v>34</v>
      </c>
      <c r="H524" s="10">
        <v>10132018</v>
      </c>
      <c r="I524" s="10">
        <v>6</v>
      </c>
      <c r="J524" s="8" t="s">
        <v>39</v>
      </c>
      <c r="K524" s="8" t="s">
        <v>40</v>
      </c>
      <c r="L524" s="8" t="s">
        <v>117</v>
      </c>
      <c r="M524" s="8" t="s">
        <v>118</v>
      </c>
      <c r="O524" s="8" t="s">
        <v>43</v>
      </c>
      <c r="P524" s="8" t="b">
        <v>0</v>
      </c>
      <c r="R524" s="8" t="b">
        <v>0</v>
      </c>
      <c r="S524" s="8" t="b">
        <v>0</v>
      </c>
      <c r="T524" s="8" t="b">
        <v>0</v>
      </c>
      <c r="U524" s="8" t="b">
        <v>0</v>
      </c>
      <c r="V524" s="8" t="b">
        <v>1</v>
      </c>
      <c r="X524" s="8" t="b">
        <v>0</v>
      </c>
      <c r="Y524" s="8" t="b">
        <v>0</v>
      </c>
      <c r="Z524" s="8" t="b">
        <v>0</v>
      </c>
      <c r="AA524" s="8" t="b">
        <v>0</v>
      </c>
      <c r="AB524" s="8" t="b">
        <v>0</v>
      </c>
      <c r="AC524" s="8" t="b">
        <v>0</v>
      </c>
      <c r="AD524" s="8" t="b">
        <v>0</v>
      </c>
      <c r="AE524" s="8" t="b">
        <v>0</v>
      </c>
      <c r="AG524" s="11" t="b" cm="1">
        <f t="array" ref="AG524">IF(OR(Y524:AA524="TRUE", AE524="true"), "Threatened")</f>
        <v>0</v>
      </c>
      <c r="AH524" s="11" t="s">
        <v>1590</v>
      </c>
      <c r="AI524" s="8" t="b">
        <v>1</v>
      </c>
    </row>
    <row r="525" spans="1:35" ht="31.2">
      <c r="A525" s="8">
        <v>-73.97017314</v>
      </c>
      <c r="B525" s="8">
        <v>40.776234989999999</v>
      </c>
      <c r="C525" s="8" t="s">
        <v>1591</v>
      </c>
      <c r="D525" s="8" t="s">
        <v>121</v>
      </c>
      <c r="E525" s="8" t="b">
        <f t="shared" si="8"/>
        <v>0</v>
      </c>
      <c r="F525" s="8" t="str" cm="1">
        <f t="array" ref="F525">_xlfn._xlws.FILTER(E525:E3723, C525:C3723= "6D-PM-1020-01", "No Squirrels Found")</f>
        <v>No Squirrels Found</v>
      </c>
      <c r="G525" s="8" t="s">
        <v>48</v>
      </c>
      <c r="H525" s="10">
        <v>10082018</v>
      </c>
      <c r="I525" s="10">
        <v>19</v>
      </c>
      <c r="J525" s="8" t="s">
        <v>39</v>
      </c>
      <c r="K525" s="8" t="s">
        <v>40</v>
      </c>
      <c r="M525" s="8" t="s">
        <v>55</v>
      </c>
      <c r="O525" s="8" t="s">
        <v>43</v>
      </c>
      <c r="P525" s="8" t="b">
        <v>0</v>
      </c>
      <c r="R525" s="8" t="b">
        <v>0</v>
      </c>
      <c r="S525" s="8" t="b">
        <v>0</v>
      </c>
      <c r="T525" s="8" t="b">
        <v>0</v>
      </c>
      <c r="U525" s="8" t="b">
        <v>1</v>
      </c>
      <c r="V525" s="8" t="b">
        <v>0</v>
      </c>
      <c r="X525" s="8" t="b">
        <v>0</v>
      </c>
      <c r="Y525" s="8" t="b">
        <v>0</v>
      </c>
      <c r="Z525" s="8" t="b">
        <v>0</v>
      </c>
      <c r="AA525" s="8" t="b">
        <v>0</v>
      </c>
      <c r="AB525" s="8" t="b">
        <v>0</v>
      </c>
      <c r="AC525" s="8" t="b">
        <v>0</v>
      </c>
      <c r="AD525" s="8" t="b">
        <v>1</v>
      </c>
      <c r="AE525" s="8" t="b">
        <v>0</v>
      </c>
      <c r="AG525" s="11" t="b" cm="1">
        <f t="array" ref="AG525">IF(OR(Y525:AA525="TRUE", AE525="true"), "Threatened")</f>
        <v>0</v>
      </c>
      <c r="AH525" s="11" t="s">
        <v>1592</v>
      </c>
      <c r="AI525" s="8" t="b">
        <v>1</v>
      </c>
    </row>
    <row r="526" spans="1:35" ht="31.2">
      <c r="A526" s="8">
        <v>-73.952526160000005</v>
      </c>
      <c r="B526" s="8">
        <v>40.796375920000003</v>
      </c>
      <c r="C526" s="8" t="s">
        <v>1593</v>
      </c>
      <c r="D526" s="8" t="s">
        <v>1292</v>
      </c>
      <c r="E526" s="8" t="b">
        <f t="shared" si="8"/>
        <v>0</v>
      </c>
      <c r="F526" s="8" t="str" cm="1">
        <f t="array" ref="F526">_xlfn._xlws.FILTER(E526:E3724, C526:C3724= "6D-PM-1020-01", "No Squirrels Found")</f>
        <v>No Squirrels Found</v>
      </c>
      <c r="G526" s="8" t="s">
        <v>48</v>
      </c>
      <c r="H526" s="10">
        <v>10072018</v>
      </c>
      <c r="I526" s="10">
        <v>2</v>
      </c>
      <c r="J526" s="8" t="s">
        <v>54</v>
      </c>
      <c r="K526" s="8" t="s">
        <v>41</v>
      </c>
      <c r="L526" s="8" t="s">
        <v>40</v>
      </c>
      <c r="M526" s="8" t="s">
        <v>110</v>
      </c>
      <c r="O526" s="8" t="s">
        <v>50</v>
      </c>
      <c r="P526" s="8">
        <v>18</v>
      </c>
      <c r="R526" s="8" t="b">
        <v>1</v>
      </c>
      <c r="S526" s="8" t="b">
        <v>0</v>
      </c>
      <c r="T526" s="8" t="b">
        <v>1</v>
      </c>
      <c r="U526" s="8" t="b">
        <v>0</v>
      </c>
      <c r="V526" s="8" t="b">
        <v>0</v>
      </c>
      <c r="X526" s="8" t="b">
        <v>0</v>
      </c>
      <c r="Y526" s="8" t="b">
        <v>0</v>
      </c>
      <c r="Z526" s="8" t="b">
        <v>0</v>
      </c>
      <c r="AA526" s="8" t="b">
        <v>0</v>
      </c>
      <c r="AB526" s="8" t="b">
        <v>0</v>
      </c>
      <c r="AC526" s="8" t="b">
        <v>0</v>
      </c>
      <c r="AD526" s="8" t="b">
        <v>1</v>
      </c>
      <c r="AE526" s="8" t="b">
        <v>0</v>
      </c>
      <c r="AG526" s="11" t="b" cm="1">
        <f t="array" ref="AG526">IF(OR(Y526:AA526="TRUE", AE526="true"), "Threatened")</f>
        <v>0</v>
      </c>
      <c r="AH526" s="11" t="s">
        <v>1594</v>
      </c>
      <c r="AI526" s="8" t="b">
        <v>1</v>
      </c>
    </row>
    <row r="527" spans="1:35" ht="31.2">
      <c r="A527" s="8">
        <v>-73.968083370000002</v>
      </c>
      <c r="B527" s="8">
        <v>40.774187099999999</v>
      </c>
      <c r="C527" s="8" t="s">
        <v>1595</v>
      </c>
      <c r="D527" s="8" t="s">
        <v>1391</v>
      </c>
      <c r="E527" s="8" t="b">
        <f t="shared" si="8"/>
        <v>0</v>
      </c>
      <c r="F527" s="8" t="str" cm="1">
        <f t="array" ref="F527">_xlfn._xlws.FILTER(E527:E3725, C527:C3725= "6D-PM-1020-01", "No Squirrels Found")</f>
        <v>No Squirrels Found</v>
      </c>
      <c r="G527" s="8" t="s">
        <v>34</v>
      </c>
      <c r="H527" s="10">
        <v>10072018</v>
      </c>
      <c r="I527" s="10">
        <v>8</v>
      </c>
      <c r="M527" s="8" t="s">
        <v>35</v>
      </c>
      <c r="O527" s="8" t="s">
        <v>50</v>
      </c>
      <c r="P527" s="8">
        <v>7</v>
      </c>
      <c r="Q527" s="8" t="s">
        <v>466</v>
      </c>
      <c r="R527" s="8" t="b">
        <v>0</v>
      </c>
      <c r="S527" s="8" t="b">
        <v>0</v>
      </c>
      <c r="T527" s="8" t="b">
        <v>0</v>
      </c>
      <c r="U527" s="8" t="b">
        <v>0</v>
      </c>
      <c r="V527" s="8" t="b">
        <v>0</v>
      </c>
      <c r="X527" s="8" t="b">
        <v>0</v>
      </c>
      <c r="Y527" s="8" t="b">
        <v>0</v>
      </c>
      <c r="Z527" s="8" t="b">
        <v>0</v>
      </c>
      <c r="AA527" s="8" t="b">
        <v>0</v>
      </c>
      <c r="AB527" s="8" t="b">
        <v>0</v>
      </c>
      <c r="AC527" s="8" t="b">
        <v>0</v>
      </c>
      <c r="AD527" s="8" t="b">
        <v>0</v>
      </c>
      <c r="AE527" s="8" t="b">
        <v>1</v>
      </c>
      <c r="AG527" s="11" t="b" cm="1">
        <f t="array" ref="AG527">IF(OR(Y527:AA527="TRUE", AE527="true"), "Threatened")</f>
        <v>0</v>
      </c>
      <c r="AH527" s="11" t="s">
        <v>1596</v>
      </c>
      <c r="AI527" s="8" t="b">
        <v>1</v>
      </c>
    </row>
    <row r="528" spans="1:35" ht="31.2">
      <c r="A528" s="8">
        <v>-73.963264600000002</v>
      </c>
      <c r="B528" s="8">
        <v>40.781740130000003</v>
      </c>
      <c r="C528" s="8" t="s">
        <v>1597</v>
      </c>
      <c r="D528" s="8" t="s">
        <v>1287</v>
      </c>
      <c r="E528" s="8" t="b">
        <f t="shared" si="8"/>
        <v>0</v>
      </c>
      <c r="F528" s="8" t="str" cm="1">
        <f t="array" ref="F528">_xlfn._xlws.FILTER(E528:E3726, C528:C3726= "6D-PM-1020-01", "No Squirrels Found")</f>
        <v>No Squirrels Found</v>
      </c>
      <c r="G528" s="8" t="s">
        <v>48</v>
      </c>
      <c r="H528" s="10">
        <v>10182018</v>
      </c>
      <c r="I528" s="10">
        <v>5</v>
      </c>
      <c r="J528" s="8" t="s">
        <v>39</v>
      </c>
      <c r="K528" s="8" t="s">
        <v>40</v>
      </c>
      <c r="L528" s="8" t="s">
        <v>41</v>
      </c>
      <c r="M528" s="8" t="s">
        <v>42</v>
      </c>
      <c r="O528" s="8" t="s">
        <v>43</v>
      </c>
      <c r="P528" s="8" t="b">
        <v>0</v>
      </c>
      <c r="R528" s="8" t="b">
        <v>0</v>
      </c>
      <c r="S528" s="8" t="b">
        <v>0</v>
      </c>
      <c r="T528" s="8" t="b">
        <v>0</v>
      </c>
      <c r="U528" s="8" t="b">
        <v>0</v>
      </c>
      <c r="V528" s="8" t="b">
        <v>1</v>
      </c>
      <c r="X528" s="8" t="b">
        <v>0</v>
      </c>
      <c r="Y528" s="8" t="b">
        <v>0</v>
      </c>
      <c r="Z528" s="8" t="b">
        <v>0</v>
      </c>
      <c r="AA528" s="8" t="b">
        <v>0</v>
      </c>
      <c r="AB528" s="8" t="b">
        <v>0</v>
      </c>
      <c r="AC528" s="8" t="b">
        <v>0</v>
      </c>
      <c r="AD528" s="8" t="b">
        <v>1</v>
      </c>
      <c r="AE528" s="8" t="b">
        <v>0</v>
      </c>
      <c r="AG528" s="11" t="b" cm="1">
        <f t="array" ref="AG528">IF(OR(Y528:AA528="TRUE", AE528="true"), "Threatened")</f>
        <v>0</v>
      </c>
      <c r="AH528" s="11" t="s">
        <v>1598</v>
      </c>
      <c r="AI528" s="8" t="b">
        <v>1</v>
      </c>
    </row>
    <row r="529" spans="1:35" ht="31.2">
      <c r="A529" s="8">
        <v>-73.96472842</v>
      </c>
      <c r="B529" s="8">
        <v>40.783961179999999</v>
      </c>
      <c r="C529" s="8" t="s">
        <v>1599</v>
      </c>
      <c r="D529" s="8" t="s">
        <v>1600</v>
      </c>
      <c r="E529" s="8" t="b">
        <f t="shared" si="8"/>
        <v>0</v>
      </c>
      <c r="F529" s="8" t="str" cm="1">
        <f t="array" ref="F529">_xlfn._xlws.FILTER(E529:E3727, C529:C3727= "6D-PM-1020-01", "No Squirrels Found")</f>
        <v>No Squirrels Found</v>
      </c>
      <c r="G529" s="8" t="s">
        <v>34</v>
      </c>
      <c r="H529" s="10">
        <v>10062018</v>
      </c>
      <c r="I529" s="10">
        <v>1</v>
      </c>
      <c r="J529" s="8" t="s">
        <v>39</v>
      </c>
      <c r="K529" s="8" t="s">
        <v>40</v>
      </c>
      <c r="L529" s="8" t="s">
        <v>41</v>
      </c>
      <c r="M529" s="8" t="s">
        <v>42</v>
      </c>
      <c r="O529" s="8" t="s">
        <v>50</v>
      </c>
      <c r="Q529" s="8" t="s">
        <v>1075</v>
      </c>
      <c r="R529" s="8" t="b">
        <v>1</v>
      </c>
      <c r="S529" s="8" t="b">
        <v>0</v>
      </c>
      <c r="T529" s="8" t="b">
        <v>0</v>
      </c>
      <c r="U529" s="8" t="b">
        <v>0</v>
      </c>
      <c r="V529" s="8" t="b">
        <v>0</v>
      </c>
      <c r="X529" s="8" t="b">
        <v>0</v>
      </c>
      <c r="Y529" s="8" t="b">
        <v>0</v>
      </c>
      <c r="Z529" s="8" t="b">
        <v>0</v>
      </c>
      <c r="AA529" s="8" t="b">
        <v>0</v>
      </c>
      <c r="AB529" s="8" t="b">
        <v>0</v>
      </c>
      <c r="AC529" s="8" t="b">
        <v>0</v>
      </c>
      <c r="AD529" s="8" t="b">
        <v>0</v>
      </c>
      <c r="AE529" s="8" t="b">
        <v>1</v>
      </c>
      <c r="AG529" s="11" t="b" cm="1">
        <f t="array" ref="AG529">IF(OR(Y529:AA529="TRUE", AE529="true"), "Threatened")</f>
        <v>0</v>
      </c>
      <c r="AH529" s="11" t="s">
        <v>1601</v>
      </c>
      <c r="AI529" s="8" t="b">
        <v>1</v>
      </c>
    </row>
    <row r="530" spans="1:35" ht="31.2">
      <c r="A530" s="8">
        <v>-73.963529080000001</v>
      </c>
      <c r="B530" s="8">
        <v>40.782093660000001</v>
      </c>
      <c r="C530" s="8" t="s">
        <v>1602</v>
      </c>
      <c r="D530" s="8" t="s">
        <v>1287</v>
      </c>
      <c r="E530" s="8" t="b">
        <f t="shared" si="8"/>
        <v>0</v>
      </c>
      <c r="F530" s="8" t="str" cm="1">
        <f t="array" ref="F530">_xlfn._xlws.FILTER(E530:E3728, C530:C3728= "6D-PM-1020-01", "No Squirrels Found")</f>
        <v>No Squirrels Found</v>
      </c>
      <c r="G530" s="8" t="s">
        <v>48</v>
      </c>
      <c r="H530" s="10">
        <v>10182018</v>
      </c>
      <c r="I530" s="10">
        <v>2</v>
      </c>
      <c r="J530" s="8" t="s">
        <v>39</v>
      </c>
      <c r="K530" s="8" t="s">
        <v>40</v>
      </c>
      <c r="M530" s="8" t="s">
        <v>55</v>
      </c>
      <c r="O530" s="8" t="s">
        <v>43</v>
      </c>
      <c r="P530" s="8" t="b">
        <v>0</v>
      </c>
      <c r="R530" s="8" t="b">
        <v>1</v>
      </c>
      <c r="S530" s="8" t="b">
        <v>0</v>
      </c>
      <c r="T530" s="8" t="b">
        <v>1</v>
      </c>
      <c r="U530" s="8" t="b">
        <v>0</v>
      </c>
      <c r="V530" s="8" t="b">
        <v>0</v>
      </c>
      <c r="X530" s="8" t="b">
        <v>1</v>
      </c>
      <c r="Y530" s="8" t="b">
        <v>0</v>
      </c>
      <c r="Z530" s="8" t="b">
        <v>0</v>
      </c>
      <c r="AA530" s="8" t="b">
        <v>0</v>
      </c>
      <c r="AB530" s="8" t="b">
        <v>0</v>
      </c>
      <c r="AC530" s="8" t="b">
        <v>0</v>
      </c>
      <c r="AD530" s="8" t="b">
        <v>0</v>
      </c>
      <c r="AE530" s="8" t="b">
        <v>1</v>
      </c>
      <c r="AG530" s="11" t="b" cm="1">
        <f t="array" ref="AG530">IF(OR(Y530:AA530="TRUE", AE530="true"), "Threatened")</f>
        <v>0</v>
      </c>
      <c r="AH530" s="11" t="s">
        <v>1603</v>
      </c>
      <c r="AI530" s="8" t="b">
        <v>1</v>
      </c>
    </row>
    <row r="531" spans="1:35" ht="31.2">
      <c r="A531" s="8">
        <v>-73.969636080000001</v>
      </c>
      <c r="B531" s="8">
        <v>40.77865457</v>
      </c>
      <c r="C531" s="8" t="s">
        <v>1604</v>
      </c>
      <c r="D531" s="8" t="s">
        <v>721</v>
      </c>
      <c r="E531" s="8" t="b">
        <f t="shared" si="8"/>
        <v>0</v>
      </c>
      <c r="F531" s="8" t="str" cm="1">
        <f t="array" ref="F531">_xlfn._xlws.FILTER(E531:E3729, C531:C3729= "6D-PM-1020-01", "No Squirrels Found")</f>
        <v>No Squirrels Found</v>
      </c>
      <c r="G531" s="8" t="s">
        <v>34</v>
      </c>
      <c r="H531" s="10">
        <v>10102018</v>
      </c>
      <c r="I531" s="10">
        <v>3</v>
      </c>
      <c r="J531" s="8" t="s">
        <v>39</v>
      </c>
      <c r="K531" s="8" t="s">
        <v>40</v>
      </c>
      <c r="M531" s="8" t="s">
        <v>55</v>
      </c>
      <c r="O531" s="8" t="s">
        <v>50</v>
      </c>
      <c r="P531" s="8">
        <v>18</v>
      </c>
      <c r="R531" s="8" t="b">
        <v>0</v>
      </c>
      <c r="S531" s="8" t="b">
        <v>0</v>
      </c>
      <c r="T531" s="8" t="b">
        <v>1</v>
      </c>
      <c r="U531" s="8" t="b">
        <v>1</v>
      </c>
      <c r="V531" s="8" t="b">
        <v>0</v>
      </c>
      <c r="X531" s="8" t="b">
        <v>0</v>
      </c>
      <c r="Y531" s="8" t="b">
        <v>0</v>
      </c>
      <c r="Z531" s="8" t="b">
        <v>0</v>
      </c>
      <c r="AA531" s="8" t="b">
        <v>0</v>
      </c>
      <c r="AB531" s="8" t="b">
        <v>0</v>
      </c>
      <c r="AC531" s="8" t="b">
        <v>0</v>
      </c>
      <c r="AD531" s="8" t="b">
        <v>1</v>
      </c>
      <c r="AE531" s="8" t="b">
        <v>0</v>
      </c>
      <c r="AG531" s="11" t="b" cm="1">
        <f t="array" ref="AG531">IF(OR(Y531:AA531="TRUE", AE531="true"), "Threatened")</f>
        <v>0</v>
      </c>
      <c r="AH531" s="11" t="s">
        <v>1605</v>
      </c>
      <c r="AI531" s="8" t="b">
        <v>1</v>
      </c>
    </row>
    <row r="532" spans="1:35" ht="31.2">
      <c r="A532" s="8">
        <v>-73.970910439999997</v>
      </c>
      <c r="B532" s="8">
        <v>40.776909699999997</v>
      </c>
      <c r="C532" s="8" t="s">
        <v>1606</v>
      </c>
      <c r="D532" s="8" t="s">
        <v>741</v>
      </c>
      <c r="E532" s="8" t="b">
        <f t="shared" si="8"/>
        <v>0</v>
      </c>
      <c r="F532" s="8" t="str" cm="1">
        <f t="array" ref="F532">_xlfn._xlws.FILTER(E532:E3730, C532:C3730= "6D-PM-1020-01", "No Squirrels Found")</f>
        <v>No Squirrels Found</v>
      </c>
      <c r="G532" s="8" t="s">
        <v>48</v>
      </c>
      <c r="H532" s="10">
        <v>10142018</v>
      </c>
      <c r="I532" s="10">
        <v>16</v>
      </c>
      <c r="J532" s="8" t="s">
        <v>39</v>
      </c>
      <c r="K532" s="8" t="s">
        <v>40</v>
      </c>
      <c r="L532" s="8" t="s">
        <v>117</v>
      </c>
      <c r="M532" s="8" t="s">
        <v>118</v>
      </c>
      <c r="O532" s="8" t="s">
        <v>43</v>
      </c>
      <c r="P532" s="8" t="b">
        <v>0</v>
      </c>
      <c r="R532" s="8" t="b">
        <v>0</v>
      </c>
      <c r="S532" s="8" t="b">
        <v>0</v>
      </c>
      <c r="T532" s="8" t="b">
        <v>1</v>
      </c>
      <c r="U532" s="8" t="b">
        <v>0</v>
      </c>
      <c r="V532" s="8" t="b">
        <v>0</v>
      </c>
      <c r="X532" s="8" t="b">
        <v>0</v>
      </c>
      <c r="Y532" s="8" t="b">
        <v>0</v>
      </c>
      <c r="Z532" s="8" t="b">
        <v>0</v>
      </c>
      <c r="AA532" s="8" t="b">
        <v>0</v>
      </c>
      <c r="AB532" s="8" t="b">
        <v>0</v>
      </c>
      <c r="AC532" s="8" t="b">
        <v>0</v>
      </c>
      <c r="AD532" s="8" t="b">
        <v>1</v>
      </c>
      <c r="AE532" s="8" t="b">
        <v>0</v>
      </c>
      <c r="AG532" s="11" t="b" cm="1">
        <f t="array" ref="AG532">IF(OR(Y532:AA532="TRUE", AE532="true"), "Threatened")</f>
        <v>0</v>
      </c>
      <c r="AH532" s="11" t="s">
        <v>1607</v>
      </c>
      <c r="AI532" s="8" t="b">
        <v>1</v>
      </c>
    </row>
    <row r="533" spans="1:35" ht="31.2">
      <c r="A533" s="8">
        <v>-73.968542909999996</v>
      </c>
      <c r="B533" s="8">
        <v>40.772478700000001</v>
      </c>
      <c r="C533" s="8" t="s">
        <v>1608</v>
      </c>
      <c r="D533" s="8" t="s">
        <v>83</v>
      </c>
      <c r="E533" s="8" t="b">
        <f t="shared" si="8"/>
        <v>0</v>
      </c>
      <c r="F533" s="8" t="str" cm="1">
        <f t="array" ref="F533">_xlfn._xlws.FILTER(E533:E3731, C533:C3731= "6D-PM-1020-01", "No Squirrels Found")</f>
        <v>No Squirrels Found</v>
      </c>
      <c r="G533" s="8" t="s">
        <v>48</v>
      </c>
      <c r="H533" s="10">
        <v>10102018</v>
      </c>
      <c r="I533" s="10">
        <v>5</v>
      </c>
      <c r="J533" s="8" t="s">
        <v>39</v>
      </c>
      <c r="K533" s="8" t="s">
        <v>40</v>
      </c>
      <c r="L533" s="8" t="s">
        <v>84</v>
      </c>
      <c r="M533" s="8" t="s">
        <v>103</v>
      </c>
      <c r="O533" s="8" t="s">
        <v>43</v>
      </c>
      <c r="P533" s="8" t="b">
        <v>0</v>
      </c>
      <c r="R533" s="8" t="b">
        <v>0</v>
      </c>
      <c r="S533" s="8" t="b">
        <v>1</v>
      </c>
      <c r="T533" s="8" t="b">
        <v>0</v>
      </c>
      <c r="U533" s="8" t="b">
        <v>0</v>
      </c>
      <c r="V533" s="8" t="b">
        <v>0</v>
      </c>
      <c r="X533" s="8" t="b">
        <v>0</v>
      </c>
      <c r="Y533" s="8" t="b">
        <v>0</v>
      </c>
      <c r="Z533" s="8" t="b">
        <v>0</v>
      </c>
      <c r="AA533" s="8" t="b">
        <v>0</v>
      </c>
      <c r="AB533" s="8" t="b">
        <v>0</v>
      </c>
      <c r="AC533" s="8" t="b">
        <v>0</v>
      </c>
      <c r="AD533" s="8" t="b">
        <v>1</v>
      </c>
      <c r="AE533" s="8" t="b">
        <v>0</v>
      </c>
      <c r="AG533" s="11" t="b" cm="1">
        <f t="array" ref="AG533">IF(OR(Y533:AA533="TRUE", AE533="true"), "Threatened")</f>
        <v>0</v>
      </c>
      <c r="AH533" s="11" t="s">
        <v>1609</v>
      </c>
      <c r="AI533" s="8" t="b">
        <v>1</v>
      </c>
    </row>
    <row r="534" spans="1:35" ht="31.2">
      <c r="A534" s="8">
        <v>-73.965258469999995</v>
      </c>
      <c r="B534" s="8">
        <v>40.780301110000003</v>
      </c>
      <c r="C534" s="8" t="s">
        <v>1610</v>
      </c>
      <c r="D534" s="8" t="s">
        <v>1035</v>
      </c>
      <c r="E534" s="8" t="b">
        <f t="shared" si="8"/>
        <v>0</v>
      </c>
      <c r="F534" s="8" t="str" cm="1">
        <f t="array" ref="F534">_xlfn._xlws.FILTER(E534:E3732, C534:C3732= "6D-PM-1020-01", "No Squirrels Found")</f>
        <v>No Squirrels Found</v>
      </c>
      <c r="G534" s="8" t="s">
        <v>34</v>
      </c>
      <c r="H534" s="10">
        <v>10172018</v>
      </c>
      <c r="I534" s="10">
        <v>4</v>
      </c>
      <c r="J534" s="8" t="s">
        <v>39</v>
      </c>
      <c r="K534" s="8" t="s">
        <v>40</v>
      </c>
      <c r="L534" s="8" t="s">
        <v>41</v>
      </c>
      <c r="M534" s="8" t="s">
        <v>42</v>
      </c>
      <c r="O534" s="8" t="s">
        <v>43</v>
      </c>
      <c r="P534" s="8" t="b">
        <v>0</v>
      </c>
      <c r="R534" s="8" t="b">
        <v>0</v>
      </c>
      <c r="S534" s="8" t="b">
        <v>1</v>
      </c>
      <c r="T534" s="8" t="b">
        <v>1</v>
      </c>
      <c r="U534" s="8" t="b">
        <v>0</v>
      </c>
      <c r="V534" s="8" t="b">
        <v>0</v>
      </c>
      <c r="X534" s="8" t="b">
        <v>0</v>
      </c>
      <c r="Y534" s="8" t="b">
        <v>0</v>
      </c>
      <c r="Z534" s="8" t="b">
        <v>0</v>
      </c>
      <c r="AA534" s="8" t="b">
        <v>0</v>
      </c>
      <c r="AB534" s="8" t="b">
        <v>1</v>
      </c>
      <c r="AC534" s="8" t="b">
        <v>0</v>
      </c>
      <c r="AD534" s="8" t="b">
        <v>0</v>
      </c>
      <c r="AE534" s="8" t="b">
        <v>1</v>
      </c>
      <c r="AG534" s="11" t="b" cm="1">
        <f t="array" ref="AG534">IF(OR(Y534:AA534="TRUE", AE534="true"), "Threatened")</f>
        <v>0</v>
      </c>
      <c r="AH534" s="11" t="s">
        <v>1611</v>
      </c>
      <c r="AI534" s="8" t="b">
        <v>1</v>
      </c>
    </row>
    <row r="535" spans="1:35" ht="31.2">
      <c r="A535" s="8">
        <v>-73.965049949999994</v>
      </c>
      <c r="B535" s="8">
        <v>40.79081918</v>
      </c>
      <c r="C535" s="8" t="s">
        <v>1612</v>
      </c>
      <c r="D535" s="8" t="s">
        <v>1613</v>
      </c>
      <c r="E535" s="8" t="b">
        <f t="shared" si="8"/>
        <v>0</v>
      </c>
      <c r="F535" s="8" t="str" cm="1">
        <f t="array" ref="F535">_xlfn._xlws.FILTER(E535:E3733, C535:C3733= "6D-PM-1020-01", "No Squirrels Found")</f>
        <v>No Squirrels Found</v>
      </c>
      <c r="G535" s="8" t="s">
        <v>48</v>
      </c>
      <c r="H535" s="10">
        <v>10102018</v>
      </c>
      <c r="I535" s="10">
        <v>1</v>
      </c>
      <c r="J535" s="8" t="s">
        <v>39</v>
      </c>
      <c r="K535" s="8" t="s">
        <v>41</v>
      </c>
      <c r="L535" s="8" t="s">
        <v>40</v>
      </c>
      <c r="M535" s="8" t="s">
        <v>110</v>
      </c>
      <c r="O535" s="8" t="s">
        <v>50</v>
      </c>
      <c r="P535" s="8">
        <v>10</v>
      </c>
      <c r="R535" s="8" t="b">
        <v>1</v>
      </c>
      <c r="S535" s="8" t="b">
        <v>0</v>
      </c>
      <c r="T535" s="8" t="b">
        <v>1</v>
      </c>
      <c r="U535" s="8" t="b">
        <v>0</v>
      </c>
      <c r="V535" s="8" t="b">
        <v>0</v>
      </c>
      <c r="X535" s="8" t="b">
        <v>0</v>
      </c>
      <c r="Y535" s="8" t="b">
        <v>0</v>
      </c>
      <c r="Z535" s="8" t="b">
        <v>0</v>
      </c>
      <c r="AA535" s="8" t="b">
        <v>0</v>
      </c>
      <c r="AB535" s="8" t="b">
        <v>1</v>
      </c>
      <c r="AC535" s="8" t="b">
        <v>0</v>
      </c>
      <c r="AD535" s="8" t="b">
        <v>0</v>
      </c>
      <c r="AE535" s="8" t="b">
        <v>1</v>
      </c>
      <c r="AG535" s="11" t="b" cm="1">
        <f t="array" ref="AG535">IF(OR(Y535:AA535="TRUE", AE535="true"), "Threatened")</f>
        <v>0</v>
      </c>
      <c r="AH535" s="11" t="s">
        <v>1614</v>
      </c>
      <c r="AI535" s="8" t="b">
        <v>1</v>
      </c>
    </row>
    <row r="536" spans="1:35" ht="31.2">
      <c r="A536" s="8">
        <v>-73.977239670000003</v>
      </c>
      <c r="B536" s="8">
        <v>40.766869640000003</v>
      </c>
      <c r="C536" s="8" t="s">
        <v>1615</v>
      </c>
      <c r="D536" s="8" t="s">
        <v>47</v>
      </c>
      <c r="E536" s="8" t="b">
        <f t="shared" si="8"/>
        <v>0</v>
      </c>
      <c r="F536" s="8" t="str" cm="1">
        <f t="array" ref="F536">_xlfn._xlws.FILTER(E536:E3734, C536:C3734= "6D-PM-1020-01", "No Squirrels Found")</f>
        <v>No Squirrels Found</v>
      </c>
      <c r="G536" s="8" t="s">
        <v>48</v>
      </c>
      <c r="H536" s="10">
        <v>10102018</v>
      </c>
      <c r="I536" s="10">
        <v>2</v>
      </c>
      <c r="J536" s="8" t="s">
        <v>39</v>
      </c>
      <c r="K536" s="8" t="s">
        <v>40</v>
      </c>
      <c r="M536" s="8" t="s">
        <v>55</v>
      </c>
      <c r="O536" s="8" t="s">
        <v>43</v>
      </c>
      <c r="P536" s="8" t="b">
        <v>0</v>
      </c>
      <c r="R536" s="8" t="b">
        <v>1</v>
      </c>
      <c r="S536" s="8" t="b">
        <v>0</v>
      </c>
      <c r="T536" s="8" t="b">
        <v>0</v>
      </c>
      <c r="U536" s="8" t="b">
        <v>1</v>
      </c>
      <c r="V536" s="8" t="b">
        <v>0</v>
      </c>
      <c r="X536" s="8" t="b">
        <v>0</v>
      </c>
      <c r="Y536" s="8" t="b">
        <v>0</v>
      </c>
      <c r="Z536" s="8" t="b">
        <v>0</v>
      </c>
      <c r="AA536" s="8" t="b">
        <v>0</v>
      </c>
      <c r="AB536" s="8" t="b">
        <v>0</v>
      </c>
      <c r="AC536" s="8" t="b">
        <v>0</v>
      </c>
      <c r="AD536" s="8" t="b">
        <v>1</v>
      </c>
      <c r="AE536" s="8" t="b">
        <v>0</v>
      </c>
      <c r="AF536" s="11" t="s">
        <v>1616</v>
      </c>
      <c r="AG536" s="11" t="b" cm="1">
        <f t="array" ref="AG536">IF(OR(Y536:AA536="TRUE", AE536="true"), "Threatened")</f>
        <v>0</v>
      </c>
      <c r="AH536" s="11" t="s">
        <v>1617</v>
      </c>
      <c r="AI536" s="8" t="b">
        <v>1</v>
      </c>
    </row>
    <row r="537" spans="1:35" ht="31.2">
      <c r="A537" s="8">
        <v>-73.956114170000006</v>
      </c>
      <c r="B537" s="8">
        <v>40.797625850000003</v>
      </c>
      <c r="C537" s="8" t="s">
        <v>1618</v>
      </c>
      <c r="D537" s="8" t="s">
        <v>439</v>
      </c>
      <c r="E537" s="8" t="b">
        <f t="shared" si="8"/>
        <v>0</v>
      </c>
      <c r="F537" s="8" t="str" cm="1">
        <f t="array" ref="F537">_xlfn._xlws.FILTER(E537:E3735, C537:C3735= "6D-PM-1020-01", "No Squirrels Found")</f>
        <v>No Squirrels Found</v>
      </c>
      <c r="G537" s="8" t="s">
        <v>34</v>
      </c>
      <c r="H537" s="10">
        <v>10132018</v>
      </c>
      <c r="I537" s="10">
        <v>5</v>
      </c>
      <c r="J537" s="8" t="s">
        <v>39</v>
      </c>
      <c r="K537" s="8" t="s">
        <v>40</v>
      </c>
      <c r="L537" s="8" t="s">
        <v>41</v>
      </c>
      <c r="M537" s="8" t="s">
        <v>42</v>
      </c>
      <c r="O537" s="8" t="s">
        <v>43</v>
      </c>
      <c r="P537" s="8" t="b">
        <v>0</v>
      </c>
      <c r="R537" s="8" t="b">
        <v>1</v>
      </c>
      <c r="S537" s="8" t="b">
        <v>0</v>
      </c>
      <c r="T537" s="8" t="b">
        <v>0</v>
      </c>
      <c r="U537" s="8" t="b">
        <v>0</v>
      </c>
      <c r="V537" s="8" t="b">
        <v>0</v>
      </c>
      <c r="X537" s="8" t="b">
        <v>0</v>
      </c>
      <c r="Y537" s="8" t="b">
        <v>0</v>
      </c>
      <c r="Z537" s="8" t="b">
        <v>0</v>
      </c>
      <c r="AA537" s="8" t="b">
        <v>0</v>
      </c>
      <c r="AB537" s="8" t="b">
        <v>0</v>
      </c>
      <c r="AC537" s="8" t="b">
        <v>0</v>
      </c>
      <c r="AD537" s="8" t="b">
        <v>0</v>
      </c>
      <c r="AE537" s="8" t="b">
        <v>1</v>
      </c>
      <c r="AG537" s="11" t="b" cm="1">
        <f t="array" ref="AG537">IF(OR(Y537:AA537="TRUE", AE537="true"), "Threatened")</f>
        <v>0</v>
      </c>
      <c r="AH537" s="11" t="s">
        <v>1619</v>
      </c>
      <c r="AI537" s="8" t="b">
        <v>1</v>
      </c>
    </row>
    <row r="538" spans="1:35" ht="31.2">
      <c r="A538" s="8">
        <v>-73.968280320000005</v>
      </c>
      <c r="B538" s="8">
        <v>40.772451060000002</v>
      </c>
      <c r="C538" s="8" t="s">
        <v>1620</v>
      </c>
      <c r="D538" s="8" t="s">
        <v>83</v>
      </c>
      <c r="E538" s="8" t="b">
        <f t="shared" si="8"/>
        <v>0</v>
      </c>
      <c r="F538" s="8" t="str" cm="1">
        <f t="array" ref="F538">_xlfn._xlws.FILTER(E538:E3736, C538:C3736= "6D-PM-1020-01", "No Squirrels Found")</f>
        <v>No Squirrels Found</v>
      </c>
      <c r="G538" s="8" t="s">
        <v>48</v>
      </c>
      <c r="H538" s="10">
        <v>10102018</v>
      </c>
      <c r="I538" s="10">
        <v>4</v>
      </c>
      <c r="K538" s="8" t="s">
        <v>40</v>
      </c>
      <c r="L538" s="8" t="s">
        <v>84</v>
      </c>
      <c r="M538" s="8" t="s">
        <v>103</v>
      </c>
      <c r="R538" s="8" t="b">
        <v>0</v>
      </c>
      <c r="S538" s="8" t="b">
        <v>0</v>
      </c>
      <c r="T538" s="8" t="b">
        <v>0</v>
      </c>
      <c r="U538" s="8" t="b">
        <v>0</v>
      </c>
      <c r="V538" s="8" t="b">
        <v>1</v>
      </c>
      <c r="X538" s="8" t="b">
        <v>0</v>
      </c>
      <c r="Y538" s="8" t="b">
        <v>0</v>
      </c>
      <c r="Z538" s="8" t="b">
        <v>0</v>
      </c>
      <c r="AA538" s="8" t="b">
        <v>0</v>
      </c>
      <c r="AB538" s="8" t="b">
        <v>1</v>
      </c>
      <c r="AC538" s="8" t="b">
        <v>0</v>
      </c>
      <c r="AD538" s="8" t="b">
        <v>0</v>
      </c>
      <c r="AE538" s="8" t="b">
        <v>0</v>
      </c>
      <c r="AG538" s="11" t="b" cm="1">
        <f t="array" ref="AG538">IF(OR(Y538:AA538="TRUE", AE538="true"), "Threatened")</f>
        <v>0</v>
      </c>
      <c r="AH538" s="11" t="s">
        <v>1621</v>
      </c>
      <c r="AI538" s="8" t="b">
        <v>1</v>
      </c>
    </row>
    <row r="539" spans="1:35" ht="31.2">
      <c r="A539" s="8">
        <v>-73.955311379999998</v>
      </c>
      <c r="B539" s="8">
        <v>40.797843200000003</v>
      </c>
      <c r="C539" s="8" t="s">
        <v>1622</v>
      </c>
      <c r="D539" s="8" t="s">
        <v>353</v>
      </c>
      <c r="E539" s="8" t="b">
        <f t="shared" si="8"/>
        <v>0</v>
      </c>
      <c r="F539" s="8" t="str" cm="1">
        <f t="array" ref="F539">_xlfn._xlws.FILTER(E539:E3737, C539:C3737= "6D-PM-1020-01", "No Squirrels Found")</f>
        <v>No Squirrels Found</v>
      </c>
      <c r="G539" s="8" t="s">
        <v>48</v>
      </c>
      <c r="H539" s="10">
        <v>10142018</v>
      </c>
      <c r="I539" s="10">
        <v>5</v>
      </c>
      <c r="J539" s="8" t="s">
        <v>39</v>
      </c>
      <c r="K539" s="8" t="s">
        <v>40</v>
      </c>
      <c r="L539" s="8" t="s">
        <v>192</v>
      </c>
      <c r="M539" s="8" t="s">
        <v>354</v>
      </c>
      <c r="O539" s="8" t="s">
        <v>43</v>
      </c>
      <c r="P539" s="8" t="b">
        <v>0</v>
      </c>
      <c r="R539" s="8" t="b">
        <v>0</v>
      </c>
      <c r="S539" s="8" t="b">
        <v>0</v>
      </c>
      <c r="T539" s="8" t="b">
        <v>0</v>
      </c>
      <c r="U539" s="8" t="b">
        <v>0</v>
      </c>
      <c r="V539" s="8" t="b">
        <v>1</v>
      </c>
      <c r="X539" s="8" t="b">
        <v>0</v>
      </c>
      <c r="Y539" s="8" t="b">
        <v>0</v>
      </c>
      <c r="Z539" s="8" t="b">
        <v>0</v>
      </c>
      <c r="AA539" s="8" t="b">
        <v>0</v>
      </c>
      <c r="AB539" s="8" t="b">
        <v>0</v>
      </c>
      <c r="AC539" s="8" t="b">
        <v>0</v>
      </c>
      <c r="AD539" s="8" t="b">
        <v>1</v>
      </c>
      <c r="AE539" s="8" t="b">
        <v>0</v>
      </c>
      <c r="AG539" s="11" t="b" cm="1">
        <f t="array" ref="AG539">IF(OR(Y539:AA539="TRUE", AE539="true"), "Threatened")</f>
        <v>0</v>
      </c>
      <c r="AH539" s="11" t="s">
        <v>1623</v>
      </c>
      <c r="AI539" s="8" t="b">
        <v>1</v>
      </c>
    </row>
    <row r="540" spans="1:35" ht="31.2">
      <c r="A540" s="8">
        <v>-73.976144059999996</v>
      </c>
      <c r="B540" s="8">
        <v>40.770603530000002</v>
      </c>
      <c r="C540" s="8" t="s">
        <v>1624</v>
      </c>
      <c r="D540" s="8" t="s">
        <v>734</v>
      </c>
      <c r="E540" s="8" t="b">
        <f t="shared" si="8"/>
        <v>0</v>
      </c>
      <c r="F540" s="8" t="str" cm="1">
        <f t="array" ref="F540">_xlfn._xlws.FILTER(E540:E3738, C540:C3738= "6D-PM-1020-01", "No Squirrels Found")</f>
        <v>No Squirrels Found</v>
      </c>
      <c r="G540" s="8" t="s">
        <v>34</v>
      </c>
      <c r="H540" s="10">
        <v>10202018</v>
      </c>
      <c r="I540" s="10">
        <v>4</v>
      </c>
      <c r="K540" s="8" t="s">
        <v>40</v>
      </c>
      <c r="M540" s="8" t="s">
        <v>55</v>
      </c>
      <c r="O540" s="8" t="s">
        <v>50</v>
      </c>
      <c r="P540" s="8">
        <v>15</v>
      </c>
      <c r="R540" s="8" t="b">
        <v>0</v>
      </c>
      <c r="S540" s="8" t="b">
        <v>0</v>
      </c>
      <c r="T540" s="8" t="b">
        <v>1</v>
      </c>
      <c r="U540" s="8" t="b">
        <v>0</v>
      </c>
      <c r="V540" s="8" t="b">
        <v>0</v>
      </c>
      <c r="X540" s="8" t="b">
        <v>0</v>
      </c>
      <c r="Y540" s="8" t="b">
        <v>0</v>
      </c>
      <c r="Z540" s="8" t="b">
        <v>0</v>
      </c>
      <c r="AA540" s="8" t="b">
        <v>0</v>
      </c>
      <c r="AB540" s="8" t="b">
        <v>0</v>
      </c>
      <c r="AC540" s="8" t="b">
        <v>0</v>
      </c>
      <c r="AD540" s="8" t="b">
        <v>1</v>
      </c>
      <c r="AE540" s="8" t="b">
        <v>0</v>
      </c>
      <c r="AG540" s="11" t="b" cm="1">
        <f t="array" ref="AG540">IF(OR(Y540:AA540="TRUE", AE540="true"), "Threatened")</f>
        <v>0</v>
      </c>
      <c r="AH540" s="11" t="s">
        <v>1625</v>
      </c>
      <c r="AI540" s="8" t="b">
        <v>1</v>
      </c>
    </row>
    <row r="541" spans="1:35" ht="31.2">
      <c r="A541" s="8">
        <v>-73.974680219999996</v>
      </c>
      <c r="B541" s="8">
        <v>40.773134749999997</v>
      </c>
      <c r="C541" s="8" t="s">
        <v>1626</v>
      </c>
      <c r="D541" s="8" t="s">
        <v>1403</v>
      </c>
      <c r="E541" s="8" t="b">
        <f t="shared" si="8"/>
        <v>0</v>
      </c>
      <c r="F541" s="8" t="str" cm="1">
        <f t="array" ref="F541">_xlfn._xlws.FILTER(E541:E3739, C541:C3739= "6D-PM-1020-01", "No Squirrels Found")</f>
        <v>No Squirrels Found</v>
      </c>
      <c r="G541" s="8" t="s">
        <v>34</v>
      </c>
      <c r="H541" s="10">
        <v>10062018</v>
      </c>
      <c r="I541" s="10">
        <v>1</v>
      </c>
      <c r="J541" s="8" t="s">
        <v>39</v>
      </c>
      <c r="K541" s="8" t="s">
        <v>40</v>
      </c>
      <c r="L541" s="8" t="s">
        <v>117</v>
      </c>
      <c r="M541" s="8" t="s">
        <v>118</v>
      </c>
      <c r="O541" s="8" t="s">
        <v>43</v>
      </c>
      <c r="P541" s="8" t="b">
        <v>0</v>
      </c>
      <c r="R541" s="8" t="b">
        <v>0</v>
      </c>
      <c r="S541" s="8" t="b">
        <v>0</v>
      </c>
      <c r="T541" s="8" t="b">
        <v>0</v>
      </c>
      <c r="U541" s="8" t="b">
        <v>1</v>
      </c>
      <c r="V541" s="8" t="b">
        <v>1</v>
      </c>
      <c r="X541" s="8" t="b">
        <v>0</v>
      </c>
      <c r="Y541" s="8" t="b">
        <v>0</v>
      </c>
      <c r="Z541" s="8" t="b">
        <v>0</v>
      </c>
      <c r="AA541" s="8" t="b">
        <v>0</v>
      </c>
      <c r="AB541" s="8" t="b">
        <v>0</v>
      </c>
      <c r="AC541" s="8" t="b">
        <v>0</v>
      </c>
      <c r="AD541" s="8" t="b">
        <v>0</v>
      </c>
      <c r="AE541" s="8" t="b">
        <v>1</v>
      </c>
      <c r="AG541" s="11" t="b" cm="1">
        <f t="array" ref="AG541">IF(OR(Y541:AA541="TRUE", AE541="true"), "Threatened")</f>
        <v>0</v>
      </c>
      <c r="AH541" s="11" t="s">
        <v>1627</v>
      </c>
      <c r="AI541" s="8" t="b">
        <v>1</v>
      </c>
    </row>
    <row r="542" spans="1:35" ht="31.2">
      <c r="A542" s="8">
        <v>-73.961761240000001</v>
      </c>
      <c r="B542" s="8">
        <v>40.795287600000002</v>
      </c>
      <c r="C542" s="8" t="s">
        <v>1628</v>
      </c>
      <c r="D542" s="8" t="s">
        <v>301</v>
      </c>
      <c r="E542" s="8" t="b">
        <f t="shared" si="8"/>
        <v>0</v>
      </c>
      <c r="F542" s="8" t="str" cm="1">
        <f t="array" ref="F542">_xlfn._xlws.FILTER(E542:E3740, C542:C3740= "6D-PM-1020-01", "No Squirrels Found")</f>
        <v>No Squirrels Found</v>
      </c>
      <c r="G542" s="8" t="s">
        <v>48</v>
      </c>
      <c r="H542" s="10">
        <v>10142018</v>
      </c>
      <c r="I542" s="10">
        <v>4</v>
      </c>
      <c r="J542" s="8" t="s">
        <v>39</v>
      </c>
      <c r="K542" s="8" t="s">
        <v>40</v>
      </c>
      <c r="L542" s="8" t="s">
        <v>117</v>
      </c>
      <c r="M542" s="8" t="s">
        <v>118</v>
      </c>
      <c r="O542" s="8" t="s">
        <v>43</v>
      </c>
      <c r="P542" s="8" t="b">
        <v>0</v>
      </c>
      <c r="R542" s="8" t="b">
        <v>0</v>
      </c>
      <c r="S542" s="8" t="b">
        <v>0</v>
      </c>
      <c r="T542" s="8" t="b">
        <v>0</v>
      </c>
      <c r="U542" s="8" t="b">
        <v>0</v>
      </c>
      <c r="V542" s="8" t="b">
        <v>1</v>
      </c>
      <c r="X542" s="8" t="b">
        <v>0</v>
      </c>
      <c r="Y542" s="8" t="b">
        <v>0</v>
      </c>
      <c r="Z542" s="8" t="b">
        <v>0</v>
      </c>
      <c r="AA542" s="8" t="b">
        <v>0</v>
      </c>
      <c r="AB542" s="8" t="b">
        <v>0</v>
      </c>
      <c r="AC542" s="8" t="b">
        <v>0</v>
      </c>
      <c r="AD542" s="8" t="b">
        <v>1</v>
      </c>
      <c r="AE542" s="8" t="b">
        <v>0</v>
      </c>
      <c r="AG542" s="11" t="b" cm="1">
        <f t="array" ref="AG542">IF(OR(Y542:AA542="TRUE", AE542="true"), "Threatened")</f>
        <v>0</v>
      </c>
      <c r="AH542" s="11" t="s">
        <v>1629</v>
      </c>
      <c r="AI542" s="8" t="b">
        <v>1</v>
      </c>
    </row>
    <row r="543" spans="1:35" ht="31.2">
      <c r="A543" s="8">
        <v>-73.971348759999998</v>
      </c>
      <c r="B543" s="8">
        <v>40.778435299999998</v>
      </c>
      <c r="C543" s="8" t="s">
        <v>1630</v>
      </c>
      <c r="D543" s="8" t="s">
        <v>1631</v>
      </c>
      <c r="E543" s="8" t="b">
        <f t="shared" si="8"/>
        <v>0</v>
      </c>
      <c r="F543" s="8" t="str" cm="1">
        <f t="array" ref="F543">_xlfn._xlws.FILTER(E543:E3741, C543:C3741= "6D-PM-1020-01", "No Squirrels Found")</f>
        <v>No Squirrels Found</v>
      </c>
      <c r="G543" s="8" t="s">
        <v>34</v>
      </c>
      <c r="H543" s="10">
        <v>10172018</v>
      </c>
      <c r="I543" s="10">
        <v>3</v>
      </c>
      <c r="J543" s="8" t="s">
        <v>39</v>
      </c>
      <c r="K543" s="8" t="s">
        <v>192</v>
      </c>
      <c r="M543" s="8" t="s">
        <v>193</v>
      </c>
      <c r="O543" s="8" t="s">
        <v>50</v>
      </c>
      <c r="P543" s="8">
        <v>17</v>
      </c>
      <c r="Q543" s="8" t="s">
        <v>1632</v>
      </c>
      <c r="R543" s="8" t="b">
        <v>1</v>
      </c>
      <c r="S543" s="8" t="b">
        <v>0</v>
      </c>
      <c r="T543" s="8" t="b">
        <v>0</v>
      </c>
      <c r="U543" s="8" t="b">
        <v>0</v>
      </c>
      <c r="V543" s="8" t="b">
        <v>0</v>
      </c>
      <c r="X543" s="8" t="b">
        <v>0</v>
      </c>
      <c r="Y543" s="8" t="b">
        <v>0</v>
      </c>
      <c r="Z543" s="8" t="b">
        <v>0</v>
      </c>
      <c r="AA543" s="8" t="b">
        <v>0</v>
      </c>
      <c r="AB543" s="8" t="b">
        <v>0</v>
      </c>
      <c r="AC543" s="8" t="b">
        <v>0</v>
      </c>
      <c r="AD543" s="8" t="b">
        <v>1</v>
      </c>
      <c r="AE543" s="8" t="b">
        <v>0</v>
      </c>
      <c r="AG543" s="11" t="b" cm="1">
        <f t="array" ref="AG543">IF(OR(Y543:AA543="TRUE", AE543="true"), "Threatened")</f>
        <v>0</v>
      </c>
      <c r="AH543" s="11" t="s">
        <v>1633</v>
      </c>
      <c r="AI543" s="8" t="b">
        <v>1</v>
      </c>
    </row>
    <row r="544" spans="1:35" ht="31.2">
      <c r="A544" s="8">
        <v>-73.970131080000002</v>
      </c>
      <c r="B544" s="8">
        <v>40.776800100000003</v>
      </c>
      <c r="C544" s="8" t="s">
        <v>1634</v>
      </c>
      <c r="D544" s="8" t="s">
        <v>121</v>
      </c>
      <c r="E544" s="8" t="b">
        <f t="shared" si="8"/>
        <v>0</v>
      </c>
      <c r="F544" s="8" t="str" cm="1">
        <f t="array" ref="F544">_xlfn._xlws.FILTER(E544:E3742, C544:C3742= "6D-PM-1020-01", "No Squirrels Found")</f>
        <v>No Squirrels Found</v>
      </c>
      <c r="G544" s="8" t="s">
        <v>48</v>
      </c>
      <c r="H544" s="10">
        <v>10082018</v>
      </c>
      <c r="I544" s="10">
        <v>6</v>
      </c>
      <c r="J544" s="8" t="s">
        <v>39</v>
      </c>
      <c r="K544" s="8" t="s">
        <v>40</v>
      </c>
      <c r="M544" s="8" t="s">
        <v>55</v>
      </c>
      <c r="O544" s="8" t="s">
        <v>43</v>
      </c>
      <c r="P544" s="8" t="b">
        <v>0</v>
      </c>
      <c r="R544" s="8" t="b">
        <v>0</v>
      </c>
      <c r="S544" s="8" t="b">
        <v>0</v>
      </c>
      <c r="T544" s="8" t="b">
        <v>0</v>
      </c>
      <c r="U544" s="8" t="b">
        <v>0</v>
      </c>
      <c r="V544" s="8" t="b">
        <v>1</v>
      </c>
      <c r="X544" s="8" t="b">
        <v>0</v>
      </c>
      <c r="Y544" s="8" t="b">
        <v>0</v>
      </c>
      <c r="Z544" s="8" t="b">
        <v>0</v>
      </c>
      <c r="AA544" s="8" t="b">
        <v>0</v>
      </c>
      <c r="AB544" s="8" t="b">
        <v>0</v>
      </c>
      <c r="AC544" s="8" t="b">
        <v>0</v>
      </c>
      <c r="AD544" s="8" t="b">
        <v>1</v>
      </c>
      <c r="AE544" s="8" t="b">
        <v>0</v>
      </c>
      <c r="AG544" s="11" t="b" cm="1">
        <f t="array" ref="AG544">IF(OR(Y544:AA544="TRUE", AE544="true"), "Threatened")</f>
        <v>0</v>
      </c>
      <c r="AH544" s="11" t="s">
        <v>1635</v>
      </c>
      <c r="AI544" s="8" t="b">
        <v>1</v>
      </c>
    </row>
    <row r="545" spans="1:35" ht="31.2">
      <c r="A545" s="8">
        <v>-73.971847449999999</v>
      </c>
      <c r="B545" s="8">
        <v>40.779496340000001</v>
      </c>
      <c r="C545" s="8" t="s">
        <v>1636</v>
      </c>
      <c r="D545" s="8" t="s">
        <v>1637</v>
      </c>
      <c r="E545" s="8" t="b">
        <f t="shared" si="8"/>
        <v>0</v>
      </c>
      <c r="F545" s="8" t="str" cm="1">
        <f t="array" ref="F545">_xlfn._xlws.FILTER(E545:E3743, C545:C3743= "6D-PM-1020-01", "No Squirrels Found")</f>
        <v>No Squirrels Found</v>
      </c>
      <c r="G545" s="8" t="s">
        <v>48</v>
      </c>
      <c r="H545" s="10">
        <v>10142018</v>
      </c>
      <c r="I545" s="10">
        <v>1</v>
      </c>
      <c r="J545" s="8" t="s">
        <v>39</v>
      </c>
      <c r="K545" s="8" t="s">
        <v>40</v>
      </c>
      <c r="L545" s="8" t="s">
        <v>41</v>
      </c>
      <c r="M545" s="8" t="s">
        <v>42</v>
      </c>
      <c r="O545" s="8" t="s">
        <v>43</v>
      </c>
      <c r="P545" s="8" t="b">
        <v>0</v>
      </c>
      <c r="R545" s="8" t="b">
        <v>0</v>
      </c>
      <c r="S545" s="8" t="b">
        <v>0</v>
      </c>
      <c r="T545" s="8" t="b">
        <v>0</v>
      </c>
      <c r="U545" s="8" t="b">
        <v>0</v>
      </c>
      <c r="V545" s="8" t="b">
        <v>1</v>
      </c>
      <c r="X545" s="8" t="b">
        <v>0</v>
      </c>
      <c r="Y545" s="8" t="b">
        <v>0</v>
      </c>
      <c r="Z545" s="8" t="b">
        <v>0</v>
      </c>
      <c r="AA545" s="8" t="b">
        <v>0</v>
      </c>
      <c r="AB545" s="8" t="b">
        <v>0</v>
      </c>
      <c r="AC545" s="8" t="b">
        <v>0</v>
      </c>
      <c r="AD545" s="8" t="b">
        <v>0</v>
      </c>
      <c r="AE545" s="8" t="b">
        <v>1</v>
      </c>
      <c r="AG545" s="11" t="b" cm="1">
        <f t="array" ref="AG545">IF(OR(Y545:AA545="TRUE", AE545="true"), "Threatened")</f>
        <v>0</v>
      </c>
      <c r="AH545" s="11" t="s">
        <v>1638</v>
      </c>
      <c r="AI545" s="8" t="b">
        <v>1</v>
      </c>
    </row>
    <row r="546" spans="1:35" ht="31.2">
      <c r="A546" s="8">
        <v>-73.975681050000006</v>
      </c>
      <c r="B546" s="8">
        <v>40.775625750000003</v>
      </c>
      <c r="C546" s="8" t="s">
        <v>1639</v>
      </c>
      <c r="D546" s="8" t="s">
        <v>1640</v>
      </c>
      <c r="E546" s="8" t="b">
        <f t="shared" si="8"/>
        <v>0</v>
      </c>
      <c r="F546" s="8" t="str" cm="1">
        <f t="array" ref="F546">_xlfn._xlws.FILTER(E546:E3744, C546:C3744= "6D-PM-1020-01", "No Squirrels Found")</f>
        <v>No Squirrels Found</v>
      </c>
      <c r="G546" s="8" t="s">
        <v>34</v>
      </c>
      <c r="H546" s="10">
        <v>10132018</v>
      </c>
      <c r="I546" s="10">
        <v>1</v>
      </c>
      <c r="J546" s="8" t="s">
        <v>39</v>
      </c>
      <c r="K546" s="8" t="s">
        <v>41</v>
      </c>
      <c r="L546" s="8" t="s">
        <v>40</v>
      </c>
      <c r="M546" s="8" t="s">
        <v>110</v>
      </c>
      <c r="N546" s="11" t="s">
        <v>1641</v>
      </c>
      <c r="O546" s="8" t="s">
        <v>43</v>
      </c>
      <c r="P546" s="8" t="b">
        <v>0</v>
      </c>
      <c r="R546" s="8" t="b">
        <v>0</v>
      </c>
      <c r="S546" s="8" t="b">
        <v>0</v>
      </c>
      <c r="T546" s="8" t="b">
        <v>0</v>
      </c>
      <c r="U546" s="8" t="b">
        <v>1</v>
      </c>
      <c r="V546" s="8" t="b">
        <v>0</v>
      </c>
      <c r="W546" s="11" t="s">
        <v>1642</v>
      </c>
      <c r="X546" s="8" t="b">
        <v>0</v>
      </c>
      <c r="Y546" s="8" t="b">
        <v>0</v>
      </c>
      <c r="Z546" s="8" t="b">
        <v>0</v>
      </c>
      <c r="AA546" s="8" t="b">
        <v>0</v>
      </c>
      <c r="AB546" s="8" t="b">
        <v>0</v>
      </c>
      <c r="AC546" s="8" t="b">
        <v>0</v>
      </c>
      <c r="AD546" s="8" t="b">
        <v>1</v>
      </c>
      <c r="AE546" s="8" t="b">
        <v>0</v>
      </c>
      <c r="AG546" s="11" t="b" cm="1">
        <f t="array" ref="AG546">IF(OR(Y546:AA546="TRUE", AE546="true"), "Threatened")</f>
        <v>0</v>
      </c>
      <c r="AH546" s="11" t="s">
        <v>1643</v>
      </c>
      <c r="AI546" s="8" t="b">
        <v>0</v>
      </c>
    </row>
    <row r="547" spans="1:35" ht="31.2">
      <c r="A547" s="8">
        <v>-73.954742330000002</v>
      </c>
      <c r="B547" s="8">
        <v>40.789970259999997</v>
      </c>
      <c r="C547" s="8" t="s">
        <v>1644</v>
      </c>
      <c r="D547" s="8" t="s">
        <v>924</v>
      </c>
      <c r="E547" s="8" t="b">
        <f t="shared" si="8"/>
        <v>0</v>
      </c>
      <c r="F547" s="8" t="str" cm="1">
        <f t="array" ref="F547">_xlfn._xlws.FILTER(E547:E3745, C547:C3745= "6D-PM-1020-01", "No Squirrels Found")</f>
        <v>No Squirrels Found</v>
      </c>
      <c r="G547" s="8" t="s">
        <v>34</v>
      </c>
      <c r="H547" s="10">
        <v>10062018</v>
      </c>
      <c r="I547" s="10">
        <v>9</v>
      </c>
      <c r="J547" s="8" t="s">
        <v>39</v>
      </c>
      <c r="K547" s="8" t="s">
        <v>192</v>
      </c>
      <c r="M547" s="8" t="s">
        <v>193</v>
      </c>
      <c r="O547" s="8" t="s">
        <v>43</v>
      </c>
      <c r="P547" s="8" t="b">
        <v>0</v>
      </c>
      <c r="R547" s="8" t="b">
        <v>0</v>
      </c>
      <c r="S547" s="8" t="b">
        <v>0</v>
      </c>
      <c r="T547" s="8" t="b">
        <v>0</v>
      </c>
      <c r="U547" s="8" t="b">
        <v>0</v>
      </c>
      <c r="V547" s="8" t="b">
        <v>1</v>
      </c>
      <c r="X547" s="8" t="b">
        <v>0</v>
      </c>
      <c r="Y547" s="8" t="b">
        <v>0</v>
      </c>
      <c r="Z547" s="8" t="b">
        <v>0</v>
      </c>
      <c r="AA547" s="8" t="b">
        <v>0</v>
      </c>
      <c r="AB547" s="8" t="b">
        <v>1</v>
      </c>
      <c r="AC547" s="8" t="b">
        <v>0</v>
      </c>
      <c r="AD547" s="8" t="b">
        <v>1</v>
      </c>
      <c r="AE547" s="8" t="b">
        <v>0</v>
      </c>
      <c r="AG547" s="11" t="b" cm="1">
        <f t="array" ref="AG547">IF(OR(Y547:AA547="TRUE", AE547="true"), "Threatened")</f>
        <v>0</v>
      </c>
      <c r="AH547" s="11" t="s">
        <v>1645</v>
      </c>
      <c r="AI547" s="8" t="b">
        <v>1</v>
      </c>
    </row>
    <row r="548" spans="1:35" ht="31.2">
      <c r="A548" s="8">
        <v>-73.955967799999996</v>
      </c>
      <c r="B548" s="8">
        <v>40.795112410000002</v>
      </c>
      <c r="C548" s="8" t="s">
        <v>1646</v>
      </c>
      <c r="D548" s="8" t="s">
        <v>530</v>
      </c>
      <c r="E548" s="8" t="b">
        <f t="shared" si="8"/>
        <v>0</v>
      </c>
      <c r="F548" s="8" t="str" cm="1">
        <f t="array" ref="F548">_xlfn._xlws.FILTER(E548:E3746, C548:C3746= "6D-PM-1020-01", "No Squirrels Found")</f>
        <v>No Squirrels Found</v>
      </c>
      <c r="G548" s="8" t="s">
        <v>48</v>
      </c>
      <c r="H548" s="10">
        <v>10102018</v>
      </c>
      <c r="I548" s="10">
        <v>7</v>
      </c>
      <c r="J548" s="8" t="s">
        <v>39</v>
      </c>
      <c r="K548" s="8" t="s">
        <v>40</v>
      </c>
      <c r="L548" s="8" t="s">
        <v>41</v>
      </c>
      <c r="M548" s="8" t="s">
        <v>42</v>
      </c>
      <c r="O548" s="8" t="s">
        <v>50</v>
      </c>
      <c r="P548" s="8">
        <v>1</v>
      </c>
      <c r="Q548" s="8" t="s">
        <v>1647</v>
      </c>
      <c r="R548" s="8" t="b">
        <v>1</v>
      </c>
      <c r="S548" s="8" t="b">
        <v>1</v>
      </c>
      <c r="T548" s="8" t="b">
        <v>0</v>
      </c>
      <c r="U548" s="8" t="b">
        <v>0</v>
      </c>
      <c r="V548" s="8" t="b">
        <v>0</v>
      </c>
      <c r="W548" s="11" t="s">
        <v>1648</v>
      </c>
      <c r="X548" s="8" t="b">
        <v>0</v>
      </c>
      <c r="Y548" s="8" t="b">
        <v>0</v>
      </c>
      <c r="Z548" s="8" t="b">
        <v>0</v>
      </c>
      <c r="AA548" s="8" t="b">
        <v>0</v>
      </c>
      <c r="AB548" s="8" t="b">
        <v>1</v>
      </c>
      <c r="AC548" s="8" t="b">
        <v>0</v>
      </c>
      <c r="AD548" s="8" t="b">
        <v>0</v>
      </c>
      <c r="AE548" s="8" t="b">
        <v>1</v>
      </c>
      <c r="AG548" s="11" t="b" cm="1">
        <f t="array" ref="AG548">IF(OR(Y548:AA548="TRUE", AE548="true"), "Threatened")</f>
        <v>0</v>
      </c>
      <c r="AH548" s="11" t="s">
        <v>1649</v>
      </c>
      <c r="AI548" s="8" t="b">
        <v>0</v>
      </c>
    </row>
    <row r="549" spans="1:35" ht="31.2">
      <c r="A549" s="8">
        <v>-73.958469609999995</v>
      </c>
      <c r="B549" s="8">
        <v>40.798012120000003</v>
      </c>
      <c r="C549" s="8" t="s">
        <v>1650</v>
      </c>
      <c r="D549" s="8" t="s">
        <v>58</v>
      </c>
      <c r="E549" s="8" t="b">
        <f t="shared" si="8"/>
        <v>0</v>
      </c>
      <c r="F549" s="8" t="str" cm="1">
        <f t="array" ref="F549">_xlfn._xlws.FILTER(E549:E3747, C549:C3747= "6D-PM-1020-01", "No Squirrels Found")</f>
        <v>No Squirrels Found</v>
      </c>
      <c r="G549" s="8" t="s">
        <v>34</v>
      </c>
      <c r="H549" s="10">
        <v>10142018</v>
      </c>
      <c r="I549" s="10">
        <v>3</v>
      </c>
      <c r="J549" s="8" t="s">
        <v>39</v>
      </c>
      <c r="K549" s="8" t="s">
        <v>40</v>
      </c>
      <c r="M549" s="8" t="s">
        <v>55</v>
      </c>
      <c r="O549" s="8" t="s">
        <v>43</v>
      </c>
      <c r="P549" s="8" t="b">
        <v>0</v>
      </c>
      <c r="R549" s="8" t="b">
        <v>0</v>
      </c>
      <c r="S549" s="8" t="b">
        <v>0</v>
      </c>
      <c r="T549" s="8" t="b">
        <v>0</v>
      </c>
      <c r="U549" s="8" t="b">
        <v>1</v>
      </c>
      <c r="V549" s="8" t="b">
        <v>1</v>
      </c>
      <c r="X549" s="8" t="b">
        <v>0</v>
      </c>
      <c r="Y549" s="8" t="b">
        <v>0</v>
      </c>
      <c r="Z549" s="8" t="b">
        <v>0</v>
      </c>
      <c r="AA549" s="8" t="b">
        <v>0</v>
      </c>
      <c r="AB549" s="8" t="b">
        <v>0</v>
      </c>
      <c r="AC549" s="8" t="b">
        <v>0</v>
      </c>
      <c r="AD549" s="8" t="b">
        <v>1</v>
      </c>
      <c r="AE549" s="8" t="b">
        <v>0</v>
      </c>
      <c r="AG549" s="11" t="b" cm="1">
        <f t="array" ref="AG549">IF(OR(Y549:AA549="TRUE", AE549="true"), "Threatened")</f>
        <v>0</v>
      </c>
      <c r="AH549" s="11" t="s">
        <v>1651</v>
      </c>
      <c r="AI549" s="8" t="b">
        <v>1</v>
      </c>
    </row>
    <row r="550" spans="1:35" ht="31.2">
      <c r="A550" s="8">
        <v>-73.954908250000003</v>
      </c>
      <c r="B550" s="8">
        <v>40.793353760000002</v>
      </c>
      <c r="C550" s="8" t="s">
        <v>1652</v>
      </c>
      <c r="D550" s="8" t="s">
        <v>1653</v>
      </c>
      <c r="E550" s="8" t="b">
        <f t="shared" si="8"/>
        <v>0</v>
      </c>
      <c r="F550" s="8" t="str" cm="1">
        <f t="array" ref="F550">_xlfn._xlws.FILTER(E550:E3748, C550:C3748= "6D-PM-1020-01", "No Squirrels Found")</f>
        <v>No Squirrels Found</v>
      </c>
      <c r="G550" s="8" t="s">
        <v>34</v>
      </c>
      <c r="H550" s="10">
        <v>10122018</v>
      </c>
      <c r="I550" s="10">
        <v>1</v>
      </c>
      <c r="J550" s="8" t="s">
        <v>39</v>
      </c>
      <c r="K550" s="8" t="s">
        <v>40</v>
      </c>
      <c r="L550" s="8" t="s">
        <v>84</v>
      </c>
      <c r="M550" s="8" t="s">
        <v>103</v>
      </c>
      <c r="O550" s="8" t="s">
        <v>43</v>
      </c>
      <c r="P550" s="8" t="b">
        <v>0</v>
      </c>
      <c r="R550" s="8" t="b">
        <v>0</v>
      </c>
      <c r="S550" s="8" t="b">
        <v>0</v>
      </c>
      <c r="T550" s="8" t="b">
        <v>0</v>
      </c>
      <c r="U550" s="8" t="b">
        <v>0</v>
      </c>
      <c r="V550" s="8" t="b">
        <v>0</v>
      </c>
      <c r="W550" s="11" t="s">
        <v>1654</v>
      </c>
      <c r="X550" s="8" t="b">
        <v>0</v>
      </c>
      <c r="Y550" s="8" t="b">
        <v>0</v>
      </c>
      <c r="Z550" s="8" t="b">
        <v>0</v>
      </c>
      <c r="AA550" s="8" t="b">
        <v>0</v>
      </c>
      <c r="AB550" s="8" t="b">
        <v>0</v>
      </c>
      <c r="AC550" s="8" t="b">
        <v>0</v>
      </c>
      <c r="AD550" s="8" t="b">
        <v>0</v>
      </c>
      <c r="AE550" s="8" t="b">
        <v>0</v>
      </c>
      <c r="AG550" s="11" t="b" cm="1">
        <f t="array" ref="AG550">IF(OR(Y550:AA550="TRUE", AE550="true"), "Threatened")</f>
        <v>0</v>
      </c>
      <c r="AH550" s="11" t="s">
        <v>1655</v>
      </c>
      <c r="AI550" s="8" t="b">
        <v>0</v>
      </c>
    </row>
    <row r="551" spans="1:35" ht="31.2">
      <c r="A551" s="8">
        <v>-73.971446549999996</v>
      </c>
      <c r="B551" s="8">
        <v>40.77721356</v>
      </c>
      <c r="C551" s="8" t="s">
        <v>1656</v>
      </c>
      <c r="D551" s="8" t="s">
        <v>1657</v>
      </c>
      <c r="E551" s="8" t="b">
        <f t="shared" si="8"/>
        <v>0</v>
      </c>
      <c r="F551" s="8" t="str" cm="1">
        <f t="array" ref="F551">_xlfn._xlws.FILTER(E551:E3749, C551:C3749= "6D-PM-1020-01", "No Squirrels Found")</f>
        <v>No Squirrels Found</v>
      </c>
      <c r="G551" s="8" t="s">
        <v>34</v>
      </c>
      <c r="H551" s="10">
        <v>10062018</v>
      </c>
      <c r="I551" s="10">
        <v>2</v>
      </c>
      <c r="J551" s="8" t="s">
        <v>39</v>
      </c>
      <c r="K551" s="8" t="s">
        <v>40</v>
      </c>
      <c r="M551" s="8" t="s">
        <v>55</v>
      </c>
      <c r="O551" s="8" t="s">
        <v>43</v>
      </c>
      <c r="P551" s="8" t="b">
        <v>0</v>
      </c>
      <c r="R551" s="8" t="b">
        <v>0</v>
      </c>
      <c r="S551" s="8" t="b">
        <v>0</v>
      </c>
      <c r="T551" s="8" t="b">
        <v>0</v>
      </c>
      <c r="U551" s="8" t="b">
        <v>0</v>
      </c>
      <c r="V551" s="8" t="b">
        <v>1</v>
      </c>
      <c r="X551" s="8" t="b">
        <v>0</v>
      </c>
      <c r="Y551" s="8" t="b">
        <v>0</v>
      </c>
      <c r="Z551" s="8" t="b">
        <v>0</v>
      </c>
      <c r="AA551" s="8" t="b">
        <v>0</v>
      </c>
      <c r="AB551" s="8" t="b">
        <v>1</v>
      </c>
      <c r="AC551" s="8" t="b">
        <v>0</v>
      </c>
      <c r="AD551" s="8" t="b">
        <v>0</v>
      </c>
      <c r="AE551" s="8" t="b">
        <v>1</v>
      </c>
      <c r="AG551" s="11" t="b" cm="1">
        <f t="array" ref="AG551">IF(OR(Y551:AA551="TRUE", AE551="true"), "Threatened")</f>
        <v>0</v>
      </c>
      <c r="AH551" s="11" t="s">
        <v>1658</v>
      </c>
      <c r="AI551" s="8" t="b">
        <v>1</v>
      </c>
    </row>
    <row r="552" spans="1:35" ht="31.2">
      <c r="A552" s="8">
        <v>-73.964382540000003</v>
      </c>
      <c r="B552" s="8">
        <v>40.781544580000002</v>
      </c>
      <c r="C552" s="8" t="s">
        <v>1659</v>
      </c>
      <c r="D552" s="8" t="s">
        <v>1202</v>
      </c>
      <c r="E552" s="8" t="b">
        <f t="shared" si="8"/>
        <v>0</v>
      </c>
      <c r="F552" s="8" t="str" cm="1">
        <f t="array" ref="F552">_xlfn._xlws.FILTER(E552:E3750, C552:C3750= "6D-PM-1020-01", "No Squirrels Found")</f>
        <v>No Squirrels Found</v>
      </c>
      <c r="G552" s="8" t="s">
        <v>34</v>
      </c>
      <c r="H552" s="10">
        <v>10182018</v>
      </c>
      <c r="I552" s="10">
        <v>3</v>
      </c>
      <c r="J552" s="8" t="s">
        <v>39</v>
      </c>
      <c r="K552" s="8" t="s">
        <v>40</v>
      </c>
      <c r="L552" s="8" t="s">
        <v>41</v>
      </c>
      <c r="M552" s="8" t="s">
        <v>42</v>
      </c>
      <c r="O552" s="8" t="s">
        <v>43</v>
      </c>
      <c r="P552" s="8" t="b">
        <v>0</v>
      </c>
      <c r="R552" s="8" t="b">
        <v>0</v>
      </c>
      <c r="S552" s="8" t="b">
        <v>0</v>
      </c>
      <c r="T552" s="8" t="b">
        <v>0</v>
      </c>
      <c r="U552" s="8" t="b">
        <v>0</v>
      </c>
      <c r="V552" s="8" t="b">
        <v>1</v>
      </c>
      <c r="X552" s="8" t="b">
        <v>0</v>
      </c>
      <c r="Y552" s="8" t="b">
        <v>0</v>
      </c>
      <c r="Z552" s="8" t="b">
        <v>0</v>
      </c>
      <c r="AA552" s="8" t="b">
        <v>0</v>
      </c>
      <c r="AB552" s="8" t="b">
        <v>0</v>
      </c>
      <c r="AC552" s="8" t="b">
        <v>0</v>
      </c>
      <c r="AD552" s="8" t="b">
        <v>0</v>
      </c>
      <c r="AE552" s="8" t="b">
        <v>0</v>
      </c>
      <c r="AG552" s="11" t="b" cm="1">
        <f t="array" ref="AG552">IF(OR(Y552:AA552="TRUE", AE552="true"), "Threatened")</f>
        <v>0</v>
      </c>
      <c r="AH552" s="11" t="s">
        <v>1660</v>
      </c>
      <c r="AI552" s="8" t="b">
        <v>1</v>
      </c>
    </row>
    <row r="553" spans="1:35" ht="31.2">
      <c r="A553" s="8">
        <v>-73.962541619999996</v>
      </c>
      <c r="B553" s="8">
        <v>40.781130240000003</v>
      </c>
      <c r="C553" s="8" t="s">
        <v>1661</v>
      </c>
      <c r="D553" s="8" t="s">
        <v>1662</v>
      </c>
      <c r="E553" s="8" t="b">
        <f t="shared" si="8"/>
        <v>0</v>
      </c>
      <c r="F553" s="8" t="str" cm="1">
        <f t="array" ref="F553">_xlfn._xlws.FILTER(E553:E3751, C553:C3751= "6D-PM-1020-01", "No Squirrels Found")</f>
        <v>No Squirrels Found</v>
      </c>
      <c r="G553" s="8" t="s">
        <v>48</v>
      </c>
      <c r="H553" s="10">
        <v>10172018</v>
      </c>
      <c r="I553" s="10">
        <v>2</v>
      </c>
      <c r="J553" s="8" t="s">
        <v>39</v>
      </c>
      <c r="K553" s="8" t="s">
        <v>41</v>
      </c>
      <c r="L553" s="8" t="s">
        <v>40</v>
      </c>
      <c r="M553" s="8" t="s">
        <v>110</v>
      </c>
      <c r="O553" s="8" t="s">
        <v>50</v>
      </c>
      <c r="P553" s="8">
        <v>1</v>
      </c>
      <c r="R553" s="8" t="b">
        <v>0</v>
      </c>
      <c r="S553" s="8" t="b">
        <v>0</v>
      </c>
      <c r="T553" s="8" t="b">
        <v>1</v>
      </c>
      <c r="U553" s="8" t="b">
        <v>0</v>
      </c>
      <c r="V553" s="8" t="b">
        <v>0</v>
      </c>
      <c r="X553" s="8" t="b">
        <v>0</v>
      </c>
      <c r="Y553" s="8" t="b">
        <v>0</v>
      </c>
      <c r="Z553" s="8" t="b">
        <v>0</v>
      </c>
      <c r="AA553" s="8" t="b">
        <v>0</v>
      </c>
      <c r="AB553" s="8" t="b">
        <v>0</v>
      </c>
      <c r="AC553" s="8" t="b">
        <v>0</v>
      </c>
      <c r="AD553" s="8" t="b">
        <v>0</v>
      </c>
      <c r="AE553" s="8" t="b">
        <v>1</v>
      </c>
      <c r="AG553" s="11" t="b" cm="1">
        <f t="array" ref="AG553">IF(OR(Y553:AA553="TRUE", AE553="true"), "Threatened")</f>
        <v>0</v>
      </c>
      <c r="AH553" s="11" t="s">
        <v>1663</v>
      </c>
      <c r="AI553" s="8" t="b">
        <v>1</v>
      </c>
    </row>
    <row r="554" spans="1:35" ht="31.2">
      <c r="A554" s="8">
        <v>-73.963852610000004</v>
      </c>
      <c r="B554" s="8">
        <v>40.782693850000001</v>
      </c>
      <c r="C554" s="8" t="s">
        <v>1664</v>
      </c>
      <c r="D554" s="8" t="s">
        <v>177</v>
      </c>
      <c r="E554" s="8" t="b">
        <f t="shared" si="8"/>
        <v>0</v>
      </c>
      <c r="F554" s="8" t="str" cm="1">
        <f t="array" ref="F554">_xlfn._xlws.FILTER(E554:E3752, C554:C3752= "6D-PM-1020-01", "No Squirrels Found")</f>
        <v>No Squirrels Found</v>
      </c>
      <c r="G554" s="8" t="s">
        <v>48</v>
      </c>
      <c r="H554" s="10">
        <v>10072018</v>
      </c>
      <c r="I554" s="10">
        <v>2</v>
      </c>
      <c r="J554" s="8" t="s">
        <v>39</v>
      </c>
      <c r="K554" s="8" t="s">
        <v>40</v>
      </c>
      <c r="L554" s="8" t="s">
        <v>41</v>
      </c>
      <c r="M554" s="8" t="s">
        <v>42</v>
      </c>
      <c r="O554" s="8" t="s">
        <v>43</v>
      </c>
      <c r="P554" s="8" t="b">
        <v>0</v>
      </c>
      <c r="R554" s="8" t="b">
        <v>0</v>
      </c>
      <c r="S554" s="8" t="b">
        <v>0</v>
      </c>
      <c r="T554" s="8" t="b">
        <v>0</v>
      </c>
      <c r="U554" s="8" t="b">
        <v>0</v>
      </c>
      <c r="V554" s="8" t="b">
        <v>0</v>
      </c>
      <c r="W554" s="11" t="s">
        <v>1665</v>
      </c>
      <c r="X554" s="8" t="b">
        <v>0</v>
      </c>
      <c r="Y554" s="8" t="b">
        <v>0</v>
      </c>
      <c r="Z554" s="8" t="b">
        <v>0</v>
      </c>
      <c r="AA554" s="8" t="b">
        <v>0</v>
      </c>
      <c r="AB554" s="8" t="b">
        <v>0</v>
      </c>
      <c r="AC554" s="8" t="b">
        <v>0</v>
      </c>
      <c r="AD554" s="8" t="b">
        <v>1</v>
      </c>
      <c r="AE554" s="8" t="b">
        <v>0</v>
      </c>
      <c r="AG554" s="11" t="b" cm="1">
        <f t="array" ref="AG554">IF(OR(Y554:AA554="TRUE", AE554="true"), "Threatened")</f>
        <v>0</v>
      </c>
      <c r="AH554" s="11" t="s">
        <v>1666</v>
      </c>
      <c r="AI554" s="8" t="b">
        <v>0</v>
      </c>
    </row>
    <row r="555" spans="1:35" ht="31.2">
      <c r="A555" s="8">
        <v>-73.973351949999994</v>
      </c>
      <c r="B555" s="8">
        <v>40.768814800000001</v>
      </c>
      <c r="C555" s="8" t="s">
        <v>1667</v>
      </c>
      <c r="D555" s="8" t="s">
        <v>1668</v>
      </c>
      <c r="E555" s="8" t="b">
        <f t="shared" si="8"/>
        <v>0</v>
      </c>
      <c r="F555" s="8" t="str" cm="1">
        <f t="array" ref="F555">_xlfn._xlws.FILTER(E555:E3753, C555:C3753= "6D-PM-1020-01", "No Squirrels Found")</f>
        <v>No Squirrels Found</v>
      </c>
      <c r="G555" s="8" t="s">
        <v>34</v>
      </c>
      <c r="H555" s="10">
        <v>10102018</v>
      </c>
      <c r="I555" s="10">
        <v>3</v>
      </c>
      <c r="J555" s="8" t="s">
        <v>39</v>
      </c>
      <c r="K555" s="8" t="s">
        <v>40</v>
      </c>
      <c r="M555" s="8" t="s">
        <v>55</v>
      </c>
      <c r="O555" s="8" t="s">
        <v>43</v>
      </c>
      <c r="P555" s="8" t="b">
        <v>0</v>
      </c>
      <c r="R555" s="8" t="b">
        <v>0</v>
      </c>
      <c r="S555" s="8" t="b">
        <v>0</v>
      </c>
      <c r="T555" s="8" t="b">
        <v>0</v>
      </c>
      <c r="U555" s="8" t="b">
        <v>0</v>
      </c>
      <c r="V555" s="8" t="b">
        <v>1</v>
      </c>
      <c r="X555" s="8" t="b">
        <v>0</v>
      </c>
      <c r="Y555" s="8" t="b">
        <v>0</v>
      </c>
      <c r="Z555" s="8" t="b">
        <v>0</v>
      </c>
      <c r="AA555" s="8" t="b">
        <v>0</v>
      </c>
      <c r="AB555" s="8" t="b">
        <v>0</v>
      </c>
      <c r="AC555" s="8" t="b">
        <v>0</v>
      </c>
      <c r="AD555" s="8" t="b">
        <v>0</v>
      </c>
      <c r="AE555" s="8" t="b">
        <v>1</v>
      </c>
      <c r="AG555" s="11" t="b" cm="1">
        <f t="array" ref="AG555">IF(OR(Y555:AA555="TRUE", AE555="true"), "Threatened")</f>
        <v>0</v>
      </c>
      <c r="AH555" s="11" t="s">
        <v>1669</v>
      </c>
      <c r="AI555" s="8" t="b">
        <v>1</v>
      </c>
    </row>
    <row r="556" spans="1:35" ht="31.2">
      <c r="A556" s="8">
        <v>-73.968522730000004</v>
      </c>
      <c r="B556" s="8">
        <v>40.776599470000001</v>
      </c>
      <c r="C556" s="8" t="s">
        <v>1670</v>
      </c>
      <c r="D556" s="8" t="s">
        <v>246</v>
      </c>
      <c r="E556" s="8" t="b">
        <f t="shared" si="8"/>
        <v>0</v>
      </c>
      <c r="F556" s="8" t="str" cm="1">
        <f t="array" ref="F556">_xlfn._xlws.FILTER(E556:E3754, C556:C3754= "6D-PM-1020-01", "No Squirrels Found")</f>
        <v>No Squirrels Found</v>
      </c>
      <c r="G556" s="8" t="s">
        <v>48</v>
      </c>
      <c r="H556" s="10">
        <v>10072018</v>
      </c>
      <c r="I556" s="10">
        <v>2</v>
      </c>
      <c r="J556" s="8" t="s">
        <v>39</v>
      </c>
      <c r="K556" s="8" t="s">
        <v>40</v>
      </c>
      <c r="L556" s="8" t="s">
        <v>41</v>
      </c>
      <c r="M556" s="8" t="s">
        <v>42</v>
      </c>
      <c r="N556" s="11" t="s">
        <v>1671</v>
      </c>
      <c r="O556" s="8" t="s">
        <v>50</v>
      </c>
      <c r="P556" s="8">
        <v>20</v>
      </c>
      <c r="R556" s="8" t="b">
        <v>1</v>
      </c>
      <c r="S556" s="8" t="b">
        <v>0</v>
      </c>
      <c r="T556" s="8" t="b">
        <v>1</v>
      </c>
      <c r="U556" s="8" t="b">
        <v>0</v>
      </c>
      <c r="V556" s="8" t="b">
        <v>0</v>
      </c>
      <c r="X556" s="8" t="b">
        <v>0</v>
      </c>
      <c r="Y556" s="8" t="b">
        <v>0</v>
      </c>
      <c r="Z556" s="8" t="b">
        <v>0</v>
      </c>
      <c r="AA556" s="8" t="b">
        <v>0</v>
      </c>
      <c r="AB556" s="8" t="b">
        <v>0</v>
      </c>
      <c r="AC556" s="8" t="b">
        <v>0</v>
      </c>
      <c r="AD556" s="8" t="b">
        <v>0</v>
      </c>
      <c r="AE556" s="8" t="b">
        <v>1</v>
      </c>
      <c r="AG556" s="11" t="b" cm="1">
        <f t="array" ref="AG556">IF(OR(Y556:AA556="TRUE", AE556="true"), "Threatened")</f>
        <v>0</v>
      </c>
      <c r="AH556" s="11" t="s">
        <v>1672</v>
      </c>
      <c r="AI556" s="8" t="b">
        <v>1</v>
      </c>
    </row>
    <row r="557" spans="1:35" ht="31.2">
      <c r="A557" s="8">
        <v>-73.972166999999999</v>
      </c>
      <c r="B557" s="8">
        <v>40.776085909999999</v>
      </c>
      <c r="C557" s="8" t="s">
        <v>1673</v>
      </c>
      <c r="D557" s="8" t="s">
        <v>426</v>
      </c>
      <c r="E557" s="8" t="b">
        <f t="shared" si="8"/>
        <v>0</v>
      </c>
      <c r="F557" s="8" t="str" cm="1">
        <f t="array" ref="F557">_xlfn._xlws.FILTER(E557:E3755, C557:C3755= "6D-PM-1020-01", "No Squirrels Found")</f>
        <v>No Squirrels Found</v>
      </c>
      <c r="G557" s="8" t="s">
        <v>34</v>
      </c>
      <c r="H557" s="10">
        <v>10182018</v>
      </c>
      <c r="I557" s="10">
        <v>9</v>
      </c>
      <c r="J557" s="8" t="s">
        <v>39</v>
      </c>
      <c r="K557" s="8" t="s">
        <v>40</v>
      </c>
      <c r="L557" s="8" t="s">
        <v>84</v>
      </c>
      <c r="M557" s="8" t="s">
        <v>103</v>
      </c>
      <c r="O557" s="8" t="s">
        <v>43</v>
      </c>
      <c r="P557" s="8" t="b">
        <v>0</v>
      </c>
      <c r="R557" s="8" t="b">
        <v>1</v>
      </c>
      <c r="S557" s="8" t="b">
        <v>0</v>
      </c>
      <c r="T557" s="8" t="b">
        <v>0</v>
      </c>
      <c r="U557" s="8" t="b">
        <v>0</v>
      </c>
      <c r="V557" s="8" t="b">
        <v>1</v>
      </c>
      <c r="X557" s="8" t="b">
        <v>0</v>
      </c>
      <c r="Y557" s="8" t="b">
        <v>0</v>
      </c>
      <c r="Z557" s="8" t="b">
        <v>0</v>
      </c>
      <c r="AA557" s="8" t="b">
        <v>0</v>
      </c>
      <c r="AB557" s="8" t="b">
        <v>0</v>
      </c>
      <c r="AC557" s="8" t="b">
        <v>0</v>
      </c>
      <c r="AD557" s="8" t="b">
        <v>1</v>
      </c>
      <c r="AE557" s="8" t="b">
        <v>0</v>
      </c>
      <c r="AG557" s="11" t="b" cm="1">
        <f t="array" ref="AG557">IF(OR(Y557:AA557="TRUE", AE557="true"), "Threatened")</f>
        <v>0</v>
      </c>
      <c r="AH557" s="11" t="s">
        <v>1674</v>
      </c>
      <c r="AI557" s="8" t="b">
        <v>1</v>
      </c>
    </row>
    <row r="558" spans="1:35" ht="31.2">
      <c r="A558" s="8">
        <v>-73.979215389999993</v>
      </c>
      <c r="B558" s="8">
        <v>40.768827250000001</v>
      </c>
      <c r="C558" s="8" t="s">
        <v>1675</v>
      </c>
      <c r="D558" s="8" t="s">
        <v>465</v>
      </c>
      <c r="E558" s="8" t="b">
        <f t="shared" si="8"/>
        <v>0</v>
      </c>
      <c r="F558" s="8" t="str" cm="1">
        <f t="array" ref="F558">_xlfn._xlws.FILTER(E558:E3756, C558:C3756= "6D-PM-1020-01", "No Squirrels Found")</f>
        <v>No Squirrels Found</v>
      </c>
      <c r="G558" s="8" t="s">
        <v>48</v>
      </c>
      <c r="H558" s="10">
        <v>10102018</v>
      </c>
      <c r="I558" s="10">
        <v>1</v>
      </c>
      <c r="J558" s="8" t="s">
        <v>39</v>
      </c>
      <c r="K558" s="8" t="s">
        <v>41</v>
      </c>
      <c r="L558" s="8" t="s">
        <v>40</v>
      </c>
      <c r="M558" s="8" t="s">
        <v>110</v>
      </c>
      <c r="O558" s="8" t="s">
        <v>43</v>
      </c>
      <c r="P558" s="8" t="b">
        <v>0</v>
      </c>
      <c r="R558" s="8" t="b">
        <v>0</v>
      </c>
      <c r="S558" s="8" t="b">
        <v>0</v>
      </c>
      <c r="T558" s="8" t="b">
        <v>0</v>
      </c>
      <c r="U558" s="8" t="b">
        <v>0</v>
      </c>
      <c r="V558" s="8" t="b">
        <v>1</v>
      </c>
      <c r="X558" s="8" t="b">
        <v>0</v>
      </c>
      <c r="Y558" s="8" t="b">
        <v>0</v>
      </c>
      <c r="Z558" s="8" t="b">
        <v>0</v>
      </c>
      <c r="AA558" s="8" t="b">
        <v>0</v>
      </c>
      <c r="AB558" s="8" t="b">
        <v>0</v>
      </c>
      <c r="AC558" s="8" t="b">
        <v>0</v>
      </c>
      <c r="AD558" s="8" t="b">
        <v>1</v>
      </c>
      <c r="AE558" s="8" t="b">
        <v>0</v>
      </c>
      <c r="AG558" s="11" t="b" cm="1">
        <f t="array" ref="AG558">IF(OR(Y558:AA558="TRUE", AE558="true"), "Threatened")</f>
        <v>0</v>
      </c>
      <c r="AH558" s="11" t="s">
        <v>1676</v>
      </c>
      <c r="AI558" s="8" t="b">
        <v>1</v>
      </c>
    </row>
    <row r="559" spans="1:35" ht="31.2">
      <c r="A559" s="8">
        <v>-73.957933530000005</v>
      </c>
      <c r="B559" s="8">
        <v>40.795308069999997</v>
      </c>
      <c r="C559" s="8" t="s">
        <v>1677</v>
      </c>
      <c r="D559" s="8" t="s">
        <v>405</v>
      </c>
      <c r="E559" s="8" t="b">
        <f t="shared" si="8"/>
        <v>0</v>
      </c>
      <c r="F559" s="8" t="str" cm="1">
        <f t="array" ref="F559">_xlfn._xlws.FILTER(E559:E3757, C559:C3757= "6D-PM-1020-01", "No Squirrels Found")</f>
        <v>No Squirrels Found</v>
      </c>
      <c r="G559" s="8" t="s">
        <v>34</v>
      </c>
      <c r="H559" s="10">
        <v>10142018</v>
      </c>
      <c r="I559" s="10">
        <v>5</v>
      </c>
      <c r="J559" s="8" t="s">
        <v>39</v>
      </c>
      <c r="K559" s="8" t="s">
        <v>40</v>
      </c>
      <c r="M559" s="8" t="s">
        <v>55</v>
      </c>
      <c r="O559" s="8" t="s">
        <v>43</v>
      </c>
      <c r="P559" s="8" t="b">
        <v>0</v>
      </c>
      <c r="R559" s="8" t="b">
        <v>0</v>
      </c>
      <c r="S559" s="8" t="b">
        <v>0</v>
      </c>
      <c r="T559" s="8" t="b">
        <v>0</v>
      </c>
      <c r="U559" s="8" t="b">
        <v>0</v>
      </c>
      <c r="V559" s="8" t="b">
        <v>1</v>
      </c>
      <c r="X559" s="8" t="b">
        <v>0</v>
      </c>
      <c r="Y559" s="8" t="b">
        <v>0</v>
      </c>
      <c r="Z559" s="8" t="b">
        <v>0</v>
      </c>
      <c r="AA559" s="8" t="b">
        <v>0</v>
      </c>
      <c r="AB559" s="8" t="b">
        <v>0</v>
      </c>
      <c r="AC559" s="8" t="b">
        <v>0</v>
      </c>
      <c r="AD559" s="8" t="b">
        <v>0</v>
      </c>
      <c r="AE559" s="8" t="b">
        <v>1</v>
      </c>
      <c r="AG559" s="11" t="b" cm="1">
        <f t="array" ref="AG559">IF(OR(Y559:AA559="TRUE", AE559="true"), "Threatened")</f>
        <v>0</v>
      </c>
      <c r="AH559" s="11" t="s">
        <v>1678</v>
      </c>
      <c r="AI559" s="8" t="b">
        <v>1</v>
      </c>
    </row>
    <row r="560" spans="1:35" ht="31.2">
      <c r="A560" s="8">
        <v>-73.970416619999995</v>
      </c>
      <c r="B560" s="8">
        <v>40.77667203</v>
      </c>
      <c r="C560" s="8" t="s">
        <v>1679</v>
      </c>
      <c r="D560" s="8" t="s">
        <v>121</v>
      </c>
      <c r="E560" s="8" t="b">
        <f t="shared" si="8"/>
        <v>0</v>
      </c>
      <c r="F560" s="8" t="str" cm="1">
        <f t="array" ref="F560">_xlfn._xlws.FILTER(E560:E3758, C560:C3758= "6D-PM-1020-01", "No Squirrels Found")</f>
        <v>No Squirrels Found</v>
      </c>
      <c r="G560" s="8" t="s">
        <v>48</v>
      </c>
      <c r="H560" s="10">
        <v>10082018</v>
      </c>
      <c r="I560" s="10">
        <v>7</v>
      </c>
      <c r="J560" s="8" t="s">
        <v>39</v>
      </c>
      <c r="K560" s="8" t="s">
        <v>40</v>
      </c>
      <c r="M560" s="8" t="s">
        <v>55</v>
      </c>
      <c r="O560" s="8" t="s">
        <v>43</v>
      </c>
      <c r="P560" s="8" t="b">
        <v>0</v>
      </c>
      <c r="R560" s="8" t="b">
        <v>0</v>
      </c>
      <c r="S560" s="8" t="b">
        <v>0</v>
      </c>
      <c r="T560" s="8" t="b">
        <v>0</v>
      </c>
      <c r="U560" s="8" t="b">
        <v>0</v>
      </c>
      <c r="V560" s="8" t="b">
        <v>1</v>
      </c>
      <c r="W560" s="11" t="s">
        <v>122</v>
      </c>
      <c r="X560" s="8" t="b">
        <v>0</v>
      </c>
      <c r="Y560" s="8" t="b">
        <v>0</v>
      </c>
      <c r="Z560" s="8" t="b">
        <v>0</v>
      </c>
      <c r="AA560" s="8" t="b">
        <v>0</v>
      </c>
      <c r="AB560" s="8" t="b">
        <v>0</v>
      </c>
      <c r="AC560" s="8" t="b">
        <v>0</v>
      </c>
      <c r="AD560" s="8" t="b">
        <v>1</v>
      </c>
      <c r="AE560" s="8" t="b">
        <v>0</v>
      </c>
      <c r="AG560" s="11" t="b" cm="1">
        <f t="array" ref="AG560">IF(OR(Y560:AA560="TRUE", AE560="true"), "Threatened")</f>
        <v>0</v>
      </c>
      <c r="AH560" s="11" t="s">
        <v>1680</v>
      </c>
      <c r="AI560" s="8" t="b">
        <v>0</v>
      </c>
    </row>
    <row r="561" spans="1:35" ht="31.2">
      <c r="A561" s="8">
        <v>-73.957305770000005</v>
      </c>
      <c r="B561" s="8">
        <v>40.798573410000003</v>
      </c>
      <c r="C561" s="8" t="s">
        <v>1681</v>
      </c>
      <c r="D561" s="8" t="s">
        <v>227</v>
      </c>
      <c r="E561" s="8" t="b">
        <f t="shared" si="8"/>
        <v>0</v>
      </c>
      <c r="F561" s="8" t="str" cm="1">
        <f t="array" ref="F561">_xlfn._xlws.FILTER(E561:E3759, C561:C3759= "6D-PM-1020-01", "No Squirrels Found")</f>
        <v>No Squirrels Found</v>
      </c>
      <c r="G561" s="8" t="s">
        <v>34</v>
      </c>
      <c r="H561" s="10">
        <v>10142018</v>
      </c>
      <c r="I561" s="10">
        <v>1</v>
      </c>
      <c r="J561" s="8" t="s">
        <v>39</v>
      </c>
      <c r="K561" s="8" t="s">
        <v>40</v>
      </c>
      <c r="L561" s="8" t="s">
        <v>41</v>
      </c>
      <c r="M561" s="8" t="s">
        <v>42</v>
      </c>
      <c r="O561" s="8" t="s">
        <v>43</v>
      </c>
      <c r="P561" s="8" t="b">
        <v>0</v>
      </c>
      <c r="R561" s="8" t="b">
        <v>0</v>
      </c>
      <c r="S561" s="8" t="b">
        <v>0</v>
      </c>
      <c r="T561" s="8" t="b">
        <v>0</v>
      </c>
      <c r="U561" s="8" t="b">
        <v>0</v>
      </c>
      <c r="V561" s="8" t="b">
        <v>1</v>
      </c>
      <c r="X561" s="8" t="b">
        <v>0</v>
      </c>
      <c r="Y561" s="8" t="b">
        <v>0</v>
      </c>
      <c r="Z561" s="8" t="b">
        <v>0</v>
      </c>
      <c r="AA561" s="8" t="b">
        <v>0</v>
      </c>
      <c r="AB561" s="8" t="b">
        <v>0</v>
      </c>
      <c r="AC561" s="8" t="b">
        <v>0</v>
      </c>
      <c r="AD561" s="8" t="b">
        <v>1</v>
      </c>
      <c r="AE561" s="8" t="b">
        <v>0</v>
      </c>
      <c r="AG561" s="11" t="b" cm="1">
        <f t="array" ref="AG561">IF(OR(Y561:AA561="TRUE", AE561="true"), "Threatened")</f>
        <v>0</v>
      </c>
      <c r="AH561" s="11" t="s">
        <v>1682</v>
      </c>
      <c r="AI561" s="8" t="b">
        <v>1</v>
      </c>
    </row>
    <row r="562" spans="1:35" ht="31.2">
      <c r="A562" s="8">
        <v>-73.958198249999995</v>
      </c>
      <c r="B562" s="8">
        <v>40.799219460000003</v>
      </c>
      <c r="C562" s="8" t="s">
        <v>1683</v>
      </c>
      <c r="D562" s="8" t="s">
        <v>478</v>
      </c>
      <c r="E562" s="8" t="b">
        <f t="shared" si="8"/>
        <v>0</v>
      </c>
      <c r="F562" s="8" t="str" cm="1">
        <f t="array" ref="F562">_xlfn._xlws.FILTER(E562:E3760, C562:C3760= "6D-PM-1020-01", "No Squirrels Found")</f>
        <v>No Squirrels Found</v>
      </c>
      <c r="G562" s="8" t="s">
        <v>34</v>
      </c>
      <c r="H562" s="10">
        <v>10072018</v>
      </c>
      <c r="I562" s="10">
        <v>3</v>
      </c>
      <c r="J562" s="8" t="s">
        <v>39</v>
      </c>
      <c r="K562" s="8" t="s">
        <v>40</v>
      </c>
      <c r="L562" s="8" t="s">
        <v>84</v>
      </c>
      <c r="M562" s="8" t="s">
        <v>103</v>
      </c>
      <c r="O562" s="8" t="s">
        <v>50</v>
      </c>
      <c r="P562" s="8">
        <v>55</v>
      </c>
      <c r="R562" s="8" t="b">
        <v>1</v>
      </c>
      <c r="S562" s="8" t="b">
        <v>0</v>
      </c>
      <c r="T562" s="8" t="b">
        <v>1</v>
      </c>
      <c r="U562" s="8" t="b">
        <v>0</v>
      </c>
      <c r="V562" s="8" t="b">
        <v>0</v>
      </c>
      <c r="X562" s="8" t="b">
        <v>0</v>
      </c>
      <c r="Y562" s="8" t="b">
        <v>0</v>
      </c>
      <c r="Z562" s="8" t="b">
        <v>0</v>
      </c>
      <c r="AA562" s="8" t="b">
        <v>0</v>
      </c>
      <c r="AB562" s="8" t="b">
        <v>1</v>
      </c>
      <c r="AC562" s="8" t="b">
        <v>0</v>
      </c>
      <c r="AD562" s="8" t="b">
        <v>0</v>
      </c>
      <c r="AE562" s="8" t="b">
        <v>0</v>
      </c>
      <c r="AG562" s="11" t="b" cm="1">
        <f t="array" ref="AG562">IF(OR(Y562:AA562="TRUE", AE562="true"), "Threatened")</f>
        <v>0</v>
      </c>
      <c r="AH562" s="11" t="s">
        <v>1684</v>
      </c>
      <c r="AI562" s="8" t="b">
        <v>1</v>
      </c>
    </row>
    <row r="563" spans="1:35" ht="31.2">
      <c r="A563" s="8">
        <v>-73.972467519999995</v>
      </c>
      <c r="B563" s="8">
        <v>40.765913189999999</v>
      </c>
      <c r="C563" s="8" t="s">
        <v>1685</v>
      </c>
      <c r="D563" s="8" t="s">
        <v>988</v>
      </c>
      <c r="E563" s="8" t="b">
        <f t="shared" si="8"/>
        <v>0</v>
      </c>
      <c r="F563" s="8" t="str" cm="1">
        <f t="array" ref="F563">_xlfn._xlws.FILTER(E563:E3761, C563:C3761= "6D-PM-1020-01", "No Squirrels Found")</f>
        <v>No Squirrels Found</v>
      </c>
      <c r="G563" s="8" t="s">
        <v>34</v>
      </c>
      <c r="H563" s="10">
        <v>10132018</v>
      </c>
      <c r="I563" s="10">
        <v>5</v>
      </c>
      <c r="J563" s="8" t="s">
        <v>39</v>
      </c>
      <c r="K563" s="8" t="s">
        <v>40</v>
      </c>
      <c r="L563" s="8" t="s">
        <v>41</v>
      </c>
      <c r="M563" s="8" t="s">
        <v>42</v>
      </c>
      <c r="O563" s="8" t="s">
        <v>43</v>
      </c>
      <c r="P563" s="8" t="b">
        <v>0</v>
      </c>
      <c r="R563" s="8" t="b">
        <v>1</v>
      </c>
      <c r="S563" s="8" t="b">
        <v>0</v>
      </c>
      <c r="T563" s="8" t="b">
        <v>0</v>
      </c>
      <c r="U563" s="8" t="b">
        <v>0</v>
      </c>
      <c r="V563" s="8" t="b">
        <v>0</v>
      </c>
      <c r="X563" s="8" t="b">
        <v>0</v>
      </c>
      <c r="Y563" s="8" t="b">
        <v>0</v>
      </c>
      <c r="Z563" s="8" t="b">
        <v>0</v>
      </c>
      <c r="AA563" s="8" t="b">
        <v>0</v>
      </c>
      <c r="AB563" s="8" t="b">
        <v>0</v>
      </c>
      <c r="AC563" s="8" t="b">
        <v>0</v>
      </c>
      <c r="AD563" s="8" t="b">
        <v>1</v>
      </c>
      <c r="AE563" s="8" t="b">
        <v>0</v>
      </c>
      <c r="AG563" s="11" t="b" cm="1">
        <f t="array" ref="AG563">IF(OR(Y563:AA563="TRUE", AE563="true"), "Threatened")</f>
        <v>0</v>
      </c>
      <c r="AH563" s="11" t="s">
        <v>1686</v>
      </c>
      <c r="AI563" s="8" t="b">
        <v>1</v>
      </c>
    </row>
    <row r="564" spans="1:35" ht="31.2">
      <c r="A564" s="8">
        <v>-73.970033069999999</v>
      </c>
      <c r="B564" s="8">
        <v>40.77829139</v>
      </c>
      <c r="C564" s="8" t="s">
        <v>1687</v>
      </c>
      <c r="D564" s="8" t="s">
        <v>721</v>
      </c>
      <c r="E564" s="8" t="b">
        <f t="shared" si="8"/>
        <v>0</v>
      </c>
      <c r="F564" s="8" t="str" cm="1">
        <f t="array" ref="F564">_xlfn._xlws.FILTER(E564:E3762, C564:C3762= "6D-PM-1020-01", "No Squirrels Found")</f>
        <v>No Squirrels Found</v>
      </c>
      <c r="G564" s="8" t="s">
        <v>34</v>
      </c>
      <c r="H564" s="10">
        <v>10102018</v>
      </c>
      <c r="I564" s="10">
        <v>6</v>
      </c>
      <c r="J564" s="8" t="s">
        <v>39</v>
      </c>
      <c r="K564" s="8" t="s">
        <v>40</v>
      </c>
      <c r="M564" s="8" t="s">
        <v>55</v>
      </c>
      <c r="O564" s="8" t="s">
        <v>43</v>
      </c>
      <c r="P564" s="8" t="b">
        <v>0</v>
      </c>
      <c r="R564" s="8" t="b">
        <v>1</v>
      </c>
      <c r="S564" s="8" t="b">
        <v>0</v>
      </c>
      <c r="T564" s="8" t="b">
        <v>0</v>
      </c>
      <c r="U564" s="8" t="b">
        <v>0</v>
      </c>
      <c r="V564" s="8" t="b">
        <v>1</v>
      </c>
      <c r="W564" s="11" t="s">
        <v>122</v>
      </c>
      <c r="X564" s="8" t="b">
        <v>0</v>
      </c>
      <c r="Y564" s="8" t="b">
        <v>0</v>
      </c>
      <c r="Z564" s="8" t="b">
        <v>0</v>
      </c>
      <c r="AA564" s="8" t="b">
        <v>0</v>
      </c>
      <c r="AB564" s="8" t="b">
        <v>0</v>
      </c>
      <c r="AC564" s="8" t="b">
        <v>0</v>
      </c>
      <c r="AD564" s="8" t="b">
        <v>0</v>
      </c>
      <c r="AE564" s="8" t="b">
        <v>0</v>
      </c>
      <c r="AF564" s="11" t="s">
        <v>1688</v>
      </c>
      <c r="AG564" s="11" t="b" cm="1">
        <f t="array" ref="AG564">IF(OR(Y564:AA564="TRUE", AE564="true"), "Threatened")</f>
        <v>0</v>
      </c>
      <c r="AH564" s="11" t="s">
        <v>1689</v>
      </c>
      <c r="AI564" s="8" t="b">
        <v>0</v>
      </c>
    </row>
    <row r="565" spans="1:35" ht="31.2">
      <c r="A565" s="8">
        <v>-73.957008619999996</v>
      </c>
      <c r="B565" s="8">
        <v>40.79466798</v>
      </c>
      <c r="C565" s="8" t="s">
        <v>1690</v>
      </c>
      <c r="D565" s="8" t="s">
        <v>38</v>
      </c>
      <c r="E565" s="8" t="b">
        <f t="shared" si="8"/>
        <v>0</v>
      </c>
      <c r="F565" s="8" t="str" cm="1">
        <f t="array" ref="F565">_xlfn._xlws.FILTER(E565:E3763, C565:C3763= "6D-PM-1020-01", "No Squirrels Found")</f>
        <v>No Squirrels Found</v>
      </c>
      <c r="G565" s="8" t="s">
        <v>34</v>
      </c>
      <c r="H565" s="10">
        <v>10062018</v>
      </c>
      <c r="I565" s="10">
        <v>8</v>
      </c>
      <c r="J565" s="8" t="s">
        <v>39</v>
      </c>
      <c r="K565" s="8" t="s">
        <v>40</v>
      </c>
      <c r="M565" s="8" t="s">
        <v>55</v>
      </c>
      <c r="O565" s="8" t="s">
        <v>43</v>
      </c>
      <c r="P565" s="8" t="b">
        <v>0</v>
      </c>
      <c r="R565" s="8" t="b">
        <v>0</v>
      </c>
      <c r="S565" s="8" t="b">
        <v>0</v>
      </c>
      <c r="T565" s="8" t="b">
        <v>0</v>
      </c>
      <c r="U565" s="8" t="b">
        <v>0</v>
      </c>
      <c r="V565" s="8" t="b">
        <v>1</v>
      </c>
      <c r="X565" s="8" t="b">
        <v>0</v>
      </c>
      <c r="Y565" s="8" t="b">
        <v>0</v>
      </c>
      <c r="Z565" s="8" t="b">
        <v>0</v>
      </c>
      <c r="AA565" s="8" t="b">
        <v>0</v>
      </c>
      <c r="AB565" s="8" t="b">
        <v>0</v>
      </c>
      <c r="AC565" s="8" t="b">
        <v>0</v>
      </c>
      <c r="AD565" s="8" t="b">
        <v>1</v>
      </c>
      <c r="AE565" s="8" t="b">
        <v>0</v>
      </c>
      <c r="AG565" s="11" t="b" cm="1">
        <f t="array" ref="AG565">IF(OR(Y565:AA565="TRUE", AE565="true"), "Threatened")</f>
        <v>0</v>
      </c>
      <c r="AH565" s="11" t="s">
        <v>1691</v>
      </c>
      <c r="AI565" s="8" t="b">
        <v>1</v>
      </c>
    </row>
    <row r="566" spans="1:35" ht="31.2">
      <c r="A566" s="8">
        <v>-73.961540260000007</v>
      </c>
      <c r="B566" s="8">
        <v>40.792408229999999</v>
      </c>
      <c r="C566" s="8" t="s">
        <v>1692</v>
      </c>
      <c r="D566" s="8" t="s">
        <v>290</v>
      </c>
      <c r="E566" s="8" t="b">
        <f t="shared" si="8"/>
        <v>0</v>
      </c>
      <c r="F566" s="8" t="str" cm="1">
        <f t="array" ref="F566">_xlfn._xlws.FILTER(E566:E3764, C566:C3764= "6D-PM-1020-01", "No Squirrels Found")</f>
        <v>No Squirrels Found</v>
      </c>
      <c r="G566" s="8" t="s">
        <v>48</v>
      </c>
      <c r="H566" s="10">
        <v>10122018</v>
      </c>
      <c r="I566" s="10">
        <v>2</v>
      </c>
      <c r="J566" s="8" t="s">
        <v>39</v>
      </c>
      <c r="K566" s="8" t="s">
        <v>40</v>
      </c>
      <c r="L566" s="8" t="s">
        <v>41</v>
      </c>
      <c r="M566" s="8" t="s">
        <v>42</v>
      </c>
      <c r="N566" s="11" t="s">
        <v>1693</v>
      </c>
      <c r="O566" s="8" t="s">
        <v>50</v>
      </c>
      <c r="P566" s="8">
        <v>20</v>
      </c>
      <c r="Q566" s="8" t="s">
        <v>1694</v>
      </c>
      <c r="R566" s="8" t="b">
        <v>0</v>
      </c>
      <c r="S566" s="8" t="b">
        <v>1</v>
      </c>
      <c r="T566" s="8" t="b">
        <v>1</v>
      </c>
      <c r="U566" s="8" t="b">
        <v>0</v>
      </c>
      <c r="V566" s="8" t="b">
        <v>0</v>
      </c>
      <c r="X566" s="8" t="b">
        <v>0</v>
      </c>
      <c r="Y566" s="8" t="b">
        <v>0</v>
      </c>
      <c r="Z566" s="8" t="b">
        <v>0</v>
      </c>
      <c r="AA566" s="8" t="b">
        <v>0</v>
      </c>
      <c r="AB566" s="8" t="b">
        <v>0</v>
      </c>
      <c r="AC566" s="8" t="b">
        <v>0</v>
      </c>
      <c r="AD566" s="8" t="b">
        <v>1</v>
      </c>
      <c r="AE566" s="8" t="b">
        <v>0</v>
      </c>
      <c r="AG566" s="11" t="b" cm="1">
        <f t="array" ref="AG566">IF(OR(Y566:AA566="TRUE", AE566="true"), "Threatened")</f>
        <v>0</v>
      </c>
      <c r="AH566" s="11" t="s">
        <v>1695</v>
      </c>
      <c r="AI566" s="8" t="b">
        <v>1</v>
      </c>
    </row>
    <row r="567" spans="1:35" ht="31.2">
      <c r="A567" s="8">
        <v>-73.970836460000001</v>
      </c>
      <c r="B567" s="8">
        <v>40.772369159999997</v>
      </c>
      <c r="C567" s="8" t="s">
        <v>1696</v>
      </c>
      <c r="D567" s="8" t="s">
        <v>329</v>
      </c>
      <c r="E567" s="8" t="b">
        <f t="shared" si="8"/>
        <v>0</v>
      </c>
      <c r="F567" s="8" t="str" cm="1">
        <f t="array" ref="F567">_xlfn._xlws.FILTER(E567:E3765, C567:C3765= "6D-PM-1020-01", "No Squirrels Found")</f>
        <v>No Squirrels Found</v>
      </c>
      <c r="G567" s="8" t="s">
        <v>48</v>
      </c>
      <c r="H567" s="10">
        <v>10072018</v>
      </c>
      <c r="I567" s="10">
        <v>1</v>
      </c>
      <c r="J567" s="8" t="s">
        <v>39</v>
      </c>
      <c r="K567" s="8" t="s">
        <v>40</v>
      </c>
      <c r="M567" s="8" t="s">
        <v>55</v>
      </c>
      <c r="O567" s="8" t="s">
        <v>50</v>
      </c>
      <c r="P567" s="8">
        <v>60</v>
      </c>
      <c r="R567" s="8" t="b">
        <v>0</v>
      </c>
      <c r="S567" s="8" t="b">
        <v>0</v>
      </c>
      <c r="T567" s="8" t="b">
        <v>1</v>
      </c>
      <c r="U567" s="8" t="b">
        <v>0</v>
      </c>
      <c r="V567" s="8" t="b">
        <v>0</v>
      </c>
      <c r="X567" s="8" t="b">
        <v>0</v>
      </c>
      <c r="Y567" s="8" t="b">
        <v>0</v>
      </c>
      <c r="Z567" s="8" t="b">
        <v>0</v>
      </c>
      <c r="AA567" s="8" t="b">
        <v>1</v>
      </c>
      <c r="AB567" s="8" t="b">
        <v>0</v>
      </c>
      <c r="AC567" s="8" t="b">
        <v>0</v>
      </c>
      <c r="AD567" s="8" t="b">
        <v>0</v>
      </c>
      <c r="AE567" s="8" t="b">
        <v>0</v>
      </c>
      <c r="AG567" s="11" t="b" cm="1">
        <f t="array" ref="AG567">IF(OR(Y567:AA567="TRUE", AE567="true"), "Threatened")</f>
        <v>0</v>
      </c>
      <c r="AH567" s="11" t="s">
        <v>1697</v>
      </c>
      <c r="AI567" s="8" t="b">
        <v>1</v>
      </c>
    </row>
    <row r="568" spans="1:35" ht="31.2">
      <c r="A568" s="8">
        <v>-73.975697260000004</v>
      </c>
      <c r="B568" s="8">
        <v>40.773624159999997</v>
      </c>
      <c r="C568" s="8" t="s">
        <v>1698</v>
      </c>
      <c r="D568" s="8" t="s">
        <v>802</v>
      </c>
      <c r="E568" s="8" t="b">
        <f t="shared" si="8"/>
        <v>0</v>
      </c>
      <c r="F568" s="8" t="str" cm="1">
        <f t="array" ref="F568">_xlfn._xlws.FILTER(E568:E3766, C568:C3766= "6D-PM-1020-01", "No Squirrels Found")</f>
        <v>No Squirrels Found</v>
      </c>
      <c r="G568" s="8" t="s">
        <v>34</v>
      </c>
      <c r="H568" s="10">
        <v>10132018</v>
      </c>
      <c r="I568" s="10">
        <v>4</v>
      </c>
      <c r="J568" s="8" t="s">
        <v>54</v>
      </c>
      <c r="K568" s="8" t="s">
        <v>40</v>
      </c>
      <c r="L568" s="8" t="s">
        <v>192</v>
      </c>
      <c r="M568" s="8" t="s">
        <v>354</v>
      </c>
      <c r="O568" s="8" t="s">
        <v>50</v>
      </c>
      <c r="P568" s="8">
        <v>30</v>
      </c>
      <c r="R568" s="8" t="b">
        <v>0</v>
      </c>
      <c r="S568" s="8" t="b">
        <v>0</v>
      </c>
      <c r="T568" s="8" t="b">
        <v>1</v>
      </c>
      <c r="U568" s="8" t="b">
        <v>0</v>
      </c>
      <c r="V568" s="8" t="b">
        <v>0</v>
      </c>
      <c r="X568" s="8" t="b">
        <v>0</v>
      </c>
      <c r="Y568" s="8" t="b">
        <v>0</v>
      </c>
      <c r="Z568" s="8" t="b">
        <v>0</v>
      </c>
      <c r="AA568" s="8" t="b">
        <v>0</v>
      </c>
      <c r="AB568" s="8" t="b">
        <v>1</v>
      </c>
      <c r="AC568" s="8" t="b">
        <v>0</v>
      </c>
      <c r="AD568" s="8" t="b">
        <v>1</v>
      </c>
      <c r="AE568" s="8" t="b">
        <v>0</v>
      </c>
      <c r="AG568" s="11" t="b" cm="1">
        <f t="array" ref="AG568">IF(OR(Y568:AA568="TRUE", AE568="true"), "Threatened")</f>
        <v>0</v>
      </c>
      <c r="AH568" s="11" t="s">
        <v>1699</v>
      </c>
      <c r="AI568" s="8" t="b">
        <v>1</v>
      </c>
    </row>
    <row r="569" spans="1:35" ht="31.2">
      <c r="A569" s="8">
        <v>-73.979944149999994</v>
      </c>
      <c r="B569" s="8">
        <v>40.767150000000001</v>
      </c>
      <c r="C569" s="8" t="s">
        <v>1700</v>
      </c>
      <c r="D569" s="8" t="s">
        <v>1301</v>
      </c>
      <c r="E569" s="8" t="b">
        <f t="shared" si="8"/>
        <v>0</v>
      </c>
      <c r="F569" s="8" t="str" cm="1">
        <f t="array" ref="F569">_xlfn._xlws.FILTER(E569:E3767, C569:C3767= "6D-PM-1020-01", "No Squirrels Found")</f>
        <v>No Squirrels Found</v>
      </c>
      <c r="G569" s="8" t="s">
        <v>48</v>
      </c>
      <c r="H569" s="10">
        <v>10122018</v>
      </c>
      <c r="I569" s="10">
        <v>1</v>
      </c>
      <c r="J569" s="8" t="s">
        <v>39</v>
      </c>
      <c r="K569" s="8" t="s">
        <v>40</v>
      </c>
      <c r="L569" s="8" t="s">
        <v>168</v>
      </c>
      <c r="M569" s="8" t="s">
        <v>169</v>
      </c>
      <c r="N569" s="11" t="s">
        <v>1701</v>
      </c>
      <c r="O569" s="8" t="s">
        <v>43</v>
      </c>
      <c r="P569" s="8" t="b">
        <v>0</v>
      </c>
      <c r="R569" s="8" t="b">
        <v>1</v>
      </c>
      <c r="S569" s="8" t="b">
        <v>0</v>
      </c>
      <c r="T569" s="8" t="b">
        <v>0</v>
      </c>
      <c r="U569" s="8" t="b">
        <v>0</v>
      </c>
      <c r="V569" s="8" t="b">
        <v>0</v>
      </c>
      <c r="X569" s="8" t="b">
        <v>0</v>
      </c>
      <c r="Y569" s="8" t="b">
        <v>0</v>
      </c>
      <c r="Z569" s="8" t="b">
        <v>0</v>
      </c>
      <c r="AA569" s="8" t="b">
        <v>1</v>
      </c>
      <c r="AB569" s="8" t="b">
        <v>0</v>
      </c>
      <c r="AC569" s="8" t="b">
        <v>0</v>
      </c>
      <c r="AD569" s="8" t="b">
        <v>0</v>
      </c>
      <c r="AE569" s="8" t="b">
        <v>1</v>
      </c>
      <c r="AG569" s="11" t="b" cm="1">
        <f t="array" ref="AG569">IF(OR(Y569:AA569="TRUE", AE569="true"), "Threatened")</f>
        <v>0</v>
      </c>
      <c r="AH569" s="11" t="s">
        <v>1702</v>
      </c>
      <c r="AI569" s="8" t="b">
        <v>1</v>
      </c>
    </row>
    <row r="570" spans="1:35" ht="31.2">
      <c r="A570" s="8">
        <v>-73.970904059999995</v>
      </c>
      <c r="B570" s="8">
        <v>40.770116389999998</v>
      </c>
      <c r="C570" s="8" t="s">
        <v>1703</v>
      </c>
      <c r="D570" s="8" t="s">
        <v>113</v>
      </c>
      <c r="E570" s="8" t="b">
        <f t="shared" si="8"/>
        <v>0</v>
      </c>
      <c r="F570" s="8" t="str" cm="1">
        <f t="array" ref="F570">_xlfn._xlws.FILTER(E570:E3768, C570:C3768= "6D-PM-1020-01", "No Squirrels Found")</f>
        <v>No Squirrels Found</v>
      </c>
      <c r="G570" s="8" t="s">
        <v>34</v>
      </c>
      <c r="H570" s="10">
        <v>10062018</v>
      </c>
      <c r="I570" s="10">
        <v>3</v>
      </c>
      <c r="J570" s="8" t="s">
        <v>39</v>
      </c>
      <c r="K570" s="8" t="s">
        <v>40</v>
      </c>
      <c r="M570" s="8" t="s">
        <v>55</v>
      </c>
      <c r="O570" s="8" t="s">
        <v>50</v>
      </c>
      <c r="P570" s="8">
        <v>8</v>
      </c>
      <c r="Q570" s="8" t="s">
        <v>206</v>
      </c>
      <c r="R570" s="8" t="b">
        <v>1</v>
      </c>
      <c r="S570" s="8" t="b">
        <v>0</v>
      </c>
      <c r="T570" s="8" t="b">
        <v>1</v>
      </c>
      <c r="U570" s="8" t="b">
        <v>0</v>
      </c>
      <c r="V570" s="8" t="b">
        <v>0</v>
      </c>
      <c r="X570" s="8" t="b">
        <v>0</v>
      </c>
      <c r="Y570" s="8" t="b">
        <v>0</v>
      </c>
      <c r="Z570" s="8" t="b">
        <v>0</v>
      </c>
      <c r="AA570" s="8" t="b">
        <v>1</v>
      </c>
      <c r="AB570" s="8" t="b">
        <v>0</v>
      </c>
      <c r="AC570" s="8" t="b">
        <v>0</v>
      </c>
      <c r="AD570" s="8" t="b">
        <v>1</v>
      </c>
      <c r="AE570" s="8" t="b">
        <v>0</v>
      </c>
      <c r="AG570" s="11" t="b" cm="1">
        <f t="array" ref="AG570">IF(OR(Y570:AA570="TRUE", AE570="true"), "Threatened")</f>
        <v>0</v>
      </c>
      <c r="AH570" s="11" t="s">
        <v>1704</v>
      </c>
      <c r="AI570" s="8" t="b">
        <v>1</v>
      </c>
    </row>
    <row r="571" spans="1:35" ht="31.2">
      <c r="A571" s="8">
        <v>-73.974522780000001</v>
      </c>
      <c r="B571" s="8">
        <v>40.767361829999999</v>
      </c>
      <c r="C571" s="8" t="s">
        <v>1705</v>
      </c>
      <c r="D571" s="8" t="s">
        <v>1706</v>
      </c>
      <c r="E571" s="8" t="b">
        <f t="shared" si="8"/>
        <v>0</v>
      </c>
      <c r="F571" s="8" t="str" cm="1">
        <f t="array" ref="F571">_xlfn._xlws.FILTER(E571:E3769, C571:C3769= "6D-PM-1020-01", "No Squirrels Found")</f>
        <v>No Squirrels Found</v>
      </c>
      <c r="G571" s="8" t="s">
        <v>48</v>
      </c>
      <c r="H571" s="10">
        <v>10062018</v>
      </c>
      <c r="I571" s="10">
        <v>9</v>
      </c>
      <c r="J571" s="8" t="s">
        <v>54</v>
      </c>
      <c r="K571" s="8" t="s">
        <v>40</v>
      </c>
      <c r="L571" s="8" t="s">
        <v>117</v>
      </c>
      <c r="M571" s="8" t="s">
        <v>118</v>
      </c>
      <c r="O571" s="8" t="s">
        <v>43</v>
      </c>
      <c r="P571" s="8" t="b">
        <v>0</v>
      </c>
      <c r="Q571" s="8" t="s">
        <v>1707</v>
      </c>
      <c r="R571" s="8" t="b">
        <v>0</v>
      </c>
      <c r="S571" s="8" t="b">
        <v>0</v>
      </c>
      <c r="T571" s="8" t="b">
        <v>0</v>
      </c>
      <c r="U571" s="8" t="b">
        <v>0</v>
      </c>
      <c r="V571" s="8" t="b">
        <v>1</v>
      </c>
      <c r="X571" s="8" t="b">
        <v>0</v>
      </c>
      <c r="Y571" s="8" t="b">
        <v>0</v>
      </c>
      <c r="Z571" s="8" t="b">
        <v>0</v>
      </c>
      <c r="AA571" s="8" t="b">
        <v>0</v>
      </c>
      <c r="AB571" s="8" t="b">
        <v>0</v>
      </c>
      <c r="AC571" s="8" t="b">
        <v>0</v>
      </c>
      <c r="AD571" s="8" t="b">
        <v>1</v>
      </c>
      <c r="AE571" s="8" t="b">
        <v>0</v>
      </c>
      <c r="AG571" s="11" t="b" cm="1">
        <f t="array" ref="AG571">IF(OR(Y571:AA571="TRUE", AE571="true"), "Threatened")</f>
        <v>0</v>
      </c>
      <c r="AH571" s="11" t="s">
        <v>1708</v>
      </c>
      <c r="AI571" s="8" t="b">
        <v>1</v>
      </c>
    </row>
    <row r="572" spans="1:35" ht="31.2">
      <c r="A572" s="8">
        <v>-73.965954999999994</v>
      </c>
      <c r="B572" s="8">
        <v>40.783365969999998</v>
      </c>
      <c r="C572" s="8" t="s">
        <v>1709</v>
      </c>
      <c r="D572" s="8" t="s">
        <v>748</v>
      </c>
      <c r="E572" s="8" t="b">
        <f t="shared" si="8"/>
        <v>0</v>
      </c>
      <c r="F572" s="8" t="str" cm="1">
        <f t="array" ref="F572">_xlfn._xlws.FILTER(E572:E3770, C572:C3770= "6D-PM-1020-01", "No Squirrels Found")</f>
        <v>No Squirrels Found</v>
      </c>
      <c r="G572" s="8" t="s">
        <v>34</v>
      </c>
      <c r="H572" s="10">
        <v>10122018</v>
      </c>
      <c r="I572" s="10">
        <v>5</v>
      </c>
      <c r="J572" s="8" t="s">
        <v>39</v>
      </c>
      <c r="K572" s="8" t="s">
        <v>40</v>
      </c>
      <c r="L572" s="8" t="s">
        <v>168</v>
      </c>
      <c r="M572" s="8" t="s">
        <v>169</v>
      </c>
      <c r="R572" s="8" t="b">
        <v>0</v>
      </c>
      <c r="S572" s="8" t="b">
        <v>0</v>
      </c>
      <c r="T572" s="8" t="b">
        <v>0</v>
      </c>
      <c r="U572" s="8" t="b">
        <v>1</v>
      </c>
      <c r="V572" s="8" t="b">
        <v>0</v>
      </c>
      <c r="X572" s="8" t="b">
        <v>0</v>
      </c>
      <c r="Y572" s="8" t="b">
        <v>0</v>
      </c>
      <c r="Z572" s="8" t="b">
        <v>0</v>
      </c>
      <c r="AA572" s="8" t="b">
        <v>0</v>
      </c>
      <c r="AB572" s="8" t="b">
        <v>0</v>
      </c>
      <c r="AC572" s="8" t="b">
        <v>0</v>
      </c>
      <c r="AD572" s="8" t="b">
        <v>1</v>
      </c>
      <c r="AE572" s="8" t="b">
        <v>0</v>
      </c>
      <c r="AG572" s="11" t="b" cm="1">
        <f t="array" ref="AG572">IF(OR(Y572:AA572="TRUE", AE572="true"), "Threatened")</f>
        <v>0</v>
      </c>
      <c r="AH572" s="11" t="s">
        <v>1710</v>
      </c>
      <c r="AI572" s="8" t="b">
        <v>1</v>
      </c>
    </row>
    <row r="573" spans="1:35" ht="31.2">
      <c r="A573" s="8">
        <v>-73.976362230000007</v>
      </c>
      <c r="B573" s="8">
        <v>40.77046713</v>
      </c>
      <c r="C573" s="8" t="s">
        <v>1711</v>
      </c>
      <c r="D573" s="8" t="s">
        <v>109</v>
      </c>
      <c r="E573" s="8" t="b">
        <f t="shared" si="8"/>
        <v>0</v>
      </c>
      <c r="F573" s="8" t="str" cm="1">
        <f t="array" ref="F573">_xlfn._xlws.FILTER(E573:E3771, C573:C3771= "6D-PM-1020-01", "No Squirrels Found")</f>
        <v>No Squirrels Found</v>
      </c>
      <c r="G573" s="8" t="s">
        <v>34</v>
      </c>
      <c r="H573" s="10">
        <v>10102018</v>
      </c>
      <c r="I573" s="10">
        <v>10</v>
      </c>
      <c r="J573" s="8" t="s">
        <v>39</v>
      </c>
      <c r="K573" s="8" t="s">
        <v>40</v>
      </c>
      <c r="L573" s="8" t="s">
        <v>41</v>
      </c>
      <c r="M573" s="8" t="s">
        <v>42</v>
      </c>
      <c r="O573" s="8" t="s">
        <v>43</v>
      </c>
      <c r="P573" s="8" t="b">
        <v>0</v>
      </c>
      <c r="R573" s="8" t="b">
        <v>0</v>
      </c>
      <c r="S573" s="8" t="b">
        <v>0</v>
      </c>
      <c r="T573" s="8" t="b">
        <v>0</v>
      </c>
      <c r="U573" s="8" t="b">
        <v>1</v>
      </c>
      <c r="V573" s="8" t="b">
        <v>0</v>
      </c>
      <c r="X573" s="8" t="b">
        <v>0</v>
      </c>
      <c r="Y573" s="8" t="b">
        <v>0</v>
      </c>
      <c r="Z573" s="8" t="b">
        <v>0</v>
      </c>
      <c r="AA573" s="8" t="b">
        <v>0</v>
      </c>
      <c r="AB573" s="8" t="b">
        <v>0</v>
      </c>
      <c r="AC573" s="8" t="b">
        <v>1</v>
      </c>
      <c r="AD573" s="8" t="b">
        <v>0</v>
      </c>
      <c r="AE573" s="8" t="b">
        <v>0</v>
      </c>
      <c r="AF573" s="11" t="s">
        <v>1712</v>
      </c>
      <c r="AG573" s="11" t="b" cm="1">
        <f t="array" ref="AG573">IF(OR(Y573:AA573="TRUE", AE573="true"), "Threatened")</f>
        <v>0</v>
      </c>
      <c r="AH573" s="11" t="s">
        <v>1713</v>
      </c>
      <c r="AI573" s="8" t="b">
        <v>1</v>
      </c>
    </row>
    <row r="574" spans="1:35" ht="31.2">
      <c r="A574" s="8">
        <v>-73.967468839999995</v>
      </c>
      <c r="B574" s="8">
        <v>40.778972840000002</v>
      </c>
      <c r="C574" s="8" t="s">
        <v>1714</v>
      </c>
      <c r="D574" s="8" t="s">
        <v>215</v>
      </c>
      <c r="E574" s="8" t="b">
        <f t="shared" si="8"/>
        <v>0</v>
      </c>
      <c r="F574" s="8" t="str" cm="1">
        <f t="array" ref="F574">_xlfn._xlws.FILTER(E574:E3772, C574:C3772= "6D-PM-1020-01", "No Squirrels Found")</f>
        <v>No Squirrels Found</v>
      </c>
      <c r="G574" s="8" t="s">
        <v>48</v>
      </c>
      <c r="H574" s="10">
        <v>10172018</v>
      </c>
      <c r="I574" s="10">
        <v>6</v>
      </c>
      <c r="J574" s="8" t="s">
        <v>39</v>
      </c>
      <c r="K574" s="8" t="s">
        <v>40</v>
      </c>
      <c r="M574" s="8" t="s">
        <v>55</v>
      </c>
      <c r="O574" s="8" t="s">
        <v>43</v>
      </c>
      <c r="P574" s="8" t="b">
        <v>0</v>
      </c>
      <c r="R574" s="8" t="b">
        <v>1</v>
      </c>
      <c r="S574" s="8" t="b">
        <v>0</v>
      </c>
      <c r="T574" s="8" t="b">
        <v>0</v>
      </c>
      <c r="U574" s="8" t="b">
        <v>0</v>
      </c>
      <c r="V574" s="8" t="b">
        <v>0</v>
      </c>
      <c r="X574" s="8" t="b">
        <v>0</v>
      </c>
      <c r="Y574" s="8" t="b">
        <v>0</v>
      </c>
      <c r="Z574" s="8" t="b">
        <v>0</v>
      </c>
      <c r="AA574" s="8" t="b">
        <v>0</v>
      </c>
      <c r="AB574" s="8" t="b">
        <v>0</v>
      </c>
      <c r="AC574" s="8" t="b">
        <v>0</v>
      </c>
      <c r="AD574" s="8" t="b">
        <v>1</v>
      </c>
      <c r="AE574" s="8" t="b">
        <v>0</v>
      </c>
      <c r="AG574" s="11" t="b" cm="1">
        <f t="array" ref="AG574">IF(OR(Y574:AA574="TRUE", AE574="true"), "Threatened")</f>
        <v>0</v>
      </c>
      <c r="AH574" s="11" t="s">
        <v>1715</v>
      </c>
      <c r="AI574" s="8" t="b">
        <v>1</v>
      </c>
    </row>
    <row r="575" spans="1:35" ht="31.2">
      <c r="A575" s="8">
        <v>-73.970635999999999</v>
      </c>
      <c r="B575" s="8">
        <v>40.771707399999997</v>
      </c>
      <c r="C575" s="8" t="s">
        <v>1716</v>
      </c>
      <c r="D575" s="8" t="s">
        <v>581</v>
      </c>
      <c r="E575" s="8" t="b">
        <f t="shared" si="8"/>
        <v>0</v>
      </c>
      <c r="F575" s="8" t="str" cm="1">
        <f t="array" ref="F575">_xlfn._xlws.FILTER(E575:E3773, C575:C3773= "6D-PM-1020-01", "No Squirrels Found")</f>
        <v>No Squirrels Found</v>
      </c>
      <c r="G575" s="8" t="s">
        <v>34</v>
      </c>
      <c r="H575" s="10">
        <v>10072018</v>
      </c>
      <c r="I575" s="10">
        <v>5</v>
      </c>
      <c r="J575" s="8" t="s">
        <v>39</v>
      </c>
      <c r="K575" s="8" t="s">
        <v>40</v>
      </c>
      <c r="L575" s="8" t="s">
        <v>84</v>
      </c>
      <c r="M575" s="8" t="s">
        <v>103</v>
      </c>
      <c r="O575" s="8" t="s">
        <v>43</v>
      </c>
      <c r="P575" s="8" t="b">
        <v>0</v>
      </c>
      <c r="R575" s="8" t="b">
        <v>0</v>
      </c>
      <c r="S575" s="8" t="b">
        <v>0</v>
      </c>
      <c r="T575" s="8" t="b">
        <v>0</v>
      </c>
      <c r="U575" s="8" t="b">
        <v>1</v>
      </c>
      <c r="V575" s="8" t="b">
        <v>0</v>
      </c>
      <c r="X575" s="8" t="b">
        <v>0</v>
      </c>
      <c r="Y575" s="8" t="b">
        <v>0</v>
      </c>
      <c r="Z575" s="8" t="b">
        <v>0</v>
      </c>
      <c r="AA575" s="8" t="b">
        <v>0</v>
      </c>
      <c r="AB575" s="8" t="b">
        <v>0</v>
      </c>
      <c r="AC575" s="8" t="b">
        <v>0</v>
      </c>
      <c r="AD575" s="8" t="b">
        <v>0</v>
      </c>
      <c r="AE575" s="8" t="b">
        <v>1</v>
      </c>
      <c r="AG575" s="11" t="b" cm="1">
        <f t="array" ref="AG575">IF(OR(Y575:AA575="TRUE", AE575="true"), "Threatened")</f>
        <v>0</v>
      </c>
      <c r="AH575" s="11" t="s">
        <v>1717</v>
      </c>
      <c r="AI575" s="8" t="b">
        <v>1</v>
      </c>
    </row>
    <row r="576" spans="1:35" ht="31.2">
      <c r="A576" s="8">
        <v>-73.978336690000006</v>
      </c>
      <c r="B576" s="8">
        <v>40.76683001</v>
      </c>
      <c r="C576" s="8" t="s">
        <v>1718</v>
      </c>
      <c r="D576" s="8" t="s">
        <v>1278</v>
      </c>
      <c r="E576" s="8" t="b">
        <f t="shared" si="8"/>
        <v>0</v>
      </c>
      <c r="F576" s="8" t="str" cm="1">
        <f t="array" ref="F576">_xlfn._xlws.FILTER(E576:E3774, C576:C3774= "6D-PM-1020-01", "No Squirrels Found")</f>
        <v>No Squirrels Found</v>
      </c>
      <c r="G576" s="8" t="s">
        <v>34</v>
      </c>
      <c r="H576" s="10">
        <v>10072018</v>
      </c>
      <c r="I576" s="10">
        <v>3</v>
      </c>
      <c r="J576" s="8" t="s">
        <v>39</v>
      </c>
      <c r="K576" s="8" t="s">
        <v>40</v>
      </c>
      <c r="L576" s="8" t="s">
        <v>84</v>
      </c>
      <c r="M576" s="8" t="s">
        <v>103</v>
      </c>
      <c r="O576" s="8" t="s">
        <v>43</v>
      </c>
      <c r="P576" s="8" t="b">
        <v>0</v>
      </c>
      <c r="R576" s="8" t="b">
        <v>0</v>
      </c>
      <c r="S576" s="8" t="b">
        <v>1</v>
      </c>
      <c r="T576" s="8" t="b">
        <v>0</v>
      </c>
      <c r="U576" s="8" t="b">
        <v>0</v>
      </c>
      <c r="V576" s="8" t="b">
        <v>0</v>
      </c>
      <c r="X576" s="8" t="b">
        <v>0</v>
      </c>
      <c r="Y576" s="8" t="b">
        <v>0</v>
      </c>
      <c r="Z576" s="8" t="b">
        <v>0</v>
      </c>
      <c r="AA576" s="8" t="b">
        <v>0</v>
      </c>
      <c r="AB576" s="8" t="b">
        <v>0</v>
      </c>
      <c r="AC576" s="8" t="b">
        <v>0</v>
      </c>
      <c r="AD576" s="8" t="b">
        <v>1</v>
      </c>
      <c r="AE576" s="8" t="b">
        <v>0</v>
      </c>
      <c r="AG576" s="11" t="b" cm="1">
        <f t="array" ref="AG576">IF(OR(Y576:AA576="TRUE", AE576="true"), "Threatened")</f>
        <v>0</v>
      </c>
      <c r="AH576" s="11" t="s">
        <v>1719</v>
      </c>
      <c r="AI576" s="8" t="b">
        <v>1</v>
      </c>
    </row>
    <row r="577" spans="1:35" ht="31.2">
      <c r="A577" s="8">
        <v>-73.96220477</v>
      </c>
      <c r="B577" s="8">
        <v>40.794512640000001</v>
      </c>
      <c r="C577" s="8" t="s">
        <v>1720</v>
      </c>
      <c r="D577" s="8" t="s">
        <v>301</v>
      </c>
      <c r="E577" s="8" t="b">
        <f t="shared" si="8"/>
        <v>0</v>
      </c>
      <c r="F577" s="8" t="str" cm="1">
        <f t="array" ref="F577">_xlfn._xlws.FILTER(E577:E3775, C577:C3775= "6D-PM-1020-01", "No Squirrels Found")</f>
        <v>No Squirrels Found</v>
      </c>
      <c r="G577" s="8" t="s">
        <v>48</v>
      </c>
      <c r="H577" s="10">
        <v>10142018</v>
      </c>
      <c r="I577" s="10">
        <v>6</v>
      </c>
      <c r="J577" s="8" t="s">
        <v>39</v>
      </c>
      <c r="K577" s="8" t="s">
        <v>40</v>
      </c>
      <c r="L577" s="8" t="s">
        <v>41</v>
      </c>
      <c r="M577" s="8" t="s">
        <v>42</v>
      </c>
      <c r="O577" s="8" t="s">
        <v>43</v>
      </c>
      <c r="P577" s="8" t="b">
        <v>0</v>
      </c>
      <c r="R577" s="8" t="b">
        <v>0</v>
      </c>
      <c r="S577" s="8" t="b">
        <v>1</v>
      </c>
      <c r="T577" s="8" t="b">
        <v>0</v>
      </c>
      <c r="U577" s="8" t="b">
        <v>0</v>
      </c>
      <c r="V577" s="8" t="b">
        <v>0</v>
      </c>
      <c r="X577" s="8" t="b">
        <v>0</v>
      </c>
      <c r="Y577" s="8" t="b">
        <v>0</v>
      </c>
      <c r="Z577" s="8" t="b">
        <v>0</v>
      </c>
      <c r="AA577" s="8" t="b">
        <v>0</v>
      </c>
      <c r="AB577" s="8" t="b">
        <v>0</v>
      </c>
      <c r="AC577" s="8" t="b">
        <v>0</v>
      </c>
      <c r="AD577" s="8" t="b">
        <v>1</v>
      </c>
      <c r="AE577" s="8" t="b">
        <v>0</v>
      </c>
      <c r="AG577" s="11" t="b" cm="1">
        <f t="array" ref="AG577">IF(OR(Y577:AA577="TRUE", AE577="true"), "Threatened")</f>
        <v>0</v>
      </c>
      <c r="AH577" s="11" t="s">
        <v>1721</v>
      </c>
      <c r="AI577" s="8" t="b">
        <v>1</v>
      </c>
    </row>
    <row r="578" spans="1:35" ht="31.2">
      <c r="A578" s="8">
        <v>-73.949721769999996</v>
      </c>
      <c r="B578" s="8">
        <v>40.796517010000002</v>
      </c>
      <c r="C578" s="8" t="s">
        <v>1722</v>
      </c>
      <c r="D578" s="8" t="s">
        <v>1723</v>
      </c>
      <c r="E578" s="8" t="b">
        <f t="shared" si="8"/>
        <v>0</v>
      </c>
      <c r="F578" s="8" t="str" cm="1">
        <f t="array" ref="F578">_xlfn._xlws.FILTER(E578:E3776, C578:C3776= "6D-PM-1020-01", "No Squirrels Found")</f>
        <v>No Squirrels Found</v>
      </c>
      <c r="G578" s="8" t="s">
        <v>34</v>
      </c>
      <c r="H578" s="10">
        <v>10142018</v>
      </c>
      <c r="I578" s="10">
        <v>3</v>
      </c>
      <c r="K578" s="8" t="s">
        <v>40</v>
      </c>
      <c r="L578" s="8" t="s">
        <v>41</v>
      </c>
      <c r="M578" s="8" t="s">
        <v>42</v>
      </c>
      <c r="O578" s="8" t="s">
        <v>43</v>
      </c>
      <c r="P578" s="8" t="b">
        <v>0</v>
      </c>
      <c r="R578" s="8" t="b">
        <v>0</v>
      </c>
      <c r="S578" s="8" t="b">
        <v>0</v>
      </c>
      <c r="T578" s="8" t="b">
        <v>0</v>
      </c>
      <c r="U578" s="8" t="b">
        <v>1</v>
      </c>
      <c r="V578" s="8" t="b">
        <v>0</v>
      </c>
      <c r="X578" s="8" t="b">
        <v>0</v>
      </c>
      <c r="Y578" s="8" t="b">
        <v>0</v>
      </c>
      <c r="Z578" s="8" t="b">
        <v>0</v>
      </c>
      <c r="AA578" s="8" t="b">
        <v>0</v>
      </c>
      <c r="AB578" s="8" t="b">
        <v>0</v>
      </c>
      <c r="AC578" s="8" t="b">
        <v>0</v>
      </c>
      <c r="AD578" s="8" t="b">
        <v>1</v>
      </c>
      <c r="AE578" s="8" t="b">
        <v>0</v>
      </c>
      <c r="AG578" s="11" t="b" cm="1">
        <f t="array" ref="AG578">IF(OR(Y578:AA578="TRUE", AE578="true"), "Threatened")</f>
        <v>0</v>
      </c>
      <c r="AH578" s="11" t="s">
        <v>1724</v>
      </c>
      <c r="AI578" s="8" t="b">
        <v>1</v>
      </c>
    </row>
    <row r="579" spans="1:35" ht="31.2">
      <c r="A579" s="8">
        <v>-73.967130639999993</v>
      </c>
      <c r="B579" s="8">
        <v>40.783887020000002</v>
      </c>
      <c r="C579" s="8" t="s">
        <v>1725</v>
      </c>
      <c r="D579" s="8" t="s">
        <v>698</v>
      </c>
      <c r="E579" s="8" t="b">
        <f t="shared" ref="E579:E642" si="9">OR(D579 = "05D", D579 = "07D", D579 = "06C", D579 = "06E")</f>
        <v>0</v>
      </c>
      <c r="F579" s="8" t="str" cm="1">
        <f t="array" ref="F579">_xlfn._xlws.FILTER(E579:E3777, C579:C3777= "6D-PM-1020-01", "No Squirrels Found")</f>
        <v>No Squirrels Found</v>
      </c>
      <c r="G579" s="8" t="s">
        <v>34</v>
      </c>
      <c r="H579" s="10">
        <v>10062018</v>
      </c>
      <c r="I579" s="10">
        <v>5</v>
      </c>
      <c r="J579" s="8" t="s">
        <v>54</v>
      </c>
      <c r="K579" s="8" t="s">
        <v>40</v>
      </c>
      <c r="M579" s="8" t="s">
        <v>55</v>
      </c>
      <c r="O579" s="8" t="s">
        <v>43</v>
      </c>
      <c r="P579" s="8" t="b">
        <v>0</v>
      </c>
      <c r="R579" s="8" t="b">
        <v>0</v>
      </c>
      <c r="S579" s="8" t="b">
        <v>0</v>
      </c>
      <c r="T579" s="8" t="b">
        <v>0</v>
      </c>
      <c r="U579" s="8" t="b">
        <v>1</v>
      </c>
      <c r="V579" s="8" t="b">
        <v>0</v>
      </c>
      <c r="X579" s="8" t="b">
        <v>0</v>
      </c>
      <c r="Y579" s="8" t="b">
        <v>0</v>
      </c>
      <c r="Z579" s="8" t="b">
        <v>0</v>
      </c>
      <c r="AA579" s="8" t="b">
        <v>0</v>
      </c>
      <c r="AB579" s="8" t="b">
        <v>0</v>
      </c>
      <c r="AC579" s="8" t="b">
        <v>0</v>
      </c>
      <c r="AD579" s="8" t="b">
        <v>0</v>
      </c>
      <c r="AE579" s="8" t="b">
        <v>0</v>
      </c>
      <c r="AG579" s="11" t="b" cm="1">
        <f t="array" ref="AG579">IF(OR(Y579:AA579="TRUE", AE579="true"), "Threatened")</f>
        <v>0</v>
      </c>
      <c r="AH579" s="11" t="s">
        <v>1726</v>
      </c>
      <c r="AI579" s="8" t="b">
        <v>1</v>
      </c>
    </row>
    <row r="580" spans="1:35" ht="31.2">
      <c r="A580" s="8">
        <v>-73.978671419999998</v>
      </c>
      <c r="B580" s="8">
        <v>40.769687079999997</v>
      </c>
      <c r="C580" s="8" t="s">
        <v>1727</v>
      </c>
      <c r="D580" s="8" t="s">
        <v>889</v>
      </c>
      <c r="E580" s="8" t="b">
        <f t="shared" si="9"/>
        <v>0</v>
      </c>
      <c r="F580" s="8" t="str" cm="1">
        <f t="array" ref="F580">_xlfn._xlws.FILTER(E580:E3778, C580:C3778= "6D-PM-1020-01", "No Squirrels Found")</f>
        <v>No Squirrels Found</v>
      </c>
      <c r="G580" s="8" t="s">
        <v>34</v>
      </c>
      <c r="H580" s="10">
        <v>10182018</v>
      </c>
      <c r="I580" s="10">
        <v>1</v>
      </c>
      <c r="J580" s="8" t="s">
        <v>39</v>
      </c>
      <c r="K580" s="8" t="s">
        <v>40</v>
      </c>
      <c r="M580" s="8" t="s">
        <v>55</v>
      </c>
      <c r="O580" s="8" t="s">
        <v>43</v>
      </c>
      <c r="P580" s="8" t="b">
        <v>0</v>
      </c>
      <c r="R580" s="8" t="b">
        <v>0</v>
      </c>
      <c r="S580" s="8" t="b">
        <v>0</v>
      </c>
      <c r="T580" s="8" t="b">
        <v>0</v>
      </c>
      <c r="U580" s="8" t="b">
        <v>1</v>
      </c>
      <c r="V580" s="8" t="b">
        <v>0</v>
      </c>
      <c r="X580" s="8" t="b">
        <v>0</v>
      </c>
      <c r="Y580" s="8" t="b">
        <v>0</v>
      </c>
      <c r="Z580" s="8" t="b">
        <v>0</v>
      </c>
      <c r="AA580" s="8" t="b">
        <v>0</v>
      </c>
      <c r="AB580" s="8" t="b">
        <v>0</v>
      </c>
      <c r="AC580" s="8" t="b">
        <v>1</v>
      </c>
      <c r="AD580" s="8" t="b">
        <v>0</v>
      </c>
      <c r="AE580" s="8" t="b">
        <v>0</v>
      </c>
      <c r="AG580" s="11" t="b" cm="1">
        <f t="array" ref="AG580">IF(OR(Y580:AA580="TRUE", AE580="true"), "Threatened")</f>
        <v>0</v>
      </c>
      <c r="AH580" s="11" t="s">
        <v>1728</v>
      </c>
      <c r="AI580" s="8" t="b">
        <v>1</v>
      </c>
    </row>
    <row r="581" spans="1:35" ht="31.2">
      <c r="A581" s="8">
        <v>-73.975099259999993</v>
      </c>
      <c r="B581" s="8">
        <v>40.774339189999999</v>
      </c>
      <c r="C581" s="8" t="s">
        <v>1729</v>
      </c>
      <c r="D581" s="8" t="s">
        <v>472</v>
      </c>
      <c r="E581" s="8" t="b">
        <f t="shared" si="9"/>
        <v>0</v>
      </c>
      <c r="F581" s="8" t="str" cm="1">
        <f t="array" ref="F581">_xlfn._xlws.FILTER(E581:E3779, C581:C3779= "6D-PM-1020-01", "No Squirrels Found")</f>
        <v>No Squirrels Found</v>
      </c>
      <c r="G581" s="8" t="s">
        <v>34</v>
      </c>
      <c r="H581" s="10">
        <v>10142018</v>
      </c>
      <c r="I581" s="10">
        <v>3</v>
      </c>
      <c r="J581" s="8" t="s">
        <v>39</v>
      </c>
      <c r="K581" s="8" t="s">
        <v>40</v>
      </c>
      <c r="L581" s="8" t="s">
        <v>84</v>
      </c>
      <c r="M581" s="8" t="s">
        <v>103</v>
      </c>
      <c r="O581" s="8" t="s">
        <v>43</v>
      </c>
      <c r="P581" s="8" t="b">
        <v>0</v>
      </c>
      <c r="R581" s="8" t="b">
        <v>0</v>
      </c>
      <c r="S581" s="8" t="b">
        <v>0</v>
      </c>
      <c r="T581" s="8" t="b">
        <v>0</v>
      </c>
      <c r="U581" s="8" t="b">
        <v>1</v>
      </c>
      <c r="V581" s="8" t="b">
        <v>1</v>
      </c>
      <c r="X581" s="8" t="b">
        <v>0</v>
      </c>
      <c r="Y581" s="8" t="b">
        <v>0</v>
      </c>
      <c r="Z581" s="8" t="b">
        <v>0</v>
      </c>
      <c r="AA581" s="8" t="b">
        <v>0</v>
      </c>
      <c r="AB581" s="8" t="b">
        <v>0</v>
      </c>
      <c r="AC581" s="8" t="b">
        <v>0</v>
      </c>
      <c r="AD581" s="8" t="b">
        <v>0</v>
      </c>
      <c r="AE581" s="8" t="b">
        <v>0</v>
      </c>
      <c r="AF581" s="11" t="s">
        <v>473</v>
      </c>
      <c r="AG581" s="11" t="b" cm="1">
        <f t="array" ref="AG581">IF(OR(Y581:AA581="TRUE", AE581="true"), "Threatened")</f>
        <v>0</v>
      </c>
      <c r="AH581" s="11" t="s">
        <v>1730</v>
      </c>
      <c r="AI581" s="8" t="b">
        <v>1</v>
      </c>
    </row>
    <row r="582" spans="1:35" ht="31.2">
      <c r="A582" s="8">
        <v>-73.955621820000005</v>
      </c>
      <c r="B582" s="8">
        <v>40.798046020000001</v>
      </c>
      <c r="C582" s="8" t="s">
        <v>1731</v>
      </c>
      <c r="D582" s="8" t="s">
        <v>353</v>
      </c>
      <c r="E582" s="8" t="b">
        <f t="shared" si="9"/>
        <v>0</v>
      </c>
      <c r="F582" s="8" t="str" cm="1">
        <f t="array" ref="F582">_xlfn._xlws.FILTER(E582:E3780, C582:C3780= "6D-PM-1020-01", "No Squirrels Found")</f>
        <v>No Squirrels Found</v>
      </c>
      <c r="G582" s="8" t="s">
        <v>34</v>
      </c>
      <c r="H582" s="10">
        <v>10142018</v>
      </c>
      <c r="I582" s="10">
        <v>1</v>
      </c>
      <c r="J582" s="8" t="s">
        <v>39</v>
      </c>
      <c r="K582" s="8" t="s">
        <v>40</v>
      </c>
      <c r="L582" s="8" t="s">
        <v>41</v>
      </c>
      <c r="M582" s="8" t="s">
        <v>42</v>
      </c>
      <c r="O582" s="8" t="s">
        <v>43</v>
      </c>
      <c r="P582" s="8" t="b">
        <v>0</v>
      </c>
      <c r="R582" s="8" t="b">
        <v>0</v>
      </c>
      <c r="S582" s="8" t="b">
        <v>0</v>
      </c>
      <c r="T582" s="8" t="b">
        <v>0</v>
      </c>
      <c r="U582" s="8" t="b">
        <v>1</v>
      </c>
      <c r="V582" s="8" t="b">
        <v>0</v>
      </c>
      <c r="W582" s="11" t="s">
        <v>1732</v>
      </c>
      <c r="X582" s="8" t="b">
        <v>0</v>
      </c>
      <c r="Y582" s="8" t="b">
        <v>0</v>
      </c>
      <c r="Z582" s="8" t="b">
        <v>0</v>
      </c>
      <c r="AA582" s="8" t="b">
        <v>0</v>
      </c>
      <c r="AB582" s="8" t="b">
        <v>0</v>
      </c>
      <c r="AC582" s="8" t="b">
        <v>0</v>
      </c>
      <c r="AD582" s="8" t="b">
        <v>0</v>
      </c>
      <c r="AE582" s="8" t="b">
        <v>1</v>
      </c>
      <c r="AG582" s="11" t="b" cm="1">
        <f t="array" ref="AG582">IF(OR(Y582:AA582="TRUE", AE582="true"), "Threatened")</f>
        <v>0</v>
      </c>
      <c r="AH582" s="11" t="s">
        <v>1733</v>
      </c>
      <c r="AI582" s="8" t="b">
        <v>0</v>
      </c>
    </row>
    <row r="583" spans="1:35" ht="31.2">
      <c r="A583" s="8">
        <v>-73.967777940000005</v>
      </c>
      <c r="B583" s="8">
        <v>40.78674822</v>
      </c>
      <c r="C583" s="8" t="s">
        <v>1734</v>
      </c>
      <c r="D583" s="8" t="s">
        <v>147</v>
      </c>
      <c r="E583" s="8" t="b">
        <f t="shared" si="9"/>
        <v>0</v>
      </c>
      <c r="F583" s="8" t="str" cm="1">
        <f t="array" ref="F583">_xlfn._xlws.FILTER(E583:E3781, C583:C3781= "6D-PM-1020-01", "No Squirrels Found")</f>
        <v>No Squirrels Found</v>
      </c>
      <c r="G583" s="8" t="s">
        <v>48</v>
      </c>
      <c r="H583" s="10">
        <v>10132018</v>
      </c>
      <c r="I583" s="10">
        <v>2</v>
      </c>
      <c r="K583" s="8" t="s">
        <v>40</v>
      </c>
      <c r="M583" s="8" t="s">
        <v>55</v>
      </c>
      <c r="O583" s="8" t="s">
        <v>50</v>
      </c>
      <c r="P583" s="8">
        <v>15</v>
      </c>
      <c r="Q583" s="8" t="s">
        <v>1735</v>
      </c>
      <c r="R583" s="8" t="b">
        <v>0</v>
      </c>
      <c r="S583" s="8" t="b">
        <v>1</v>
      </c>
      <c r="T583" s="8" t="b">
        <v>0</v>
      </c>
      <c r="U583" s="8" t="b">
        <v>0</v>
      </c>
      <c r="V583" s="8" t="b">
        <v>0</v>
      </c>
      <c r="W583" s="11" t="s">
        <v>1032</v>
      </c>
      <c r="X583" s="8" t="b">
        <v>0</v>
      </c>
      <c r="Y583" s="8" t="b">
        <v>0</v>
      </c>
      <c r="Z583" s="8" t="b">
        <v>0</v>
      </c>
      <c r="AA583" s="8" t="b">
        <v>1</v>
      </c>
      <c r="AB583" s="8" t="b">
        <v>0</v>
      </c>
      <c r="AC583" s="8" t="b">
        <v>0</v>
      </c>
      <c r="AD583" s="8" t="b">
        <v>1</v>
      </c>
      <c r="AE583" s="8" t="b">
        <v>0</v>
      </c>
      <c r="AG583" s="11" t="b" cm="1">
        <f t="array" ref="AG583">IF(OR(Y583:AA583="TRUE", AE583="true"), "Threatened")</f>
        <v>0</v>
      </c>
      <c r="AH583" s="11" t="s">
        <v>1736</v>
      </c>
      <c r="AI583" s="8" t="b">
        <v>0</v>
      </c>
    </row>
    <row r="584" spans="1:35" ht="31.2">
      <c r="A584" s="8">
        <v>-73.961239849999998</v>
      </c>
      <c r="B584" s="8">
        <v>40.795003319999999</v>
      </c>
      <c r="C584" s="8" t="s">
        <v>1737</v>
      </c>
      <c r="D584" s="8" t="s">
        <v>301</v>
      </c>
      <c r="E584" s="8" t="b">
        <f t="shared" si="9"/>
        <v>0</v>
      </c>
      <c r="F584" s="8" t="str" cm="1">
        <f t="array" ref="F584">_xlfn._xlws.FILTER(E584:E3782, C584:C3782= "6D-PM-1020-01", "No Squirrels Found")</f>
        <v>No Squirrels Found</v>
      </c>
      <c r="G584" s="8" t="s">
        <v>34</v>
      </c>
      <c r="H584" s="10">
        <v>10132018</v>
      </c>
      <c r="I584" s="10">
        <v>12</v>
      </c>
      <c r="J584" s="8" t="s">
        <v>39</v>
      </c>
      <c r="K584" s="8" t="s">
        <v>40</v>
      </c>
      <c r="L584" s="8" t="s">
        <v>41</v>
      </c>
      <c r="M584" s="8" t="s">
        <v>42</v>
      </c>
      <c r="O584" s="8" t="s">
        <v>43</v>
      </c>
      <c r="P584" s="8" t="b">
        <v>0</v>
      </c>
      <c r="R584" s="8" t="b">
        <v>1</v>
      </c>
      <c r="S584" s="8" t="b">
        <v>0</v>
      </c>
      <c r="T584" s="8" t="b">
        <v>0</v>
      </c>
      <c r="U584" s="8" t="b">
        <v>0</v>
      </c>
      <c r="V584" s="8" t="b">
        <v>0</v>
      </c>
      <c r="X584" s="8" t="b">
        <v>0</v>
      </c>
      <c r="Y584" s="8" t="b">
        <v>0</v>
      </c>
      <c r="Z584" s="8" t="b">
        <v>0</v>
      </c>
      <c r="AA584" s="8" t="b">
        <v>1</v>
      </c>
      <c r="AB584" s="8" t="b">
        <v>0</v>
      </c>
      <c r="AC584" s="8" t="b">
        <v>0</v>
      </c>
      <c r="AD584" s="8" t="b">
        <v>0</v>
      </c>
      <c r="AE584" s="8" t="b">
        <v>1</v>
      </c>
      <c r="AG584" s="11" t="b" cm="1">
        <f t="array" ref="AG584">IF(OR(Y584:AA584="TRUE", AE584="true"), "Threatened")</f>
        <v>0</v>
      </c>
      <c r="AH584" s="11" t="s">
        <v>1738</v>
      </c>
      <c r="AI584" s="8" t="b">
        <v>1</v>
      </c>
    </row>
    <row r="585" spans="1:35" ht="31.2">
      <c r="A585" s="8">
        <v>-73.97205538</v>
      </c>
      <c r="B585" s="8">
        <v>40.766448820000001</v>
      </c>
      <c r="C585" s="8" t="s">
        <v>1739</v>
      </c>
      <c r="D585" s="8" t="s">
        <v>988</v>
      </c>
      <c r="E585" s="8" t="b">
        <f t="shared" si="9"/>
        <v>0</v>
      </c>
      <c r="F585" s="8" t="str" cm="1">
        <f t="array" ref="F585">_xlfn._xlws.FILTER(E585:E3783, C585:C3783= "6D-PM-1020-01", "No Squirrels Found")</f>
        <v>No Squirrels Found</v>
      </c>
      <c r="G585" s="8" t="s">
        <v>48</v>
      </c>
      <c r="H585" s="10">
        <v>10102018</v>
      </c>
      <c r="I585" s="10">
        <v>4</v>
      </c>
      <c r="J585" s="8" t="s">
        <v>39</v>
      </c>
      <c r="K585" s="8" t="s">
        <v>40</v>
      </c>
      <c r="M585" s="8" t="s">
        <v>55</v>
      </c>
      <c r="O585" s="8" t="s">
        <v>43</v>
      </c>
      <c r="P585" s="8" t="b">
        <v>0</v>
      </c>
      <c r="R585" s="8" t="b">
        <v>0</v>
      </c>
      <c r="S585" s="8" t="b">
        <v>0</v>
      </c>
      <c r="T585" s="8" t="b">
        <v>0</v>
      </c>
      <c r="U585" s="8" t="b">
        <v>0</v>
      </c>
      <c r="V585" s="8" t="b">
        <v>1</v>
      </c>
      <c r="X585" s="8" t="b">
        <v>0</v>
      </c>
      <c r="Y585" s="8" t="b">
        <v>0</v>
      </c>
      <c r="Z585" s="8" t="b">
        <v>0</v>
      </c>
      <c r="AA585" s="8" t="b">
        <v>0</v>
      </c>
      <c r="AB585" s="8" t="b">
        <v>0</v>
      </c>
      <c r="AC585" s="8" t="b">
        <v>0</v>
      </c>
      <c r="AD585" s="8" t="b">
        <v>1</v>
      </c>
      <c r="AE585" s="8" t="b">
        <v>0</v>
      </c>
      <c r="AG585" s="11" t="b" cm="1">
        <f t="array" ref="AG585">IF(OR(Y585:AA585="TRUE", AE585="true"), "Threatened")</f>
        <v>0</v>
      </c>
      <c r="AH585" s="11" t="s">
        <v>1740</v>
      </c>
      <c r="AI585" s="8" t="b">
        <v>1</v>
      </c>
    </row>
    <row r="586" spans="1:35" ht="31.2">
      <c r="A586" s="8">
        <v>-73.970014820000003</v>
      </c>
      <c r="B586" s="8">
        <v>40.778778019999997</v>
      </c>
      <c r="C586" s="8" t="s">
        <v>1741</v>
      </c>
      <c r="D586" s="8" t="s">
        <v>721</v>
      </c>
      <c r="E586" s="8" t="b">
        <f t="shared" si="9"/>
        <v>0</v>
      </c>
      <c r="F586" s="8" t="str" cm="1">
        <f t="array" ref="F586">_xlfn._xlws.FILTER(E586:E3784, C586:C3784= "6D-PM-1020-01", "No Squirrels Found")</f>
        <v>No Squirrels Found</v>
      </c>
      <c r="G586" s="8" t="s">
        <v>34</v>
      </c>
      <c r="H586" s="10">
        <v>10102018</v>
      </c>
      <c r="I586" s="10">
        <v>4</v>
      </c>
      <c r="J586" s="8" t="s">
        <v>39</v>
      </c>
      <c r="K586" s="8" t="s">
        <v>40</v>
      </c>
      <c r="M586" s="8" t="s">
        <v>55</v>
      </c>
      <c r="O586" s="8" t="s">
        <v>43</v>
      </c>
      <c r="P586" s="8" t="b">
        <v>0</v>
      </c>
      <c r="R586" s="8" t="b">
        <v>0</v>
      </c>
      <c r="S586" s="8" t="b">
        <v>0</v>
      </c>
      <c r="T586" s="8" t="b">
        <v>0</v>
      </c>
      <c r="U586" s="8" t="b">
        <v>1</v>
      </c>
      <c r="V586" s="8" t="b">
        <v>0</v>
      </c>
      <c r="X586" s="8" t="b">
        <v>0</v>
      </c>
      <c r="Y586" s="8" t="b">
        <v>0</v>
      </c>
      <c r="Z586" s="8" t="b">
        <v>0</v>
      </c>
      <c r="AA586" s="8" t="b">
        <v>0</v>
      </c>
      <c r="AB586" s="8" t="b">
        <v>0</v>
      </c>
      <c r="AC586" s="8" t="b">
        <v>0</v>
      </c>
      <c r="AD586" s="8" t="b">
        <v>1</v>
      </c>
      <c r="AE586" s="8" t="b">
        <v>0</v>
      </c>
      <c r="AG586" s="11" t="b" cm="1">
        <f t="array" ref="AG586">IF(OR(Y586:AA586="TRUE", AE586="true"), "Threatened")</f>
        <v>0</v>
      </c>
      <c r="AH586" s="11" t="s">
        <v>1742</v>
      </c>
      <c r="AI586" s="8" t="b">
        <v>1</v>
      </c>
    </row>
    <row r="587" spans="1:35" ht="31.2">
      <c r="A587" s="8">
        <v>-73.978912609999995</v>
      </c>
      <c r="B587" s="8">
        <v>40.768507909999997</v>
      </c>
      <c r="C587" s="8" t="s">
        <v>1743</v>
      </c>
      <c r="D587" s="8" t="s">
        <v>1235</v>
      </c>
      <c r="E587" s="8" t="b">
        <f t="shared" si="9"/>
        <v>0</v>
      </c>
      <c r="F587" s="8" t="str" cm="1">
        <f t="array" ref="F587">_xlfn._xlws.FILTER(E587:E3785, C587:C3785= "6D-PM-1020-01", "No Squirrels Found")</f>
        <v>No Squirrels Found</v>
      </c>
      <c r="G587" s="8" t="s">
        <v>34</v>
      </c>
      <c r="H587" s="10">
        <v>10132018</v>
      </c>
      <c r="I587" s="10">
        <v>8</v>
      </c>
      <c r="J587" s="8" t="s">
        <v>39</v>
      </c>
      <c r="K587" s="8" t="s">
        <v>40</v>
      </c>
      <c r="L587" s="8" t="s">
        <v>84</v>
      </c>
      <c r="M587" s="8" t="s">
        <v>103</v>
      </c>
      <c r="O587" s="8" t="s">
        <v>43</v>
      </c>
      <c r="P587" s="8" t="b">
        <v>0</v>
      </c>
      <c r="R587" s="8" t="b">
        <v>0</v>
      </c>
      <c r="S587" s="8" t="b">
        <v>0</v>
      </c>
      <c r="T587" s="8" t="b">
        <v>0</v>
      </c>
      <c r="U587" s="8" t="b">
        <v>0</v>
      </c>
      <c r="V587" s="8" t="b">
        <v>0</v>
      </c>
      <c r="X587" s="8" t="b">
        <v>0</v>
      </c>
      <c r="Y587" s="8" t="b">
        <v>0</v>
      </c>
      <c r="Z587" s="8" t="b">
        <v>0</v>
      </c>
      <c r="AA587" s="8" t="b">
        <v>0</v>
      </c>
      <c r="AB587" s="8" t="b">
        <v>0</v>
      </c>
      <c r="AC587" s="8" t="b">
        <v>1</v>
      </c>
      <c r="AD587" s="8" t="b">
        <v>0</v>
      </c>
      <c r="AE587" s="8" t="b">
        <v>0</v>
      </c>
      <c r="AG587" s="11" t="b" cm="1">
        <f t="array" ref="AG587">IF(OR(Y587:AA587="TRUE", AE587="true"), "Threatened")</f>
        <v>0</v>
      </c>
      <c r="AH587" s="11" t="s">
        <v>1744</v>
      </c>
      <c r="AI587" s="8" t="b">
        <v>1</v>
      </c>
    </row>
    <row r="588" spans="1:35" ht="31.2">
      <c r="A588" s="8">
        <v>-73.977184390000005</v>
      </c>
      <c r="B588" s="8">
        <v>40.772366640000001</v>
      </c>
      <c r="C588" s="8" t="s">
        <v>1745</v>
      </c>
      <c r="D588" s="8" t="s">
        <v>72</v>
      </c>
      <c r="E588" s="8" t="b">
        <f t="shared" si="9"/>
        <v>0</v>
      </c>
      <c r="F588" s="8" t="str" cm="1">
        <f t="array" ref="F588">_xlfn._xlws.FILTER(E588:E3786, C588:C3786= "6D-PM-1020-01", "No Squirrels Found")</f>
        <v>No Squirrels Found</v>
      </c>
      <c r="G588" s="8" t="s">
        <v>48</v>
      </c>
      <c r="H588" s="10">
        <v>10082018</v>
      </c>
      <c r="I588" s="10">
        <v>1</v>
      </c>
      <c r="J588" s="8" t="s">
        <v>39</v>
      </c>
      <c r="K588" s="8" t="s">
        <v>40</v>
      </c>
      <c r="M588" s="8" t="s">
        <v>55</v>
      </c>
      <c r="O588" s="8" t="s">
        <v>43</v>
      </c>
      <c r="P588" s="8" t="b">
        <v>0</v>
      </c>
      <c r="R588" s="8" t="b">
        <v>0</v>
      </c>
      <c r="S588" s="8" t="b">
        <v>0</v>
      </c>
      <c r="T588" s="8" t="b">
        <v>0</v>
      </c>
      <c r="U588" s="8" t="b">
        <v>1</v>
      </c>
      <c r="V588" s="8" t="b">
        <v>0</v>
      </c>
      <c r="X588" s="8" t="b">
        <v>0</v>
      </c>
      <c r="Y588" s="8" t="b">
        <v>0</v>
      </c>
      <c r="Z588" s="8" t="b">
        <v>0</v>
      </c>
      <c r="AA588" s="8" t="b">
        <v>0</v>
      </c>
      <c r="AB588" s="8" t="b">
        <v>0</v>
      </c>
      <c r="AC588" s="8" t="b">
        <v>0</v>
      </c>
      <c r="AD588" s="8" t="b">
        <v>1</v>
      </c>
      <c r="AE588" s="8" t="b">
        <v>0</v>
      </c>
      <c r="AG588" s="11" t="b" cm="1">
        <f t="array" ref="AG588">IF(OR(Y588:AA588="TRUE", AE588="true"), "Threatened")</f>
        <v>0</v>
      </c>
      <c r="AH588" s="11" t="s">
        <v>1746</v>
      </c>
      <c r="AI588" s="8" t="b">
        <v>1</v>
      </c>
    </row>
    <row r="589" spans="1:35" ht="31.2">
      <c r="A589" s="8">
        <v>-73.964659749999996</v>
      </c>
      <c r="B589" s="8">
        <v>40.782769819999999</v>
      </c>
      <c r="C589" s="8" t="s">
        <v>1747</v>
      </c>
      <c r="D589" s="8" t="s">
        <v>177</v>
      </c>
      <c r="E589" s="8" t="b">
        <f t="shared" si="9"/>
        <v>0</v>
      </c>
      <c r="F589" s="8" t="str" cm="1">
        <f t="array" ref="F589">_xlfn._xlws.FILTER(E589:E3787, C589:C3787= "6D-PM-1020-01", "No Squirrels Found")</f>
        <v>No Squirrels Found</v>
      </c>
      <c r="G589" s="8" t="s">
        <v>48</v>
      </c>
      <c r="H589" s="10">
        <v>10072018</v>
      </c>
      <c r="I589" s="10">
        <v>7</v>
      </c>
      <c r="J589" s="8" t="s">
        <v>54</v>
      </c>
      <c r="K589" s="8" t="s">
        <v>41</v>
      </c>
      <c r="L589" s="8" t="s">
        <v>40</v>
      </c>
      <c r="M589" s="8" t="s">
        <v>110</v>
      </c>
      <c r="O589" s="8" t="s">
        <v>50</v>
      </c>
      <c r="P589" s="8">
        <v>3</v>
      </c>
      <c r="R589" s="8" t="b">
        <v>0</v>
      </c>
      <c r="S589" s="8" t="b">
        <v>0</v>
      </c>
      <c r="T589" s="8" t="b">
        <v>1</v>
      </c>
      <c r="U589" s="8" t="b">
        <v>0</v>
      </c>
      <c r="V589" s="8" t="b">
        <v>0</v>
      </c>
      <c r="X589" s="8" t="b">
        <v>0</v>
      </c>
      <c r="Y589" s="8" t="b">
        <v>0</v>
      </c>
      <c r="Z589" s="8" t="b">
        <v>0</v>
      </c>
      <c r="AA589" s="8" t="b">
        <v>0</v>
      </c>
      <c r="AB589" s="8" t="b">
        <v>1</v>
      </c>
      <c r="AC589" s="8" t="b">
        <v>0</v>
      </c>
      <c r="AD589" s="8" t="b">
        <v>0</v>
      </c>
      <c r="AE589" s="8" t="b">
        <v>0</v>
      </c>
      <c r="AF589" s="11" t="s">
        <v>1748</v>
      </c>
      <c r="AG589" s="11" t="b" cm="1">
        <f t="array" ref="AG589">IF(OR(Y589:AA589="TRUE", AE589="true"), "Threatened")</f>
        <v>0</v>
      </c>
      <c r="AH589" s="11" t="s">
        <v>1749</v>
      </c>
      <c r="AI589" s="8" t="b">
        <v>1</v>
      </c>
    </row>
    <row r="590" spans="1:35" ht="31.2">
      <c r="A590" s="8">
        <v>-73.978264379999999</v>
      </c>
      <c r="B590" s="8">
        <v>40.771708609999997</v>
      </c>
      <c r="C590" s="8" t="s">
        <v>1750</v>
      </c>
      <c r="D590" s="8" t="s">
        <v>874</v>
      </c>
      <c r="E590" s="8" t="b">
        <f t="shared" si="9"/>
        <v>0</v>
      </c>
      <c r="F590" s="8" t="str" cm="1">
        <f t="array" ref="F590">_xlfn._xlws.FILTER(E590:E3788, C590:C3788= "6D-PM-1020-01", "No Squirrels Found")</f>
        <v>No Squirrels Found</v>
      </c>
      <c r="G590" s="8" t="s">
        <v>48</v>
      </c>
      <c r="H590" s="10">
        <v>10062018</v>
      </c>
      <c r="I590" s="10">
        <v>4</v>
      </c>
      <c r="J590" s="8" t="s">
        <v>39</v>
      </c>
      <c r="K590" s="8" t="s">
        <v>40</v>
      </c>
      <c r="L590" s="8" t="s">
        <v>84</v>
      </c>
      <c r="M590" s="8" t="s">
        <v>103</v>
      </c>
      <c r="O590" s="8" t="s">
        <v>43</v>
      </c>
      <c r="P590" s="8" t="b">
        <v>0</v>
      </c>
      <c r="R590" s="8" t="b">
        <v>0</v>
      </c>
      <c r="S590" s="8" t="b">
        <v>1</v>
      </c>
      <c r="T590" s="8" t="b">
        <v>0</v>
      </c>
      <c r="U590" s="8" t="b">
        <v>0</v>
      </c>
      <c r="V590" s="8" t="b">
        <v>1</v>
      </c>
      <c r="X590" s="8" t="b">
        <v>0</v>
      </c>
      <c r="Y590" s="8" t="b">
        <v>0</v>
      </c>
      <c r="Z590" s="8" t="b">
        <v>0</v>
      </c>
      <c r="AA590" s="8" t="b">
        <v>0</v>
      </c>
      <c r="AB590" s="8" t="b">
        <v>1</v>
      </c>
      <c r="AC590" s="8" t="b">
        <v>0</v>
      </c>
      <c r="AD590" s="8" t="b">
        <v>0</v>
      </c>
      <c r="AE590" s="8" t="b">
        <v>0</v>
      </c>
      <c r="AF590" s="11" t="s">
        <v>1751</v>
      </c>
      <c r="AG590" s="11" t="b" cm="1">
        <f t="array" ref="AG590">IF(OR(Y590:AA590="TRUE", AE590="true"), "Threatened")</f>
        <v>0</v>
      </c>
      <c r="AH590" s="11" t="s">
        <v>1752</v>
      </c>
      <c r="AI590" s="8" t="b">
        <v>1</v>
      </c>
    </row>
    <row r="591" spans="1:35" ht="31.2">
      <c r="A591" s="8">
        <v>-73.978513329999998</v>
      </c>
      <c r="B591" s="8">
        <v>40.77182603</v>
      </c>
      <c r="C591" s="8" t="s">
        <v>1753</v>
      </c>
      <c r="D591" s="8" t="s">
        <v>874</v>
      </c>
      <c r="E591" s="8" t="b">
        <f t="shared" si="9"/>
        <v>0</v>
      </c>
      <c r="F591" s="8" t="str" cm="1">
        <f t="array" ref="F591">_xlfn._xlws.FILTER(E591:E3789, C591:C3789= "6D-PM-1020-01", "No Squirrels Found")</f>
        <v>No Squirrels Found</v>
      </c>
      <c r="G591" s="8" t="s">
        <v>34</v>
      </c>
      <c r="H591" s="10">
        <v>10122018</v>
      </c>
      <c r="I591" s="10">
        <v>5</v>
      </c>
      <c r="J591" s="8" t="s">
        <v>39</v>
      </c>
      <c r="K591" s="8" t="s">
        <v>41</v>
      </c>
      <c r="L591" s="8" t="s">
        <v>84</v>
      </c>
      <c r="M591" s="8" t="s">
        <v>85</v>
      </c>
      <c r="O591" s="8" t="s">
        <v>43</v>
      </c>
      <c r="P591" s="8" t="b">
        <v>0</v>
      </c>
      <c r="R591" s="8" t="b">
        <v>0</v>
      </c>
      <c r="S591" s="8" t="b">
        <v>0</v>
      </c>
      <c r="T591" s="8" t="b">
        <v>0</v>
      </c>
      <c r="U591" s="8" t="b">
        <v>0</v>
      </c>
      <c r="V591" s="8" t="b">
        <v>1</v>
      </c>
      <c r="X591" s="8" t="b">
        <v>0</v>
      </c>
      <c r="Y591" s="8" t="b">
        <v>0</v>
      </c>
      <c r="Z591" s="8" t="b">
        <v>0</v>
      </c>
      <c r="AA591" s="8" t="b">
        <v>0</v>
      </c>
      <c r="AB591" s="8" t="b">
        <v>0</v>
      </c>
      <c r="AC591" s="8" t="b">
        <v>0</v>
      </c>
      <c r="AD591" s="8" t="b">
        <v>0</v>
      </c>
      <c r="AE591" s="8" t="b">
        <v>0</v>
      </c>
      <c r="AG591" s="11" t="b" cm="1">
        <f t="array" ref="AG591">IF(OR(Y591:AA591="TRUE", AE591="true"), "Threatened")</f>
        <v>0</v>
      </c>
      <c r="AH591" s="11" t="s">
        <v>1754</v>
      </c>
      <c r="AI591" s="8" t="b">
        <v>1</v>
      </c>
    </row>
    <row r="592" spans="1:35" ht="31.2">
      <c r="A592" s="8">
        <v>-73.954332379999997</v>
      </c>
      <c r="B592" s="8">
        <v>40.794308649999998</v>
      </c>
      <c r="C592" s="8" t="s">
        <v>1755</v>
      </c>
      <c r="D592" s="8" t="s">
        <v>939</v>
      </c>
      <c r="E592" s="8" t="b">
        <f t="shared" si="9"/>
        <v>0</v>
      </c>
      <c r="F592" s="8" t="str" cm="1">
        <f t="array" ref="F592">_xlfn._xlws.FILTER(E592:E3790, C592:C3790= "6D-PM-1020-01", "No Squirrels Found")</f>
        <v>No Squirrels Found</v>
      </c>
      <c r="G592" s="8" t="s">
        <v>34</v>
      </c>
      <c r="H592" s="10">
        <v>10072018</v>
      </c>
      <c r="I592" s="10">
        <v>3</v>
      </c>
      <c r="J592" s="8" t="s">
        <v>39</v>
      </c>
      <c r="K592" s="8" t="s">
        <v>40</v>
      </c>
      <c r="L592" s="8" t="s">
        <v>41</v>
      </c>
      <c r="M592" s="8" t="s">
        <v>42</v>
      </c>
      <c r="O592" s="8" t="s">
        <v>50</v>
      </c>
      <c r="P592" s="8">
        <v>15</v>
      </c>
      <c r="R592" s="8" t="b">
        <v>0</v>
      </c>
      <c r="S592" s="8" t="b">
        <v>0</v>
      </c>
      <c r="T592" s="8" t="b">
        <v>0</v>
      </c>
      <c r="U592" s="8" t="b">
        <v>1</v>
      </c>
      <c r="V592" s="8" t="b">
        <v>0</v>
      </c>
      <c r="W592" s="11" t="s">
        <v>1756</v>
      </c>
      <c r="X592" s="8" t="b">
        <v>0</v>
      </c>
      <c r="Y592" s="8" t="b">
        <v>0</v>
      </c>
      <c r="Z592" s="8" t="b">
        <v>0</v>
      </c>
      <c r="AA592" s="8" t="b">
        <v>0</v>
      </c>
      <c r="AB592" s="8" t="b">
        <v>0</v>
      </c>
      <c r="AC592" s="8" t="b">
        <v>0</v>
      </c>
      <c r="AD592" s="8" t="b">
        <v>0</v>
      </c>
      <c r="AE592" s="8" t="b">
        <v>0</v>
      </c>
      <c r="AG592" s="11" t="b" cm="1">
        <f t="array" ref="AG592">IF(OR(Y592:AA592="TRUE", AE592="true"), "Threatened")</f>
        <v>0</v>
      </c>
      <c r="AH592" s="11" t="s">
        <v>1757</v>
      </c>
      <c r="AI592" s="8" t="b">
        <v>0</v>
      </c>
    </row>
    <row r="593" spans="1:35" ht="31.2">
      <c r="A593" s="8">
        <v>-73.971225680000003</v>
      </c>
      <c r="B593" s="8">
        <v>40.776094290000003</v>
      </c>
      <c r="C593" s="8" t="s">
        <v>1758</v>
      </c>
      <c r="D593" s="8" t="s">
        <v>426</v>
      </c>
      <c r="E593" s="8" t="b">
        <f t="shared" si="9"/>
        <v>0</v>
      </c>
      <c r="F593" s="8" t="str" cm="1">
        <f t="array" ref="F593">_xlfn._xlws.FILTER(E593:E3791, C593:C3791= "6D-PM-1020-01", "No Squirrels Found")</f>
        <v>No Squirrels Found</v>
      </c>
      <c r="G593" s="8" t="s">
        <v>34</v>
      </c>
      <c r="H593" s="10">
        <v>10182018</v>
      </c>
      <c r="I593" s="10">
        <v>13</v>
      </c>
      <c r="J593" s="8" t="s">
        <v>39</v>
      </c>
      <c r="K593" s="8" t="s">
        <v>40</v>
      </c>
      <c r="L593" s="8" t="s">
        <v>117</v>
      </c>
      <c r="M593" s="8" t="s">
        <v>118</v>
      </c>
      <c r="N593" s="11" t="s">
        <v>1759</v>
      </c>
      <c r="O593" s="8" t="s">
        <v>43</v>
      </c>
      <c r="P593" s="8" t="b">
        <v>0</v>
      </c>
      <c r="R593" s="8" t="b">
        <v>0</v>
      </c>
      <c r="S593" s="8" t="b">
        <v>0</v>
      </c>
      <c r="T593" s="8" t="b">
        <v>0</v>
      </c>
      <c r="U593" s="8" t="b">
        <v>0</v>
      </c>
      <c r="V593" s="8" t="b">
        <v>1</v>
      </c>
      <c r="W593" s="11" t="s">
        <v>355</v>
      </c>
      <c r="X593" s="8" t="b">
        <v>0</v>
      </c>
      <c r="Y593" s="8" t="b">
        <v>0</v>
      </c>
      <c r="Z593" s="8" t="b">
        <v>0</v>
      </c>
      <c r="AA593" s="8" t="b">
        <v>0</v>
      </c>
      <c r="AB593" s="8" t="b">
        <v>0</v>
      </c>
      <c r="AC593" s="8" t="b">
        <v>0</v>
      </c>
      <c r="AD593" s="8" t="b">
        <v>1</v>
      </c>
      <c r="AE593" s="8" t="b">
        <v>0</v>
      </c>
      <c r="AG593" s="11" t="b" cm="1">
        <f t="array" ref="AG593">IF(OR(Y593:AA593="TRUE", AE593="true"), "Threatened")</f>
        <v>0</v>
      </c>
      <c r="AH593" s="11" t="s">
        <v>1760</v>
      </c>
      <c r="AI593" s="8" t="b">
        <v>0</v>
      </c>
    </row>
    <row r="594" spans="1:35" ht="31.2">
      <c r="A594" s="8">
        <v>-73.959335280000005</v>
      </c>
      <c r="B594" s="8">
        <v>40.791815059999998</v>
      </c>
      <c r="C594" s="8" t="s">
        <v>1761</v>
      </c>
      <c r="D594" s="8" t="s">
        <v>1214</v>
      </c>
      <c r="E594" s="8" t="b">
        <f t="shared" si="9"/>
        <v>0</v>
      </c>
      <c r="F594" s="8" t="str" cm="1">
        <f t="array" ref="F594">_xlfn._xlws.FILTER(E594:E3792, C594:C3792= "6D-PM-1020-01", "No Squirrels Found")</f>
        <v>No Squirrels Found</v>
      </c>
      <c r="G594" s="8" t="s">
        <v>48</v>
      </c>
      <c r="H594" s="10">
        <v>10142018</v>
      </c>
      <c r="I594" s="10">
        <v>2</v>
      </c>
      <c r="J594" s="8" t="s">
        <v>54</v>
      </c>
      <c r="K594" s="8" t="s">
        <v>192</v>
      </c>
      <c r="M594" s="8" t="s">
        <v>193</v>
      </c>
      <c r="O594" s="8" t="s">
        <v>50</v>
      </c>
      <c r="P594" s="8">
        <v>10</v>
      </c>
      <c r="R594" s="8" t="b">
        <v>0</v>
      </c>
      <c r="S594" s="8" t="b">
        <v>0</v>
      </c>
      <c r="T594" s="8" t="b">
        <v>1</v>
      </c>
      <c r="U594" s="8" t="b">
        <v>0</v>
      </c>
      <c r="V594" s="8" t="b">
        <v>0</v>
      </c>
      <c r="X594" s="8" t="b">
        <v>0</v>
      </c>
      <c r="Y594" s="8" t="b">
        <v>0</v>
      </c>
      <c r="Z594" s="8" t="b">
        <v>0</v>
      </c>
      <c r="AA594" s="8" t="b">
        <v>0</v>
      </c>
      <c r="AB594" s="8" t="b">
        <v>0</v>
      </c>
      <c r="AC594" s="8" t="b">
        <v>0</v>
      </c>
      <c r="AD594" s="8" t="b">
        <v>0</v>
      </c>
      <c r="AE594" s="8" t="b">
        <v>1</v>
      </c>
      <c r="AG594" s="11" t="b" cm="1">
        <f t="array" ref="AG594">IF(OR(Y594:AA594="TRUE", AE594="true"), "Threatened")</f>
        <v>0</v>
      </c>
      <c r="AH594" s="11" t="s">
        <v>1762</v>
      </c>
      <c r="AI594" s="8" t="b">
        <v>1</v>
      </c>
    </row>
    <row r="595" spans="1:35" ht="31.2">
      <c r="A595" s="8">
        <v>-73.972748859999996</v>
      </c>
      <c r="B595" s="8">
        <v>40.778191679999999</v>
      </c>
      <c r="C595" s="8" t="s">
        <v>1763</v>
      </c>
      <c r="D595" s="8" t="s">
        <v>1764</v>
      </c>
      <c r="E595" s="8" t="b">
        <f t="shared" si="9"/>
        <v>0</v>
      </c>
      <c r="F595" s="8" t="str" cm="1">
        <f t="array" ref="F595">_xlfn._xlws.FILTER(E595:E3793, C595:C3793= "6D-PM-1020-01", "No Squirrels Found")</f>
        <v>No Squirrels Found</v>
      </c>
      <c r="G595" s="8" t="s">
        <v>34</v>
      </c>
      <c r="H595" s="10">
        <v>10142018</v>
      </c>
      <c r="I595" s="10">
        <v>6</v>
      </c>
      <c r="J595" s="8" t="s">
        <v>54</v>
      </c>
      <c r="K595" s="8" t="s">
        <v>40</v>
      </c>
      <c r="L595" s="8" t="s">
        <v>41</v>
      </c>
      <c r="M595" s="8" t="s">
        <v>42</v>
      </c>
      <c r="O595" s="8" t="s">
        <v>43</v>
      </c>
      <c r="P595" s="8" t="b">
        <v>0</v>
      </c>
      <c r="R595" s="8" t="b">
        <v>0</v>
      </c>
      <c r="S595" s="8" t="b">
        <v>0</v>
      </c>
      <c r="T595" s="8" t="b">
        <v>0</v>
      </c>
      <c r="U595" s="8" t="b">
        <v>0</v>
      </c>
      <c r="V595" s="8" t="b">
        <v>0</v>
      </c>
      <c r="W595" s="11" t="s">
        <v>498</v>
      </c>
      <c r="X595" s="8" t="b">
        <v>0</v>
      </c>
      <c r="Y595" s="8" t="b">
        <v>0</v>
      </c>
      <c r="Z595" s="8" t="b">
        <v>0</v>
      </c>
      <c r="AA595" s="8" t="b">
        <v>0</v>
      </c>
      <c r="AB595" s="8" t="b">
        <v>0</v>
      </c>
      <c r="AC595" s="8" t="b">
        <v>1</v>
      </c>
      <c r="AD595" s="8" t="b">
        <v>0</v>
      </c>
      <c r="AE595" s="8" t="b">
        <v>0</v>
      </c>
      <c r="AF595" s="11" t="s">
        <v>1765</v>
      </c>
      <c r="AG595" s="11" t="b" cm="1">
        <f t="array" ref="AG595">IF(OR(Y595:AA595="TRUE", AE595="true"), "Threatened")</f>
        <v>0</v>
      </c>
      <c r="AH595" s="11" t="s">
        <v>1766</v>
      </c>
      <c r="AI595" s="8" t="b">
        <v>0</v>
      </c>
    </row>
    <row r="596" spans="1:35" ht="31.2">
      <c r="A596" s="8">
        <v>-73.974280460000003</v>
      </c>
      <c r="B596" s="8">
        <v>40.77071677</v>
      </c>
      <c r="C596" s="8" t="s">
        <v>1767</v>
      </c>
      <c r="D596" s="8" t="s">
        <v>159</v>
      </c>
      <c r="E596" s="8" t="b">
        <f t="shared" si="9"/>
        <v>0</v>
      </c>
      <c r="F596" s="8" t="str" cm="1">
        <f t="array" ref="F596">_xlfn._xlws.FILTER(E596:E3794, C596:C3794= "6D-PM-1020-01", "No Squirrels Found")</f>
        <v>No Squirrels Found</v>
      </c>
      <c r="G596" s="8" t="s">
        <v>34</v>
      </c>
      <c r="H596" s="10">
        <v>10132018</v>
      </c>
      <c r="I596" s="10">
        <v>5</v>
      </c>
      <c r="J596" s="8" t="s">
        <v>39</v>
      </c>
      <c r="K596" s="8" t="s">
        <v>40</v>
      </c>
      <c r="L596" s="8" t="s">
        <v>41</v>
      </c>
      <c r="M596" s="8" t="s">
        <v>42</v>
      </c>
      <c r="O596" s="8" t="s">
        <v>43</v>
      </c>
      <c r="P596" s="8" t="b">
        <v>0</v>
      </c>
      <c r="Q596" s="8" t="s">
        <v>1768</v>
      </c>
      <c r="R596" s="8" t="b">
        <v>0</v>
      </c>
      <c r="S596" s="8" t="b">
        <v>0</v>
      </c>
      <c r="T596" s="8" t="b">
        <v>0</v>
      </c>
      <c r="U596" s="8" t="b">
        <v>1</v>
      </c>
      <c r="V596" s="8" t="b">
        <v>1</v>
      </c>
      <c r="X596" s="8" t="b">
        <v>0</v>
      </c>
      <c r="Y596" s="8" t="b">
        <v>0</v>
      </c>
      <c r="Z596" s="8" t="b">
        <v>0</v>
      </c>
      <c r="AA596" s="8" t="b">
        <v>0</v>
      </c>
      <c r="AB596" s="8" t="b">
        <v>1</v>
      </c>
      <c r="AC596" s="8" t="b">
        <v>0</v>
      </c>
      <c r="AD596" s="8" t="b">
        <v>1</v>
      </c>
      <c r="AE596" s="8" t="b">
        <v>0</v>
      </c>
      <c r="AG596" s="11" t="b" cm="1">
        <f t="array" ref="AG596">IF(OR(Y596:AA596="TRUE", AE596="true"), "Threatened")</f>
        <v>0</v>
      </c>
      <c r="AH596" s="11" t="s">
        <v>1769</v>
      </c>
      <c r="AI596" s="8" t="b">
        <v>1</v>
      </c>
    </row>
    <row r="597" spans="1:35" ht="31.2">
      <c r="A597" s="8">
        <v>-73.976931949999994</v>
      </c>
      <c r="B597" s="8">
        <v>40.774388360000003</v>
      </c>
      <c r="C597" s="8" t="s">
        <v>1770</v>
      </c>
      <c r="D597" s="8" t="s">
        <v>859</v>
      </c>
      <c r="E597" s="8" t="b">
        <f t="shared" si="9"/>
        <v>0</v>
      </c>
      <c r="F597" s="8" t="str" cm="1">
        <f t="array" ref="F597">_xlfn._xlws.FILTER(E597:E3795, C597:C3795= "6D-PM-1020-01", "No Squirrels Found")</f>
        <v>No Squirrels Found</v>
      </c>
      <c r="G597" s="8" t="s">
        <v>48</v>
      </c>
      <c r="H597" s="10">
        <v>10132018</v>
      </c>
      <c r="I597" s="10">
        <v>11</v>
      </c>
      <c r="J597" s="8" t="s">
        <v>54</v>
      </c>
      <c r="K597" s="8" t="s">
        <v>40</v>
      </c>
      <c r="L597" s="8" t="s">
        <v>41</v>
      </c>
      <c r="M597" s="8" t="s">
        <v>42</v>
      </c>
      <c r="O597" s="8" t="s">
        <v>43</v>
      </c>
      <c r="P597" s="8" t="b">
        <v>0</v>
      </c>
      <c r="Q597" s="8" t="s">
        <v>1771</v>
      </c>
      <c r="R597" s="8" t="b">
        <v>1</v>
      </c>
      <c r="S597" s="8" t="b">
        <v>1</v>
      </c>
      <c r="T597" s="8" t="b">
        <v>0</v>
      </c>
      <c r="U597" s="8" t="b">
        <v>0</v>
      </c>
      <c r="V597" s="8" t="b">
        <v>0</v>
      </c>
      <c r="X597" s="8" t="b">
        <v>0</v>
      </c>
      <c r="Y597" s="8" t="b">
        <v>0</v>
      </c>
      <c r="Z597" s="8" t="b">
        <v>0</v>
      </c>
      <c r="AA597" s="8" t="b">
        <v>0</v>
      </c>
      <c r="AB597" s="8" t="b">
        <v>0</v>
      </c>
      <c r="AC597" s="8" t="b">
        <v>0</v>
      </c>
      <c r="AD597" s="8" t="b">
        <v>1</v>
      </c>
      <c r="AE597" s="8" t="b">
        <v>0</v>
      </c>
      <c r="AG597" s="11" t="b" cm="1">
        <f t="array" ref="AG597">IF(OR(Y597:AA597="TRUE", AE597="true"), "Threatened")</f>
        <v>0</v>
      </c>
      <c r="AH597" s="11" t="s">
        <v>1772</v>
      </c>
      <c r="AI597" s="8" t="b">
        <v>1</v>
      </c>
    </row>
    <row r="598" spans="1:35" ht="31.2">
      <c r="A598" s="8">
        <v>-73.971827079999997</v>
      </c>
      <c r="B598" s="8">
        <v>40.774830100000003</v>
      </c>
      <c r="C598" s="8" t="s">
        <v>1773</v>
      </c>
      <c r="D598" s="8" t="s">
        <v>98</v>
      </c>
      <c r="E598" s="8" t="b">
        <f t="shared" si="9"/>
        <v>0</v>
      </c>
      <c r="F598" s="8" t="str" cm="1">
        <f t="array" ref="F598">_xlfn._xlws.FILTER(E598:E3796, C598:C3796= "6D-PM-1020-01", "No Squirrels Found")</f>
        <v>No Squirrels Found</v>
      </c>
      <c r="G598" s="8" t="s">
        <v>48</v>
      </c>
      <c r="H598" s="10">
        <v>10102018</v>
      </c>
      <c r="I598" s="10">
        <v>6</v>
      </c>
      <c r="J598" s="8" t="s">
        <v>39</v>
      </c>
      <c r="K598" s="8" t="s">
        <v>40</v>
      </c>
      <c r="L598" s="8" t="s">
        <v>41</v>
      </c>
      <c r="M598" s="8" t="s">
        <v>42</v>
      </c>
      <c r="O598" s="8" t="s">
        <v>43</v>
      </c>
      <c r="P598" s="8" t="b">
        <v>0</v>
      </c>
      <c r="R598" s="8" t="b">
        <v>0</v>
      </c>
      <c r="S598" s="8" t="b">
        <v>0</v>
      </c>
      <c r="T598" s="8" t="b">
        <v>0</v>
      </c>
      <c r="U598" s="8" t="b">
        <v>1</v>
      </c>
      <c r="V598" s="8" t="b">
        <v>1</v>
      </c>
      <c r="X598" s="8" t="b">
        <v>0</v>
      </c>
      <c r="Y598" s="8" t="b">
        <v>0</v>
      </c>
      <c r="Z598" s="8" t="b">
        <v>0</v>
      </c>
      <c r="AA598" s="8" t="b">
        <v>0</v>
      </c>
      <c r="AB598" s="8" t="b">
        <v>0</v>
      </c>
      <c r="AC598" s="8" t="b">
        <v>0</v>
      </c>
      <c r="AD598" s="8" t="b">
        <v>1</v>
      </c>
      <c r="AE598" s="8" t="b">
        <v>0</v>
      </c>
      <c r="AG598" s="11" t="b" cm="1">
        <f t="array" ref="AG598">IF(OR(Y598:AA598="TRUE", AE598="true"), "Threatened")</f>
        <v>0</v>
      </c>
      <c r="AH598" s="11" t="s">
        <v>1774</v>
      </c>
      <c r="AI598" s="8" t="b">
        <v>1</v>
      </c>
    </row>
    <row r="599" spans="1:35" ht="31.2">
      <c r="A599" s="8">
        <v>-73.969819670000007</v>
      </c>
      <c r="B599" s="8">
        <v>40.7802972</v>
      </c>
      <c r="C599" s="8" t="s">
        <v>1775</v>
      </c>
      <c r="D599" s="8" t="s">
        <v>631</v>
      </c>
      <c r="E599" s="8" t="b">
        <f t="shared" si="9"/>
        <v>0</v>
      </c>
      <c r="F599" s="8" t="str" cm="1">
        <f t="array" ref="F599">_xlfn._xlws.FILTER(E599:E3797, C599:C3797= "6D-PM-1020-01", "No Squirrels Found")</f>
        <v>No Squirrels Found</v>
      </c>
      <c r="G599" s="8" t="s">
        <v>34</v>
      </c>
      <c r="H599" s="10">
        <v>10182018</v>
      </c>
      <c r="I599" s="10">
        <v>3</v>
      </c>
      <c r="J599" s="8" t="s">
        <v>54</v>
      </c>
      <c r="K599" s="8" t="s">
        <v>40</v>
      </c>
      <c r="M599" s="8" t="s">
        <v>55</v>
      </c>
      <c r="O599" s="8" t="s">
        <v>50</v>
      </c>
      <c r="P599" s="8">
        <v>1</v>
      </c>
      <c r="R599" s="8" t="b">
        <v>1</v>
      </c>
      <c r="S599" s="8" t="b">
        <v>1</v>
      </c>
      <c r="T599" s="8" t="b">
        <v>0</v>
      </c>
      <c r="U599" s="8" t="b">
        <v>0</v>
      </c>
      <c r="V599" s="8" t="b">
        <v>0</v>
      </c>
      <c r="X599" s="8" t="b">
        <v>0</v>
      </c>
      <c r="Y599" s="8" t="b">
        <v>0</v>
      </c>
      <c r="Z599" s="8" t="b">
        <v>0</v>
      </c>
      <c r="AA599" s="8" t="b">
        <v>0</v>
      </c>
      <c r="AB599" s="8" t="b">
        <v>0</v>
      </c>
      <c r="AC599" s="8" t="b">
        <v>0</v>
      </c>
      <c r="AD599" s="8" t="b">
        <v>0</v>
      </c>
      <c r="AE599" s="8" t="b">
        <v>1</v>
      </c>
      <c r="AG599" s="11" t="b" cm="1">
        <f t="array" ref="AG599">IF(OR(Y599:AA599="TRUE", AE599="true"), "Threatened")</f>
        <v>0</v>
      </c>
      <c r="AH599" s="11" t="s">
        <v>1776</v>
      </c>
      <c r="AI599" s="8" t="b">
        <v>1</v>
      </c>
    </row>
    <row r="600" spans="1:35" ht="31.2">
      <c r="A600" s="8">
        <v>-73.953026359999996</v>
      </c>
      <c r="B600" s="8">
        <v>40.792094980000002</v>
      </c>
      <c r="C600" s="8" t="s">
        <v>1777</v>
      </c>
      <c r="D600" s="8" t="s">
        <v>106</v>
      </c>
      <c r="E600" s="8" t="b">
        <f t="shared" si="9"/>
        <v>0</v>
      </c>
      <c r="F600" s="8" t="str" cm="1">
        <f t="array" ref="F600">_xlfn._xlws.FILTER(E600:E3798, C600:C3798= "6D-PM-1020-01", "No Squirrels Found")</f>
        <v>No Squirrels Found</v>
      </c>
      <c r="G600" s="8" t="s">
        <v>34</v>
      </c>
      <c r="H600" s="10">
        <v>10072018</v>
      </c>
      <c r="I600" s="10">
        <v>5</v>
      </c>
      <c r="J600" s="8" t="s">
        <v>39</v>
      </c>
      <c r="K600" s="8" t="s">
        <v>40</v>
      </c>
      <c r="M600" s="8" t="s">
        <v>55</v>
      </c>
      <c r="O600" s="8" t="s">
        <v>43</v>
      </c>
      <c r="P600" s="8" t="b">
        <v>0</v>
      </c>
      <c r="R600" s="8" t="b">
        <v>0</v>
      </c>
      <c r="S600" s="8" t="b">
        <v>0</v>
      </c>
      <c r="T600" s="8" t="b">
        <v>0</v>
      </c>
      <c r="U600" s="8" t="b">
        <v>0</v>
      </c>
      <c r="V600" s="8" t="b">
        <v>1</v>
      </c>
      <c r="X600" s="8" t="b">
        <v>0</v>
      </c>
      <c r="Y600" s="8" t="b">
        <v>0</v>
      </c>
      <c r="Z600" s="8" t="b">
        <v>0</v>
      </c>
      <c r="AA600" s="8" t="b">
        <v>0</v>
      </c>
      <c r="AB600" s="8" t="b">
        <v>1</v>
      </c>
      <c r="AC600" s="8" t="b">
        <v>0</v>
      </c>
      <c r="AD600" s="8" t="b">
        <v>1</v>
      </c>
      <c r="AE600" s="8" t="b">
        <v>0</v>
      </c>
      <c r="AG600" s="11" t="b" cm="1">
        <f t="array" ref="AG600">IF(OR(Y600:AA600="TRUE", AE600="true"), "Threatened")</f>
        <v>0</v>
      </c>
      <c r="AH600" s="11" t="s">
        <v>1778</v>
      </c>
      <c r="AI600" s="8" t="b">
        <v>1</v>
      </c>
    </row>
    <row r="601" spans="1:35" ht="31.2">
      <c r="A601" s="8">
        <v>-73.980820210000005</v>
      </c>
      <c r="B601" s="8">
        <v>40.768292180000003</v>
      </c>
      <c r="C601" s="8" t="s">
        <v>1779</v>
      </c>
      <c r="D601" s="8" t="s">
        <v>1780</v>
      </c>
      <c r="E601" s="8" t="b">
        <f t="shared" si="9"/>
        <v>0</v>
      </c>
      <c r="F601" s="8" t="str" cm="1">
        <f t="array" ref="F601">_xlfn._xlws.FILTER(E601:E3799, C601:C3799= "6D-PM-1020-01", "No Squirrels Found")</f>
        <v>No Squirrels Found</v>
      </c>
      <c r="G601" s="8" t="s">
        <v>34</v>
      </c>
      <c r="H601" s="10">
        <v>10142018</v>
      </c>
      <c r="I601" s="10">
        <v>2</v>
      </c>
      <c r="J601" s="8" t="s">
        <v>39</v>
      </c>
      <c r="K601" s="8" t="s">
        <v>41</v>
      </c>
      <c r="L601" s="8" t="s">
        <v>84</v>
      </c>
      <c r="M601" s="8" t="s">
        <v>85</v>
      </c>
      <c r="O601" s="8" t="s">
        <v>50</v>
      </c>
      <c r="P601" s="8">
        <v>6</v>
      </c>
      <c r="R601" s="8" t="b">
        <v>0</v>
      </c>
      <c r="S601" s="8" t="b">
        <v>1</v>
      </c>
      <c r="T601" s="8" t="b">
        <v>0</v>
      </c>
      <c r="U601" s="8" t="b">
        <v>0</v>
      </c>
      <c r="V601" s="8" t="b">
        <v>0</v>
      </c>
      <c r="X601" s="8" t="b">
        <v>0</v>
      </c>
      <c r="Y601" s="8" t="b">
        <v>0</v>
      </c>
      <c r="Z601" s="8" t="b">
        <v>0</v>
      </c>
      <c r="AA601" s="8" t="b">
        <v>0</v>
      </c>
      <c r="AB601" s="8" t="b">
        <v>0</v>
      </c>
      <c r="AC601" s="8" t="b">
        <v>0</v>
      </c>
      <c r="AD601" s="8" t="b">
        <v>0</v>
      </c>
      <c r="AE601" s="8" t="b">
        <v>0</v>
      </c>
      <c r="AG601" s="11" t="b" cm="1">
        <f t="array" ref="AG601">IF(OR(Y601:AA601="TRUE", AE601="true"), "Threatened")</f>
        <v>0</v>
      </c>
      <c r="AH601" s="11" t="s">
        <v>1781</v>
      </c>
      <c r="AI601" s="8" t="b">
        <v>1</v>
      </c>
    </row>
    <row r="602" spans="1:35" ht="31.2">
      <c r="A602" s="8">
        <v>-73.952229160000002</v>
      </c>
      <c r="B602" s="8">
        <v>40.797698539999999</v>
      </c>
      <c r="C602" s="8" t="s">
        <v>1782</v>
      </c>
      <c r="D602" s="8" t="s">
        <v>401</v>
      </c>
      <c r="E602" s="8" t="b">
        <f t="shared" si="9"/>
        <v>0</v>
      </c>
      <c r="F602" s="8" t="str" cm="1">
        <f t="array" ref="F602">_xlfn._xlws.FILTER(E602:E3800, C602:C3800= "6D-PM-1020-01", "No Squirrels Found")</f>
        <v>No Squirrels Found</v>
      </c>
      <c r="G602" s="8" t="s">
        <v>34</v>
      </c>
      <c r="H602" s="10">
        <v>10142018</v>
      </c>
      <c r="I602" s="10">
        <v>1</v>
      </c>
      <c r="J602" s="8" t="s">
        <v>39</v>
      </c>
      <c r="K602" s="8" t="s">
        <v>40</v>
      </c>
      <c r="L602" s="8" t="s">
        <v>84</v>
      </c>
      <c r="M602" s="8" t="s">
        <v>103</v>
      </c>
      <c r="O602" s="8" t="s">
        <v>50</v>
      </c>
      <c r="P602" s="8">
        <v>8</v>
      </c>
      <c r="R602" s="8" t="b">
        <v>0</v>
      </c>
      <c r="S602" s="8" t="b">
        <v>0</v>
      </c>
      <c r="T602" s="8" t="b">
        <v>1</v>
      </c>
      <c r="U602" s="8" t="b">
        <v>0</v>
      </c>
      <c r="V602" s="8" t="b">
        <v>1</v>
      </c>
      <c r="X602" s="8" t="b">
        <v>0</v>
      </c>
      <c r="Y602" s="8" t="b">
        <v>0</v>
      </c>
      <c r="Z602" s="8" t="b">
        <v>1</v>
      </c>
      <c r="AA602" s="8" t="b">
        <v>0</v>
      </c>
      <c r="AB602" s="8" t="b">
        <v>0</v>
      </c>
      <c r="AC602" s="8" t="b">
        <v>0</v>
      </c>
      <c r="AD602" s="8" t="b">
        <v>0</v>
      </c>
      <c r="AE602" s="8" t="b">
        <v>1</v>
      </c>
      <c r="AG602" s="11" t="b" cm="1">
        <f t="array" ref="AG602">IF(OR(Y602:AA602="TRUE", AE602="true"), "Threatened")</f>
        <v>0</v>
      </c>
      <c r="AH602" s="11" t="s">
        <v>1783</v>
      </c>
      <c r="AI602" s="8" t="b">
        <v>1</v>
      </c>
    </row>
    <row r="603" spans="1:35" ht="31.2">
      <c r="A603" s="8">
        <v>-73.96857516</v>
      </c>
      <c r="B603" s="8">
        <v>40.770941360000002</v>
      </c>
      <c r="C603" s="8" t="s">
        <v>1784</v>
      </c>
      <c r="D603" s="8" t="s">
        <v>1785</v>
      </c>
      <c r="E603" s="8" t="b">
        <f t="shared" si="9"/>
        <v>0</v>
      </c>
      <c r="F603" s="8" t="str" cm="1">
        <f t="array" ref="F603">_xlfn._xlws.FILTER(E603:E3801, C603:C3801= "6D-PM-1020-01", "No Squirrels Found")</f>
        <v>No Squirrels Found</v>
      </c>
      <c r="G603" s="8" t="s">
        <v>34</v>
      </c>
      <c r="H603" s="10">
        <v>10102018</v>
      </c>
      <c r="I603" s="10">
        <v>7</v>
      </c>
      <c r="J603" s="8" t="s">
        <v>39</v>
      </c>
      <c r="K603" s="8" t="s">
        <v>40</v>
      </c>
      <c r="L603" s="8" t="s">
        <v>84</v>
      </c>
      <c r="M603" s="8" t="s">
        <v>103</v>
      </c>
      <c r="O603" s="8" t="s">
        <v>50</v>
      </c>
      <c r="P603" s="8">
        <v>1</v>
      </c>
      <c r="Q603" s="8" t="s">
        <v>1206</v>
      </c>
      <c r="R603" s="8" t="b">
        <v>1</v>
      </c>
      <c r="S603" s="8" t="b">
        <v>0</v>
      </c>
      <c r="T603" s="8" t="b">
        <v>0</v>
      </c>
      <c r="U603" s="8" t="b">
        <v>0</v>
      </c>
      <c r="V603" s="8" t="b">
        <v>0</v>
      </c>
      <c r="X603" s="8" t="b">
        <v>0</v>
      </c>
      <c r="Y603" s="8" t="b">
        <v>0</v>
      </c>
      <c r="Z603" s="8" t="b">
        <v>0</v>
      </c>
      <c r="AA603" s="8" t="b">
        <v>0</v>
      </c>
      <c r="AB603" s="8" t="b">
        <v>0</v>
      </c>
      <c r="AC603" s="8" t="b">
        <v>0</v>
      </c>
      <c r="AD603" s="8" t="b">
        <v>0</v>
      </c>
      <c r="AE603" s="8" t="b">
        <v>1</v>
      </c>
      <c r="AG603" s="11" t="b" cm="1">
        <f t="array" ref="AG603">IF(OR(Y603:AA603="TRUE", AE603="true"), "Threatened")</f>
        <v>0</v>
      </c>
      <c r="AH603" s="11" t="s">
        <v>1786</v>
      </c>
      <c r="AI603" s="8" t="b">
        <v>1</v>
      </c>
    </row>
    <row r="604" spans="1:35" ht="31.2">
      <c r="A604" s="8">
        <v>-73.972159239999996</v>
      </c>
      <c r="B604" s="8">
        <v>40.776034580000001</v>
      </c>
      <c r="C604" s="8" t="s">
        <v>1787</v>
      </c>
      <c r="D604" s="8" t="s">
        <v>773</v>
      </c>
      <c r="E604" s="8" t="b">
        <f t="shared" si="9"/>
        <v>0</v>
      </c>
      <c r="F604" s="8" t="str" cm="1">
        <f t="array" ref="F604">_xlfn._xlws.FILTER(E604:E3802, C604:C3802= "6D-PM-1020-01", "No Squirrels Found")</f>
        <v>No Squirrels Found</v>
      </c>
      <c r="G604" s="8" t="s">
        <v>48</v>
      </c>
      <c r="H604" s="10">
        <v>10132018</v>
      </c>
      <c r="I604" s="10">
        <v>2</v>
      </c>
      <c r="J604" s="8" t="s">
        <v>39</v>
      </c>
      <c r="K604" s="8" t="s">
        <v>40</v>
      </c>
      <c r="M604" s="8" t="s">
        <v>55</v>
      </c>
      <c r="O604" s="8" t="s">
        <v>43</v>
      </c>
      <c r="P604" s="8" t="b">
        <v>0</v>
      </c>
      <c r="R604" s="8" t="b">
        <v>0</v>
      </c>
      <c r="S604" s="8" t="b">
        <v>1</v>
      </c>
      <c r="T604" s="8" t="b">
        <v>0</v>
      </c>
      <c r="U604" s="8" t="b">
        <v>0</v>
      </c>
      <c r="V604" s="8" t="b">
        <v>0</v>
      </c>
      <c r="X604" s="8" t="b">
        <v>1</v>
      </c>
      <c r="Y604" s="8" t="b">
        <v>0</v>
      </c>
      <c r="Z604" s="8" t="b">
        <v>0</v>
      </c>
      <c r="AA604" s="8" t="b">
        <v>0</v>
      </c>
      <c r="AB604" s="8" t="b">
        <v>0</v>
      </c>
      <c r="AC604" s="8" t="b">
        <v>0</v>
      </c>
      <c r="AD604" s="8" t="b">
        <v>1</v>
      </c>
      <c r="AE604" s="8" t="b">
        <v>0</v>
      </c>
      <c r="AG604" s="11" t="b" cm="1">
        <f t="array" ref="AG604">IF(OR(Y604:AA604="TRUE", AE604="true"), "Threatened")</f>
        <v>0</v>
      </c>
      <c r="AH604" s="11" t="s">
        <v>1788</v>
      </c>
      <c r="AI604" s="8" t="b">
        <v>1</v>
      </c>
    </row>
    <row r="605" spans="1:35" ht="31.2">
      <c r="A605" s="8">
        <v>-73.95409085</v>
      </c>
      <c r="B605" s="8">
        <v>40.794201229999999</v>
      </c>
      <c r="C605" s="8" t="s">
        <v>1789</v>
      </c>
      <c r="D605" s="8" t="s">
        <v>939</v>
      </c>
      <c r="E605" s="8" t="b">
        <f t="shared" si="9"/>
        <v>0</v>
      </c>
      <c r="F605" s="8" t="str" cm="1">
        <f t="array" ref="F605">_xlfn._xlws.FILTER(E605:E3803, C605:C3803= "6D-PM-1020-01", "No Squirrels Found")</f>
        <v>No Squirrels Found</v>
      </c>
      <c r="G605" s="8" t="s">
        <v>34</v>
      </c>
      <c r="H605" s="10">
        <v>10072018</v>
      </c>
      <c r="I605" s="10">
        <v>4</v>
      </c>
      <c r="K605" s="8" t="s">
        <v>41</v>
      </c>
      <c r="L605" s="8" t="s">
        <v>40</v>
      </c>
      <c r="M605" s="8" t="s">
        <v>110</v>
      </c>
      <c r="N605" s="11" t="s">
        <v>1790</v>
      </c>
      <c r="O605" s="8" t="s">
        <v>43</v>
      </c>
      <c r="P605" s="8" t="b">
        <v>0</v>
      </c>
      <c r="R605" s="8" t="b">
        <v>0</v>
      </c>
      <c r="S605" s="8" t="b">
        <v>0</v>
      </c>
      <c r="T605" s="8" t="b">
        <v>0</v>
      </c>
      <c r="U605" s="8" t="b">
        <v>0</v>
      </c>
      <c r="V605" s="8" t="b">
        <v>1</v>
      </c>
      <c r="X605" s="8" t="b">
        <v>0</v>
      </c>
      <c r="Y605" s="8" t="b">
        <v>0</v>
      </c>
      <c r="Z605" s="8" t="b">
        <v>0</v>
      </c>
      <c r="AA605" s="8" t="b">
        <v>0</v>
      </c>
      <c r="AB605" s="8" t="b">
        <v>0</v>
      </c>
      <c r="AC605" s="8" t="b">
        <v>0</v>
      </c>
      <c r="AD605" s="8" t="b">
        <v>0</v>
      </c>
      <c r="AE605" s="8" t="b">
        <v>0</v>
      </c>
      <c r="AG605" s="11" t="b" cm="1">
        <f t="array" ref="AG605">IF(OR(Y605:AA605="TRUE", AE605="true"), "Threatened")</f>
        <v>0</v>
      </c>
      <c r="AH605" s="11" t="s">
        <v>1791</v>
      </c>
      <c r="AI605" s="8" t="b">
        <v>1</v>
      </c>
    </row>
    <row r="606" spans="1:35" ht="31.2">
      <c r="A606" s="8">
        <v>-73.957393010000004</v>
      </c>
      <c r="B606" s="8">
        <v>40.793457029999999</v>
      </c>
      <c r="C606" s="8" t="s">
        <v>1792</v>
      </c>
      <c r="D606" s="8" t="s">
        <v>493</v>
      </c>
      <c r="E606" s="8" t="b">
        <f t="shared" si="9"/>
        <v>0</v>
      </c>
      <c r="F606" s="8" t="str" cm="1">
        <f t="array" ref="F606">_xlfn._xlws.FILTER(E606:E3804, C606:C3804= "6D-PM-1020-01", "No Squirrels Found")</f>
        <v>No Squirrels Found</v>
      </c>
      <c r="G606" s="8" t="s">
        <v>48</v>
      </c>
      <c r="H606" s="10">
        <v>10202018</v>
      </c>
      <c r="I606" s="10">
        <v>3</v>
      </c>
      <c r="J606" s="8" t="s">
        <v>39</v>
      </c>
      <c r="K606" s="8" t="s">
        <v>40</v>
      </c>
      <c r="L606" s="8" t="s">
        <v>41</v>
      </c>
      <c r="M606" s="8" t="s">
        <v>42</v>
      </c>
      <c r="O606" s="8" t="s">
        <v>43</v>
      </c>
      <c r="P606" s="8" t="b">
        <v>0</v>
      </c>
      <c r="R606" s="8" t="b">
        <v>0</v>
      </c>
      <c r="S606" s="8" t="b">
        <v>0</v>
      </c>
      <c r="T606" s="8" t="b">
        <v>0</v>
      </c>
      <c r="U606" s="8" t="b">
        <v>0</v>
      </c>
      <c r="V606" s="8" t="b">
        <v>1</v>
      </c>
      <c r="X606" s="8" t="b">
        <v>0</v>
      </c>
      <c r="Y606" s="8" t="b">
        <v>0</v>
      </c>
      <c r="Z606" s="8" t="b">
        <v>0</v>
      </c>
      <c r="AA606" s="8" t="b">
        <v>0</v>
      </c>
      <c r="AB606" s="8" t="b">
        <v>0</v>
      </c>
      <c r="AC606" s="8" t="b">
        <v>0</v>
      </c>
      <c r="AD606" s="8" t="b">
        <v>1</v>
      </c>
      <c r="AE606" s="8" t="b">
        <v>0</v>
      </c>
      <c r="AG606" s="11" t="b" cm="1">
        <f t="array" ref="AG606">IF(OR(Y606:AA606="TRUE", AE606="true"), "Threatened")</f>
        <v>0</v>
      </c>
      <c r="AH606" s="11" t="s">
        <v>1793</v>
      </c>
      <c r="AI606" s="8" t="b">
        <v>1</v>
      </c>
    </row>
    <row r="607" spans="1:35" ht="31.2">
      <c r="A607" s="8">
        <v>-73.971758019999996</v>
      </c>
      <c r="B607" s="8">
        <v>40.771572620000001</v>
      </c>
      <c r="C607" s="8" t="s">
        <v>1794</v>
      </c>
      <c r="D607" s="8" t="s">
        <v>776</v>
      </c>
      <c r="E607" s="8" t="b">
        <f t="shared" si="9"/>
        <v>0</v>
      </c>
      <c r="F607" s="8" t="str" cm="1">
        <f t="array" ref="F607">_xlfn._xlws.FILTER(E607:E3805, C607:C3805= "6D-PM-1020-01", "No Squirrels Found")</f>
        <v>No Squirrels Found</v>
      </c>
      <c r="G607" s="8" t="s">
        <v>34</v>
      </c>
      <c r="H607" s="10">
        <v>10122018</v>
      </c>
      <c r="I607" s="10">
        <v>1</v>
      </c>
      <c r="J607" s="8" t="s">
        <v>39</v>
      </c>
      <c r="K607" s="8" t="s">
        <v>40</v>
      </c>
      <c r="L607" s="8" t="s">
        <v>41</v>
      </c>
      <c r="M607" s="8" t="s">
        <v>42</v>
      </c>
      <c r="O607" s="8" t="s">
        <v>43</v>
      </c>
      <c r="P607" s="8" t="b">
        <v>0</v>
      </c>
      <c r="R607" s="8" t="b">
        <v>0</v>
      </c>
      <c r="S607" s="8" t="b">
        <v>0</v>
      </c>
      <c r="T607" s="8" t="b">
        <v>0</v>
      </c>
      <c r="U607" s="8" t="b">
        <v>1</v>
      </c>
      <c r="V607" s="8" t="b">
        <v>0</v>
      </c>
      <c r="X607" s="8" t="b">
        <v>0</v>
      </c>
      <c r="Y607" s="8" t="b">
        <v>0</v>
      </c>
      <c r="Z607" s="8" t="b">
        <v>0</v>
      </c>
      <c r="AA607" s="8" t="b">
        <v>0</v>
      </c>
      <c r="AB607" s="8" t="b">
        <v>0</v>
      </c>
      <c r="AC607" s="8" t="b">
        <v>0</v>
      </c>
      <c r="AD607" s="8" t="b">
        <v>0</v>
      </c>
      <c r="AE607" s="8" t="b">
        <v>0</v>
      </c>
      <c r="AG607" s="11" t="b" cm="1">
        <f t="array" ref="AG607">IF(OR(Y607:AA607="TRUE", AE607="true"), "Threatened")</f>
        <v>0</v>
      </c>
      <c r="AH607" s="11" t="s">
        <v>1795</v>
      </c>
      <c r="AI607" s="8" t="b">
        <v>1</v>
      </c>
    </row>
    <row r="608" spans="1:35" ht="31.2">
      <c r="A608" s="8">
        <v>-73.954771179999995</v>
      </c>
      <c r="B608" s="8">
        <v>40.790854080000003</v>
      </c>
      <c r="C608" s="8" t="s">
        <v>1796</v>
      </c>
      <c r="D608" s="8" t="s">
        <v>1028</v>
      </c>
      <c r="E608" s="8" t="b">
        <f t="shared" si="9"/>
        <v>0</v>
      </c>
      <c r="F608" s="8" t="str" cm="1">
        <f t="array" ref="F608">_xlfn._xlws.FILTER(E608:E3806, C608:C3806= "6D-PM-1020-01", "No Squirrels Found")</f>
        <v>No Squirrels Found</v>
      </c>
      <c r="G608" s="8" t="s">
        <v>34</v>
      </c>
      <c r="H608" s="10">
        <v>10102018</v>
      </c>
      <c r="I608" s="10">
        <v>6</v>
      </c>
      <c r="J608" s="8" t="s">
        <v>39</v>
      </c>
      <c r="K608" s="8" t="s">
        <v>40</v>
      </c>
      <c r="M608" s="8" t="s">
        <v>55</v>
      </c>
      <c r="R608" s="8" t="b">
        <v>0</v>
      </c>
      <c r="S608" s="8" t="b">
        <v>0</v>
      </c>
      <c r="T608" s="8" t="b">
        <v>0</v>
      </c>
      <c r="U608" s="8" t="b">
        <v>0</v>
      </c>
      <c r="V608" s="8" t="b">
        <v>1</v>
      </c>
      <c r="X608" s="8" t="b">
        <v>0</v>
      </c>
      <c r="Y608" s="8" t="b">
        <v>0</v>
      </c>
      <c r="Z608" s="8" t="b">
        <v>0</v>
      </c>
      <c r="AA608" s="8" t="b">
        <v>0</v>
      </c>
      <c r="AB608" s="8" t="b">
        <v>1</v>
      </c>
      <c r="AC608" s="8" t="b">
        <v>0</v>
      </c>
      <c r="AD608" s="8" t="b">
        <v>0</v>
      </c>
      <c r="AE608" s="8" t="b">
        <v>0</v>
      </c>
      <c r="AG608" s="11" t="b" cm="1">
        <f t="array" ref="AG608">IF(OR(Y608:AA608="TRUE", AE608="true"), "Threatened")</f>
        <v>0</v>
      </c>
      <c r="AH608" s="11" t="s">
        <v>1797</v>
      </c>
      <c r="AI608" s="8" t="b">
        <v>1</v>
      </c>
    </row>
    <row r="609" spans="1:35" ht="31.2">
      <c r="A609" s="8">
        <v>-73.958967599999994</v>
      </c>
      <c r="B609" s="8">
        <v>40.791311919999998</v>
      </c>
      <c r="C609" s="8" t="s">
        <v>1798</v>
      </c>
      <c r="D609" s="8" t="s">
        <v>1214</v>
      </c>
      <c r="E609" s="8" t="b">
        <f t="shared" si="9"/>
        <v>0</v>
      </c>
      <c r="F609" s="8" t="str" cm="1">
        <f t="array" ref="F609">_xlfn._xlws.FILTER(E609:E3807, C609:C3807= "6D-PM-1020-01", "No Squirrels Found")</f>
        <v>No Squirrels Found</v>
      </c>
      <c r="G609" s="8" t="s">
        <v>48</v>
      </c>
      <c r="H609" s="10">
        <v>10142018</v>
      </c>
      <c r="I609" s="10">
        <v>9</v>
      </c>
      <c r="J609" s="8" t="s">
        <v>54</v>
      </c>
      <c r="K609" s="8" t="s">
        <v>192</v>
      </c>
      <c r="M609" s="8" t="s">
        <v>193</v>
      </c>
      <c r="O609" s="8" t="s">
        <v>50</v>
      </c>
      <c r="P609" s="8">
        <v>15</v>
      </c>
      <c r="R609" s="8" t="b">
        <v>0</v>
      </c>
      <c r="S609" s="8" t="b">
        <v>1</v>
      </c>
      <c r="T609" s="8" t="b">
        <v>0</v>
      </c>
      <c r="U609" s="8" t="b">
        <v>0</v>
      </c>
      <c r="V609" s="8" t="b">
        <v>0</v>
      </c>
      <c r="X609" s="8" t="b">
        <v>0</v>
      </c>
      <c r="Y609" s="8" t="b">
        <v>0</v>
      </c>
      <c r="Z609" s="8" t="b">
        <v>0</v>
      </c>
      <c r="AA609" s="8" t="b">
        <v>0</v>
      </c>
      <c r="AB609" s="8" t="b">
        <v>0</v>
      </c>
      <c r="AC609" s="8" t="b">
        <v>0</v>
      </c>
      <c r="AD609" s="8" t="b">
        <v>1</v>
      </c>
      <c r="AE609" s="8" t="b">
        <v>0</v>
      </c>
      <c r="AG609" s="11" t="b" cm="1">
        <f t="array" ref="AG609">IF(OR(Y609:AA609="TRUE", AE609="true"), "Threatened")</f>
        <v>0</v>
      </c>
      <c r="AH609" s="11" t="s">
        <v>1799</v>
      </c>
      <c r="AI609" s="8" t="b">
        <v>1</v>
      </c>
    </row>
    <row r="610" spans="1:35" ht="31.2">
      <c r="A610" s="8">
        <v>-73.969876200000002</v>
      </c>
      <c r="B610" s="8">
        <v>40.778205569999997</v>
      </c>
      <c r="C610" s="8" t="s">
        <v>1800</v>
      </c>
      <c r="D610" s="8" t="s">
        <v>721</v>
      </c>
      <c r="E610" s="8" t="b">
        <f t="shared" si="9"/>
        <v>0</v>
      </c>
      <c r="F610" s="8" t="str" cm="1">
        <f t="array" ref="F610">_xlfn._xlws.FILTER(E610:E3808, C610:C3808= "6D-PM-1020-01", "No Squirrels Found")</f>
        <v>No Squirrels Found</v>
      </c>
      <c r="G610" s="8" t="s">
        <v>34</v>
      </c>
      <c r="H610" s="10">
        <v>10102018</v>
      </c>
      <c r="I610" s="10">
        <v>9</v>
      </c>
      <c r="J610" s="8" t="s">
        <v>39</v>
      </c>
      <c r="K610" s="8" t="s">
        <v>40</v>
      </c>
      <c r="M610" s="8" t="s">
        <v>55</v>
      </c>
      <c r="O610" s="8" t="s">
        <v>43</v>
      </c>
      <c r="P610" s="8" t="b">
        <v>0</v>
      </c>
      <c r="R610" s="8" t="b">
        <v>0</v>
      </c>
      <c r="S610" s="8" t="b">
        <v>1</v>
      </c>
      <c r="T610" s="8" t="b">
        <v>0</v>
      </c>
      <c r="U610" s="8" t="b">
        <v>0</v>
      </c>
      <c r="V610" s="8" t="b">
        <v>0</v>
      </c>
      <c r="X610" s="8" t="b">
        <v>1</v>
      </c>
      <c r="Y610" s="8" t="b">
        <v>0</v>
      </c>
      <c r="Z610" s="8" t="b">
        <v>0</v>
      </c>
      <c r="AA610" s="8" t="b">
        <v>0</v>
      </c>
      <c r="AB610" s="8" t="b">
        <v>0</v>
      </c>
      <c r="AC610" s="8" t="b">
        <v>0</v>
      </c>
      <c r="AD610" s="8" t="b">
        <v>1</v>
      </c>
      <c r="AE610" s="8" t="b">
        <v>0</v>
      </c>
      <c r="AG610" s="11" t="b" cm="1">
        <f t="array" ref="AG610">IF(OR(Y610:AA610="TRUE", AE610="true"), "Threatened")</f>
        <v>0</v>
      </c>
      <c r="AH610" s="11" t="s">
        <v>1801</v>
      </c>
      <c r="AI610" s="8" t="b">
        <v>1</v>
      </c>
    </row>
    <row r="611" spans="1:35" ht="31.2">
      <c r="A611" s="8">
        <v>-73.967154960000002</v>
      </c>
      <c r="B611" s="8">
        <v>40.775134289999997</v>
      </c>
      <c r="C611" s="8" t="s">
        <v>1802</v>
      </c>
      <c r="D611" s="8" t="s">
        <v>1320</v>
      </c>
      <c r="E611" s="8" t="b">
        <f t="shared" si="9"/>
        <v>0</v>
      </c>
      <c r="F611" s="8" t="str" cm="1">
        <f t="array" ref="F611">_xlfn._xlws.FILTER(E611:E3809, C611:C3809= "6D-PM-1020-01", "No Squirrels Found")</f>
        <v>No Squirrels Found</v>
      </c>
      <c r="G611" s="8" t="s">
        <v>48</v>
      </c>
      <c r="H611" s="10">
        <v>10072018</v>
      </c>
      <c r="I611" s="10">
        <v>1</v>
      </c>
      <c r="J611" s="8" t="s">
        <v>39</v>
      </c>
      <c r="K611" s="8" t="s">
        <v>40</v>
      </c>
      <c r="M611" s="8" t="s">
        <v>55</v>
      </c>
      <c r="O611" s="8" t="s">
        <v>50</v>
      </c>
      <c r="P611" s="8">
        <v>180</v>
      </c>
      <c r="Q611" s="8" t="s">
        <v>1803</v>
      </c>
      <c r="R611" s="8" t="b">
        <v>1</v>
      </c>
      <c r="S611" s="8" t="b">
        <v>0</v>
      </c>
      <c r="T611" s="8" t="b">
        <v>0</v>
      </c>
      <c r="U611" s="8" t="b">
        <v>0</v>
      </c>
      <c r="V611" s="8" t="b">
        <v>0</v>
      </c>
      <c r="W611" s="11" t="s">
        <v>1804</v>
      </c>
      <c r="X611" s="8" t="b">
        <v>0</v>
      </c>
      <c r="Y611" s="8" t="b">
        <v>0</v>
      </c>
      <c r="Z611" s="8" t="b">
        <v>0</v>
      </c>
      <c r="AA611" s="8" t="b">
        <v>0</v>
      </c>
      <c r="AB611" s="8" t="b">
        <v>0</v>
      </c>
      <c r="AC611" s="8" t="b">
        <v>0</v>
      </c>
      <c r="AD611" s="8" t="b">
        <v>1</v>
      </c>
      <c r="AE611" s="8" t="b">
        <v>0</v>
      </c>
      <c r="AG611" s="11" t="b" cm="1">
        <f t="array" ref="AG611">IF(OR(Y611:AA611="TRUE", AE611="true"), "Threatened")</f>
        <v>0</v>
      </c>
      <c r="AH611" s="11" t="s">
        <v>1805</v>
      </c>
      <c r="AI611" s="8" t="b">
        <v>0</v>
      </c>
    </row>
    <row r="612" spans="1:35" ht="31.2">
      <c r="A612" s="8">
        <v>-73.967939909999998</v>
      </c>
      <c r="B612" s="8">
        <v>40.774281309999999</v>
      </c>
      <c r="C612" s="8" t="s">
        <v>1806</v>
      </c>
      <c r="D612" s="8" t="s">
        <v>205</v>
      </c>
      <c r="E612" s="8" t="b">
        <f t="shared" si="9"/>
        <v>0</v>
      </c>
      <c r="F612" s="8" t="str" cm="1">
        <f t="array" ref="F612">_xlfn._xlws.FILTER(E612:E3810, C612:C3810= "6D-PM-1020-01", "No Squirrels Found")</f>
        <v>No Squirrels Found</v>
      </c>
      <c r="G612" s="8" t="s">
        <v>34</v>
      </c>
      <c r="H612" s="10">
        <v>10102018</v>
      </c>
      <c r="I612" s="10">
        <v>9</v>
      </c>
      <c r="J612" s="8" t="s">
        <v>39</v>
      </c>
      <c r="K612" s="8" t="s">
        <v>40</v>
      </c>
      <c r="M612" s="8" t="s">
        <v>55</v>
      </c>
      <c r="O612" s="8" t="s">
        <v>43</v>
      </c>
      <c r="P612" s="8" t="b">
        <v>0</v>
      </c>
      <c r="R612" s="8" t="b">
        <v>0</v>
      </c>
      <c r="S612" s="8" t="b">
        <v>0</v>
      </c>
      <c r="T612" s="8" t="b">
        <v>0</v>
      </c>
      <c r="U612" s="8" t="b">
        <v>0</v>
      </c>
      <c r="V612" s="8" t="b">
        <v>1</v>
      </c>
      <c r="X612" s="8" t="b">
        <v>0</v>
      </c>
      <c r="Y612" s="8" t="b">
        <v>0</v>
      </c>
      <c r="Z612" s="8" t="b">
        <v>0</v>
      </c>
      <c r="AA612" s="8" t="b">
        <v>0</v>
      </c>
      <c r="AB612" s="8" t="b">
        <v>0</v>
      </c>
      <c r="AC612" s="8" t="b">
        <v>0</v>
      </c>
      <c r="AD612" s="8" t="b">
        <v>1</v>
      </c>
      <c r="AE612" s="8" t="b">
        <v>0</v>
      </c>
      <c r="AG612" s="11" t="b" cm="1">
        <f t="array" ref="AG612">IF(OR(Y612:AA612="TRUE", AE612="true"), "Threatened")</f>
        <v>0</v>
      </c>
      <c r="AH612" s="11" t="s">
        <v>1807</v>
      </c>
      <c r="AI612" s="8" t="b">
        <v>1</v>
      </c>
    </row>
    <row r="613" spans="1:35" ht="31.2">
      <c r="A613" s="8">
        <v>-73.962942010000006</v>
      </c>
      <c r="B613" s="8">
        <v>40.789133069999998</v>
      </c>
      <c r="C613" s="8" t="s">
        <v>1808</v>
      </c>
      <c r="D613" s="8" t="s">
        <v>188</v>
      </c>
      <c r="E613" s="8" t="b">
        <f t="shared" si="9"/>
        <v>0</v>
      </c>
      <c r="F613" s="8" t="str" cm="1">
        <f t="array" ref="F613">_xlfn._xlws.FILTER(E613:E3811, C613:C3811= "6D-PM-1020-01", "No Squirrels Found")</f>
        <v>No Squirrels Found</v>
      </c>
      <c r="G613" s="8" t="s">
        <v>48</v>
      </c>
      <c r="H613" s="10">
        <v>10072018</v>
      </c>
      <c r="I613" s="10">
        <v>3</v>
      </c>
      <c r="J613" s="8" t="s">
        <v>39</v>
      </c>
      <c r="K613" s="8" t="s">
        <v>40</v>
      </c>
      <c r="L613" s="8" t="s">
        <v>41</v>
      </c>
      <c r="M613" s="8" t="s">
        <v>42</v>
      </c>
      <c r="O613" s="8" t="s">
        <v>43</v>
      </c>
      <c r="P613" s="8" t="b">
        <v>0</v>
      </c>
      <c r="R613" s="8" t="b">
        <v>1</v>
      </c>
      <c r="S613" s="8" t="b">
        <v>0</v>
      </c>
      <c r="T613" s="8" t="b">
        <v>0</v>
      </c>
      <c r="U613" s="8" t="b">
        <v>0</v>
      </c>
      <c r="V613" s="8" t="b">
        <v>0</v>
      </c>
      <c r="X613" s="8" t="b">
        <v>0</v>
      </c>
      <c r="Y613" s="8" t="b">
        <v>0</v>
      </c>
      <c r="Z613" s="8" t="b">
        <v>0</v>
      </c>
      <c r="AA613" s="8" t="b">
        <v>0</v>
      </c>
      <c r="AB613" s="8" t="b">
        <v>0</v>
      </c>
      <c r="AC613" s="8" t="b">
        <v>0</v>
      </c>
      <c r="AD613" s="8" t="b">
        <v>0</v>
      </c>
      <c r="AE613" s="8" t="b">
        <v>1</v>
      </c>
      <c r="AG613" s="11" t="b" cm="1">
        <f t="array" ref="AG613">IF(OR(Y613:AA613="TRUE", AE613="true"), "Threatened")</f>
        <v>0</v>
      </c>
      <c r="AH613" s="11" t="s">
        <v>1809</v>
      </c>
      <c r="AI613" s="8" t="b">
        <v>1</v>
      </c>
    </row>
    <row r="614" spans="1:35" ht="31.2">
      <c r="A614" s="8">
        <v>-73.968846690000007</v>
      </c>
      <c r="B614" s="8">
        <v>40.773791160000002</v>
      </c>
      <c r="C614" s="8" t="s">
        <v>1810</v>
      </c>
      <c r="D614" s="8" t="s">
        <v>991</v>
      </c>
      <c r="E614" s="8" t="b">
        <f t="shared" si="9"/>
        <v>0</v>
      </c>
      <c r="F614" s="8" t="str" cm="1">
        <f t="array" ref="F614">_xlfn._xlws.FILTER(E614:E3812, C614:C3812= "6D-PM-1020-01", "No Squirrels Found")</f>
        <v>No Squirrels Found</v>
      </c>
      <c r="G614" s="8" t="s">
        <v>34</v>
      </c>
      <c r="H614" s="10">
        <v>10072018</v>
      </c>
      <c r="I614" s="10">
        <v>5</v>
      </c>
      <c r="K614" s="8" t="s">
        <v>40</v>
      </c>
      <c r="L614" s="8" t="s">
        <v>41</v>
      </c>
      <c r="M614" s="8" t="s">
        <v>42</v>
      </c>
      <c r="O614" s="8" t="s">
        <v>43</v>
      </c>
      <c r="P614" s="8" t="b">
        <v>0</v>
      </c>
      <c r="R614" s="8" t="b">
        <v>0</v>
      </c>
      <c r="S614" s="8" t="b">
        <v>0</v>
      </c>
      <c r="T614" s="8" t="b">
        <v>0</v>
      </c>
      <c r="U614" s="8" t="b">
        <v>0</v>
      </c>
      <c r="V614" s="8" t="b">
        <v>0</v>
      </c>
      <c r="X614" s="8" t="b">
        <v>0</v>
      </c>
      <c r="Y614" s="8" t="b">
        <v>0</v>
      </c>
      <c r="Z614" s="8" t="b">
        <v>0</v>
      </c>
      <c r="AA614" s="8" t="b">
        <v>0</v>
      </c>
      <c r="AB614" s="8" t="b">
        <v>0</v>
      </c>
      <c r="AC614" s="8" t="b">
        <v>0</v>
      </c>
      <c r="AD614" s="8" t="b">
        <v>0</v>
      </c>
      <c r="AE614" s="8" t="b">
        <v>0</v>
      </c>
      <c r="AG614" s="11" t="b" cm="1">
        <f t="array" ref="AG614">IF(OR(Y614:AA614="TRUE", AE614="true"), "Threatened")</f>
        <v>0</v>
      </c>
      <c r="AH614" s="11" t="s">
        <v>1811</v>
      </c>
      <c r="AI614" s="8" t="b">
        <v>1</v>
      </c>
    </row>
    <row r="615" spans="1:35" ht="31.2">
      <c r="A615" s="8">
        <v>-73.964241200000004</v>
      </c>
      <c r="B615" s="8">
        <v>40.777969280000001</v>
      </c>
      <c r="C615" s="8" t="s">
        <v>1812</v>
      </c>
      <c r="D615" s="8" t="s">
        <v>1813</v>
      </c>
      <c r="E615" s="8" t="b">
        <f t="shared" si="9"/>
        <v>0</v>
      </c>
      <c r="F615" s="8" t="str" cm="1">
        <f t="array" ref="F615">_xlfn._xlws.FILTER(E615:E3813, C615:C3813= "6D-PM-1020-01", "No Squirrels Found")</f>
        <v>No Squirrels Found</v>
      </c>
      <c r="G615" s="8" t="s">
        <v>34</v>
      </c>
      <c r="H615" s="10">
        <v>10142018</v>
      </c>
      <c r="I615" s="10">
        <v>3</v>
      </c>
      <c r="J615" s="8" t="s">
        <v>39</v>
      </c>
      <c r="K615" s="8" t="s">
        <v>40</v>
      </c>
      <c r="L615" s="8" t="s">
        <v>41</v>
      </c>
      <c r="M615" s="8" t="s">
        <v>42</v>
      </c>
      <c r="O615" s="8" t="s">
        <v>43</v>
      </c>
      <c r="P615" s="8" t="b">
        <v>0</v>
      </c>
      <c r="R615" s="8" t="b">
        <v>0</v>
      </c>
      <c r="S615" s="8" t="b">
        <v>0</v>
      </c>
      <c r="T615" s="8" t="b">
        <v>0</v>
      </c>
      <c r="U615" s="8" t="b">
        <v>0</v>
      </c>
      <c r="V615" s="8" t="b">
        <v>1</v>
      </c>
      <c r="X615" s="8" t="b">
        <v>0</v>
      </c>
      <c r="Y615" s="8" t="b">
        <v>0</v>
      </c>
      <c r="Z615" s="8" t="b">
        <v>0</v>
      </c>
      <c r="AA615" s="8" t="b">
        <v>1</v>
      </c>
      <c r="AB615" s="8" t="b">
        <v>0</v>
      </c>
      <c r="AC615" s="8" t="b">
        <v>0</v>
      </c>
      <c r="AD615" s="8" t="b">
        <v>1</v>
      </c>
      <c r="AE615" s="8" t="b">
        <v>0</v>
      </c>
      <c r="AG615" s="11" t="b" cm="1">
        <f t="array" ref="AG615">IF(OR(Y615:AA615="TRUE", AE615="true"), "Threatened")</f>
        <v>0</v>
      </c>
      <c r="AH615" s="11" t="s">
        <v>1814</v>
      </c>
      <c r="AI615" s="8" t="b">
        <v>1</v>
      </c>
    </row>
    <row r="616" spans="1:35" ht="31.2">
      <c r="A616" s="8">
        <v>-73.965327909999999</v>
      </c>
      <c r="B616" s="8">
        <v>40.775874309999999</v>
      </c>
      <c r="C616" s="8" t="s">
        <v>1815</v>
      </c>
      <c r="D616" s="8" t="s">
        <v>419</v>
      </c>
      <c r="E616" s="8" t="b">
        <f t="shared" si="9"/>
        <v>0</v>
      </c>
      <c r="F616" s="8" t="str" cm="1">
        <f t="array" ref="F616">_xlfn._xlws.FILTER(E616:E3814, C616:C3814= "6D-PM-1020-01", "No Squirrels Found")</f>
        <v>No Squirrels Found</v>
      </c>
      <c r="G616" s="8" t="s">
        <v>48</v>
      </c>
      <c r="H616" s="10">
        <v>10082018</v>
      </c>
      <c r="I616" s="10">
        <v>2</v>
      </c>
      <c r="J616" s="8" t="s">
        <v>39</v>
      </c>
      <c r="K616" s="8" t="s">
        <v>40</v>
      </c>
      <c r="L616" s="8" t="s">
        <v>41</v>
      </c>
      <c r="M616" s="8" t="s">
        <v>42</v>
      </c>
      <c r="N616" s="11" t="s">
        <v>1816</v>
      </c>
      <c r="O616" s="8" t="s">
        <v>50</v>
      </c>
      <c r="P616" s="8">
        <v>4</v>
      </c>
      <c r="Q616" s="8" t="s">
        <v>760</v>
      </c>
      <c r="R616" s="8" t="b">
        <v>0</v>
      </c>
      <c r="S616" s="8" t="b">
        <v>0</v>
      </c>
      <c r="T616" s="8" t="b">
        <v>0</v>
      </c>
      <c r="U616" s="8" t="b">
        <v>1</v>
      </c>
      <c r="V616" s="8" t="b">
        <v>0</v>
      </c>
      <c r="X616" s="8" t="b">
        <v>0</v>
      </c>
      <c r="Y616" s="8" t="b">
        <v>0</v>
      </c>
      <c r="Z616" s="8" t="b">
        <v>0</v>
      </c>
      <c r="AA616" s="8" t="b">
        <v>0</v>
      </c>
      <c r="AB616" s="8" t="b">
        <v>0</v>
      </c>
      <c r="AC616" s="8" t="b">
        <v>0</v>
      </c>
      <c r="AD616" s="8" t="b">
        <v>0</v>
      </c>
      <c r="AE616" s="8" t="b">
        <v>1</v>
      </c>
      <c r="AG616" s="11" t="b" cm="1">
        <f t="array" ref="AG616">IF(OR(Y616:AA616="TRUE", AE616="true"), "Threatened")</f>
        <v>0</v>
      </c>
      <c r="AH616" s="11" t="s">
        <v>1817</v>
      </c>
      <c r="AI616" s="8" t="b">
        <v>1</v>
      </c>
    </row>
    <row r="617" spans="1:35" ht="31.2">
      <c r="A617" s="8">
        <v>-73.955693719999999</v>
      </c>
      <c r="B617" s="8">
        <v>40.799092809999998</v>
      </c>
      <c r="C617" s="8" t="s">
        <v>1818</v>
      </c>
      <c r="D617" s="8" t="s">
        <v>350</v>
      </c>
      <c r="E617" s="8" t="b">
        <f t="shared" si="9"/>
        <v>0</v>
      </c>
      <c r="F617" s="8" t="str" cm="1">
        <f t="array" ref="F617">_xlfn._xlws.FILTER(E617:E3815, C617:C3815= "6D-PM-1020-01", "No Squirrels Found")</f>
        <v>No Squirrels Found</v>
      </c>
      <c r="G617" s="8" t="s">
        <v>48</v>
      </c>
      <c r="H617" s="10">
        <v>10072018</v>
      </c>
      <c r="I617" s="10">
        <v>4</v>
      </c>
      <c r="J617" s="8" t="s">
        <v>39</v>
      </c>
      <c r="K617" s="8" t="s">
        <v>40</v>
      </c>
      <c r="L617" s="8" t="s">
        <v>117</v>
      </c>
      <c r="M617" s="8" t="s">
        <v>118</v>
      </c>
      <c r="N617" s="11" t="s">
        <v>1819</v>
      </c>
      <c r="O617" s="8" t="s">
        <v>43</v>
      </c>
      <c r="P617" s="8" t="b">
        <v>0</v>
      </c>
      <c r="R617" s="8" t="b">
        <v>0</v>
      </c>
      <c r="S617" s="8" t="b">
        <v>0</v>
      </c>
      <c r="T617" s="8" t="b">
        <v>0</v>
      </c>
      <c r="U617" s="8" t="b">
        <v>0</v>
      </c>
      <c r="V617" s="8" t="b">
        <v>0</v>
      </c>
      <c r="W617" s="11" t="s">
        <v>122</v>
      </c>
      <c r="X617" s="8" t="b">
        <v>0</v>
      </c>
      <c r="Y617" s="8" t="b">
        <v>0</v>
      </c>
      <c r="Z617" s="8" t="b">
        <v>0</v>
      </c>
      <c r="AA617" s="8" t="b">
        <v>0</v>
      </c>
      <c r="AB617" s="8" t="b">
        <v>0</v>
      </c>
      <c r="AC617" s="8" t="b">
        <v>0</v>
      </c>
      <c r="AD617" s="8" t="b">
        <v>1</v>
      </c>
      <c r="AE617" s="8" t="b">
        <v>0</v>
      </c>
      <c r="AG617" s="11" t="b" cm="1">
        <f t="array" ref="AG617">IF(OR(Y617:AA617="TRUE", AE617="true"), "Threatened")</f>
        <v>0</v>
      </c>
      <c r="AH617" s="11" t="s">
        <v>1820</v>
      </c>
      <c r="AI617" s="8" t="b">
        <v>0</v>
      </c>
    </row>
    <row r="618" spans="1:35" ht="31.2">
      <c r="A618" s="8">
        <v>-73.955880910000005</v>
      </c>
      <c r="B618" s="8">
        <v>40.7952765</v>
      </c>
      <c r="C618" s="8" t="s">
        <v>1821</v>
      </c>
      <c r="D618" s="8" t="s">
        <v>530</v>
      </c>
      <c r="E618" s="8" t="b">
        <f t="shared" si="9"/>
        <v>0</v>
      </c>
      <c r="F618" s="8" t="str" cm="1">
        <f t="array" ref="F618">_xlfn._xlws.FILTER(E618:E3816, C618:C3816= "6D-PM-1020-01", "No Squirrels Found")</f>
        <v>No Squirrels Found</v>
      </c>
      <c r="G618" s="8" t="s">
        <v>34</v>
      </c>
      <c r="H618" s="10">
        <v>10142018</v>
      </c>
      <c r="I618" s="10">
        <v>3</v>
      </c>
      <c r="K618" s="8" t="s">
        <v>40</v>
      </c>
      <c r="M618" s="8" t="s">
        <v>55</v>
      </c>
      <c r="O618" s="8" t="s">
        <v>43</v>
      </c>
      <c r="P618" s="8" t="b">
        <v>0</v>
      </c>
      <c r="Q618" s="8" t="s">
        <v>1822</v>
      </c>
      <c r="R618" s="8" t="b">
        <v>0</v>
      </c>
      <c r="S618" s="8" t="b">
        <v>0</v>
      </c>
      <c r="T618" s="8" t="b">
        <v>0</v>
      </c>
      <c r="U618" s="8" t="b">
        <v>0</v>
      </c>
      <c r="V618" s="8" t="b">
        <v>1</v>
      </c>
      <c r="X618" s="8" t="b">
        <v>0</v>
      </c>
      <c r="Y618" s="8" t="b">
        <v>0</v>
      </c>
      <c r="Z618" s="8" t="b">
        <v>0</v>
      </c>
      <c r="AA618" s="8" t="b">
        <v>0</v>
      </c>
      <c r="AB618" s="8" t="b">
        <v>0</v>
      </c>
      <c r="AC618" s="8" t="b">
        <v>0</v>
      </c>
      <c r="AD618" s="8" t="b">
        <v>1</v>
      </c>
      <c r="AE618" s="8" t="b">
        <v>0</v>
      </c>
      <c r="AG618" s="11" t="b" cm="1">
        <f t="array" ref="AG618">IF(OR(Y618:AA618="TRUE", AE618="true"), "Threatened")</f>
        <v>0</v>
      </c>
      <c r="AH618" s="11" t="s">
        <v>1823</v>
      </c>
      <c r="AI618" s="8" t="b">
        <v>1</v>
      </c>
    </row>
    <row r="619" spans="1:35" ht="31.2">
      <c r="A619" s="8">
        <v>-73.957976900000006</v>
      </c>
      <c r="B619" s="8">
        <v>40.797027129999996</v>
      </c>
      <c r="C619" s="8" t="s">
        <v>1824</v>
      </c>
      <c r="D619" s="8" t="s">
        <v>233</v>
      </c>
      <c r="E619" s="8" t="b">
        <f t="shared" si="9"/>
        <v>0</v>
      </c>
      <c r="F619" s="8" t="str" cm="1">
        <f t="array" ref="F619">_xlfn._xlws.FILTER(E619:E3817, C619:C3817= "6D-PM-1020-01", "No Squirrels Found")</f>
        <v>No Squirrels Found</v>
      </c>
      <c r="G619" s="8" t="s">
        <v>48</v>
      </c>
      <c r="H619" s="10">
        <v>10172018</v>
      </c>
      <c r="I619" s="10">
        <v>4</v>
      </c>
      <c r="J619" s="8" t="s">
        <v>39</v>
      </c>
      <c r="K619" s="8" t="s">
        <v>40</v>
      </c>
      <c r="M619" s="8" t="s">
        <v>55</v>
      </c>
      <c r="O619" s="8" t="s">
        <v>43</v>
      </c>
      <c r="P619" s="8" t="b">
        <v>0</v>
      </c>
      <c r="R619" s="8" t="b">
        <v>0</v>
      </c>
      <c r="S619" s="8" t="b">
        <v>0</v>
      </c>
      <c r="T619" s="8" t="b">
        <v>0</v>
      </c>
      <c r="U619" s="8" t="b">
        <v>1</v>
      </c>
      <c r="V619" s="8" t="b">
        <v>0</v>
      </c>
      <c r="X619" s="8" t="b">
        <v>0</v>
      </c>
      <c r="Y619" s="8" t="b">
        <v>0</v>
      </c>
      <c r="Z619" s="8" t="b">
        <v>0</v>
      </c>
      <c r="AA619" s="8" t="b">
        <v>0</v>
      </c>
      <c r="AB619" s="8" t="b">
        <v>0</v>
      </c>
      <c r="AC619" s="8" t="b">
        <v>0</v>
      </c>
      <c r="AD619" s="8" t="b">
        <v>0</v>
      </c>
      <c r="AE619" s="8" t="b">
        <v>1</v>
      </c>
      <c r="AG619" s="11" t="b" cm="1">
        <f t="array" ref="AG619">IF(OR(Y619:AA619="TRUE", AE619="true"), "Threatened")</f>
        <v>0</v>
      </c>
      <c r="AH619" s="11" t="s">
        <v>1825</v>
      </c>
      <c r="AI619" s="8" t="b">
        <v>1</v>
      </c>
    </row>
    <row r="620" spans="1:35" ht="31.2">
      <c r="A620" s="8">
        <v>-73.976988750000004</v>
      </c>
      <c r="B620" s="8">
        <v>40.770756149999997</v>
      </c>
      <c r="C620" s="8" t="s">
        <v>1826</v>
      </c>
      <c r="D620" s="8" t="s">
        <v>109</v>
      </c>
      <c r="E620" s="8" t="b">
        <f t="shared" si="9"/>
        <v>0</v>
      </c>
      <c r="F620" s="8" t="str" cm="1">
        <f t="array" ref="F620">_xlfn._xlws.FILTER(E620:E3818, C620:C3818= "6D-PM-1020-01", "No Squirrels Found")</f>
        <v>No Squirrels Found</v>
      </c>
      <c r="G620" s="8" t="s">
        <v>34</v>
      </c>
      <c r="H620" s="10">
        <v>10102018</v>
      </c>
      <c r="I620" s="10">
        <v>4</v>
      </c>
      <c r="J620" s="8" t="s">
        <v>39</v>
      </c>
      <c r="K620" s="8" t="s">
        <v>40</v>
      </c>
      <c r="L620" s="8" t="s">
        <v>41</v>
      </c>
      <c r="M620" s="8" t="s">
        <v>42</v>
      </c>
      <c r="O620" s="8" t="s">
        <v>43</v>
      </c>
      <c r="P620" s="8" t="b">
        <v>0</v>
      </c>
      <c r="R620" s="8" t="b">
        <v>1</v>
      </c>
      <c r="S620" s="8" t="b">
        <v>0</v>
      </c>
      <c r="T620" s="8" t="b">
        <v>0</v>
      </c>
      <c r="U620" s="8" t="b">
        <v>1</v>
      </c>
      <c r="V620" s="8" t="b">
        <v>0</v>
      </c>
      <c r="X620" s="8" t="b">
        <v>0</v>
      </c>
      <c r="Y620" s="8" t="b">
        <v>0</v>
      </c>
      <c r="Z620" s="8" t="b">
        <v>0</v>
      </c>
      <c r="AA620" s="8" t="b">
        <v>0</v>
      </c>
      <c r="AB620" s="8" t="b">
        <v>0</v>
      </c>
      <c r="AC620" s="8" t="b">
        <v>0</v>
      </c>
      <c r="AD620" s="8" t="b">
        <v>1</v>
      </c>
      <c r="AE620" s="8" t="b">
        <v>0</v>
      </c>
      <c r="AG620" s="11" t="b" cm="1">
        <f t="array" ref="AG620">IF(OR(Y620:AA620="TRUE", AE620="true"), "Threatened")</f>
        <v>0</v>
      </c>
      <c r="AH620" s="11" t="s">
        <v>1827</v>
      </c>
      <c r="AI620" s="8" t="b">
        <v>1</v>
      </c>
    </row>
    <row r="621" spans="1:35" ht="31.2">
      <c r="A621" s="8">
        <v>-73.96559053</v>
      </c>
      <c r="B621" s="8">
        <v>40.775261460000003</v>
      </c>
      <c r="C621" s="8" t="s">
        <v>1828</v>
      </c>
      <c r="D621" s="8" t="s">
        <v>1093</v>
      </c>
      <c r="E621" s="8" t="b">
        <f t="shared" si="9"/>
        <v>0</v>
      </c>
      <c r="F621" s="8" t="str" cm="1">
        <f t="array" ref="F621">_xlfn._xlws.FILTER(E621:E3819, C621:C3819= "6D-PM-1020-01", "No Squirrels Found")</f>
        <v>No Squirrels Found</v>
      </c>
      <c r="G621" s="8" t="s">
        <v>34</v>
      </c>
      <c r="H621" s="10">
        <v>10182018</v>
      </c>
      <c r="I621" s="10">
        <v>6</v>
      </c>
      <c r="J621" s="8" t="s">
        <v>39</v>
      </c>
      <c r="K621" s="8" t="s">
        <v>41</v>
      </c>
      <c r="L621" s="8" t="s">
        <v>192</v>
      </c>
      <c r="M621" s="8" t="s">
        <v>1145</v>
      </c>
      <c r="O621" s="8" t="s">
        <v>50</v>
      </c>
      <c r="P621" s="8">
        <v>2</v>
      </c>
      <c r="R621" s="8" t="b">
        <v>1</v>
      </c>
      <c r="S621" s="8" t="b">
        <v>0</v>
      </c>
      <c r="T621" s="8" t="b">
        <v>1</v>
      </c>
      <c r="U621" s="8" t="b">
        <v>0</v>
      </c>
      <c r="V621" s="8" t="b">
        <v>0</v>
      </c>
      <c r="X621" s="8" t="b">
        <v>0</v>
      </c>
      <c r="Y621" s="8" t="b">
        <v>0</v>
      </c>
      <c r="Z621" s="8" t="b">
        <v>0</v>
      </c>
      <c r="AA621" s="8" t="b">
        <v>0</v>
      </c>
      <c r="AB621" s="8" t="b">
        <v>1</v>
      </c>
      <c r="AC621" s="8" t="b">
        <v>0</v>
      </c>
      <c r="AD621" s="8" t="b">
        <v>1</v>
      </c>
      <c r="AE621" s="8" t="b">
        <v>0</v>
      </c>
      <c r="AG621" s="11" t="b" cm="1">
        <f t="array" ref="AG621">IF(OR(Y621:AA621="TRUE", AE621="true"), "Threatened")</f>
        <v>0</v>
      </c>
      <c r="AH621" s="11" t="s">
        <v>1829</v>
      </c>
      <c r="AI621" s="8" t="b">
        <v>1</v>
      </c>
    </row>
    <row r="622" spans="1:35" ht="31.2">
      <c r="A622" s="8">
        <v>-73.958888610000002</v>
      </c>
      <c r="B622" s="8">
        <v>40.790999169999999</v>
      </c>
      <c r="C622" s="8" t="s">
        <v>1830</v>
      </c>
      <c r="D622" s="8" t="s">
        <v>75</v>
      </c>
      <c r="E622" s="8" t="b">
        <f t="shared" si="9"/>
        <v>0</v>
      </c>
      <c r="F622" s="8" t="str" cm="1">
        <f t="array" ref="F622">_xlfn._xlws.FILTER(E622:E3820, C622:C3820= "6D-PM-1020-01", "No Squirrels Found")</f>
        <v>No Squirrels Found</v>
      </c>
      <c r="G622" s="8" t="s">
        <v>34</v>
      </c>
      <c r="H622" s="10">
        <v>10172018</v>
      </c>
      <c r="I622" s="10">
        <v>1</v>
      </c>
      <c r="J622" s="8" t="s">
        <v>39</v>
      </c>
      <c r="K622" s="8" t="s">
        <v>40</v>
      </c>
      <c r="M622" s="8" t="s">
        <v>55</v>
      </c>
      <c r="O622" s="8" t="s">
        <v>43</v>
      </c>
      <c r="P622" s="8" t="b">
        <v>0</v>
      </c>
      <c r="R622" s="8" t="b">
        <v>0</v>
      </c>
      <c r="S622" s="8" t="b">
        <v>0</v>
      </c>
      <c r="T622" s="8" t="b">
        <v>0</v>
      </c>
      <c r="U622" s="8" t="b">
        <v>0</v>
      </c>
      <c r="V622" s="8" t="b">
        <v>1</v>
      </c>
      <c r="X622" s="8" t="b">
        <v>0</v>
      </c>
      <c r="Y622" s="8" t="b">
        <v>0</v>
      </c>
      <c r="Z622" s="8" t="b">
        <v>0</v>
      </c>
      <c r="AA622" s="8" t="b">
        <v>0</v>
      </c>
      <c r="AB622" s="8" t="b">
        <v>0</v>
      </c>
      <c r="AC622" s="8" t="b">
        <v>0</v>
      </c>
      <c r="AD622" s="8" t="b">
        <v>0</v>
      </c>
      <c r="AE622" s="8" t="b">
        <v>1</v>
      </c>
      <c r="AG622" s="11" t="b" cm="1">
        <f t="array" ref="AG622">IF(OR(Y622:AA622="TRUE", AE622="true"), "Threatened")</f>
        <v>0</v>
      </c>
      <c r="AH622" s="11" t="s">
        <v>1831</v>
      </c>
      <c r="AI622" s="8" t="b">
        <v>1</v>
      </c>
    </row>
    <row r="623" spans="1:35" ht="31.2">
      <c r="A623" s="8">
        <v>-73.975483679999996</v>
      </c>
      <c r="B623" s="8">
        <v>40.773887950000002</v>
      </c>
      <c r="C623" s="8" t="s">
        <v>1832</v>
      </c>
      <c r="D623" s="8" t="s">
        <v>802</v>
      </c>
      <c r="E623" s="8" t="b">
        <f t="shared" si="9"/>
        <v>0</v>
      </c>
      <c r="F623" s="8" t="str" cm="1">
        <f t="array" ref="F623">_xlfn._xlws.FILTER(E623:E3821, C623:C3821= "6D-PM-1020-01", "No Squirrels Found")</f>
        <v>No Squirrels Found</v>
      </c>
      <c r="G623" s="8" t="s">
        <v>34</v>
      </c>
      <c r="H623" s="10">
        <v>10132018</v>
      </c>
      <c r="I623" s="10">
        <v>1</v>
      </c>
      <c r="J623" s="8" t="s">
        <v>54</v>
      </c>
      <c r="K623" s="8" t="s">
        <v>40</v>
      </c>
      <c r="L623" s="8" t="s">
        <v>41</v>
      </c>
      <c r="M623" s="8" t="s">
        <v>42</v>
      </c>
      <c r="O623" s="8" t="s">
        <v>43</v>
      </c>
      <c r="P623" s="8" t="b">
        <v>0</v>
      </c>
      <c r="R623" s="8" t="b">
        <v>0</v>
      </c>
      <c r="S623" s="8" t="b">
        <v>0</v>
      </c>
      <c r="T623" s="8" t="b">
        <v>0</v>
      </c>
      <c r="U623" s="8" t="b">
        <v>0</v>
      </c>
      <c r="V623" s="8" t="b">
        <v>0</v>
      </c>
      <c r="W623" s="11" t="s">
        <v>1369</v>
      </c>
      <c r="X623" s="8" t="b">
        <v>0</v>
      </c>
      <c r="Y623" s="8" t="b">
        <v>0</v>
      </c>
      <c r="Z623" s="8" t="b">
        <v>0</v>
      </c>
      <c r="AA623" s="8" t="b">
        <v>0</v>
      </c>
      <c r="AB623" s="8" t="b">
        <v>1</v>
      </c>
      <c r="AC623" s="8" t="b">
        <v>0</v>
      </c>
      <c r="AD623" s="8" t="b">
        <v>1</v>
      </c>
      <c r="AE623" s="8" t="b">
        <v>0</v>
      </c>
      <c r="AG623" s="11" t="b" cm="1">
        <f t="array" ref="AG623">IF(OR(Y623:AA623="TRUE", AE623="true"), "Threatened")</f>
        <v>0</v>
      </c>
      <c r="AH623" s="11" t="s">
        <v>1833</v>
      </c>
      <c r="AI623" s="8" t="b">
        <v>0</v>
      </c>
    </row>
    <row r="624" spans="1:35" ht="31.2">
      <c r="A624" s="8">
        <v>-73.966293960000002</v>
      </c>
      <c r="B624" s="8">
        <v>40.787850229999997</v>
      </c>
      <c r="C624" s="8" t="s">
        <v>1834</v>
      </c>
      <c r="D624" s="8" t="s">
        <v>1835</v>
      </c>
      <c r="E624" s="8" t="b">
        <f t="shared" si="9"/>
        <v>0</v>
      </c>
      <c r="F624" s="8" t="str" cm="1">
        <f t="array" ref="F624">_xlfn._xlws.FILTER(E624:E3822, C624:C3822= "6D-PM-1020-01", "No Squirrels Found")</f>
        <v>No Squirrels Found</v>
      </c>
      <c r="G624" s="8" t="s">
        <v>48</v>
      </c>
      <c r="H624" s="10">
        <v>10102018</v>
      </c>
      <c r="I624" s="10">
        <v>1</v>
      </c>
      <c r="J624" s="8" t="s">
        <v>39</v>
      </c>
      <c r="K624" s="8" t="s">
        <v>40</v>
      </c>
      <c r="M624" s="8" t="s">
        <v>55</v>
      </c>
      <c r="O624" s="8" t="s">
        <v>43</v>
      </c>
      <c r="P624" s="8" t="b">
        <v>0</v>
      </c>
      <c r="Q624" s="8" t="s">
        <v>1836</v>
      </c>
      <c r="R624" s="8" t="b">
        <v>1</v>
      </c>
      <c r="S624" s="8" t="b">
        <v>0</v>
      </c>
      <c r="T624" s="8" t="b">
        <v>0</v>
      </c>
      <c r="U624" s="8" t="b">
        <v>0</v>
      </c>
      <c r="V624" s="8" t="b">
        <v>0</v>
      </c>
      <c r="X624" s="8" t="b">
        <v>0</v>
      </c>
      <c r="Y624" s="8" t="b">
        <v>0</v>
      </c>
      <c r="Z624" s="8" t="b">
        <v>0</v>
      </c>
      <c r="AA624" s="8" t="b">
        <v>0</v>
      </c>
      <c r="AB624" s="8" t="b">
        <v>0</v>
      </c>
      <c r="AC624" s="8" t="b">
        <v>0</v>
      </c>
      <c r="AD624" s="8" t="b">
        <v>0</v>
      </c>
      <c r="AE624" s="8" t="b">
        <v>1</v>
      </c>
      <c r="AG624" s="11" t="b" cm="1">
        <f t="array" ref="AG624">IF(OR(Y624:AA624="TRUE", AE624="true"), "Threatened")</f>
        <v>0</v>
      </c>
      <c r="AH624" s="11" t="s">
        <v>1837</v>
      </c>
      <c r="AI624" s="8" t="b">
        <v>1</v>
      </c>
    </row>
    <row r="625" spans="1:35" ht="31.2">
      <c r="A625" s="8">
        <v>-73.961305199999998</v>
      </c>
      <c r="B625" s="8">
        <v>40.790935140000002</v>
      </c>
      <c r="C625" s="8" t="s">
        <v>1838</v>
      </c>
      <c r="D625" s="8" t="s">
        <v>621</v>
      </c>
      <c r="E625" s="8" t="b">
        <f t="shared" si="9"/>
        <v>0</v>
      </c>
      <c r="F625" s="8" t="str" cm="1">
        <f t="array" ref="F625">_xlfn._xlws.FILTER(E625:E3823, C625:C3823= "6D-PM-1020-01", "No Squirrels Found")</f>
        <v>No Squirrels Found</v>
      </c>
      <c r="G625" s="8" t="s">
        <v>48</v>
      </c>
      <c r="H625" s="10">
        <v>10142018</v>
      </c>
      <c r="I625" s="10">
        <v>2</v>
      </c>
      <c r="J625" s="8" t="s">
        <v>54</v>
      </c>
      <c r="K625" s="8" t="s">
        <v>40</v>
      </c>
      <c r="L625" s="8" t="s">
        <v>84</v>
      </c>
      <c r="M625" s="8" t="s">
        <v>103</v>
      </c>
      <c r="O625" s="8" t="s">
        <v>43</v>
      </c>
      <c r="P625" s="8" t="b">
        <v>0</v>
      </c>
      <c r="Q625" s="8" t="s">
        <v>1839</v>
      </c>
      <c r="R625" s="8" t="b">
        <v>0</v>
      </c>
      <c r="S625" s="8" t="b">
        <v>0</v>
      </c>
      <c r="T625" s="8" t="b">
        <v>0</v>
      </c>
      <c r="U625" s="8" t="b">
        <v>0</v>
      </c>
      <c r="V625" s="8" t="b">
        <v>1</v>
      </c>
      <c r="X625" s="8" t="b">
        <v>0</v>
      </c>
      <c r="Y625" s="8" t="b">
        <v>0</v>
      </c>
      <c r="Z625" s="8" t="b">
        <v>0</v>
      </c>
      <c r="AA625" s="8" t="b">
        <v>0</v>
      </c>
      <c r="AB625" s="8" t="b">
        <v>0</v>
      </c>
      <c r="AC625" s="8" t="b">
        <v>0</v>
      </c>
      <c r="AD625" s="8" t="b">
        <v>0</v>
      </c>
      <c r="AE625" s="8" t="b">
        <v>1</v>
      </c>
      <c r="AG625" s="11" t="b" cm="1">
        <f t="array" ref="AG625">IF(OR(Y625:AA625="TRUE", AE625="true"), "Threatened")</f>
        <v>0</v>
      </c>
      <c r="AH625" s="11" t="s">
        <v>1840</v>
      </c>
      <c r="AI625" s="8" t="b">
        <v>1</v>
      </c>
    </row>
    <row r="626" spans="1:35" ht="31.2">
      <c r="A626" s="8">
        <v>-73.976423539999999</v>
      </c>
      <c r="B626" s="8">
        <v>40.77060651</v>
      </c>
      <c r="C626" s="8" t="s">
        <v>1841</v>
      </c>
      <c r="D626" s="8" t="s">
        <v>109</v>
      </c>
      <c r="E626" s="8" t="b">
        <f t="shared" si="9"/>
        <v>0</v>
      </c>
      <c r="F626" s="8" t="str" cm="1">
        <f t="array" ref="F626">_xlfn._xlws.FILTER(E626:E3824, C626:C3824= "6D-PM-1020-01", "No Squirrels Found")</f>
        <v>No Squirrels Found</v>
      </c>
      <c r="G626" s="8" t="s">
        <v>34</v>
      </c>
      <c r="H626" s="10">
        <v>10102018</v>
      </c>
      <c r="I626" s="10">
        <v>11</v>
      </c>
      <c r="J626" s="8" t="s">
        <v>39</v>
      </c>
      <c r="K626" s="8" t="s">
        <v>41</v>
      </c>
      <c r="L626" s="8" t="s">
        <v>40</v>
      </c>
      <c r="M626" s="8" t="s">
        <v>110</v>
      </c>
      <c r="O626" s="8" t="s">
        <v>43</v>
      </c>
      <c r="P626" s="8" t="b">
        <v>0</v>
      </c>
      <c r="R626" s="8" t="b">
        <v>0</v>
      </c>
      <c r="S626" s="8" t="b">
        <v>0</v>
      </c>
      <c r="T626" s="8" t="b">
        <v>1</v>
      </c>
      <c r="U626" s="8" t="b">
        <v>0</v>
      </c>
      <c r="V626" s="8" t="b">
        <v>1</v>
      </c>
      <c r="X626" s="8" t="b">
        <v>0</v>
      </c>
      <c r="Y626" s="8" t="b">
        <v>0</v>
      </c>
      <c r="Z626" s="8" t="b">
        <v>0</v>
      </c>
      <c r="AA626" s="8" t="b">
        <v>0</v>
      </c>
      <c r="AB626" s="8" t="b">
        <v>0</v>
      </c>
      <c r="AC626" s="8" t="b">
        <v>0</v>
      </c>
      <c r="AD626" s="8" t="b">
        <v>0</v>
      </c>
      <c r="AE626" s="8" t="b">
        <v>0</v>
      </c>
      <c r="AG626" s="11" t="b" cm="1">
        <f t="array" ref="AG626">IF(OR(Y626:AA626="TRUE", AE626="true"), "Threatened")</f>
        <v>0</v>
      </c>
      <c r="AH626" s="11" t="s">
        <v>1842</v>
      </c>
      <c r="AI626" s="8" t="b">
        <v>1</v>
      </c>
    </row>
    <row r="627" spans="1:35" ht="31.2">
      <c r="A627" s="8">
        <v>-73.970505380000006</v>
      </c>
      <c r="B627" s="8">
        <v>40.77875032</v>
      </c>
      <c r="C627" s="8" t="s">
        <v>1843</v>
      </c>
      <c r="D627" s="8" t="s">
        <v>116</v>
      </c>
      <c r="E627" s="8" t="b">
        <f t="shared" si="9"/>
        <v>0</v>
      </c>
      <c r="F627" s="8" t="str" cm="1">
        <f t="array" ref="F627">_xlfn._xlws.FILTER(E627:E3825, C627:C3825= "6D-PM-1020-01", "No Squirrels Found")</f>
        <v>No Squirrels Found</v>
      </c>
      <c r="G627" s="8" t="s">
        <v>48</v>
      </c>
      <c r="H627" s="10">
        <v>10142018</v>
      </c>
      <c r="I627" s="10">
        <v>4</v>
      </c>
      <c r="J627" s="8" t="s">
        <v>39</v>
      </c>
      <c r="K627" s="8" t="s">
        <v>40</v>
      </c>
      <c r="L627" s="8" t="s">
        <v>192</v>
      </c>
      <c r="M627" s="8" t="s">
        <v>354</v>
      </c>
      <c r="O627" s="8" t="s">
        <v>43</v>
      </c>
      <c r="P627" s="8" t="b">
        <v>0</v>
      </c>
      <c r="R627" s="8" t="b">
        <v>0</v>
      </c>
      <c r="S627" s="8" t="b">
        <v>0</v>
      </c>
      <c r="T627" s="8" t="b">
        <v>0</v>
      </c>
      <c r="U627" s="8" t="b">
        <v>0</v>
      </c>
      <c r="V627" s="8" t="b">
        <v>1</v>
      </c>
      <c r="X627" s="8" t="b">
        <v>0</v>
      </c>
      <c r="Y627" s="8" t="b">
        <v>0</v>
      </c>
      <c r="Z627" s="8" t="b">
        <v>0</v>
      </c>
      <c r="AA627" s="8" t="b">
        <v>0</v>
      </c>
      <c r="AB627" s="8" t="b">
        <v>0</v>
      </c>
      <c r="AC627" s="8" t="b">
        <v>0</v>
      </c>
      <c r="AD627" s="8" t="b">
        <v>1</v>
      </c>
      <c r="AE627" s="8" t="b">
        <v>0</v>
      </c>
      <c r="AG627" s="11" t="b" cm="1">
        <f t="array" ref="AG627">IF(OR(Y627:AA627="TRUE", AE627="true"), "Threatened")</f>
        <v>0</v>
      </c>
      <c r="AH627" s="11" t="s">
        <v>1844</v>
      </c>
      <c r="AI627" s="8" t="b">
        <v>1</v>
      </c>
    </row>
    <row r="628" spans="1:35" ht="31.2">
      <c r="A628" s="8">
        <v>-73.976379109999996</v>
      </c>
      <c r="B628" s="8">
        <v>40.770281509999997</v>
      </c>
      <c r="C628" s="8" t="s">
        <v>1845</v>
      </c>
      <c r="D628" s="8" t="s">
        <v>53</v>
      </c>
      <c r="E628" s="8" t="b">
        <f t="shared" si="9"/>
        <v>1</v>
      </c>
      <c r="F628" s="8" t="str" cm="1">
        <f t="array" ref="F628">_xlfn._xlws.FILTER(E628:E3826, C628:C3826= "6D-PM-1020-01", "No Squirrels Found")</f>
        <v>No Squirrels Found</v>
      </c>
      <c r="G628" s="8" t="s">
        <v>34</v>
      </c>
      <c r="H628" s="10">
        <v>10182018</v>
      </c>
      <c r="I628" s="10">
        <v>4</v>
      </c>
      <c r="J628" s="8" t="s">
        <v>39</v>
      </c>
      <c r="K628" s="8" t="s">
        <v>40</v>
      </c>
      <c r="L628" s="8" t="s">
        <v>84</v>
      </c>
      <c r="M628" s="8" t="s">
        <v>103</v>
      </c>
      <c r="N628" s="11" t="s">
        <v>1846</v>
      </c>
      <c r="O628" s="8" t="s">
        <v>43</v>
      </c>
      <c r="P628" s="8" t="b">
        <v>0</v>
      </c>
      <c r="R628" s="8" t="b">
        <v>0</v>
      </c>
      <c r="S628" s="8" t="b">
        <v>1</v>
      </c>
      <c r="T628" s="8" t="b">
        <v>0</v>
      </c>
      <c r="U628" s="8" t="b">
        <v>0</v>
      </c>
      <c r="V628" s="8" t="b">
        <v>0</v>
      </c>
      <c r="W628" s="11" t="s">
        <v>1847</v>
      </c>
      <c r="X628" s="8" t="b">
        <v>0</v>
      </c>
      <c r="Y628" s="8" t="b">
        <v>0</v>
      </c>
      <c r="Z628" s="8" t="b">
        <v>0</v>
      </c>
      <c r="AA628" s="8" t="b">
        <v>0</v>
      </c>
      <c r="AB628" s="8" t="b">
        <v>0</v>
      </c>
      <c r="AC628" s="8" t="b">
        <v>0</v>
      </c>
      <c r="AD628" s="8" t="b">
        <v>0</v>
      </c>
      <c r="AE628" s="8" t="b">
        <v>1</v>
      </c>
      <c r="AG628" s="11" t="b" cm="1">
        <f t="array" ref="AG628">IF(OR(Y628:AA628="TRUE", AE628="true"), "Threatened")</f>
        <v>0</v>
      </c>
      <c r="AH628" s="11" t="s">
        <v>1848</v>
      </c>
      <c r="AI628" s="8" t="b">
        <v>0</v>
      </c>
    </row>
    <row r="629" spans="1:35" ht="31.2">
      <c r="A629" s="8">
        <v>-73.960016580000001</v>
      </c>
      <c r="B629" s="8">
        <v>40.795246679999998</v>
      </c>
      <c r="C629" s="8" t="s">
        <v>1849</v>
      </c>
      <c r="D629" s="8" t="s">
        <v>1406</v>
      </c>
      <c r="E629" s="8" t="b">
        <f t="shared" si="9"/>
        <v>0</v>
      </c>
      <c r="F629" s="8" t="str" cm="1">
        <f t="array" ref="F629">_xlfn._xlws.FILTER(E629:E3827, C629:C3827= "6D-PM-1020-01", "No Squirrels Found")</f>
        <v>No Squirrels Found</v>
      </c>
      <c r="G629" s="8" t="s">
        <v>34</v>
      </c>
      <c r="H629" s="10">
        <v>10132018</v>
      </c>
      <c r="I629" s="10">
        <v>3</v>
      </c>
      <c r="J629" s="8" t="s">
        <v>39</v>
      </c>
      <c r="K629" s="8" t="s">
        <v>40</v>
      </c>
      <c r="L629" s="8" t="s">
        <v>41</v>
      </c>
      <c r="M629" s="8" t="s">
        <v>42</v>
      </c>
      <c r="O629" s="8" t="s">
        <v>43</v>
      </c>
      <c r="P629" s="8" t="b">
        <v>0</v>
      </c>
      <c r="R629" s="8" t="b">
        <v>1</v>
      </c>
      <c r="S629" s="8" t="b">
        <v>1</v>
      </c>
      <c r="T629" s="8" t="b">
        <v>0</v>
      </c>
      <c r="U629" s="8" t="b">
        <v>0</v>
      </c>
      <c r="V629" s="8" t="b">
        <v>0</v>
      </c>
      <c r="X629" s="8" t="b">
        <v>0</v>
      </c>
      <c r="Y629" s="8" t="b">
        <v>0</v>
      </c>
      <c r="Z629" s="8" t="b">
        <v>0</v>
      </c>
      <c r="AA629" s="8" t="b">
        <v>0</v>
      </c>
      <c r="AB629" s="8" t="b">
        <v>1</v>
      </c>
      <c r="AC629" s="8" t="b">
        <v>0</v>
      </c>
      <c r="AD629" s="8" t="b">
        <v>0</v>
      </c>
      <c r="AE629" s="8" t="b">
        <v>1</v>
      </c>
      <c r="AG629" s="11" t="b" cm="1">
        <f t="array" ref="AG629">IF(OR(Y629:AA629="TRUE", AE629="true"), "Threatened")</f>
        <v>0</v>
      </c>
      <c r="AH629" s="11" t="s">
        <v>1850</v>
      </c>
      <c r="AI629" s="8" t="b">
        <v>1</v>
      </c>
    </row>
    <row r="630" spans="1:35" ht="31.2">
      <c r="A630" s="8">
        <v>-73.957372410000005</v>
      </c>
      <c r="B630" s="8">
        <v>40.798008090000003</v>
      </c>
      <c r="C630" s="8" t="s">
        <v>1851</v>
      </c>
      <c r="D630" s="8" t="s">
        <v>1248</v>
      </c>
      <c r="E630" s="8" t="b">
        <f t="shared" si="9"/>
        <v>0</v>
      </c>
      <c r="F630" s="8" t="str" cm="1">
        <f t="array" ref="F630">_xlfn._xlws.FILTER(E630:E3828, C630:C3828= "6D-PM-1020-01", "No Squirrels Found")</f>
        <v>No Squirrels Found</v>
      </c>
      <c r="G630" s="8" t="s">
        <v>48</v>
      </c>
      <c r="H630" s="10">
        <v>10172018</v>
      </c>
      <c r="I630" s="10">
        <v>2</v>
      </c>
      <c r="J630" s="8" t="s">
        <v>39</v>
      </c>
      <c r="K630" s="8" t="s">
        <v>40</v>
      </c>
      <c r="L630" s="8" t="s">
        <v>117</v>
      </c>
      <c r="M630" s="8" t="s">
        <v>118</v>
      </c>
      <c r="O630" s="8" t="s">
        <v>43</v>
      </c>
      <c r="P630" s="8" t="b">
        <v>0</v>
      </c>
      <c r="R630" s="8" t="b">
        <v>0</v>
      </c>
      <c r="S630" s="8" t="b">
        <v>1</v>
      </c>
      <c r="T630" s="8" t="b">
        <v>0</v>
      </c>
      <c r="U630" s="8" t="b">
        <v>1</v>
      </c>
      <c r="V630" s="8" t="b">
        <v>0</v>
      </c>
      <c r="W630" s="11" t="s">
        <v>1852</v>
      </c>
      <c r="X630" s="8" t="b">
        <v>0</v>
      </c>
      <c r="Y630" s="8" t="b">
        <v>0</v>
      </c>
      <c r="Z630" s="8" t="b">
        <v>0</v>
      </c>
      <c r="AA630" s="8" t="b">
        <v>0</v>
      </c>
      <c r="AB630" s="8" t="b">
        <v>0</v>
      </c>
      <c r="AC630" s="8" t="b">
        <v>0</v>
      </c>
      <c r="AD630" s="8" t="b">
        <v>0</v>
      </c>
      <c r="AE630" s="8" t="b">
        <v>1</v>
      </c>
      <c r="AG630" s="11" t="b" cm="1">
        <f t="array" ref="AG630">IF(OR(Y630:AA630="TRUE", AE630="true"), "Threatened")</f>
        <v>0</v>
      </c>
      <c r="AH630" s="11" t="s">
        <v>1853</v>
      </c>
      <c r="AI630" s="8" t="b">
        <v>0</v>
      </c>
    </row>
    <row r="631" spans="1:35" ht="31.2">
      <c r="A631" s="8">
        <v>-73.958010939999994</v>
      </c>
      <c r="B631" s="8">
        <v>40.785565439999999</v>
      </c>
      <c r="C631" s="8" t="s">
        <v>1854</v>
      </c>
      <c r="D631" s="8" t="s">
        <v>1855</v>
      </c>
      <c r="E631" s="8" t="b">
        <f t="shared" si="9"/>
        <v>0</v>
      </c>
      <c r="F631" s="8" t="str" cm="1">
        <f t="array" ref="F631">_xlfn._xlws.FILTER(E631:E3829, C631:C3829= "6D-PM-1020-01", "No Squirrels Found")</f>
        <v>No Squirrels Found</v>
      </c>
      <c r="G631" s="8" t="s">
        <v>48</v>
      </c>
      <c r="H631" s="10">
        <v>10132018</v>
      </c>
      <c r="I631" s="10">
        <v>1</v>
      </c>
      <c r="J631" s="8" t="s">
        <v>39</v>
      </c>
      <c r="K631" s="8" t="s">
        <v>40</v>
      </c>
      <c r="L631" s="8" t="s">
        <v>41</v>
      </c>
      <c r="M631" s="8" t="s">
        <v>42</v>
      </c>
      <c r="O631" s="8" t="s">
        <v>43</v>
      </c>
      <c r="P631" s="8" t="b">
        <v>0</v>
      </c>
      <c r="Q631" s="8" t="s">
        <v>1856</v>
      </c>
      <c r="R631" s="8" t="b">
        <v>0</v>
      </c>
      <c r="S631" s="8" t="b">
        <v>0</v>
      </c>
      <c r="T631" s="8" t="b">
        <v>0</v>
      </c>
      <c r="U631" s="8" t="b">
        <v>0</v>
      </c>
      <c r="V631" s="8" t="b">
        <v>0</v>
      </c>
      <c r="W631" s="11" t="s">
        <v>1857</v>
      </c>
      <c r="X631" s="8" t="b">
        <v>0</v>
      </c>
      <c r="Y631" s="8" t="b">
        <v>0</v>
      </c>
      <c r="Z631" s="8" t="b">
        <v>0</v>
      </c>
      <c r="AA631" s="8" t="b">
        <v>0</v>
      </c>
      <c r="AB631" s="8" t="b">
        <v>0</v>
      </c>
      <c r="AC631" s="8" t="b">
        <v>0</v>
      </c>
      <c r="AD631" s="8" t="b">
        <v>0</v>
      </c>
      <c r="AE631" s="8" t="b">
        <v>1</v>
      </c>
      <c r="AG631" s="11" t="b" cm="1">
        <f t="array" ref="AG631">IF(OR(Y631:AA631="TRUE", AE631="true"), "Threatened")</f>
        <v>0</v>
      </c>
      <c r="AH631" s="11" t="s">
        <v>1858</v>
      </c>
      <c r="AI631" s="8" t="b">
        <v>0</v>
      </c>
    </row>
    <row r="632" spans="1:35" ht="31.2">
      <c r="A632" s="8">
        <v>-73.954887780000007</v>
      </c>
      <c r="B632" s="8">
        <v>40.795015749999997</v>
      </c>
      <c r="C632" s="8" t="s">
        <v>1859</v>
      </c>
      <c r="D632" s="8" t="s">
        <v>378</v>
      </c>
      <c r="E632" s="8" t="b">
        <f t="shared" si="9"/>
        <v>0</v>
      </c>
      <c r="F632" s="8" t="str" cm="1">
        <f t="array" ref="F632">_xlfn._xlws.FILTER(E632:E3830, C632:C3830= "6D-PM-1020-01", "No Squirrels Found")</f>
        <v>No Squirrels Found</v>
      </c>
      <c r="G632" s="8" t="s">
        <v>48</v>
      </c>
      <c r="H632" s="10">
        <v>10182018</v>
      </c>
      <c r="I632" s="10">
        <v>4</v>
      </c>
      <c r="J632" s="8" t="s">
        <v>39</v>
      </c>
      <c r="K632" s="8" t="s">
        <v>40</v>
      </c>
      <c r="L632" s="8" t="s">
        <v>41</v>
      </c>
      <c r="M632" s="8" t="s">
        <v>42</v>
      </c>
      <c r="O632" s="8" t="s">
        <v>43</v>
      </c>
      <c r="P632" s="8" t="b">
        <v>0</v>
      </c>
      <c r="R632" s="8" t="b">
        <v>0</v>
      </c>
      <c r="S632" s="8" t="b">
        <v>0</v>
      </c>
      <c r="T632" s="8" t="b">
        <v>1</v>
      </c>
      <c r="U632" s="8" t="b">
        <v>0</v>
      </c>
      <c r="V632" s="8" t="b">
        <v>0</v>
      </c>
      <c r="X632" s="8" t="b">
        <v>0</v>
      </c>
      <c r="Y632" s="8" t="b">
        <v>0</v>
      </c>
      <c r="Z632" s="8" t="b">
        <v>0</v>
      </c>
      <c r="AA632" s="8" t="b">
        <v>0</v>
      </c>
      <c r="AB632" s="8" t="b">
        <v>0</v>
      </c>
      <c r="AC632" s="8" t="b">
        <v>0</v>
      </c>
      <c r="AD632" s="8" t="b">
        <v>0</v>
      </c>
      <c r="AE632" s="8" t="b">
        <v>0</v>
      </c>
      <c r="AG632" s="11" t="b" cm="1">
        <f t="array" ref="AG632">IF(OR(Y632:AA632="TRUE", AE632="true"), "Threatened")</f>
        <v>0</v>
      </c>
      <c r="AH632" s="11" t="s">
        <v>1860</v>
      </c>
      <c r="AI632" s="8" t="b">
        <v>1</v>
      </c>
    </row>
    <row r="633" spans="1:35" ht="31.2">
      <c r="A633" s="8">
        <v>-73.976731439999995</v>
      </c>
      <c r="B633" s="8">
        <v>40.76611999</v>
      </c>
      <c r="C633" s="8" t="s">
        <v>1861</v>
      </c>
      <c r="D633" s="8" t="s">
        <v>1862</v>
      </c>
      <c r="E633" s="8" t="b">
        <f t="shared" si="9"/>
        <v>0</v>
      </c>
      <c r="F633" s="8" t="str" cm="1">
        <f t="array" ref="F633">_xlfn._xlws.FILTER(E633:E3831, C633:C3831= "6D-PM-1020-01", "No Squirrels Found")</f>
        <v>No Squirrels Found</v>
      </c>
      <c r="G633" s="8" t="s">
        <v>48</v>
      </c>
      <c r="H633" s="10">
        <v>10102018</v>
      </c>
      <c r="I633" s="10">
        <v>1</v>
      </c>
      <c r="J633" s="8" t="s">
        <v>39</v>
      </c>
      <c r="K633" s="8" t="s">
        <v>40</v>
      </c>
      <c r="M633" s="8" t="s">
        <v>55</v>
      </c>
      <c r="O633" s="8" t="s">
        <v>43</v>
      </c>
      <c r="P633" s="8" t="b">
        <v>0</v>
      </c>
      <c r="R633" s="8" t="b">
        <v>0</v>
      </c>
      <c r="S633" s="8" t="b">
        <v>0</v>
      </c>
      <c r="T633" s="8" t="b">
        <v>0</v>
      </c>
      <c r="U633" s="8" t="b">
        <v>1</v>
      </c>
      <c r="V633" s="8" t="b">
        <v>0</v>
      </c>
      <c r="X633" s="8" t="b">
        <v>0</v>
      </c>
      <c r="Y633" s="8" t="b">
        <v>0</v>
      </c>
      <c r="Z633" s="8" t="b">
        <v>0</v>
      </c>
      <c r="AA633" s="8" t="b">
        <v>0</v>
      </c>
      <c r="AB633" s="8" t="b">
        <v>0</v>
      </c>
      <c r="AC633" s="8" t="b">
        <v>0</v>
      </c>
      <c r="AD633" s="8" t="b">
        <v>1</v>
      </c>
      <c r="AE633" s="8" t="b">
        <v>0</v>
      </c>
      <c r="AG633" s="11" t="b" cm="1">
        <f t="array" ref="AG633">IF(OR(Y633:AA633="TRUE", AE633="true"), "Threatened")</f>
        <v>0</v>
      </c>
      <c r="AH633" s="11" t="s">
        <v>1863</v>
      </c>
      <c r="AI633" s="8" t="b">
        <v>1</v>
      </c>
    </row>
    <row r="634" spans="1:35" ht="31.2">
      <c r="A634" s="8">
        <v>-73.96732437</v>
      </c>
      <c r="B634" s="8">
        <v>40.787539299999999</v>
      </c>
      <c r="C634" s="8" t="s">
        <v>1864</v>
      </c>
      <c r="D634" s="8" t="s">
        <v>488</v>
      </c>
      <c r="E634" s="8" t="b">
        <f t="shared" si="9"/>
        <v>0</v>
      </c>
      <c r="F634" s="8" t="str" cm="1">
        <f t="array" ref="F634">_xlfn._xlws.FILTER(E634:E3832, C634:C3832= "6D-PM-1020-01", "No Squirrels Found")</f>
        <v>No Squirrels Found</v>
      </c>
      <c r="G634" s="8" t="s">
        <v>48</v>
      </c>
      <c r="H634" s="10">
        <v>10142018</v>
      </c>
      <c r="I634" s="10">
        <v>1</v>
      </c>
      <c r="K634" s="8" t="s">
        <v>40</v>
      </c>
      <c r="L634" s="8" t="s">
        <v>41</v>
      </c>
      <c r="M634" s="8" t="s">
        <v>42</v>
      </c>
      <c r="O634" s="8" t="s">
        <v>43</v>
      </c>
      <c r="P634" s="8" t="b">
        <v>0</v>
      </c>
      <c r="R634" s="8" t="b">
        <v>0</v>
      </c>
      <c r="S634" s="8" t="b">
        <v>1</v>
      </c>
      <c r="T634" s="8" t="b">
        <v>0</v>
      </c>
      <c r="U634" s="8" t="b">
        <v>0</v>
      </c>
      <c r="V634" s="8" t="b">
        <v>1</v>
      </c>
      <c r="X634" s="8" t="b">
        <v>0</v>
      </c>
      <c r="Y634" s="8" t="b">
        <v>0</v>
      </c>
      <c r="Z634" s="8" t="b">
        <v>0</v>
      </c>
      <c r="AA634" s="8" t="b">
        <v>0</v>
      </c>
      <c r="AB634" s="8" t="b">
        <v>0</v>
      </c>
      <c r="AC634" s="8" t="b">
        <v>0</v>
      </c>
      <c r="AD634" s="8" t="b">
        <v>0</v>
      </c>
      <c r="AE634" s="8" t="b">
        <v>0</v>
      </c>
      <c r="AF634" s="11" t="s">
        <v>1865</v>
      </c>
      <c r="AG634" s="11" t="b" cm="1">
        <f t="array" ref="AG634">IF(OR(Y634:AA634="TRUE", AE634="true"), "Threatened")</f>
        <v>0</v>
      </c>
      <c r="AH634" s="11" t="s">
        <v>1866</v>
      </c>
      <c r="AI634" s="8" t="b">
        <v>1</v>
      </c>
    </row>
    <row r="635" spans="1:35" ht="31.2">
      <c r="A635" s="8">
        <v>-73.95963759</v>
      </c>
      <c r="B635" s="8">
        <v>40.79073477</v>
      </c>
      <c r="C635" s="8" t="s">
        <v>1867</v>
      </c>
      <c r="D635" s="8" t="s">
        <v>75</v>
      </c>
      <c r="E635" s="8" t="b">
        <f t="shared" si="9"/>
        <v>0</v>
      </c>
      <c r="F635" s="8" t="str" cm="1">
        <f t="array" ref="F635">_xlfn._xlws.FILTER(E635:E3833, C635:C3833= "6D-PM-1020-01", "No Squirrels Found")</f>
        <v>No Squirrels Found</v>
      </c>
      <c r="G635" s="8" t="s">
        <v>48</v>
      </c>
      <c r="H635" s="10">
        <v>10072018</v>
      </c>
      <c r="I635" s="10">
        <v>5</v>
      </c>
      <c r="J635" s="8" t="s">
        <v>39</v>
      </c>
      <c r="K635" s="8" t="s">
        <v>192</v>
      </c>
      <c r="M635" s="8" t="s">
        <v>193</v>
      </c>
      <c r="O635" s="8" t="s">
        <v>50</v>
      </c>
      <c r="P635" s="8">
        <v>30</v>
      </c>
      <c r="R635" s="8" t="b">
        <v>0</v>
      </c>
      <c r="S635" s="8" t="b">
        <v>0</v>
      </c>
      <c r="T635" s="8" t="b">
        <v>1</v>
      </c>
      <c r="U635" s="8" t="b">
        <v>0</v>
      </c>
      <c r="V635" s="8" t="b">
        <v>0</v>
      </c>
      <c r="X635" s="8" t="b">
        <v>0</v>
      </c>
      <c r="Y635" s="8" t="b">
        <v>0</v>
      </c>
      <c r="Z635" s="8" t="b">
        <v>0</v>
      </c>
      <c r="AA635" s="8" t="b">
        <v>0</v>
      </c>
      <c r="AB635" s="8" t="b">
        <v>0</v>
      </c>
      <c r="AC635" s="8" t="b">
        <v>0</v>
      </c>
      <c r="AD635" s="8" t="b">
        <v>1</v>
      </c>
      <c r="AE635" s="8" t="b">
        <v>0</v>
      </c>
      <c r="AG635" s="11" t="b" cm="1">
        <f t="array" ref="AG635">IF(OR(Y635:AA635="TRUE", AE635="true"), "Threatened")</f>
        <v>0</v>
      </c>
      <c r="AH635" s="11" t="s">
        <v>1868</v>
      </c>
      <c r="AI635" s="8" t="b">
        <v>1</v>
      </c>
    </row>
    <row r="636" spans="1:35" ht="31.2">
      <c r="A636" s="8">
        <v>-73.967323559999997</v>
      </c>
      <c r="B636" s="8">
        <v>40.778674959999996</v>
      </c>
      <c r="C636" s="8" t="s">
        <v>1869</v>
      </c>
      <c r="D636" s="8" t="s">
        <v>131</v>
      </c>
      <c r="E636" s="8" t="b">
        <f t="shared" si="9"/>
        <v>0</v>
      </c>
      <c r="F636" s="8" t="str" cm="1">
        <f t="array" ref="F636">_xlfn._xlws.FILTER(E636:E3834, C636:C3834= "6D-PM-1020-01", "No Squirrels Found")</f>
        <v>No Squirrels Found</v>
      </c>
      <c r="G636" s="8" t="s">
        <v>34</v>
      </c>
      <c r="H636" s="10">
        <v>10202018</v>
      </c>
      <c r="I636" s="10">
        <v>4</v>
      </c>
      <c r="J636" s="8" t="s">
        <v>54</v>
      </c>
      <c r="K636" s="8" t="s">
        <v>40</v>
      </c>
      <c r="L636" s="8" t="s">
        <v>41</v>
      </c>
      <c r="M636" s="8" t="s">
        <v>42</v>
      </c>
      <c r="O636" s="8" t="s">
        <v>50</v>
      </c>
      <c r="R636" s="8" t="b">
        <v>0</v>
      </c>
      <c r="S636" s="8" t="b">
        <v>0</v>
      </c>
      <c r="T636" s="8" t="b">
        <v>0</v>
      </c>
      <c r="U636" s="8" t="b">
        <v>1</v>
      </c>
      <c r="V636" s="8" t="b">
        <v>0</v>
      </c>
      <c r="X636" s="8" t="b">
        <v>0</v>
      </c>
      <c r="Y636" s="8" t="b">
        <v>0</v>
      </c>
      <c r="Z636" s="8" t="b">
        <v>0</v>
      </c>
      <c r="AA636" s="8" t="b">
        <v>0</v>
      </c>
      <c r="AB636" s="8" t="b">
        <v>0</v>
      </c>
      <c r="AC636" s="8" t="b">
        <v>0</v>
      </c>
      <c r="AD636" s="8" t="b">
        <v>0</v>
      </c>
      <c r="AE636" s="8" t="b">
        <v>0</v>
      </c>
      <c r="AG636" s="11" t="b" cm="1">
        <f t="array" ref="AG636">IF(OR(Y636:AA636="TRUE", AE636="true"), "Threatened")</f>
        <v>0</v>
      </c>
      <c r="AH636" s="11" t="s">
        <v>1870</v>
      </c>
      <c r="AI636" s="8" t="b">
        <v>1</v>
      </c>
    </row>
    <row r="637" spans="1:35" ht="31.2">
      <c r="A637" s="8">
        <v>-73.975753620000006</v>
      </c>
      <c r="B637" s="8">
        <v>40.775511979999997</v>
      </c>
      <c r="C637" s="8" t="s">
        <v>1871</v>
      </c>
      <c r="D637" s="8" t="s">
        <v>1640</v>
      </c>
      <c r="E637" s="8" t="b">
        <f t="shared" si="9"/>
        <v>0</v>
      </c>
      <c r="F637" s="8" t="str" cm="1">
        <f t="array" ref="F637">_xlfn._xlws.FILTER(E637:E3835, C637:C3835= "6D-PM-1020-01", "No Squirrels Found")</f>
        <v>No Squirrels Found</v>
      </c>
      <c r="G637" s="8" t="s">
        <v>34</v>
      </c>
      <c r="H637" s="10">
        <v>10132018</v>
      </c>
      <c r="I637" s="10">
        <v>3</v>
      </c>
      <c r="J637" s="8" t="s">
        <v>39</v>
      </c>
      <c r="K637" s="8" t="s">
        <v>41</v>
      </c>
      <c r="L637" s="8" t="s">
        <v>40</v>
      </c>
      <c r="M637" s="8" t="s">
        <v>110</v>
      </c>
      <c r="O637" s="8" t="s">
        <v>43</v>
      </c>
      <c r="P637" s="8" t="b">
        <v>0</v>
      </c>
      <c r="R637" s="8" t="b">
        <v>0</v>
      </c>
      <c r="S637" s="8" t="b">
        <v>0</v>
      </c>
      <c r="T637" s="8" t="b">
        <v>0</v>
      </c>
      <c r="U637" s="8" t="b">
        <v>1</v>
      </c>
      <c r="V637" s="8" t="b">
        <v>1</v>
      </c>
      <c r="X637" s="8" t="b">
        <v>0</v>
      </c>
      <c r="Y637" s="8" t="b">
        <v>0</v>
      </c>
      <c r="Z637" s="8" t="b">
        <v>0</v>
      </c>
      <c r="AA637" s="8" t="b">
        <v>0</v>
      </c>
      <c r="AB637" s="8" t="b">
        <v>0</v>
      </c>
      <c r="AC637" s="8" t="b">
        <v>0</v>
      </c>
      <c r="AD637" s="8" t="b">
        <v>1</v>
      </c>
      <c r="AE637" s="8" t="b">
        <v>0</v>
      </c>
      <c r="AG637" s="11" t="b" cm="1">
        <f t="array" ref="AG637">IF(OR(Y637:AA637="TRUE", AE637="true"), "Threatened")</f>
        <v>0</v>
      </c>
      <c r="AH637" s="11" t="s">
        <v>1872</v>
      </c>
      <c r="AI637" s="8" t="b">
        <v>1</v>
      </c>
    </row>
    <row r="638" spans="1:35" ht="31.2">
      <c r="A638" s="8">
        <v>-73.967504750000003</v>
      </c>
      <c r="B638" s="8">
        <v>40.77892344</v>
      </c>
      <c r="C638" s="8" t="s">
        <v>1873</v>
      </c>
      <c r="D638" s="8" t="s">
        <v>215</v>
      </c>
      <c r="E638" s="8" t="b">
        <f t="shared" si="9"/>
        <v>0</v>
      </c>
      <c r="F638" s="8" t="str" cm="1">
        <f t="array" ref="F638">_xlfn._xlws.FILTER(E638:E3836, C638:C3836= "6D-PM-1020-01", "No Squirrels Found")</f>
        <v>No Squirrels Found</v>
      </c>
      <c r="G638" s="8" t="s">
        <v>48</v>
      </c>
      <c r="H638" s="10">
        <v>10172018</v>
      </c>
      <c r="I638" s="10">
        <v>1</v>
      </c>
      <c r="J638" s="8" t="s">
        <v>39</v>
      </c>
      <c r="K638" s="8" t="s">
        <v>40</v>
      </c>
      <c r="M638" s="8" t="s">
        <v>55</v>
      </c>
      <c r="O638" s="8" t="s">
        <v>43</v>
      </c>
      <c r="P638" s="8" t="b">
        <v>0</v>
      </c>
      <c r="Q638" s="8" t="s">
        <v>1874</v>
      </c>
      <c r="R638" s="8" t="b">
        <v>0</v>
      </c>
      <c r="S638" s="8" t="b">
        <v>0</v>
      </c>
      <c r="T638" s="8" t="b">
        <v>0</v>
      </c>
      <c r="U638" s="8" t="b">
        <v>0</v>
      </c>
      <c r="V638" s="8" t="b">
        <v>1</v>
      </c>
      <c r="X638" s="8" t="b">
        <v>0</v>
      </c>
      <c r="Y638" s="8" t="b">
        <v>0</v>
      </c>
      <c r="Z638" s="8" t="b">
        <v>0</v>
      </c>
      <c r="AA638" s="8" t="b">
        <v>0</v>
      </c>
      <c r="AB638" s="8" t="b">
        <v>0</v>
      </c>
      <c r="AC638" s="8" t="b">
        <v>0</v>
      </c>
      <c r="AD638" s="8" t="b">
        <v>1</v>
      </c>
      <c r="AE638" s="8" t="b">
        <v>0</v>
      </c>
      <c r="AG638" s="11" t="b" cm="1">
        <f t="array" ref="AG638">IF(OR(Y638:AA638="TRUE", AE638="true"), "Threatened")</f>
        <v>0</v>
      </c>
      <c r="AH638" s="11" t="s">
        <v>1875</v>
      </c>
      <c r="AI638" s="8" t="b">
        <v>1</v>
      </c>
    </row>
    <row r="639" spans="1:35" ht="31.2">
      <c r="A639" s="8">
        <v>-73.956276529999997</v>
      </c>
      <c r="B639" s="8">
        <v>40.788061800000001</v>
      </c>
      <c r="C639" s="8" t="s">
        <v>1876</v>
      </c>
      <c r="D639" s="8" t="s">
        <v>1877</v>
      </c>
      <c r="E639" s="8" t="b">
        <f t="shared" si="9"/>
        <v>0</v>
      </c>
      <c r="F639" s="8" t="str" cm="1">
        <f t="array" ref="F639">_xlfn._xlws.FILTER(E639:E3837, C639:C3837= "6D-PM-1020-01", "No Squirrels Found")</f>
        <v>No Squirrels Found</v>
      </c>
      <c r="G639" s="8" t="s">
        <v>34</v>
      </c>
      <c r="H639" s="10">
        <v>10192018</v>
      </c>
      <c r="I639" s="10">
        <v>2</v>
      </c>
      <c r="J639" s="8" t="s">
        <v>39</v>
      </c>
      <c r="K639" s="8" t="s">
        <v>40</v>
      </c>
      <c r="M639" s="8" t="s">
        <v>55</v>
      </c>
      <c r="O639" s="8" t="s">
        <v>43</v>
      </c>
      <c r="P639" s="8" t="b">
        <v>0</v>
      </c>
      <c r="R639" s="8" t="b">
        <v>0</v>
      </c>
      <c r="S639" s="8" t="b">
        <v>0</v>
      </c>
      <c r="T639" s="8" t="b">
        <v>0</v>
      </c>
      <c r="U639" s="8" t="b">
        <v>0</v>
      </c>
      <c r="V639" s="8" t="b">
        <v>1</v>
      </c>
      <c r="X639" s="8" t="b">
        <v>0</v>
      </c>
      <c r="Y639" s="8" t="b">
        <v>0</v>
      </c>
      <c r="Z639" s="8" t="b">
        <v>0</v>
      </c>
      <c r="AA639" s="8" t="b">
        <v>0</v>
      </c>
      <c r="AB639" s="8" t="b">
        <v>0</v>
      </c>
      <c r="AC639" s="8" t="b">
        <v>0</v>
      </c>
      <c r="AD639" s="8" t="b">
        <v>1</v>
      </c>
      <c r="AE639" s="8" t="b">
        <v>0</v>
      </c>
      <c r="AG639" s="11" t="b" cm="1">
        <f t="array" ref="AG639">IF(OR(Y639:AA639="TRUE", AE639="true"), "Threatened")</f>
        <v>0</v>
      </c>
      <c r="AH639" s="11" t="s">
        <v>1878</v>
      </c>
      <c r="AI639" s="8" t="b">
        <v>1</v>
      </c>
    </row>
    <row r="640" spans="1:35" ht="31.2">
      <c r="A640" s="8">
        <v>-73.955858950000007</v>
      </c>
      <c r="B640" s="8">
        <v>40.789240040000003</v>
      </c>
      <c r="C640" s="8" t="s">
        <v>1879</v>
      </c>
      <c r="D640" s="8" t="s">
        <v>346</v>
      </c>
      <c r="E640" s="8" t="b">
        <f t="shared" si="9"/>
        <v>0</v>
      </c>
      <c r="F640" s="8" t="str" cm="1">
        <f t="array" ref="F640">_xlfn._xlws.FILTER(E640:E3838, C640:C3838= "6D-PM-1020-01", "No Squirrels Found")</f>
        <v>No Squirrels Found</v>
      </c>
      <c r="G640" s="8" t="s">
        <v>34</v>
      </c>
      <c r="H640" s="10">
        <v>10062018</v>
      </c>
      <c r="I640" s="10">
        <v>2</v>
      </c>
      <c r="K640" s="8" t="s">
        <v>40</v>
      </c>
      <c r="M640" s="8" t="s">
        <v>55</v>
      </c>
      <c r="O640" s="8" t="s">
        <v>50</v>
      </c>
      <c r="P640" s="8">
        <v>8</v>
      </c>
      <c r="R640" s="8" t="b">
        <v>0</v>
      </c>
      <c r="S640" s="8" t="b">
        <v>0</v>
      </c>
      <c r="T640" s="8" t="b">
        <v>1</v>
      </c>
      <c r="U640" s="8" t="b">
        <v>0</v>
      </c>
      <c r="V640" s="8" t="b">
        <v>0</v>
      </c>
      <c r="X640" s="8" t="b">
        <v>0</v>
      </c>
      <c r="Y640" s="8" t="b">
        <v>0</v>
      </c>
      <c r="Z640" s="8" t="b">
        <v>0</v>
      </c>
      <c r="AA640" s="8" t="b">
        <v>0</v>
      </c>
      <c r="AB640" s="8" t="b">
        <v>0</v>
      </c>
      <c r="AC640" s="8" t="b">
        <v>0</v>
      </c>
      <c r="AD640" s="8" t="b">
        <v>0</v>
      </c>
      <c r="AE640" s="8" t="b">
        <v>0</v>
      </c>
      <c r="AG640" s="11" t="b" cm="1">
        <f t="array" ref="AG640">IF(OR(Y640:AA640="TRUE", AE640="true"), "Threatened")</f>
        <v>0</v>
      </c>
      <c r="AH640" s="11" t="s">
        <v>1880</v>
      </c>
      <c r="AI640" s="8" t="b">
        <v>1</v>
      </c>
    </row>
    <row r="641" spans="1:35" ht="31.2">
      <c r="A641" s="8">
        <v>-73.978553649999995</v>
      </c>
      <c r="B641" s="8">
        <v>40.771618449999998</v>
      </c>
      <c r="C641" s="8" t="s">
        <v>1881</v>
      </c>
      <c r="D641" s="8" t="s">
        <v>874</v>
      </c>
      <c r="E641" s="8" t="b">
        <f t="shared" si="9"/>
        <v>0</v>
      </c>
      <c r="F641" s="8" t="str" cm="1">
        <f t="array" ref="F641">_xlfn._xlws.FILTER(E641:E3839, C641:C3839= "6D-PM-1020-01", "No Squirrels Found")</f>
        <v>No Squirrels Found</v>
      </c>
      <c r="G641" s="8" t="s">
        <v>34</v>
      </c>
      <c r="H641" s="10">
        <v>10122018</v>
      </c>
      <c r="I641" s="10">
        <v>7</v>
      </c>
      <c r="J641" s="8" t="s">
        <v>39</v>
      </c>
      <c r="K641" s="8" t="s">
        <v>41</v>
      </c>
      <c r="L641" s="8" t="s">
        <v>84</v>
      </c>
      <c r="M641" s="8" t="s">
        <v>85</v>
      </c>
      <c r="O641" s="8" t="s">
        <v>43</v>
      </c>
      <c r="P641" s="8" t="b">
        <v>0</v>
      </c>
      <c r="Q641" s="8" t="s">
        <v>1882</v>
      </c>
      <c r="R641" s="8" t="b">
        <v>0</v>
      </c>
      <c r="S641" s="8" t="b">
        <v>1</v>
      </c>
      <c r="T641" s="8" t="b">
        <v>0</v>
      </c>
      <c r="U641" s="8" t="b">
        <v>0</v>
      </c>
      <c r="V641" s="8" t="b">
        <v>1</v>
      </c>
      <c r="X641" s="8" t="b">
        <v>0</v>
      </c>
      <c r="Y641" s="8" t="b">
        <v>0</v>
      </c>
      <c r="Z641" s="8" t="b">
        <v>0</v>
      </c>
      <c r="AA641" s="8" t="b">
        <v>0</v>
      </c>
      <c r="AB641" s="8" t="b">
        <v>0</v>
      </c>
      <c r="AC641" s="8" t="b">
        <v>0</v>
      </c>
      <c r="AD641" s="8" t="b">
        <v>1</v>
      </c>
      <c r="AE641" s="8" t="b">
        <v>0</v>
      </c>
      <c r="AG641" s="11" t="b" cm="1">
        <f t="array" ref="AG641">IF(OR(Y641:AA641="TRUE", AE641="true"), "Threatened")</f>
        <v>0</v>
      </c>
      <c r="AH641" s="11" t="s">
        <v>1883</v>
      </c>
      <c r="AI641" s="8" t="b">
        <v>1</v>
      </c>
    </row>
    <row r="642" spans="1:35" ht="31.2">
      <c r="A642" s="8">
        <v>-73.971903620000006</v>
      </c>
      <c r="B642" s="8">
        <v>40.780358810000003</v>
      </c>
      <c r="C642" s="8" t="s">
        <v>1884</v>
      </c>
      <c r="D642" s="8" t="s">
        <v>1885</v>
      </c>
      <c r="E642" s="8" t="b">
        <f t="shared" si="9"/>
        <v>0</v>
      </c>
      <c r="F642" s="8" t="str" cm="1">
        <f t="array" ref="F642">_xlfn._xlws.FILTER(E642:E3840, C642:C3840= "6D-PM-1020-01", "No Squirrels Found")</f>
        <v>No Squirrels Found</v>
      </c>
      <c r="G642" s="8" t="s">
        <v>48</v>
      </c>
      <c r="H642" s="10">
        <v>10172018</v>
      </c>
      <c r="I642" s="10">
        <v>1</v>
      </c>
      <c r="J642" s="8" t="s">
        <v>39</v>
      </c>
      <c r="K642" s="8" t="s">
        <v>40</v>
      </c>
      <c r="L642" s="8" t="s">
        <v>41</v>
      </c>
      <c r="M642" s="8" t="s">
        <v>42</v>
      </c>
      <c r="O642" s="8" t="s">
        <v>50</v>
      </c>
      <c r="P642" s="8">
        <v>3</v>
      </c>
      <c r="Q642" s="8" t="s">
        <v>1886</v>
      </c>
      <c r="R642" s="8" t="b">
        <v>1</v>
      </c>
      <c r="S642" s="8" t="b">
        <v>0</v>
      </c>
      <c r="T642" s="8" t="b">
        <v>1</v>
      </c>
      <c r="U642" s="8" t="b">
        <v>0</v>
      </c>
      <c r="V642" s="8" t="b">
        <v>1</v>
      </c>
      <c r="X642" s="8" t="b">
        <v>0</v>
      </c>
      <c r="Y642" s="8" t="b">
        <v>0</v>
      </c>
      <c r="Z642" s="8" t="b">
        <v>0</v>
      </c>
      <c r="AA642" s="8" t="b">
        <v>0</v>
      </c>
      <c r="AB642" s="8" t="b">
        <v>1</v>
      </c>
      <c r="AC642" s="8" t="b">
        <v>0</v>
      </c>
      <c r="AD642" s="8" t="b">
        <v>0</v>
      </c>
      <c r="AE642" s="8" t="b">
        <v>1</v>
      </c>
      <c r="AG642" s="11" t="b" cm="1">
        <f t="array" ref="AG642">IF(OR(Y642:AA642="TRUE", AE642="true"), "Threatened")</f>
        <v>0</v>
      </c>
      <c r="AH642" s="11" t="s">
        <v>1887</v>
      </c>
      <c r="AI642" s="8" t="b">
        <v>1</v>
      </c>
    </row>
    <row r="643" spans="1:35" ht="31.2">
      <c r="A643" s="8">
        <v>-73.956838230000002</v>
      </c>
      <c r="B643" s="8">
        <v>40.797568550000001</v>
      </c>
      <c r="C643" s="8" t="s">
        <v>1888</v>
      </c>
      <c r="D643" s="8" t="s">
        <v>1248</v>
      </c>
      <c r="E643" s="8" t="b">
        <f t="shared" ref="E643:E706" si="10">OR(D643 = "05D", D643 = "07D", D643 = "06C", D643 = "06E")</f>
        <v>0</v>
      </c>
      <c r="F643" s="8" t="str" cm="1">
        <f t="array" ref="F643">_xlfn._xlws.FILTER(E643:E3841, C643:C3841= "6D-PM-1020-01", "No Squirrels Found")</f>
        <v>No Squirrels Found</v>
      </c>
      <c r="G643" s="8" t="s">
        <v>48</v>
      </c>
      <c r="H643" s="10">
        <v>10172018</v>
      </c>
      <c r="I643" s="10">
        <v>7</v>
      </c>
      <c r="J643" s="8" t="s">
        <v>39</v>
      </c>
      <c r="K643" s="8" t="s">
        <v>40</v>
      </c>
      <c r="L643" s="8" t="s">
        <v>117</v>
      </c>
      <c r="M643" s="8" t="s">
        <v>118</v>
      </c>
      <c r="O643" s="8" t="s">
        <v>43</v>
      </c>
      <c r="P643" s="8" t="b">
        <v>0</v>
      </c>
      <c r="R643" s="8" t="b">
        <v>0</v>
      </c>
      <c r="S643" s="8" t="b">
        <v>0</v>
      </c>
      <c r="T643" s="8" t="b">
        <v>0</v>
      </c>
      <c r="U643" s="8" t="b">
        <v>0</v>
      </c>
      <c r="V643" s="8" t="b">
        <v>1</v>
      </c>
      <c r="W643" s="11" t="s">
        <v>355</v>
      </c>
      <c r="X643" s="8" t="b">
        <v>0</v>
      </c>
      <c r="Y643" s="8" t="b">
        <v>0</v>
      </c>
      <c r="Z643" s="8" t="b">
        <v>0</v>
      </c>
      <c r="AA643" s="8" t="b">
        <v>0</v>
      </c>
      <c r="AB643" s="8" t="b">
        <v>0</v>
      </c>
      <c r="AC643" s="8" t="b">
        <v>0</v>
      </c>
      <c r="AD643" s="8" t="b">
        <v>1</v>
      </c>
      <c r="AE643" s="8" t="b">
        <v>0</v>
      </c>
      <c r="AG643" s="11" t="b" cm="1">
        <f t="array" ref="AG643">IF(OR(Y643:AA643="TRUE", AE643="true"), "Threatened")</f>
        <v>0</v>
      </c>
      <c r="AH643" s="11" t="s">
        <v>1889</v>
      </c>
      <c r="AI643" s="8" t="b">
        <v>0</v>
      </c>
    </row>
    <row r="644" spans="1:35" ht="31.2">
      <c r="A644" s="8">
        <v>-73.976730209999999</v>
      </c>
      <c r="B644" s="8">
        <v>40.77370921</v>
      </c>
      <c r="C644" s="8" t="s">
        <v>1890</v>
      </c>
      <c r="D644" s="8" t="s">
        <v>753</v>
      </c>
      <c r="E644" s="8" t="b">
        <f t="shared" si="10"/>
        <v>0</v>
      </c>
      <c r="F644" s="8" t="str" cm="1">
        <f t="array" ref="F644">_xlfn._xlws.FILTER(E644:E3842, C644:C3842= "6D-PM-1020-01", "No Squirrels Found")</f>
        <v>No Squirrels Found</v>
      </c>
      <c r="G644" s="8" t="s">
        <v>34</v>
      </c>
      <c r="H644" s="10">
        <v>10142018</v>
      </c>
      <c r="I644" s="10">
        <v>1</v>
      </c>
      <c r="J644" s="8" t="s">
        <v>39</v>
      </c>
      <c r="K644" s="8" t="s">
        <v>40</v>
      </c>
      <c r="L644" s="8" t="s">
        <v>84</v>
      </c>
      <c r="M644" s="8" t="s">
        <v>103</v>
      </c>
      <c r="O644" s="8" t="s">
        <v>43</v>
      </c>
      <c r="P644" s="8" t="b">
        <v>0</v>
      </c>
      <c r="R644" s="8" t="b">
        <v>0</v>
      </c>
      <c r="S644" s="8" t="b">
        <v>0</v>
      </c>
      <c r="T644" s="8" t="b">
        <v>1</v>
      </c>
      <c r="U644" s="8" t="b">
        <v>1</v>
      </c>
      <c r="V644" s="8" t="b">
        <v>0</v>
      </c>
      <c r="X644" s="8" t="b">
        <v>1</v>
      </c>
      <c r="Y644" s="8" t="b">
        <v>0</v>
      </c>
      <c r="Z644" s="8" t="b">
        <v>0</v>
      </c>
      <c r="AA644" s="8" t="b">
        <v>0</v>
      </c>
      <c r="AB644" s="8" t="b">
        <v>0</v>
      </c>
      <c r="AC644" s="8" t="b">
        <v>0</v>
      </c>
      <c r="AD644" s="8" t="b">
        <v>0</v>
      </c>
      <c r="AE644" s="8" t="b">
        <v>1</v>
      </c>
      <c r="AF644" s="11" t="s">
        <v>1891</v>
      </c>
      <c r="AG644" s="11" t="b" cm="1">
        <f t="array" ref="AG644">IF(OR(Y644:AA644="TRUE", AE644="true"), "Threatened")</f>
        <v>0</v>
      </c>
      <c r="AH644" s="11" t="s">
        <v>1892</v>
      </c>
      <c r="AI644" s="8" t="b">
        <v>1</v>
      </c>
    </row>
    <row r="645" spans="1:35" ht="31.2">
      <c r="A645" s="8">
        <v>-73.972212560000003</v>
      </c>
      <c r="B645" s="8">
        <v>40.776131149999998</v>
      </c>
      <c r="C645" s="8" t="s">
        <v>1893</v>
      </c>
      <c r="D645" s="8" t="s">
        <v>613</v>
      </c>
      <c r="E645" s="8" t="b">
        <f t="shared" si="10"/>
        <v>0</v>
      </c>
      <c r="F645" s="8" t="str" cm="1">
        <f t="array" ref="F645">_xlfn._xlws.FILTER(E645:E3843, C645:C3843= "6D-PM-1020-01", "No Squirrels Found")</f>
        <v>No Squirrels Found</v>
      </c>
      <c r="G645" s="8" t="s">
        <v>34</v>
      </c>
      <c r="H645" s="10">
        <v>10192018</v>
      </c>
      <c r="I645" s="10">
        <v>5</v>
      </c>
      <c r="J645" s="8" t="s">
        <v>39</v>
      </c>
      <c r="K645" s="8" t="s">
        <v>40</v>
      </c>
      <c r="L645" s="8" t="s">
        <v>41</v>
      </c>
      <c r="M645" s="8" t="s">
        <v>42</v>
      </c>
      <c r="O645" s="8" t="s">
        <v>43</v>
      </c>
      <c r="P645" s="8" t="b">
        <v>0</v>
      </c>
      <c r="R645" s="8" t="b">
        <v>0</v>
      </c>
      <c r="S645" s="8" t="b">
        <v>0</v>
      </c>
      <c r="T645" s="8" t="b">
        <v>0</v>
      </c>
      <c r="U645" s="8" t="b">
        <v>1</v>
      </c>
      <c r="V645" s="8" t="b">
        <v>1</v>
      </c>
      <c r="X645" s="8" t="b">
        <v>0</v>
      </c>
      <c r="Y645" s="8" t="b">
        <v>0</v>
      </c>
      <c r="Z645" s="8" t="b">
        <v>0</v>
      </c>
      <c r="AA645" s="8" t="b">
        <v>0</v>
      </c>
      <c r="AB645" s="8" t="b">
        <v>1</v>
      </c>
      <c r="AC645" s="8" t="b">
        <v>1</v>
      </c>
      <c r="AD645" s="8" t="b">
        <v>1</v>
      </c>
      <c r="AE645" s="8" t="b">
        <v>0</v>
      </c>
      <c r="AG645" s="11" t="b" cm="1">
        <f t="array" ref="AG645">IF(OR(Y645:AA645="TRUE", AE645="true"), "Threatened")</f>
        <v>0</v>
      </c>
      <c r="AH645" s="11" t="s">
        <v>1894</v>
      </c>
      <c r="AI645" s="8" t="b">
        <v>1</v>
      </c>
    </row>
    <row r="646" spans="1:35" ht="31.2">
      <c r="A646" s="8">
        <v>-73.975815229999995</v>
      </c>
      <c r="B646" s="8">
        <v>40.769237740000001</v>
      </c>
      <c r="C646" s="8" t="s">
        <v>1895</v>
      </c>
      <c r="D646" s="8" t="s">
        <v>794</v>
      </c>
      <c r="E646" s="8" t="b">
        <f t="shared" si="10"/>
        <v>0</v>
      </c>
      <c r="F646" s="8" t="str" cm="1">
        <f t="array" ref="F646">_xlfn._xlws.FILTER(E646:E3844, C646:C3844= "6D-PM-1020-01", "No Squirrels Found")</f>
        <v>No Squirrels Found</v>
      </c>
      <c r="G646" s="8" t="s">
        <v>34</v>
      </c>
      <c r="H646" s="10">
        <v>10082018</v>
      </c>
      <c r="I646" s="10">
        <v>3</v>
      </c>
      <c r="J646" s="8" t="s">
        <v>39</v>
      </c>
      <c r="K646" s="8" t="s">
        <v>40</v>
      </c>
      <c r="M646" s="8" t="s">
        <v>55</v>
      </c>
      <c r="R646" s="8" t="b">
        <v>0</v>
      </c>
      <c r="S646" s="8" t="b">
        <v>1</v>
      </c>
      <c r="T646" s="8" t="b">
        <v>0</v>
      </c>
      <c r="U646" s="8" t="b">
        <v>0</v>
      </c>
      <c r="V646" s="8" t="b">
        <v>0</v>
      </c>
      <c r="W646" s="11" t="s">
        <v>1896</v>
      </c>
      <c r="X646" s="8" t="b">
        <v>0</v>
      </c>
      <c r="Y646" s="8" t="b">
        <v>0</v>
      </c>
      <c r="Z646" s="8" t="b">
        <v>0</v>
      </c>
      <c r="AA646" s="8" t="b">
        <v>0</v>
      </c>
      <c r="AB646" s="8" t="b">
        <v>0</v>
      </c>
      <c r="AC646" s="8" t="b">
        <v>0</v>
      </c>
      <c r="AD646" s="8" t="b">
        <v>0</v>
      </c>
      <c r="AE646" s="8" t="b">
        <v>0</v>
      </c>
      <c r="AG646" s="11" t="b" cm="1">
        <f t="array" ref="AG646">IF(OR(Y646:AA646="TRUE", AE646="true"), "Threatened")</f>
        <v>0</v>
      </c>
      <c r="AH646" s="11" t="s">
        <v>1897</v>
      </c>
      <c r="AI646" s="8" t="b">
        <v>0</v>
      </c>
    </row>
    <row r="647" spans="1:35" ht="31.2">
      <c r="A647" s="8">
        <v>-73.954092290000006</v>
      </c>
      <c r="B647" s="8">
        <v>40.797980039999999</v>
      </c>
      <c r="C647" s="8" t="s">
        <v>1898</v>
      </c>
      <c r="D647" s="8" t="s">
        <v>1520</v>
      </c>
      <c r="E647" s="8" t="b">
        <f t="shared" si="10"/>
        <v>0</v>
      </c>
      <c r="F647" s="8" t="str" cm="1">
        <f t="array" ref="F647">_xlfn._xlws.FILTER(E647:E3845, C647:C3845= "6D-PM-1020-01", "No Squirrels Found")</f>
        <v>No Squirrels Found</v>
      </c>
      <c r="G647" s="8" t="s">
        <v>34</v>
      </c>
      <c r="H647" s="10">
        <v>10132018</v>
      </c>
      <c r="I647" s="10">
        <v>5</v>
      </c>
      <c r="J647" s="8" t="s">
        <v>54</v>
      </c>
      <c r="K647" s="8" t="s">
        <v>40</v>
      </c>
      <c r="L647" s="8" t="s">
        <v>117</v>
      </c>
      <c r="M647" s="8" t="s">
        <v>118</v>
      </c>
      <c r="N647" s="11" t="s">
        <v>1899</v>
      </c>
      <c r="O647" s="8" t="s">
        <v>50</v>
      </c>
      <c r="P647" s="8">
        <v>10</v>
      </c>
      <c r="R647" s="8" t="b">
        <v>0</v>
      </c>
      <c r="S647" s="8" t="b">
        <v>0</v>
      </c>
      <c r="T647" s="8" t="b">
        <v>0</v>
      </c>
      <c r="U647" s="8" t="b">
        <v>1</v>
      </c>
      <c r="V647" s="8" t="b">
        <v>0</v>
      </c>
      <c r="X647" s="8" t="b">
        <v>0</v>
      </c>
      <c r="Y647" s="8" t="b">
        <v>0</v>
      </c>
      <c r="Z647" s="8" t="b">
        <v>0</v>
      </c>
      <c r="AA647" s="8" t="b">
        <v>0</v>
      </c>
      <c r="AB647" s="8" t="b">
        <v>0</v>
      </c>
      <c r="AC647" s="8" t="b">
        <v>0</v>
      </c>
      <c r="AD647" s="8" t="b">
        <v>0</v>
      </c>
      <c r="AE647" s="8" t="b">
        <v>0</v>
      </c>
      <c r="AG647" s="11" t="b" cm="1">
        <f t="array" ref="AG647">IF(OR(Y647:AA647="TRUE", AE647="true"), "Threatened")</f>
        <v>0</v>
      </c>
      <c r="AH647" s="11" t="s">
        <v>1900</v>
      </c>
      <c r="AI647" s="8" t="b">
        <v>1</v>
      </c>
    </row>
    <row r="648" spans="1:35" ht="31.2">
      <c r="A648" s="8">
        <v>-73.973476259999998</v>
      </c>
      <c r="B648" s="8">
        <v>40.766370340000002</v>
      </c>
      <c r="C648" s="8" t="s">
        <v>1901</v>
      </c>
      <c r="D648" s="8" t="s">
        <v>1902</v>
      </c>
      <c r="E648" s="8" t="b">
        <f t="shared" si="10"/>
        <v>0</v>
      </c>
      <c r="F648" s="8" t="str" cm="1">
        <f t="array" ref="F648">_xlfn._xlws.FILTER(E648:E3846, C648:C3846= "6D-PM-1020-01", "No Squirrels Found")</f>
        <v>No Squirrels Found</v>
      </c>
      <c r="G648" s="8" t="s">
        <v>48</v>
      </c>
      <c r="H648" s="10">
        <v>10082018</v>
      </c>
      <c r="I648" s="10">
        <v>5</v>
      </c>
      <c r="J648" s="8" t="s">
        <v>39</v>
      </c>
      <c r="K648" s="8" t="s">
        <v>40</v>
      </c>
      <c r="L648" s="8" t="s">
        <v>41</v>
      </c>
      <c r="M648" s="8" t="s">
        <v>42</v>
      </c>
      <c r="O648" s="8" t="s">
        <v>50</v>
      </c>
      <c r="P648" s="8">
        <v>13</v>
      </c>
      <c r="R648" s="8" t="b">
        <v>0</v>
      </c>
      <c r="S648" s="8" t="b">
        <v>0</v>
      </c>
      <c r="T648" s="8" t="b">
        <v>1</v>
      </c>
      <c r="U648" s="8" t="b">
        <v>0</v>
      </c>
      <c r="V648" s="8" t="b">
        <v>0</v>
      </c>
      <c r="X648" s="8" t="b">
        <v>0</v>
      </c>
      <c r="Y648" s="8" t="b">
        <v>0</v>
      </c>
      <c r="Z648" s="8" t="b">
        <v>0</v>
      </c>
      <c r="AA648" s="8" t="b">
        <v>0</v>
      </c>
      <c r="AB648" s="8" t="b">
        <v>1</v>
      </c>
      <c r="AC648" s="8" t="b">
        <v>0</v>
      </c>
      <c r="AD648" s="8" t="b">
        <v>0</v>
      </c>
      <c r="AE648" s="8" t="b">
        <v>0</v>
      </c>
      <c r="AG648" s="11" t="b" cm="1">
        <f t="array" ref="AG648">IF(OR(Y648:AA648="TRUE", AE648="true"), "Threatened")</f>
        <v>0</v>
      </c>
      <c r="AH648" s="11" t="s">
        <v>1903</v>
      </c>
      <c r="AI648" s="8" t="b">
        <v>1</v>
      </c>
    </row>
    <row r="649" spans="1:35" ht="31.2">
      <c r="A649" s="8">
        <v>-73.953940000000003</v>
      </c>
      <c r="B649" s="8">
        <v>40.798004130000002</v>
      </c>
      <c r="C649" s="8" t="s">
        <v>1904</v>
      </c>
      <c r="D649" s="8" t="s">
        <v>1520</v>
      </c>
      <c r="E649" s="8" t="b">
        <f t="shared" si="10"/>
        <v>0</v>
      </c>
      <c r="F649" s="8" t="str" cm="1">
        <f t="array" ref="F649">_xlfn._xlws.FILTER(E649:E3847, C649:C3847= "6D-PM-1020-01", "No Squirrels Found")</f>
        <v>No Squirrels Found</v>
      </c>
      <c r="G649" s="8" t="s">
        <v>48</v>
      </c>
      <c r="H649" s="10">
        <v>10072018</v>
      </c>
      <c r="I649" s="10">
        <v>2</v>
      </c>
      <c r="J649" s="8" t="s">
        <v>39</v>
      </c>
      <c r="K649" s="8" t="s">
        <v>40</v>
      </c>
      <c r="M649" s="8" t="s">
        <v>55</v>
      </c>
      <c r="O649" s="8" t="s">
        <v>43</v>
      </c>
      <c r="P649" s="8" t="b">
        <v>0</v>
      </c>
      <c r="R649" s="8" t="b">
        <v>0</v>
      </c>
      <c r="S649" s="8" t="b">
        <v>0</v>
      </c>
      <c r="T649" s="8" t="b">
        <v>0</v>
      </c>
      <c r="U649" s="8" t="b">
        <v>0</v>
      </c>
      <c r="V649" s="8" t="b">
        <v>1</v>
      </c>
      <c r="X649" s="8" t="b">
        <v>0</v>
      </c>
      <c r="Y649" s="8" t="b">
        <v>0</v>
      </c>
      <c r="Z649" s="8" t="b">
        <v>0</v>
      </c>
      <c r="AA649" s="8" t="b">
        <v>0</v>
      </c>
      <c r="AB649" s="8" t="b">
        <v>0</v>
      </c>
      <c r="AC649" s="8" t="b">
        <v>0</v>
      </c>
      <c r="AD649" s="8" t="b">
        <v>0</v>
      </c>
      <c r="AE649" s="8" t="b">
        <v>1</v>
      </c>
      <c r="AG649" s="11" t="b" cm="1">
        <f t="array" ref="AG649">IF(OR(Y649:AA649="TRUE", AE649="true"), "Threatened")</f>
        <v>0</v>
      </c>
      <c r="AH649" s="11" t="s">
        <v>1905</v>
      </c>
      <c r="AI649" s="8" t="b">
        <v>1</v>
      </c>
    </row>
    <row r="650" spans="1:35" ht="31.2">
      <c r="A650" s="8">
        <v>-73.955489099999994</v>
      </c>
      <c r="B650" s="8">
        <v>40.796877459999997</v>
      </c>
      <c r="C650" s="8" t="s">
        <v>1906</v>
      </c>
      <c r="D650" s="8" t="s">
        <v>636</v>
      </c>
      <c r="E650" s="8" t="b">
        <f t="shared" si="10"/>
        <v>0</v>
      </c>
      <c r="F650" s="8" t="str" cm="1">
        <f t="array" ref="F650">_xlfn._xlws.FILTER(E650:E3848, C650:C3848= "6D-PM-1020-01", "No Squirrels Found")</f>
        <v>No Squirrels Found</v>
      </c>
      <c r="G650" s="8" t="s">
        <v>48</v>
      </c>
      <c r="H650" s="10">
        <v>10142018</v>
      </c>
      <c r="I650" s="10">
        <v>3</v>
      </c>
      <c r="J650" s="8" t="s">
        <v>39</v>
      </c>
      <c r="K650" s="8" t="s">
        <v>40</v>
      </c>
      <c r="L650" s="8" t="s">
        <v>84</v>
      </c>
      <c r="M650" s="8" t="s">
        <v>103</v>
      </c>
      <c r="O650" s="8" t="s">
        <v>43</v>
      </c>
      <c r="P650" s="8" t="b">
        <v>0</v>
      </c>
      <c r="R650" s="8" t="b">
        <v>0</v>
      </c>
      <c r="S650" s="8" t="b">
        <v>0</v>
      </c>
      <c r="T650" s="8" t="b">
        <v>1</v>
      </c>
      <c r="U650" s="8" t="b">
        <v>0</v>
      </c>
      <c r="V650" s="8" t="b">
        <v>1</v>
      </c>
      <c r="X650" s="8" t="b">
        <v>0</v>
      </c>
      <c r="Y650" s="8" t="b">
        <v>0</v>
      </c>
      <c r="Z650" s="8" t="b">
        <v>0</v>
      </c>
      <c r="AA650" s="8" t="b">
        <v>0</v>
      </c>
      <c r="AB650" s="8" t="b">
        <v>0</v>
      </c>
      <c r="AC650" s="8" t="b">
        <v>0</v>
      </c>
      <c r="AD650" s="8" t="b">
        <v>1</v>
      </c>
      <c r="AE650" s="8" t="b">
        <v>0</v>
      </c>
      <c r="AG650" s="11" t="b" cm="1">
        <f t="array" ref="AG650">IF(OR(Y650:AA650="TRUE", AE650="true"), "Threatened")</f>
        <v>0</v>
      </c>
      <c r="AH650" s="11" t="s">
        <v>1907</v>
      </c>
      <c r="AI650" s="8" t="b">
        <v>1</v>
      </c>
    </row>
    <row r="651" spans="1:35" ht="31.2">
      <c r="A651" s="8">
        <v>-73.980961010000001</v>
      </c>
      <c r="B651" s="8">
        <v>40.768389669999998</v>
      </c>
      <c r="C651" s="8" t="s">
        <v>1908</v>
      </c>
      <c r="D651" s="8" t="s">
        <v>1909</v>
      </c>
      <c r="E651" s="8" t="b">
        <f t="shared" si="10"/>
        <v>0</v>
      </c>
      <c r="F651" s="8" t="str" cm="1">
        <f t="array" ref="F651">_xlfn._xlws.FILTER(E651:E3849, C651:C3849= "6D-PM-1020-01", "No Squirrels Found")</f>
        <v>No Squirrels Found</v>
      </c>
      <c r="G651" s="8" t="s">
        <v>48</v>
      </c>
      <c r="H651" s="10">
        <v>10102018</v>
      </c>
      <c r="I651" s="10">
        <v>2</v>
      </c>
      <c r="K651" s="8" t="s">
        <v>40</v>
      </c>
      <c r="L651" s="8" t="s">
        <v>41</v>
      </c>
      <c r="M651" s="8" t="s">
        <v>42</v>
      </c>
      <c r="O651" s="8" t="s">
        <v>50</v>
      </c>
      <c r="Q651" s="8" t="s">
        <v>1910</v>
      </c>
      <c r="R651" s="8" t="b">
        <v>0</v>
      </c>
      <c r="S651" s="8" t="b">
        <v>0</v>
      </c>
      <c r="T651" s="8" t="b">
        <v>0</v>
      </c>
      <c r="U651" s="8" t="b">
        <v>1</v>
      </c>
      <c r="V651" s="8" t="b">
        <v>0</v>
      </c>
      <c r="X651" s="8" t="b">
        <v>0</v>
      </c>
      <c r="Y651" s="8" t="b">
        <v>0</v>
      </c>
      <c r="Z651" s="8" t="b">
        <v>0</v>
      </c>
      <c r="AA651" s="8" t="b">
        <v>0</v>
      </c>
      <c r="AB651" s="8" t="b">
        <v>1</v>
      </c>
      <c r="AC651" s="8" t="b">
        <v>0</v>
      </c>
      <c r="AD651" s="8" t="b">
        <v>0</v>
      </c>
      <c r="AE651" s="8" t="b">
        <v>1</v>
      </c>
      <c r="AG651" s="11" t="b" cm="1">
        <f t="array" ref="AG651">IF(OR(Y651:AA651="TRUE", AE651="true"), "Threatened")</f>
        <v>0</v>
      </c>
      <c r="AH651" s="11" t="s">
        <v>1911</v>
      </c>
      <c r="AI651" s="8" t="b">
        <v>1</v>
      </c>
    </row>
    <row r="652" spans="1:35" ht="31.2">
      <c r="A652" s="8">
        <v>-73.980166190000006</v>
      </c>
      <c r="B652" s="8">
        <v>40.769795010000003</v>
      </c>
      <c r="C652" s="8" t="s">
        <v>1912</v>
      </c>
      <c r="D652" s="8" t="s">
        <v>253</v>
      </c>
      <c r="E652" s="8" t="b">
        <f t="shared" si="10"/>
        <v>0</v>
      </c>
      <c r="F652" s="8" t="str" cm="1">
        <f t="array" ref="F652">_xlfn._xlws.FILTER(E652:E3850, C652:C3850= "6D-PM-1020-01", "No Squirrels Found")</f>
        <v>No Squirrels Found</v>
      </c>
      <c r="G652" s="8" t="s">
        <v>34</v>
      </c>
      <c r="H652" s="10">
        <v>10172018</v>
      </c>
      <c r="I652" s="10">
        <v>3</v>
      </c>
      <c r="J652" s="8" t="s">
        <v>39</v>
      </c>
      <c r="K652" s="8" t="s">
        <v>41</v>
      </c>
      <c r="L652" s="8" t="s">
        <v>40</v>
      </c>
      <c r="M652" s="8" t="s">
        <v>110</v>
      </c>
      <c r="O652" s="8" t="s">
        <v>43</v>
      </c>
      <c r="P652" s="8" t="b">
        <v>0</v>
      </c>
      <c r="R652" s="8" t="b">
        <v>0</v>
      </c>
      <c r="S652" s="8" t="b">
        <v>0</v>
      </c>
      <c r="T652" s="8" t="b">
        <v>0</v>
      </c>
      <c r="U652" s="8" t="b">
        <v>0</v>
      </c>
      <c r="V652" s="8" t="b">
        <v>1</v>
      </c>
      <c r="X652" s="8" t="b">
        <v>0</v>
      </c>
      <c r="Y652" s="8" t="b">
        <v>0</v>
      </c>
      <c r="Z652" s="8" t="b">
        <v>0</v>
      </c>
      <c r="AA652" s="8" t="b">
        <v>0</v>
      </c>
      <c r="AB652" s="8" t="b">
        <v>0</v>
      </c>
      <c r="AC652" s="8" t="b">
        <v>1</v>
      </c>
      <c r="AD652" s="8" t="b">
        <v>0</v>
      </c>
      <c r="AE652" s="8" t="b">
        <v>0</v>
      </c>
      <c r="AG652" s="11" t="b" cm="1">
        <f t="array" ref="AG652">IF(OR(Y652:AA652="TRUE", AE652="true"), "Threatened")</f>
        <v>0</v>
      </c>
      <c r="AH652" s="11" t="s">
        <v>1913</v>
      </c>
      <c r="AI652" s="8" t="b">
        <v>1</v>
      </c>
    </row>
    <row r="653" spans="1:35" ht="31.2">
      <c r="A653" s="8">
        <v>-73.957005609999996</v>
      </c>
      <c r="B653" s="8">
        <v>40.78787561</v>
      </c>
      <c r="C653" s="8" t="s">
        <v>1914</v>
      </c>
      <c r="D653" s="8" t="s">
        <v>1915</v>
      </c>
      <c r="E653" s="8" t="b">
        <f t="shared" si="10"/>
        <v>0</v>
      </c>
      <c r="F653" s="8" t="str" cm="1">
        <f t="array" ref="F653">_xlfn._xlws.FILTER(E653:E3851, C653:C3851= "6D-PM-1020-01", "No Squirrels Found")</f>
        <v>No Squirrels Found</v>
      </c>
      <c r="G653" s="8" t="s">
        <v>34</v>
      </c>
      <c r="H653" s="10">
        <v>10062018</v>
      </c>
      <c r="I653" s="10">
        <v>2</v>
      </c>
      <c r="J653" s="8" t="s">
        <v>39</v>
      </c>
      <c r="K653" s="8" t="s">
        <v>40</v>
      </c>
      <c r="M653" s="8" t="s">
        <v>55</v>
      </c>
      <c r="O653" s="8" t="s">
        <v>43</v>
      </c>
      <c r="P653" s="8" t="b">
        <v>0</v>
      </c>
      <c r="R653" s="8" t="b">
        <v>1</v>
      </c>
      <c r="S653" s="8" t="b">
        <v>0</v>
      </c>
      <c r="T653" s="8" t="b">
        <v>0</v>
      </c>
      <c r="U653" s="8" t="b">
        <v>0</v>
      </c>
      <c r="V653" s="8" t="b">
        <v>0</v>
      </c>
      <c r="X653" s="8" t="b">
        <v>0</v>
      </c>
      <c r="Y653" s="8" t="b">
        <v>0</v>
      </c>
      <c r="Z653" s="8" t="b">
        <v>0</v>
      </c>
      <c r="AA653" s="8" t="b">
        <v>1</v>
      </c>
      <c r="AB653" s="8" t="b">
        <v>0</v>
      </c>
      <c r="AC653" s="8" t="b">
        <v>0</v>
      </c>
      <c r="AD653" s="8" t="b">
        <v>0</v>
      </c>
      <c r="AE653" s="8" t="b">
        <v>1</v>
      </c>
      <c r="AG653" s="11" t="b" cm="1">
        <f t="array" ref="AG653">IF(OR(Y653:AA653="TRUE", AE653="true"), "Threatened")</f>
        <v>0</v>
      </c>
      <c r="AH653" s="11" t="s">
        <v>1916</v>
      </c>
      <c r="AI653" s="8" t="b">
        <v>1</v>
      </c>
    </row>
    <row r="654" spans="1:35" ht="31.2">
      <c r="A654" s="8">
        <v>-73.970340140000005</v>
      </c>
      <c r="B654" s="8">
        <v>40.779523879999999</v>
      </c>
      <c r="C654" s="8" t="s">
        <v>1917</v>
      </c>
      <c r="D654" s="8" t="s">
        <v>163</v>
      </c>
      <c r="E654" s="8" t="b">
        <f t="shared" si="10"/>
        <v>0</v>
      </c>
      <c r="F654" s="8" t="str" cm="1">
        <f t="array" ref="F654">_xlfn._xlws.FILTER(E654:E3852, C654:C3852= "6D-PM-1020-01", "No Squirrels Found")</f>
        <v>No Squirrels Found</v>
      </c>
      <c r="G654" s="8" t="s">
        <v>34</v>
      </c>
      <c r="H654" s="10">
        <v>10132018</v>
      </c>
      <c r="I654" s="10">
        <v>1</v>
      </c>
      <c r="J654" s="8" t="s">
        <v>39</v>
      </c>
      <c r="K654" s="8" t="s">
        <v>40</v>
      </c>
      <c r="M654" s="8" t="s">
        <v>55</v>
      </c>
      <c r="O654" s="8" t="s">
        <v>43</v>
      </c>
      <c r="P654" s="8" t="b">
        <v>0</v>
      </c>
      <c r="Q654" s="8" t="s">
        <v>1918</v>
      </c>
      <c r="R654" s="8" t="b">
        <v>0</v>
      </c>
      <c r="S654" s="8" t="b">
        <v>0</v>
      </c>
      <c r="T654" s="8" t="b">
        <v>0</v>
      </c>
      <c r="U654" s="8" t="b">
        <v>0</v>
      </c>
      <c r="V654" s="8" t="b">
        <v>1</v>
      </c>
      <c r="X654" s="8" t="b">
        <v>0</v>
      </c>
      <c r="Y654" s="8" t="b">
        <v>0</v>
      </c>
      <c r="Z654" s="8" t="b">
        <v>0</v>
      </c>
      <c r="AA654" s="8" t="b">
        <v>0</v>
      </c>
      <c r="AB654" s="8" t="b">
        <v>0</v>
      </c>
      <c r="AC654" s="8" t="b">
        <v>0</v>
      </c>
      <c r="AD654" s="8" t="b">
        <v>0</v>
      </c>
      <c r="AE654" s="8" t="b">
        <v>1</v>
      </c>
      <c r="AG654" s="11" t="b" cm="1">
        <f t="array" ref="AG654">IF(OR(Y654:AA654="TRUE", AE654="true"), "Threatened")</f>
        <v>0</v>
      </c>
      <c r="AH654" s="11" t="s">
        <v>1919</v>
      </c>
      <c r="AI654" s="8" t="b">
        <v>1</v>
      </c>
    </row>
    <row r="655" spans="1:35" ht="31.2">
      <c r="A655" s="8">
        <v>-73.976769660000002</v>
      </c>
      <c r="B655" s="8">
        <v>40.7741908</v>
      </c>
      <c r="C655" s="8" t="s">
        <v>1920</v>
      </c>
      <c r="D655" s="8" t="s">
        <v>859</v>
      </c>
      <c r="E655" s="8" t="b">
        <f t="shared" si="10"/>
        <v>0</v>
      </c>
      <c r="F655" s="8" t="str" cm="1">
        <f t="array" ref="F655">_xlfn._xlws.FILTER(E655:E3853, C655:C3853= "6D-PM-1020-01", "No Squirrels Found")</f>
        <v>No Squirrels Found</v>
      </c>
      <c r="G655" s="8" t="s">
        <v>48</v>
      </c>
      <c r="H655" s="10">
        <v>10132018</v>
      </c>
      <c r="I655" s="10">
        <v>4</v>
      </c>
      <c r="J655" s="8" t="s">
        <v>54</v>
      </c>
      <c r="K655" s="8" t="s">
        <v>40</v>
      </c>
      <c r="L655" s="8" t="s">
        <v>41</v>
      </c>
      <c r="M655" s="8" t="s">
        <v>42</v>
      </c>
      <c r="O655" s="8" t="s">
        <v>43</v>
      </c>
      <c r="P655" s="8" t="b">
        <v>0</v>
      </c>
      <c r="R655" s="8" t="b">
        <v>0</v>
      </c>
      <c r="S655" s="8" t="b">
        <v>0</v>
      </c>
      <c r="T655" s="8" t="b">
        <v>0</v>
      </c>
      <c r="U655" s="8" t="b">
        <v>1</v>
      </c>
      <c r="V655" s="8" t="b">
        <v>0</v>
      </c>
      <c r="X655" s="8" t="b">
        <v>0</v>
      </c>
      <c r="Y655" s="8" t="b">
        <v>0</v>
      </c>
      <c r="Z655" s="8" t="b">
        <v>0</v>
      </c>
      <c r="AA655" s="8" t="b">
        <v>0</v>
      </c>
      <c r="AB655" s="8" t="b">
        <v>0</v>
      </c>
      <c r="AC655" s="8" t="b">
        <v>0</v>
      </c>
      <c r="AD655" s="8" t="b">
        <v>0</v>
      </c>
      <c r="AE655" s="8" t="b">
        <v>0</v>
      </c>
      <c r="AG655" s="11" t="b" cm="1">
        <f t="array" ref="AG655">IF(OR(Y655:AA655="TRUE", AE655="true"), "Threatened")</f>
        <v>0</v>
      </c>
      <c r="AH655" s="11" t="s">
        <v>1921</v>
      </c>
      <c r="AI655" s="8" t="b">
        <v>1</v>
      </c>
    </row>
    <row r="656" spans="1:35" ht="31.2">
      <c r="A656" s="8">
        <v>-73.972878379999997</v>
      </c>
      <c r="B656" s="8">
        <v>40.773167100000002</v>
      </c>
      <c r="C656" s="8" t="s">
        <v>1922</v>
      </c>
      <c r="D656" s="8" t="s">
        <v>1923</v>
      </c>
      <c r="E656" s="8" t="b">
        <f t="shared" si="10"/>
        <v>0</v>
      </c>
      <c r="F656" s="8" t="str" cm="1">
        <f t="array" ref="F656">_xlfn._xlws.FILTER(E656:E3854, C656:C3854= "6D-PM-1020-01", "No Squirrels Found")</f>
        <v>No Squirrels Found</v>
      </c>
      <c r="G656" s="8" t="s">
        <v>34</v>
      </c>
      <c r="H656" s="10">
        <v>10142018</v>
      </c>
      <c r="I656" s="10">
        <v>2</v>
      </c>
      <c r="J656" s="8" t="s">
        <v>54</v>
      </c>
      <c r="K656" s="8" t="s">
        <v>40</v>
      </c>
      <c r="L656" s="8" t="s">
        <v>1924</v>
      </c>
      <c r="M656" s="8" t="s">
        <v>1925</v>
      </c>
      <c r="O656" s="8" t="s">
        <v>43</v>
      </c>
      <c r="P656" s="8" t="b">
        <v>0</v>
      </c>
      <c r="R656" s="8" t="b">
        <v>0</v>
      </c>
      <c r="S656" s="8" t="b">
        <v>0</v>
      </c>
      <c r="T656" s="8" t="b">
        <v>0</v>
      </c>
      <c r="U656" s="8" t="b">
        <v>0</v>
      </c>
      <c r="V656" s="8" t="b">
        <v>1</v>
      </c>
      <c r="X656" s="8" t="b">
        <v>0</v>
      </c>
      <c r="Y656" s="8" t="b">
        <v>0</v>
      </c>
      <c r="Z656" s="8" t="b">
        <v>0</v>
      </c>
      <c r="AA656" s="8" t="b">
        <v>0</v>
      </c>
      <c r="AB656" s="8" t="b">
        <v>1</v>
      </c>
      <c r="AC656" s="8" t="b">
        <v>0</v>
      </c>
      <c r="AD656" s="8" t="b">
        <v>1</v>
      </c>
      <c r="AE656" s="8" t="b">
        <v>0</v>
      </c>
      <c r="AG656" s="11" t="b" cm="1">
        <f t="array" ref="AG656">IF(OR(Y656:AA656="TRUE", AE656="true"), "Threatened")</f>
        <v>0</v>
      </c>
      <c r="AH656" s="11" t="s">
        <v>1926</v>
      </c>
      <c r="AI656" s="8" t="b">
        <v>1</v>
      </c>
    </row>
    <row r="657" spans="1:35" ht="31.2">
      <c r="A657" s="8">
        <v>-73.955372670000003</v>
      </c>
      <c r="B657" s="8">
        <v>40.798757850000001</v>
      </c>
      <c r="C657" s="8" t="s">
        <v>1927</v>
      </c>
      <c r="D657" s="8" t="s">
        <v>353</v>
      </c>
      <c r="E657" s="8" t="b">
        <f t="shared" si="10"/>
        <v>0</v>
      </c>
      <c r="F657" s="8" t="str" cm="1">
        <f t="array" ref="F657">_xlfn._xlws.FILTER(E657:E3855, C657:C3855= "6D-PM-1020-01", "No Squirrels Found")</f>
        <v>No Squirrels Found</v>
      </c>
      <c r="G657" s="8" t="s">
        <v>48</v>
      </c>
      <c r="H657" s="10">
        <v>10142018</v>
      </c>
      <c r="I657" s="10">
        <v>2</v>
      </c>
      <c r="J657" s="8" t="s">
        <v>39</v>
      </c>
      <c r="K657" s="8" t="s">
        <v>40</v>
      </c>
      <c r="M657" s="8" t="s">
        <v>55</v>
      </c>
      <c r="O657" s="8" t="s">
        <v>50</v>
      </c>
      <c r="P657" s="8">
        <v>20</v>
      </c>
      <c r="R657" s="8" t="b">
        <v>0</v>
      </c>
      <c r="S657" s="8" t="b">
        <v>0</v>
      </c>
      <c r="T657" s="8" t="b">
        <v>0</v>
      </c>
      <c r="U657" s="8" t="b">
        <v>0</v>
      </c>
      <c r="V657" s="8" t="b">
        <v>0</v>
      </c>
      <c r="W657" s="11" t="s">
        <v>694</v>
      </c>
      <c r="X657" s="8" t="b">
        <v>0</v>
      </c>
      <c r="Y657" s="8" t="b">
        <v>0</v>
      </c>
      <c r="Z657" s="8" t="b">
        <v>0</v>
      </c>
      <c r="AA657" s="8" t="b">
        <v>0</v>
      </c>
      <c r="AB657" s="8" t="b">
        <v>0</v>
      </c>
      <c r="AC657" s="8" t="b">
        <v>0</v>
      </c>
      <c r="AD657" s="8" t="b">
        <v>1</v>
      </c>
      <c r="AE657" s="8" t="b">
        <v>0</v>
      </c>
      <c r="AG657" s="11" t="b" cm="1">
        <f t="array" ref="AG657">IF(OR(Y657:AA657="TRUE", AE657="true"), "Threatened")</f>
        <v>0</v>
      </c>
      <c r="AH657" s="11" t="s">
        <v>1928</v>
      </c>
      <c r="AI657" s="8" t="b">
        <v>0</v>
      </c>
    </row>
    <row r="658" spans="1:35" ht="31.2">
      <c r="A658" s="8">
        <v>-73.967900880000002</v>
      </c>
      <c r="B658" s="8">
        <v>40.775901390000001</v>
      </c>
      <c r="C658" s="8" t="s">
        <v>1929</v>
      </c>
      <c r="D658" s="8" t="s">
        <v>677</v>
      </c>
      <c r="E658" s="8" t="b">
        <f t="shared" si="10"/>
        <v>0</v>
      </c>
      <c r="F658" s="8" t="str" cm="1">
        <f t="array" ref="F658">_xlfn._xlws.FILTER(E658:E3856, C658:C3856= "6D-PM-1020-01", "No Squirrels Found")</f>
        <v>No Squirrels Found</v>
      </c>
      <c r="G658" s="8" t="s">
        <v>48</v>
      </c>
      <c r="H658" s="10">
        <v>10122018</v>
      </c>
      <c r="I658" s="10">
        <v>2</v>
      </c>
      <c r="K658" s="8" t="s">
        <v>40</v>
      </c>
      <c r="L658" s="8" t="s">
        <v>41</v>
      </c>
      <c r="M658" s="8" t="s">
        <v>42</v>
      </c>
      <c r="O658" s="8" t="s">
        <v>50</v>
      </c>
      <c r="P658" s="8">
        <v>15</v>
      </c>
      <c r="R658" s="8" t="b">
        <v>0</v>
      </c>
      <c r="S658" s="8" t="b">
        <v>0</v>
      </c>
      <c r="T658" s="8" t="b">
        <v>1</v>
      </c>
      <c r="U658" s="8" t="b">
        <v>0</v>
      </c>
      <c r="V658" s="8" t="b">
        <v>0</v>
      </c>
      <c r="X658" s="8" t="b">
        <v>0</v>
      </c>
      <c r="Y658" s="8" t="b">
        <v>0</v>
      </c>
      <c r="Z658" s="8" t="b">
        <v>0</v>
      </c>
      <c r="AA658" s="8" t="b">
        <v>0</v>
      </c>
      <c r="AB658" s="8" t="b">
        <v>0</v>
      </c>
      <c r="AC658" s="8" t="b">
        <v>0</v>
      </c>
      <c r="AD658" s="8" t="b">
        <v>1</v>
      </c>
      <c r="AE658" s="8" t="b">
        <v>0</v>
      </c>
      <c r="AG658" s="11" t="b" cm="1">
        <f t="array" ref="AG658">IF(OR(Y658:AA658="TRUE", AE658="true"), "Threatened")</f>
        <v>0</v>
      </c>
      <c r="AH658" s="11" t="s">
        <v>1930</v>
      </c>
      <c r="AI658" s="8" t="b">
        <v>1</v>
      </c>
    </row>
    <row r="659" spans="1:35" ht="31.2">
      <c r="A659" s="8">
        <v>-73.970457580000001</v>
      </c>
      <c r="B659" s="8">
        <v>40.769349929999997</v>
      </c>
      <c r="C659" s="8" t="s">
        <v>1931</v>
      </c>
      <c r="D659" s="8" t="s">
        <v>113</v>
      </c>
      <c r="E659" s="8" t="b">
        <f t="shared" si="10"/>
        <v>0</v>
      </c>
      <c r="F659" s="8" t="str" cm="1">
        <f t="array" ref="F659">_xlfn._xlws.FILTER(E659:E3857, C659:C3857= "6D-PM-1020-01", "No Squirrels Found")</f>
        <v>No Squirrels Found</v>
      </c>
      <c r="G659" s="8" t="s">
        <v>34</v>
      </c>
      <c r="H659" s="10">
        <v>10062018</v>
      </c>
      <c r="I659" s="10">
        <v>9</v>
      </c>
      <c r="J659" s="8" t="s">
        <v>39</v>
      </c>
      <c r="K659" s="8" t="s">
        <v>192</v>
      </c>
      <c r="M659" s="8" t="s">
        <v>193</v>
      </c>
      <c r="O659" s="8" t="s">
        <v>43</v>
      </c>
      <c r="P659" s="8" t="b">
        <v>0</v>
      </c>
      <c r="Q659" s="8" t="s">
        <v>1932</v>
      </c>
      <c r="R659" s="8" t="b">
        <v>0</v>
      </c>
      <c r="S659" s="8" t="b">
        <v>0</v>
      </c>
      <c r="T659" s="8" t="b">
        <v>0</v>
      </c>
      <c r="U659" s="8" t="b">
        <v>1</v>
      </c>
      <c r="V659" s="8" t="b">
        <v>1</v>
      </c>
      <c r="X659" s="8" t="b">
        <v>0</v>
      </c>
      <c r="Y659" s="8" t="b">
        <v>0</v>
      </c>
      <c r="Z659" s="8" t="b">
        <v>0</v>
      </c>
      <c r="AA659" s="8" t="b">
        <v>1</v>
      </c>
      <c r="AB659" s="8" t="b">
        <v>0</v>
      </c>
      <c r="AC659" s="8" t="b">
        <v>1</v>
      </c>
      <c r="AD659" s="8" t="b">
        <v>0</v>
      </c>
      <c r="AE659" s="8" t="b">
        <v>1</v>
      </c>
      <c r="AG659" s="11" t="b" cm="1">
        <f t="array" ref="AG659">IF(OR(Y659:AA659="TRUE", AE659="true"), "Threatened")</f>
        <v>0</v>
      </c>
      <c r="AH659" s="11" t="s">
        <v>1933</v>
      </c>
      <c r="AI659" s="8" t="b">
        <v>1</v>
      </c>
    </row>
    <row r="660" spans="1:35" ht="31.2">
      <c r="A660" s="8">
        <v>-73.9572687</v>
      </c>
      <c r="B660" s="8">
        <v>40.79626846</v>
      </c>
      <c r="C660" s="8" t="s">
        <v>1934</v>
      </c>
      <c r="D660" s="8" t="s">
        <v>841</v>
      </c>
      <c r="E660" s="8" t="b">
        <f t="shared" si="10"/>
        <v>0</v>
      </c>
      <c r="F660" s="8" t="str" cm="1">
        <f t="array" ref="F660">_xlfn._xlws.FILTER(E660:E3858, C660:C3858= "6D-PM-1020-01", "No Squirrels Found")</f>
        <v>No Squirrels Found</v>
      </c>
      <c r="G660" s="8" t="s">
        <v>48</v>
      </c>
      <c r="H660" s="10">
        <v>10172018</v>
      </c>
      <c r="I660" s="10">
        <v>3</v>
      </c>
      <c r="J660" s="8" t="s">
        <v>39</v>
      </c>
      <c r="K660" s="8" t="s">
        <v>40</v>
      </c>
      <c r="L660" s="8" t="s">
        <v>84</v>
      </c>
      <c r="M660" s="8" t="s">
        <v>103</v>
      </c>
      <c r="O660" s="8" t="s">
        <v>43</v>
      </c>
      <c r="P660" s="8" t="b">
        <v>0</v>
      </c>
      <c r="R660" s="8" t="b">
        <v>0</v>
      </c>
      <c r="S660" s="8" t="b">
        <v>0</v>
      </c>
      <c r="T660" s="8" t="b">
        <v>0</v>
      </c>
      <c r="U660" s="8" t="b">
        <v>0</v>
      </c>
      <c r="V660" s="8" t="b">
        <v>1</v>
      </c>
      <c r="W660" s="11" t="s">
        <v>355</v>
      </c>
      <c r="X660" s="8" t="b">
        <v>0</v>
      </c>
      <c r="Y660" s="8" t="b">
        <v>0</v>
      </c>
      <c r="Z660" s="8" t="b">
        <v>0</v>
      </c>
      <c r="AA660" s="8" t="b">
        <v>0</v>
      </c>
      <c r="AB660" s="8" t="b">
        <v>0</v>
      </c>
      <c r="AC660" s="8" t="b">
        <v>0</v>
      </c>
      <c r="AD660" s="8" t="b">
        <v>0</v>
      </c>
      <c r="AE660" s="8" t="b">
        <v>0</v>
      </c>
      <c r="AG660" s="11" t="b" cm="1">
        <f t="array" ref="AG660">IF(OR(Y660:AA660="TRUE", AE660="true"), "Threatened")</f>
        <v>0</v>
      </c>
      <c r="AH660" s="11" t="s">
        <v>1935</v>
      </c>
      <c r="AI660" s="8" t="b">
        <v>0</v>
      </c>
    </row>
    <row r="661" spans="1:35" ht="31.2">
      <c r="A661" s="8">
        <v>-73.963829899999993</v>
      </c>
      <c r="B661" s="8">
        <v>40.78259663</v>
      </c>
      <c r="C661" s="8" t="s">
        <v>1936</v>
      </c>
      <c r="D661" s="8" t="s">
        <v>177</v>
      </c>
      <c r="E661" s="8" t="b">
        <f t="shared" si="10"/>
        <v>0</v>
      </c>
      <c r="F661" s="8" t="str" cm="1">
        <f t="array" ref="F661">_xlfn._xlws.FILTER(E661:E3859, C661:C3859= "6D-PM-1020-01", "No Squirrels Found")</f>
        <v>No Squirrels Found</v>
      </c>
      <c r="G661" s="8" t="s">
        <v>48</v>
      </c>
      <c r="H661" s="10">
        <v>10072018</v>
      </c>
      <c r="I661" s="10">
        <v>3</v>
      </c>
      <c r="J661" s="8" t="s">
        <v>39</v>
      </c>
      <c r="K661" s="8" t="s">
        <v>41</v>
      </c>
      <c r="L661" s="8" t="s">
        <v>135</v>
      </c>
      <c r="M661" s="8" t="s">
        <v>136</v>
      </c>
      <c r="N661" s="11" t="s">
        <v>1937</v>
      </c>
      <c r="O661" s="8" t="s">
        <v>43</v>
      </c>
      <c r="P661" s="8" t="b">
        <v>0</v>
      </c>
      <c r="R661" s="8" t="b">
        <v>0</v>
      </c>
      <c r="S661" s="8" t="b">
        <v>0</v>
      </c>
      <c r="T661" s="8" t="b">
        <v>0</v>
      </c>
      <c r="U661" s="8" t="b">
        <v>1</v>
      </c>
      <c r="V661" s="8" t="b">
        <v>0</v>
      </c>
      <c r="X661" s="8" t="b">
        <v>0</v>
      </c>
      <c r="Y661" s="8" t="b">
        <v>0</v>
      </c>
      <c r="Z661" s="8" t="b">
        <v>0</v>
      </c>
      <c r="AA661" s="8" t="b">
        <v>0</v>
      </c>
      <c r="AB661" s="8" t="b">
        <v>0</v>
      </c>
      <c r="AC661" s="8" t="b">
        <v>0</v>
      </c>
      <c r="AD661" s="8" t="b">
        <v>1</v>
      </c>
      <c r="AE661" s="8" t="b">
        <v>0</v>
      </c>
      <c r="AG661" s="11" t="b" cm="1">
        <f t="array" ref="AG661">IF(OR(Y661:AA661="TRUE", AE661="true"), "Threatened")</f>
        <v>0</v>
      </c>
      <c r="AH661" s="11" t="s">
        <v>1938</v>
      </c>
      <c r="AI661" s="8" t="b">
        <v>1</v>
      </c>
    </row>
    <row r="662" spans="1:35" ht="31.2">
      <c r="A662" s="8">
        <v>-73.970075910000006</v>
      </c>
      <c r="B662" s="8">
        <v>40.768056090000002</v>
      </c>
      <c r="C662" s="8" t="s">
        <v>1939</v>
      </c>
      <c r="D662" s="8" t="s">
        <v>716</v>
      </c>
      <c r="E662" s="8" t="b">
        <f t="shared" si="10"/>
        <v>0</v>
      </c>
      <c r="F662" s="8" t="str" cm="1">
        <f t="array" ref="F662">_xlfn._xlws.FILTER(E662:E3860, C662:C3860= "6D-PM-1020-01", "No Squirrels Found")</f>
        <v>No Squirrels Found</v>
      </c>
      <c r="G662" s="8" t="s">
        <v>48</v>
      </c>
      <c r="H662" s="10">
        <v>10102018</v>
      </c>
      <c r="I662" s="10">
        <v>1</v>
      </c>
      <c r="J662" s="8" t="s">
        <v>39</v>
      </c>
      <c r="K662" s="8" t="s">
        <v>40</v>
      </c>
      <c r="M662" s="8" t="s">
        <v>55</v>
      </c>
      <c r="O662" s="8" t="s">
        <v>43</v>
      </c>
      <c r="P662" s="8" t="b">
        <v>0</v>
      </c>
      <c r="R662" s="8" t="b">
        <v>1</v>
      </c>
      <c r="S662" s="8" t="b">
        <v>0</v>
      </c>
      <c r="T662" s="8" t="b">
        <v>0</v>
      </c>
      <c r="U662" s="8" t="b">
        <v>0</v>
      </c>
      <c r="V662" s="8" t="b">
        <v>0</v>
      </c>
      <c r="X662" s="8" t="b">
        <v>0</v>
      </c>
      <c r="Y662" s="8" t="b">
        <v>0</v>
      </c>
      <c r="Z662" s="8" t="b">
        <v>0</v>
      </c>
      <c r="AA662" s="8" t="b">
        <v>0</v>
      </c>
      <c r="AB662" s="8" t="b">
        <v>0</v>
      </c>
      <c r="AC662" s="8" t="b">
        <v>0</v>
      </c>
      <c r="AD662" s="8" t="b">
        <v>1</v>
      </c>
      <c r="AE662" s="8" t="b">
        <v>0</v>
      </c>
      <c r="AG662" s="11" t="b" cm="1">
        <f t="array" ref="AG662">IF(OR(Y662:AA662="TRUE", AE662="true"), "Threatened")</f>
        <v>0</v>
      </c>
      <c r="AH662" s="11" t="s">
        <v>1940</v>
      </c>
      <c r="AI662" s="8" t="b">
        <v>1</v>
      </c>
    </row>
    <row r="663" spans="1:35" ht="31.2">
      <c r="A663" s="8">
        <v>-73.972185479999993</v>
      </c>
      <c r="B663" s="8">
        <v>40.776108639999997</v>
      </c>
      <c r="C663" s="8" t="s">
        <v>1941</v>
      </c>
      <c r="D663" s="8" t="s">
        <v>773</v>
      </c>
      <c r="E663" s="8" t="b">
        <f t="shared" si="10"/>
        <v>0</v>
      </c>
      <c r="F663" s="8" t="str" cm="1">
        <f t="array" ref="F663">_xlfn._xlws.FILTER(E663:E3861, C663:C3861= "6D-PM-1020-01", "No Squirrels Found")</f>
        <v>No Squirrels Found</v>
      </c>
      <c r="G663" s="8" t="s">
        <v>48</v>
      </c>
      <c r="H663" s="10">
        <v>10132018</v>
      </c>
      <c r="I663" s="10">
        <v>1</v>
      </c>
      <c r="J663" s="8" t="s">
        <v>39</v>
      </c>
      <c r="K663" s="8" t="s">
        <v>40</v>
      </c>
      <c r="M663" s="8" t="s">
        <v>55</v>
      </c>
      <c r="O663" s="8" t="s">
        <v>43</v>
      </c>
      <c r="P663" s="8" t="b">
        <v>0</v>
      </c>
      <c r="R663" s="8" t="b">
        <v>0</v>
      </c>
      <c r="S663" s="8" t="b">
        <v>0</v>
      </c>
      <c r="T663" s="8" t="b">
        <v>0</v>
      </c>
      <c r="U663" s="8" t="b">
        <v>0</v>
      </c>
      <c r="V663" s="8" t="b">
        <v>1</v>
      </c>
      <c r="W663" s="11" t="s">
        <v>521</v>
      </c>
      <c r="X663" s="8" t="b">
        <v>0</v>
      </c>
      <c r="Y663" s="8" t="b">
        <v>0</v>
      </c>
      <c r="Z663" s="8" t="b">
        <v>0</v>
      </c>
      <c r="AA663" s="8" t="b">
        <v>0</v>
      </c>
      <c r="AB663" s="8" t="b">
        <v>0</v>
      </c>
      <c r="AC663" s="8" t="b">
        <v>0</v>
      </c>
      <c r="AD663" s="8" t="b">
        <v>1</v>
      </c>
      <c r="AE663" s="8" t="b">
        <v>0</v>
      </c>
      <c r="AG663" s="11" t="b" cm="1">
        <f t="array" ref="AG663">IF(OR(Y663:AA663="TRUE", AE663="true"), "Threatened")</f>
        <v>0</v>
      </c>
      <c r="AH663" s="11" t="s">
        <v>1942</v>
      </c>
      <c r="AI663" s="8" t="b">
        <v>0</v>
      </c>
    </row>
    <row r="664" spans="1:35" ht="31.2">
      <c r="A664" s="8">
        <v>-73.976644059999998</v>
      </c>
      <c r="B664" s="8">
        <v>40.768239029999997</v>
      </c>
      <c r="C664" s="8" t="s">
        <v>1943</v>
      </c>
      <c r="D664" s="8" t="s">
        <v>230</v>
      </c>
      <c r="E664" s="8" t="b">
        <f t="shared" si="10"/>
        <v>0</v>
      </c>
      <c r="F664" s="8" t="str" cm="1">
        <f t="array" ref="F664">_xlfn._xlws.FILTER(E664:E3862, C664:C3862= "6D-PM-1020-01", "No Squirrels Found")</f>
        <v>No Squirrels Found</v>
      </c>
      <c r="G664" s="8" t="s">
        <v>48</v>
      </c>
      <c r="H664" s="10">
        <v>10062018</v>
      </c>
      <c r="I664" s="10">
        <v>2</v>
      </c>
      <c r="J664" s="8" t="s">
        <v>39</v>
      </c>
      <c r="K664" s="8" t="s">
        <v>40</v>
      </c>
      <c r="M664" s="8" t="s">
        <v>55</v>
      </c>
      <c r="O664" s="8" t="s">
        <v>43</v>
      </c>
      <c r="P664" s="8" t="b">
        <v>0</v>
      </c>
      <c r="R664" s="8" t="b">
        <v>0</v>
      </c>
      <c r="S664" s="8" t="b">
        <v>0</v>
      </c>
      <c r="T664" s="8" t="b">
        <v>0</v>
      </c>
      <c r="U664" s="8" t="b">
        <v>0</v>
      </c>
      <c r="V664" s="8" t="b">
        <v>1</v>
      </c>
      <c r="X664" s="8" t="b">
        <v>0</v>
      </c>
      <c r="Y664" s="8" t="b">
        <v>0</v>
      </c>
      <c r="Z664" s="8" t="b">
        <v>0</v>
      </c>
      <c r="AA664" s="8" t="b">
        <v>1</v>
      </c>
      <c r="AB664" s="8" t="b">
        <v>0</v>
      </c>
      <c r="AC664" s="8" t="b">
        <v>0</v>
      </c>
      <c r="AD664" s="8" t="b">
        <v>0</v>
      </c>
      <c r="AE664" s="8" t="b">
        <v>1</v>
      </c>
      <c r="AG664" s="11" t="b" cm="1">
        <f t="array" ref="AG664">IF(OR(Y664:AA664="TRUE", AE664="true"), "Threatened")</f>
        <v>0</v>
      </c>
      <c r="AH664" s="11" t="s">
        <v>1944</v>
      </c>
      <c r="AI664" s="8" t="b">
        <v>1</v>
      </c>
    </row>
    <row r="665" spans="1:35" ht="31.2">
      <c r="A665" s="8">
        <v>-73.972517490000001</v>
      </c>
      <c r="B665" s="8">
        <v>40.766424829999998</v>
      </c>
      <c r="C665" s="8" t="s">
        <v>1945</v>
      </c>
      <c r="D665" s="8" t="s">
        <v>1902</v>
      </c>
      <c r="E665" s="8" t="b">
        <f t="shared" si="10"/>
        <v>0</v>
      </c>
      <c r="F665" s="8" t="str" cm="1">
        <f t="array" ref="F665">_xlfn._xlws.FILTER(E665:E3863, C665:C3863= "6D-PM-1020-01", "No Squirrels Found")</f>
        <v>No Squirrels Found</v>
      </c>
      <c r="G665" s="8" t="s">
        <v>34</v>
      </c>
      <c r="H665" s="10">
        <v>10142018</v>
      </c>
      <c r="I665" s="10">
        <v>7</v>
      </c>
      <c r="J665" s="8" t="s">
        <v>39</v>
      </c>
      <c r="K665" s="8" t="s">
        <v>40</v>
      </c>
      <c r="L665" s="8" t="s">
        <v>84</v>
      </c>
      <c r="M665" s="8" t="s">
        <v>103</v>
      </c>
      <c r="O665" s="8" t="s">
        <v>43</v>
      </c>
      <c r="P665" s="8" t="b">
        <v>0</v>
      </c>
      <c r="R665" s="8" t="b">
        <v>0</v>
      </c>
      <c r="S665" s="8" t="b">
        <v>0</v>
      </c>
      <c r="T665" s="8" t="b">
        <v>0</v>
      </c>
      <c r="U665" s="8" t="b">
        <v>0</v>
      </c>
      <c r="V665" s="8" t="b">
        <v>1</v>
      </c>
      <c r="X665" s="8" t="b">
        <v>0</v>
      </c>
      <c r="Y665" s="8" t="b">
        <v>0</v>
      </c>
      <c r="Z665" s="8" t="b">
        <v>0</v>
      </c>
      <c r="AA665" s="8" t="b">
        <v>0</v>
      </c>
      <c r="AB665" s="8" t="b">
        <v>0</v>
      </c>
      <c r="AC665" s="8" t="b">
        <v>0</v>
      </c>
      <c r="AD665" s="8" t="b">
        <v>1</v>
      </c>
      <c r="AE665" s="8" t="b">
        <v>0</v>
      </c>
      <c r="AG665" s="11" t="b" cm="1">
        <f t="array" ref="AG665">IF(OR(Y665:AA665="TRUE", AE665="true"), "Threatened")</f>
        <v>0</v>
      </c>
      <c r="AH665" s="11" t="s">
        <v>1946</v>
      </c>
      <c r="AI665" s="8" t="b">
        <v>1</v>
      </c>
    </row>
    <row r="666" spans="1:35" ht="31.2">
      <c r="A666" s="8">
        <v>-73.956366130000006</v>
      </c>
      <c r="B666" s="8">
        <v>40.796682310000001</v>
      </c>
      <c r="C666" s="8" t="s">
        <v>1947</v>
      </c>
      <c r="D666" s="8" t="s">
        <v>1948</v>
      </c>
      <c r="E666" s="8" t="b">
        <f t="shared" si="10"/>
        <v>0</v>
      </c>
      <c r="F666" s="8" t="str" cm="1">
        <f t="array" ref="F666">_xlfn._xlws.FILTER(E666:E3864, C666:C3864= "6D-PM-1020-01", "No Squirrels Found")</f>
        <v>No Squirrels Found</v>
      </c>
      <c r="G666" s="8" t="s">
        <v>48</v>
      </c>
      <c r="H666" s="10">
        <v>10082018</v>
      </c>
      <c r="I666" s="10">
        <v>3</v>
      </c>
      <c r="J666" s="8" t="s">
        <v>39</v>
      </c>
      <c r="K666" s="8" t="s">
        <v>40</v>
      </c>
      <c r="M666" s="8" t="s">
        <v>55</v>
      </c>
      <c r="O666" s="8" t="s">
        <v>50</v>
      </c>
      <c r="P666" s="8">
        <v>5</v>
      </c>
      <c r="R666" s="8" t="b">
        <v>0</v>
      </c>
      <c r="S666" s="8" t="b">
        <v>0</v>
      </c>
      <c r="T666" s="8" t="b">
        <v>1</v>
      </c>
      <c r="U666" s="8" t="b">
        <v>0</v>
      </c>
      <c r="V666" s="8" t="b">
        <v>0</v>
      </c>
      <c r="X666" s="8" t="b">
        <v>0</v>
      </c>
      <c r="Y666" s="8" t="b">
        <v>0</v>
      </c>
      <c r="Z666" s="8" t="b">
        <v>0</v>
      </c>
      <c r="AA666" s="8" t="b">
        <v>0</v>
      </c>
      <c r="AB666" s="8" t="b">
        <v>0</v>
      </c>
      <c r="AC666" s="8" t="b">
        <v>0</v>
      </c>
      <c r="AD666" s="8" t="b">
        <v>0</v>
      </c>
      <c r="AE666" s="8" t="b">
        <v>0</v>
      </c>
      <c r="AG666" s="11" t="b" cm="1">
        <f t="array" ref="AG666">IF(OR(Y666:AA666="TRUE", AE666="true"), "Threatened")</f>
        <v>0</v>
      </c>
      <c r="AH666" s="11" t="s">
        <v>1949</v>
      </c>
      <c r="AI666" s="8" t="b">
        <v>1</v>
      </c>
    </row>
    <row r="667" spans="1:35" ht="31.2">
      <c r="A667" s="8">
        <v>-73.968702780000001</v>
      </c>
      <c r="B667" s="8">
        <v>40.770516260000001</v>
      </c>
      <c r="C667" s="8" t="s">
        <v>1950</v>
      </c>
      <c r="D667" s="8" t="s">
        <v>1785</v>
      </c>
      <c r="E667" s="8" t="b">
        <f t="shared" si="10"/>
        <v>0</v>
      </c>
      <c r="F667" s="8" t="str" cm="1">
        <f t="array" ref="F667">_xlfn._xlws.FILTER(E667:E3865, C667:C3865= "6D-PM-1020-01", "No Squirrels Found")</f>
        <v>No Squirrels Found</v>
      </c>
      <c r="G667" s="8" t="s">
        <v>48</v>
      </c>
      <c r="H667" s="10">
        <v>10142018</v>
      </c>
      <c r="I667" s="10">
        <v>9</v>
      </c>
      <c r="J667" s="8" t="s">
        <v>39</v>
      </c>
      <c r="K667" s="8" t="s">
        <v>40</v>
      </c>
      <c r="M667" s="8" t="s">
        <v>55</v>
      </c>
      <c r="O667" s="8" t="s">
        <v>50</v>
      </c>
      <c r="P667" s="8">
        <v>5</v>
      </c>
      <c r="R667" s="8" t="b">
        <v>0</v>
      </c>
      <c r="S667" s="8" t="b">
        <v>0</v>
      </c>
      <c r="T667" s="8" t="b">
        <v>1</v>
      </c>
      <c r="U667" s="8" t="b">
        <v>0</v>
      </c>
      <c r="V667" s="8" t="b">
        <v>1</v>
      </c>
      <c r="X667" s="8" t="b">
        <v>0</v>
      </c>
      <c r="Y667" s="8" t="b">
        <v>0</v>
      </c>
      <c r="Z667" s="8" t="b">
        <v>0</v>
      </c>
      <c r="AA667" s="8" t="b">
        <v>0</v>
      </c>
      <c r="AB667" s="8" t="b">
        <v>0</v>
      </c>
      <c r="AC667" s="8" t="b">
        <v>0</v>
      </c>
      <c r="AD667" s="8" t="b">
        <v>0</v>
      </c>
      <c r="AE667" s="8" t="b">
        <v>0</v>
      </c>
      <c r="AG667" s="11" t="b" cm="1">
        <f t="array" ref="AG667">IF(OR(Y667:AA667="TRUE", AE667="true"), "Threatened")</f>
        <v>0</v>
      </c>
      <c r="AH667" s="11" t="s">
        <v>1951</v>
      </c>
      <c r="AI667" s="8" t="b">
        <v>1</v>
      </c>
    </row>
    <row r="668" spans="1:35" ht="31.2">
      <c r="A668" s="8">
        <v>-73.962453870000004</v>
      </c>
      <c r="B668" s="8">
        <v>40.788382990000002</v>
      </c>
      <c r="C668" s="8" t="s">
        <v>1952</v>
      </c>
      <c r="D668" s="8" t="s">
        <v>1052</v>
      </c>
      <c r="E668" s="8" t="b">
        <f t="shared" si="10"/>
        <v>0</v>
      </c>
      <c r="F668" s="8" t="str" cm="1">
        <f t="array" ref="F668">_xlfn._xlws.FILTER(E668:E3866, C668:C3866= "6D-PM-1020-01", "No Squirrels Found")</f>
        <v>No Squirrels Found</v>
      </c>
      <c r="G668" s="8" t="s">
        <v>48</v>
      </c>
      <c r="H668" s="10">
        <v>10122018</v>
      </c>
      <c r="I668" s="10">
        <v>4</v>
      </c>
      <c r="J668" s="8" t="s">
        <v>39</v>
      </c>
      <c r="K668" s="8" t="s">
        <v>41</v>
      </c>
      <c r="L668" s="8" t="s">
        <v>84</v>
      </c>
      <c r="M668" s="8" t="s">
        <v>85</v>
      </c>
      <c r="O668" s="8" t="s">
        <v>50</v>
      </c>
      <c r="P668" s="8">
        <v>10</v>
      </c>
      <c r="R668" s="8" t="b">
        <v>0</v>
      </c>
      <c r="S668" s="8" t="b">
        <v>0</v>
      </c>
      <c r="T668" s="8" t="b">
        <v>1</v>
      </c>
      <c r="U668" s="8" t="b">
        <v>0</v>
      </c>
      <c r="V668" s="8" t="b">
        <v>0</v>
      </c>
      <c r="X668" s="8" t="b">
        <v>0</v>
      </c>
      <c r="Y668" s="8" t="b">
        <v>0</v>
      </c>
      <c r="Z668" s="8" t="b">
        <v>0</v>
      </c>
      <c r="AA668" s="8" t="b">
        <v>0</v>
      </c>
      <c r="AB668" s="8" t="b">
        <v>0</v>
      </c>
      <c r="AC668" s="8" t="b">
        <v>0</v>
      </c>
      <c r="AD668" s="8" t="b">
        <v>0</v>
      </c>
      <c r="AE668" s="8" t="b">
        <v>1</v>
      </c>
      <c r="AG668" s="11" t="b" cm="1">
        <f t="array" ref="AG668">IF(OR(Y668:AA668="TRUE", AE668="true"), "Threatened")</f>
        <v>0</v>
      </c>
      <c r="AH668" s="11" t="s">
        <v>1953</v>
      </c>
      <c r="AI668" s="8" t="b">
        <v>1</v>
      </c>
    </row>
    <row r="669" spans="1:35" ht="31.2">
      <c r="A669" s="8">
        <v>-73.97069037</v>
      </c>
      <c r="B669" s="8">
        <v>40.772687380000001</v>
      </c>
      <c r="C669" s="8" t="s">
        <v>1954</v>
      </c>
      <c r="D669" s="8" t="s">
        <v>609</v>
      </c>
      <c r="E669" s="8" t="b">
        <f t="shared" si="10"/>
        <v>0</v>
      </c>
      <c r="F669" s="8" t="str" cm="1">
        <f t="array" ref="F669">_xlfn._xlws.FILTER(E669:E3867, C669:C3867= "6D-PM-1020-01", "No Squirrels Found")</f>
        <v>No Squirrels Found</v>
      </c>
      <c r="G669" s="8" t="s">
        <v>48</v>
      </c>
      <c r="H669" s="10">
        <v>10062018</v>
      </c>
      <c r="I669" s="10">
        <v>7</v>
      </c>
      <c r="J669" s="8" t="s">
        <v>39</v>
      </c>
      <c r="K669" s="8" t="s">
        <v>40</v>
      </c>
      <c r="M669" s="8" t="s">
        <v>55</v>
      </c>
      <c r="O669" s="8" t="s">
        <v>43</v>
      </c>
      <c r="P669" s="8" t="b">
        <v>0</v>
      </c>
      <c r="R669" s="8" t="b">
        <v>0</v>
      </c>
      <c r="S669" s="8" t="b">
        <v>0</v>
      </c>
      <c r="T669" s="8" t="b">
        <v>0</v>
      </c>
      <c r="U669" s="8" t="b">
        <v>1</v>
      </c>
      <c r="V669" s="8" t="b">
        <v>0</v>
      </c>
      <c r="X669" s="8" t="b">
        <v>0</v>
      </c>
      <c r="Y669" s="8" t="b">
        <v>0</v>
      </c>
      <c r="Z669" s="8" t="b">
        <v>0</v>
      </c>
      <c r="AA669" s="8" t="b">
        <v>0</v>
      </c>
      <c r="AB669" s="8" t="b">
        <v>1</v>
      </c>
      <c r="AC669" s="8" t="b">
        <v>0</v>
      </c>
      <c r="AD669" s="8" t="b">
        <v>1</v>
      </c>
      <c r="AE669" s="8" t="b">
        <v>0</v>
      </c>
      <c r="AG669" s="11" t="b" cm="1">
        <f t="array" ref="AG669">IF(OR(Y669:AA669="TRUE", AE669="true"), "Threatened")</f>
        <v>0</v>
      </c>
      <c r="AH669" s="11" t="s">
        <v>1955</v>
      </c>
      <c r="AI669" s="8" t="b">
        <v>1</v>
      </c>
    </row>
    <row r="670" spans="1:35" ht="31.2">
      <c r="A670" s="8">
        <v>-73.980207930000006</v>
      </c>
      <c r="B670" s="8">
        <v>40.767872349999998</v>
      </c>
      <c r="C670" s="8" t="s">
        <v>1956</v>
      </c>
      <c r="D670" s="8" t="s">
        <v>855</v>
      </c>
      <c r="E670" s="8" t="b">
        <f t="shared" si="10"/>
        <v>0</v>
      </c>
      <c r="F670" s="8" t="str" cm="1">
        <f t="array" ref="F670">_xlfn._xlws.FILTER(E670:E3868, C670:C3868= "6D-PM-1020-01", "No Squirrels Found")</f>
        <v>No Squirrels Found</v>
      </c>
      <c r="G670" s="8" t="s">
        <v>48</v>
      </c>
      <c r="H670" s="10">
        <v>10122018</v>
      </c>
      <c r="I670" s="10">
        <v>10</v>
      </c>
      <c r="J670" s="8" t="s">
        <v>54</v>
      </c>
      <c r="K670" s="8" t="s">
        <v>40</v>
      </c>
      <c r="L670" s="8" t="s">
        <v>117</v>
      </c>
      <c r="M670" s="8" t="s">
        <v>118</v>
      </c>
      <c r="O670" s="8" t="s">
        <v>43</v>
      </c>
      <c r="P670" s="8" t="b">
        <v>0</v>
      </c>
      <c r="R670" s="8" t="b">
        <v>0</v>
      </c>
      <c r="S670" s="8" t="b">
        <v>0</v>
      </c>
      <c r="T670" s="8" t="b">
        <v>0</v>
      </c>
      <c r="U670" s="8" t="b">
        <v>1</v>
      </c>
      <c r="V670" s="8" t="b">
        <v>1</v>
      </c>
      <c r="X670" s="8" t="b">
        <v>0</v>
      </c>
      <c r="Y670" s="8" t="b">
        <v>0</v>
      </c>
      <c r="Z670" s="8" t="b">
        <v>0</v>
      </c>
      <c r="AA670" s="8" t="b">
        <v>0</v>
      </c>
      <c r="AB670" s="8" t="b">
        <v>0</v>
      </c>
      <c r="AC670" s="8" t="b">
        <v>1</v>
      </c>
      <c r="AD670" s="8" t="b">
        <v>0</v>
      </c>
      <c r="AE670" s="8" t="b">
        <v>0</v>
      </c>
      <c r="AG670" s="11" t="b" cm="1">
        <f t="array" ref="AG670">IF(OR(Y670:AA670="TRUE", AE670="true"), "Threatened")</f>
        <v>0</v>
      </c>
      <c r="AH670" s="11" t="s">
        <v>1957</v>
      </c>
      <c r="AI670" s="8" t="b">
        <v>1</v>
      </c>
    </row>
    <row r="671" spans="1:35" ht="31.2">
      <c r="A671" s="8">
        <v>-73.960239869999995</v>
      </c>
      <c r="B671" s="8">
        <v>40.791015770000001</v>
      </c>
      <c r="C671" s="8" t="s">
        <v>1958</v>
      </c>
      <c r="D671" s="8" t="s">
        <v>309</v>
      </c>
      <c r="E671" s="8" t="b">
        <f t="shared" si="10"/>
        <v>0</v>
      </c>
      <c r="F671" s="8" t="str" cm="1">
        <f t="array" ref="F671">_xlfn._xlws.FILTER(E671:E3869, C671:C3869= "6D-PM-1020-01", "No Squirrels Found")</f>
        <v>No Squirrels Found</v>
      </c>
      <c r="G671" s="8" t="s">
        <v>34</v>
      </c>
      <c r="H671" s="10">
        <v>10062018</v>
      </c>
      <c r="I671" s="10">
        <v>4</v>
      </c>
      <c r="J671" s="8" t="s">
        <v>39</v>
      </c>
      <c r="K671" s="8" t="s">
        <v>40</v>
      </c>
      <c r="L671" s="8" t="s">
        <v>117</v>
      </c>
      <c r="M671" s="8" t="s">
        <v>118</v>
      </c>
      <c r="O671" s="8" t="s">
        <v>50</v>
      </c>
      <c r="P671" s="8">
        <v>40</v>
      </c>
      <c r="R671" s="8" t="b">
        <v>0</v>
      </c>
      <c r="S671" s="8" t="b">
        <v>0</v>
      </c>
      <c r="T671" s="8" t="b">
        <v>0</v>
      </c>
      <c r="U671" s="8" t="b">
        <v>1</v>
      </c>
      <c r="V671" s="8" t="b">
        <v>0</v>
      </c>
      <c r="X671" s="8" t="b">
        <v>0</v>
      </c>
      <c r="Y671" s="8" t="b">
        <v>0</v>
      </c>
      <c r="Z671" s="8" t="b">
        <v>0</v>
      </c>
      <c r="AA671" s="8" t="b">
        <v>0</v>
      </c>
      <c r="AB671" s="8" t="b">
        <v>1</v>
      </c>
      <c r="AC671" s="8" t="b">
        <v>0</v>
      </c>
      <c r="AD671" s="8" t="b">
        <v>1</v>
      </c>
      <c r="AE671" s="8" t="b">
        <v>0</v>
      </c>
      <c r="AG671" s="11" t="b" cm="1">
        <f t="array" ref="AG671">IF(OR(Y671:AA671="TRUE", AE671="true"), "Threatened")</f>
        <v>0</v>
      </c>
      <c r="AH671" s="11" t="s">
        <v>1959</v>
      </c>
      <c r="AI671" s="8" t="b">
        <v>1</v>
      </c>
    </row>
    <row r="672" spans="1:35" ht="31.2">
      <c r="A672" s="8">
        <v>-73.970924400000001</v>
      </c>
      <c r="B672" s="8">
        <v>40.767694259999999</v>
      </c>
      <c r="C672" s="8" t="s">
        <v>1960</v>
      </c>
      <c r="D672" s="8" t="s">
        <v>716</v>
      </c>
      <c r="E672" s="8" t="b">
        <f t="shared" si="10"/>
        <v>0</v>
      </c>
      <c r="F672" s="8" t="str" cm="1">
        <f t="array" ref="F672">_xlfn._xlws.FILTER(E672:E3870, C672:C3870= "6D-PM-1020-01", "No Squirrels Found")</f>
        <v>No Squirrels Found</v>
      </c>
      <c r="G672" s="8" t="s">
        <v>48</v>
      </c>
      <c r="H672" s="10">
        <v>10102018</v>
      </c>
      <c r="I672" s="10">
        <v>2</v>
      </c>
      <c r="J672" s="8" t="s">
        <v>39</v>
      </c>
      <c r="K672" s="8" t="s">
        <v>40</v>
      </c>
      <c r="M672" s="8" t="s">
        <v>55</v>
      </c>
      <c r="O672" s="8" t="s">
        <v>43</v>
      </c>
      <c r="P672" s="8" t="b">
        <v>0</v>
      </c>
      <c r="R672" s="8" t="b">
        <v>1</v>
      </c>
      <c r="S672" s="8" t="b">
        <v>0</v>
      </c>
      <c r="T672" s="8" t="b">
        <v>0</v>
      </c>
      <c r="U672" s="8" t="b">
        <v>0</v>
      </c>
      <c r="V672" s="8" t="b">
        <v>0</v>
      </c>
      <c r="X672" s="8" t="b">
        <v>0</v>
      </c>
      <c r="Y672" s="8" t="b">
        <v>0</v>
      </c>
      <c r="Z672" s="8" t="b">
        <v>0</v>
      </c>
      <c r="AA672" s="8" t="b">
        <v>0</v>
      </c>
      <c r="AB672" s="8" t="b">
        <v>0</v>
      </c>
      <c r="AC672" s="8" t="b">
        <v>0</v>
      </c>
      <c r="AD672" s="8" t="b">
        <v>0</v>
      </c>
      <c r="AE672" s="8" t="b">
        <v>1</v>
      </c>
      <c r="AG672" s="11" t="b" cm="1">
        <f t="array" ref="AG672">IF(OR(Y672:AA672="TRUE", AE672="true"), "Threatened")</f>
        <v>0</v>
      </c>
      <c r="AH672" s="11" t="s">
        <v>1961</v>
      </c>
      <c r="AI672" s="8" t="b">
        <v>1</v>
      </c>
    </row>
    <row r="673" spans="1:35" ht="31.2">
      <c r="A673" s="8">
        <v>-73.958870809999993</v>
      </c>
      <c r="B673" s="8">
        <v>40.790579409999999</v>
      </c>
      <c r="C673" s="8" t="s">
        <v>1962</v>
      </c>
      <c r="D673" s="8" t="s">
        <v>144</v>
      </c>
      <c r="E673" s="8" t="b">
        <f t="shared" si="10"/>
        <v>0</v>
      </c>
      <c r="F673" s="8" t="str" cm="1">
        <f t="array" ref="F673">_xlfn._xlws.FILTER(E673:E3871, C673:C3871= "6D-PM-1020-01", "No Squirrels Found")</f>
        <v>No Squirrels Found</v>
      </c>
      <c r="G673" s="8" t="s">
        <v>34</v>
      </c>
      <c r="H673" s="10">
        <v>10082018</v>
      </c>
      <c r="I673" s="10">
        <v>5</v>
      </c>
      <c r="J673" s="8" t="s">
        <v>39</v>
      </c>
      <c r="K673" s="8" t="s">
        <v>40</v>
      </c>
      <c r="M673" s="8" t="s">
        <v>55</v>
      </c>
      <c r="O673" s="8" t="s">
        <v>43</v>
      </c>
      <c r="P673" s="8" t="b">
        <v>0</v>
      </c>
      <c r="R673" s="8" t="b">
        <v>0</v>
      </c>
      <c r="S673" s="8" t="b">
        <v>0</v>
      </c>
      <c r="T673" s="8" t="b">
        <v>0</v>
      </c>
      <c r="U673" s="8" t="b">
        <v>0</v>
      </c>
      <c r="V673" s="8" t="b">
        <v>1</v>
      </c>
      <c r="X673" s="8" t="b">
        <v>0</v>
      </c>
      <c r="Y673" s="8" t="b">
        <v>0</v>
      </c>
      <c r="Z673" s="8" t="b">
        <v>0</v>
      </c>
      <c r="AA673" s="8" t="b">
        <v>0</v>
      </c>
      <c r="AB673" s="8" t="b">
        <v>0</v>
      </c>
      <c r="AC673" s="8" t="b">
        <v>0</v>
      </c>
      <c r="AD673" s="8" t="b">
        <v>1</v>
      </c>
      <c r="AE673" s="8" t="b">
        <v>0</v>
      </c>
      <c r="AG673" s="11" t="b" cm="1">
        <f t="array" ref="AG673">IF(OR(Y673:AA673="TRUE", AE673="true"), "Threatened")</f>
        <v>0</v>
      </c>
      <c r="AH673" s="11" t="s">
        <v>1963</v>
      </c>
      <c r="AI673" s="8" t="b">
        <v>1</v>
      </c>
    </row>
    <row r="674" spans="1:35" ht="31.2">
      <c r="A674" s="8">
        <v>-73.95841781</v>
      </c>
      <c r="B674" s="8">
        <v>40.792730120000002</v>
      </c>
      <c r="C674" s="8" t="s">
        <v>1964</v>
      </c>
      <c r="D674" s="8" t="s">
        <v>1965</v>
      </c>
      <c r="E674" s="8" t="b">
        <f t="shared" si="10"/>
        <v>0</v>
      </c>
      <c r="F674" s="8" t="str" cm="1">
        <f t="array" ref="F674">_xlfn._xlws.FILTER(E674:E3872, C674:C3872= "6D-PM-1020-01", "No Squirrels Found")</f>
        <v>No Squirrels Found</v>
      </c>
      <c r="G674" s="8" t="s">
        <v>34</v>
      </c>
      <c r="H674" s="10">
        <v>10062018</v>
      </c>
      <c r="I674" s="10">
        <v>1</v>
      </c>
      <c r="J674" s="8" t="s">
        <v>39</v>
      </c>
      <c r="K674" s="8" t="s">
        <v>40</v>
      </c>
      <c r="L674" s="8" t="s">
        <v>168</v>
      </c>
      <c r="M674" s="8" t="s">
        <v>169</v>
      </c>
      <c r="O674" s="8" t="s">
        <v>50</v>
      </c>
      <c r="P674" s="8">
        <v>20</v>
      </c>
      <c r="R674" s="8" t="b">
        <v>0</v>
      </c>
      <c r="S674" s="8" t="b">
        <v>0</v>
      </c>
      <c r="T674" s="8" t="b">
        <v>0</v>
      </c>
      <c r="U674" s="8" t="b">
        <v>0</v>
      </c>
      <c r="V674" s="8" t="b">
        <v>0</v>
      </c>
      <c r="W674" s="11" t="s">
        <v>1966</v>
      </c>
      <c r="X674" s="8" t="b">
        <v>0</v>
      </c>
      <c r="Y674" s="8" t="b">
        <v>0</v>
      </c>
      <c r="Z674" s="8" t="b">
        <v>0</v>
      </c>
      <c r="AA674" s="8" t="b">
        <v>0</v>
      </c>
      <c r="AB674" s="8" t="b">
        <v>0</v>
      </c>
      <c r="AC674" s="8" t="b">
        <v>0</v>
      </c>
      <c r="AD674" s="8" t="b">
        <v>1</v>
      </c>
      <c r="AE674" s="8" t="b">
        <v>0</v>
      </c>
      <c r="AG674" s="11" t="b" cm="1">
        <f t="array" ref="AG674">IF(OR(Y674:AA674="TRUE", AE674="true"), "Threatened")</f>
        <v>0</v>
      </c>
      <c r="AH674" s="11" t="s">
        <v>1967</v>
      </c>
      <c r="AI674" s="8" t="b">
        <v>0</v>
      </c>
    </row>
    <row r="675" spans="1:35" ht="31.2">
      <c r="A675" s="8">
        <v>-73.977981200000002</v>
      </c>
      <c r="B675" s="8">
        <v>40.76751788</v>
      </c>
      <c r="C675" s="8" t="s">
        <v>1968</v>
      </c>
      <c r="D675" s="8" t="s">
        <v>768</v>
      </c>
      <c r="E675" s="8" t="b">
        <f t="shared" si="10"/>
        <v>0</v>
      </c>
      <c r="F675" s="8" t="str" cm="1">
        <f t="array" ref="F675">_xlfn._xlws.FILTER(E675:E3873, C675:C3873= "6D-PM-1020-01", "No Squirrels Found")</f>
        <v>No Squirrels Found</v>
      </c>
      <c r="G675" s="8" t="s">
        <v>48</v>
      </c>
      <c r="H675" s="10">
        <v>10072018</v>
      </c>
      <c r="I675" s="10">
        <v>1</v>
      </c>
      <c r="J675" s="8" t="s">
        <v>39</v>
      </c>
      <c r="K675" s="8" t="s">
        <v>40</v>
      </c>
      <c r="L675" s="8" t="s">
        <v>117</v>
      </c>
      <c r="M675" s="8" t="s">
        <v>118</v>
      </c>
      <c r="O675" s="8" t="s">
        <v>43</v>
      </c>
      <c r="P675" s="8" t="b">
        <v>0</v>
      </c>
      <c r="R675" s="8" t="b">
        <v>1</v>
      </c>
      <c r="S675" s="8" t="b">
        <v>0</v>
      </c>
      <c r="T675" s="8" t="b">
        <v>1</v>
      </c>
      <c r="U675" s="8" t="b">
        <v>0</v>
      </c>
      <c r="V675" s="8" t="b">
        <v>0</v>
      </c>
      <c r="X675" s="8" t="b">
        <v>0</v>
      </c>
      <c r="Y675" s="8" t="b">
        <v>0</v>
      </c>
      <c r="Z675" s="8" t="b">
        <v>0</v>
      </c>
      <c r="AA675" s="8" t="b">
        <v>0</v>
      </c>
      <c r="AB675" s="8" t="b">
        <v>0</v>
      </c>
      <c r="AC675" s="8" t="b">
        <v>0</v>
      </c>
      <c r="AD675" s="8" t="b">
        <v>0</v>
      </c>
      <c r="AE675" s="8" t="b">
        <v>0</v>
      </c>
      <c r="AG675" s="11" t="b" cm="1">
        <f t="array" ref="AG675">IF(OR(Y675:AA675="TRUE", AE675="true"), "Threatened")</f>
        <v>0</v>
      </c>
      <c r="AH675" s="11" t="s">
        <v>1969</v>
      </c>
      <c r="AI675" s="8" t="b">
        <v>1</v>
      </c>
    </row>
    <row r="676" spans="1:35" ht="31.2">
      <c r="A676" s="8">
        <v>-73.975983069999998</v>
      </c>
      <c r="B676" s="8">
        <v>40.768303469999999</v>
      </c>
      <c r="C676" s="8" t="s">
        <v>1970</v>
      </c>
      <c r="D676" s="8" t="s">
        <v>230</v>
      </c>
      <c r="E676" s="8" t="b">
        <f t="shared" si="10"/>
        <v>0</v>
      </c>
      <c r="F676" s="8" t="str" cm="1">
        <f t="array" ref="F676">_xlfn._xlws.FILTER(E676:E3874, C676:C3874= "6D-PM-1020-01", "No Squirrels Found")</f>
        <v>No Squirrels Found</v>
      </c>
      <c r="G676" s="8" t="s">
        <v>48</v>
      </c>
      <c r="H676" s="10">
        <v>10062018</v>
      </c>
      <c r="I676" s="10">
        <v>1</v>
      </c>
      <c r="J676" s="8" t="s">
        <v>39</v>
      </c>
      <c r="K676" s="8" t="s">
        <v>40</v>
      </c>
      <c r="M676" s="8" t="s">
        <v>55</v>
      </c>
      <c r="O676" s="8" t="s">
        <v>43</v>
      </c>
      <c r="P676" s="8" t="b">
        <v>0</v>
      </c>
      <c r="R676" s="8" t="b">
        <v>0</v>
      </c>
      <c r="S676" s="8" t="b">
        <v>0</v>
      </c>
      <c r="T676" s="8" t="b">
        <v>0</v>
      </c>
      <c r="U676" s="8" t="b">
        <v>0</v>
      </c>
      <c r="V676" s="8" t="b">
        <v>1</v>
      </c>
      <c r="X676" s="8" t="b">
        <v>0</v>
      </c>
      <c r="Y676" s="8" t="b">
        <v>0</v>
      </c>
      <c r="Z676" s="8" t="b">
        <v>0</v>
      </c>
      <c r="AA676" s="8" t="b">
        <v>0</v>
      </c>
      <c r="AB676" s="8" t="b">
        <v>0</v>
      </c>
      <c r="AC676" s="8" t="b">
        <v>0</v>
      </c>
      <c r="AD676" s="8" t="b">
        <v>0</v>
      </c>
      <c r="AE676" s="8" t="b">
        <v>1</v>
      </c>
      <c r="AG676" s="11" t="b" cm="1">
        <f t="array" ref="AG676">IF(OR(Y676:AA676="TRUE", AE676="true"), "Threatened")</f>
        <v>0</v>
      </c>
      <c r="AH676" s="11" t="s">
        <v>1971</v>
      </c>
      <c r="AI676" s="8" t="b">
        <v>1</v>
      </c>
    </row>
    <row r="677" spans="1:35" ht="31.2">
      <c r="A677" s="8">
        <v>-73.97102074</v>
      </c>
      <c r="B677" s="8">
        <v>40.768218709999999</v>
      </c>
      <c r="C677" s="8" t="s">
        <v>1972</v>
      </c>
      <c r="D677" s="8" t="s">
        <v>716</v>
      </c>
      <c r="E677" s="8" t="b">
        <f t="shared" si="10"/>
        <v>0</v>
      </c>
      <c r="F677" s="8" t="str" cm="1">
        <f t="array" ref="F677">_xlfn._xlws.FILTER(E677:E3875, C677:C3875= "6D-PM-1020-01", "No Squirrels Found")</f>
        <v>No Squirrels Found</v>
      </c>
      <c r="G677" s="8" t="s">
        <v>48</v>
      </c>
      <c r="H677" s="10">
        <v>10102018</v>
      </c>
      <c r="I677" s="10">
        <v>5</v>
      </c>
      <c r="J677" s="8" t="s">
        <v>39</v>
      </c>
      <c r="K677" s="8" t="s">
        <v>40</v>
      </c>
      <c r="M677" s="8" t="s">
        <v>55</v>
      </c>
      <c r="O677" s="8" t="s">
        <v>43</v>
      </c>
      <c r="P677" s="8" t="b">
        <v>0</v>
      </c>
      <c r="R677" s="8" t="b">
        <v>0</v>
      </c>
      <c r="S677" s="8" t="b">
        <v>0</v>
      </c>
      <c r="T677" s="8" t="b">
        <v>0</v>
      </c>
      <c r="U677" s="8" t="b">
        <v>1</v>
      </c>
      <c r="V677" s="8" t="b">
        <v>0</v>
      </c>
      <c r="X677" s="8" t="b">
        <v>0</v>
      </c>
      <c r="Y677" s="8" t="b">
        <v>0</v>
      </c>
      <c r="Z677" s="8" t="b">
        <v>0</v>
      </c>
      <c r="AA677" s="8" t="b">
        <v>0</v>
      </c>
      <c r="AB677" s="8" t="b">
        <v>1</v>
      </c>
      <c r="AC677" s="8" t="b">
        <v>0</v>
      </c>
      <c r="AD677" s="8" t="b">
        <v>1</v>
      </c>
      <c r="AE677" s="8" t="b">
        <v>0</v>
      </c>
      <c r="AG677" s="11" t="b" cm="1">
        <f t="array" ref="AG677">IF(OR(Y677:AA677="TRUE", AE677="true"), "Threatened")</f>
        <v>0</v>
      </c>
      <c r="AH677" s="11" t="s">
        <v>1973</v>
      </c>
      <c r="AI677" s="8" t="b">
        <v>1</v>
      </c>
    </row>
    <row r="678" spans="1:35" ht="31.2">
      <c r="A678" s="8">
        <v>-73.979915599999998</v>
      </c>
      <c r="B678" s="8">
        <v>40.769803430000003</v>
      </c>
      <c r="C678" s="8" t="s">
        <v>1974</v>
      </c>
      <c r="D678" s="8" t="s">
        <v>253</v>
      </c>
      <c r="E678" s="8" t="b">
        <f t="shared" si="10"/>
        <v>0</v>
      </c>
      <c r="F678" s="8" t="str" cm="1">
        <f t="array" ref="F678">_xlfn._xlws.FILTER(E678:E3876, C678:C3876= "6D-PM-1020-01", "No Squirrels Found")</f>
        <v>No Squirrels Found</v>
      </c>
      <c r="G678" s="8" t="s">
        <v>34</v>
      </c>
      <c r="H678" s="10">
        <v>10172018</v>
      </c>
      <c r="I678" s="10">
        <v>8</v>
      </c>
      <c r="J678" s="8" t="s">
        <v>39</v>
      </c>
      <c r="K678" s="8" t="s">
        <v>41</v>
      </c>
      <c r="L678" s="8" t="s">
        <v>192</v>
      </c>
      <c r="M678" s="8" t="s">
        <v>1145</v>
      </c>
      <c r="O678" s="8" t="s">
        <v>43</v>
      </c>
      <c r="P678" s="8" t="b">
        <v>0</v>
      </c>
      <c r="R678" s="8" t="b">
        <v>0</v>
      </c>
      <c r="S678" s="8" t="b">
        <v>0</v>
      </c>
      <c r="T678" s="8" t="b">
        <v>0</v>
      </c>
      <c r="U678" s="8" t="b">
        <v>1</v>
      </c>
      <c r="V678" s="8" t="b">
        <v>1</v>
      </c>
      <c r="X678" s="8" t="b">
        <v>0</v>
      </c>
      <c r="Y678" s="8" t="b">
        <v>0</v>
      </c>
      <c r="Z678" s="8" t="b">
        <v>0</v>
      </c>
      <c r="AA678" s="8" t="b">
        <v>0</v>
      </c>
      <c r="AB678" s="8" t="b">
        <v>0</v>
      </c>
      <c r="AC678" s="8" t="b">
        <v>1</v>
      </c>
      <c r="AD678" s="8" t="b">
        <v>0</v>
      </c>
      <c r="AE678" s="8" t="b">
        <v>0</v>
      </c>
      <c r="AG678" s="11" t="b" cm="1">
        <f t="array" ref="AG678">IF(OR(Y678:AA678="TRUE", AE678="true"), "Threatened")</f>
        <v>0</v>
      </c>
      <c r="AH678" s="11" t="s">
        <v>1975</v>
      </c>
      <c r="AI678" s="8" t="b">
        <v>1</v>
      </c>
    </row>
    <row r="679" spans="1:35" ht="31.2">
      <c r="A679" s="8">
        <v>-73.977447589999997</v>
      </c>
      <c r="B679" s="8">
        <v>40.769716780000003</v>
      </c>
      <c r="C679" s="8" t="s">
        <v>1976</v>
      </c>
      <c r="D679" s="8" t="s">
        <v>1586</v>
      </c>
      <c r="E679" s="8" t="b">
        <f t="shared" si="10"/>
        <v>0</v>
      </c>
      <c r="F679" s="8" t="str" cm="1">
        <f t="array" ref="F679">_xlfn._xlws.FILTER(E679:E3877, C679:C3877= "6D-PM-1020-01", "No Squirrels Found")</f>
        <v>No Squirrels Found</v>
      </c>
      <c r="G679" s="8" t="s">
        <v>34</v>
      </c>
      <c r="H679" s="10">
        <v>10102018</v>
      </c>
      <c r="I679" s="10">
        <v>11</v>
      </c>
      <c r="J679" s="8" t="s">
        <v>39</v>
      </c>
      <c r="K679" s="8" t="s">
        <v>40</v>
      </c>
      <c r="L679" s="8" t="s">
        <v>41</v>
      </c>
      <c r="M679" s="8" t="s">
        <v>42</v>
      </c>
      <c r="O679" s="8" t="s">
        <v>43</v>
      </c>
      <c r="P679" s="8" t="b">
        <v>0</v>
      </c>
      <c r="R679" s="8" t="b">
        <v>1</v>
      </c>
      <c r="S679" s="8" t="b">
        <v>0</v>
      </c>
      <c r="T679" s="8" t="b">
        <v>0</v>
      </c>
      <c r="U679" s="8" t="b">
        <v>1</v>
      </c>
      <c r="V679" s="8" t="b">
        <v>0</v>
      </c>
      <c r="X679" s="8" t="b">
        <v>0</v>
      </c>
      <c r="Y679" s="8" t="b">
        <v>0</v>
      </c>
      <c r="Z679" s="8" t="b">
        <v>0</v>
      </c>
      <c r="AA679" s="8" t="b">
        <v>0</v>
      </c>
      <c r="AB679" s="8" t="b">
        <v>0</v>
      </c>
      <c r="AC679" s="8" t="b">
        <v>0</v>
      </c>
      <c r="AD679" s="8" t="b">
        <v>0</v>
      </c>
      <c r="AE679" s="8" t="b">
        <v>0</v>
      </c>
      <c r="AG679" s="11" t="b" cm="1">
        <f t="array" ref="AG679">IF(OR(Y679:AA679="TRUE", AE679="true"), "Threatened")</f>
        <v>0</v>
      </c>
      <c r="AH679" s="11" t="s">
        <v>1977</v>
      </c>
      <c r="AI679" s="8" t="b">
        <v>1</v>
      </c>
    </row>
    <row r="680" spans="1:35" ht="31.2">
      <c r="A680" s="8">
        <v>-73.95501849</v>
      </c>
      <c r="B680" s="8">
        <v>40.79712353</v>
      </c>
      <c r="C680" s="8" t="s">
        <v>1978</v>
      </c>
      <c r="D680" s="8" t="s">
        <v>636</v>
      </c>
      <c r="E680" s="8" t="b">
        <f t="shared" si="10"/>
        <v>0</v>
      </c>
      <c r="F680" s="8" t="str" cm="1">
        <f t="array" ref="F680">_xlfn._xlws.FILTER(E680:E3878, C680:C3878= "6D-PM-1020-01", "No Squirrels Found")</f>
        <v>No Squirrels Found</v>
      </c>
      <c r="G680" s="8" t="s">
        <v>34</v>
      </c>
      <c r="H680" s="10">
        <v>10172018</v>
      </c>
      <c r="I680" s="10">
        <v>2</v>
      </c>
      <c r="J680" s="8" t="s">
        <v>39</v>
      </c>
      <c r="K680" s="8" t="s">
        <v>40</v>
      </c>
      <c r="L680" s="8" t="s">
        <v>117</v>
      </c>
      <c r="M680" s="8" t="s">
        <v>118</v>
      </c>
      <c r="O680" s="8" t="s">
        <v>43</v>
      </c>
      <c r="P680" s="8" t="b">
        <v>0</v>
      </c>
      <c r="R680" s="8" t="b">
        <v>0</v>
      </c>
      <c r="S680" s="8" t="b">
        <v>0</v>
      </c>
      <c r="T680" s="8" t="b">
        <v>0</v>
      </c>
      <c r="U680" s="8" t="b">
        <v>1</v>
      </c>
      <c r="V680" s="8" t="b">
        <v>0</v>
      </c>
      <c r="X680" s="8" t="b">
        <v>0</v>
      </c>
      <c r="Y680" s="8" t="b">
        <v>0</v>
      </c>
      <c r="Z680" s="8" t="b">
        <v>0</v>
      </c>
      <c r="AA680" s="8" t="b">
        <v>0</v>
      </c>
      <c r="AB680" s="8" t="b">
        <v>0</v>
      </c>
      <c r="AC680" s="8" t="b">
        <v>0</v>
      </c>
      <c r="AD680" s="8" t="b">
        <v>1</v>
      </c>
      <c r="AE680" s="8" t="b">
        <v>0</v>
      </c>
      <c r="AG680" s="11" t="b" cm="1">
        <f t="array" ref="AG680">IF(OR(Y680:AA680="TRUE", AE680="true"), "Threatened")</f>
        <v>0</v>
      </c>
      <c r="AH680" s="11" t="s">
        <v>1979</v>
      </c>
      <c r="AI680" s="8" t="b">
        <v>1</v>
      </c>
    </row>
    <row r="681" spans="1:35" ht="31.2">
      <c r="A681" s="8">
        <v>-73.956401139999997</v>
      </c>
      <c r="B681" s="8">
        <v>40.795809779999999</v>
      </c>
      <c r="C681" s="8" t="s">
        <v>1980</v>
      </c>
      <c r="D681" s="8" t="s">
        <v>530</v>
      </c>
      <c r="E681" s="8" t="b">
        <f t="shared" si="10"/>
        <v>0</v>
      </c>
      <c r="F681" s="8" t="str" cm="1">
        <f t="array" ref="F681">_xlfn._xlws.FILTER(E681:E3879, C681:C3879= "6D-PM-1020-01", "No Squirrels Found")</f>
        <v>No Squirrels Found</v>
      </c>
      <c r="G681" s="8" t="s">
        <v>48</v>
      </c>
      <c r="H681" s="10">
        <v>10102018</v>
      </c>
      <c r="I681" s="10">
        <v>2</v>
      </c>
      <c r="J681" s="8" t="s">
        <v>39</v>
      </c>
      <c r="K681" s="8" t="s">
        <v>40</v>
      </c>
      <c r="L681" s="8" t="s">
        <v>41</v>
      </c>
      <c r="M681" s="8" t="s">
        <v>42</v>
      </c>
      <c r="O681" s="8" t="s">
        <v>43</v>
      </c>
      <c r="P681" s="8" t="b">
        <v>0</v>
      </c>
      <c r="R681" s="8" t="b">
        <v>0</v>
      </c>
      <c r="S681" s="8" t="b">
        <v>0</v>
      </c>
      <c r="T681" s="8" t="b">
        <v>1</v>
      </c>
      <c r="U681" s="8" t="b">
        <v>0</v>
      </c>
      <c r="V681" s="8" t="b">
        <v>0</v>
      </c>
      <c r="X681" s="8" t="b">
        <v>0</v>
      </c>
      <c r="Y681" s="8" t="b">
        <v>0</v>
      </c>
      <c r="Z681" s="8" t="b">
        <v>0</v>
      </c>
      <c r="AA681" s="8" t="b">
        <v>0</v>
      </c>
      <c r="AB681" s="8" t="b">
        <v>0</v>
      </c>
      <c r="AC681" s="8" t="b">
        <v>0</v>
      </c>
      <c r="AD681" s="8" t="b">
        <v>0</v>
      </c>
      <c r="AE681" s="8" t="b">
        <v>0</v>
      </c>
      <c r="AF681" s="11" t="s">
        <v>1981</v>
      </c>
      <c r="AG681" s="11" t="b" cm="1">
        <f t="array" ref="AG681">IF(OR(Y681:AA681="TRUE", AE681="true"), "Threatened")</f>
        <v>0</v>
      </c>
      <c r="AH681" s="11" t="s">
        <v>1982</v>
      </c>
      <c r="AI681" s="8" t="b">
        <v>1</v>
      </c>
    </row>
    <row r="682" spans="1:35" ht="31.2">
      <c r="A682" s="8">
        <v>-73.955288089999996</v>
      </c>
      <c r="B682" s="8">
        <v>40.788904049999999</v>
      </c>
      <c r="C682" s="8" t="s">
        <v>1983</v>
      </c>
      <c r="D682" s="8" t="s">
        <v>877</v>
      </c>
      <c r="E682" s="8" t="b">
        <f t="shared" si="10"/>
        <v>0</v>
      </c>
      <c r="F682" s="8" t="str" cm="1">
        <f t="array" ref="F682">_xlfn._xlws.FILTER(E682:E3880, C682:C3880= "6D-PM-1020-01", "No Squirrels Found")</f>
        <v>No Squirrels Found</v>
      </c>
      <c r="G682" s="8" t="s">
        <v>48</v>
      </c>
      <c r="H682" s="10">
        <v>10132018</v>
      </c>
      <c r="I682" s="10">
        <v>4</v>
      </c>
      <c r="J682" s="8" t="s">
        <v>39</v>
      </c>
      <c r="K682" s="8" t="s">
        <v>40</v>
      </c>
      <c r="L682" s="8" t="s">
        <v>41</v>
      </c>
      <c r="M682" s="8" t="s">
        <v>42</v>
      </c>
      <c r="O682" s="8" t="s">
        <v>43</v>
      </c>
      <c r="P682" s="8" t="b">
        <v>0</v>
      </c>
      <c r="R682" s="8" t="b">
        <v>0</v>
      </c>
      <c r="S682" s="8" t="b">
        <v>0</v>
      </c>
      <c r="T682" s="8" t="b">
        <v>0</v>
      </c>
      <c r="U682" s="8" t="b">
        <v>0</v>
      </c>
      <c r="V682" s="8" t="b">
        <v>1</v>
      </c>
      <c r="X682" s="8" t="b">
        <v>0</v>
      </c>
      <c r="Y682" s="8" t="b">
        <v>0</v>
      </c>
      <c r="Z682" s="8" t="b">
        <v>0</v>
      </c>
      <c r="AA682" s="8" t="b">
        <v>1</v>
      </c>
      <c r="AB682" s="8" t="b">
        <v>0</v>
      </c>
      <c r="AC682" s="8" t="b">
        <v>0</v>
      </c>
      <c r="AD682" s="8" t="b">
        <v>1</v>
      </c>
      <c r="AE682" s="8" t="b">
        <v>0</v>
      </c>
      <c r="AG682" s="11" t="b" cm="1">
        <f t="array" ref="AG682">IF(OR(Y682:AA682="TRUE", AE682="true"), "Threatened")</f>
        <v>0</v>
      </c>
      <c r="AH682" s="11" t="s">
        <v>1984</v>
      </c>
      <c r="AI682" s="8" t="b">
        <v>1</v>
      </c>
    </row>
    <row r="683" spans="1:35" ht="31.2">
      <c r="A683" s="8">
        <v>-73.965182839999997</v>
      </c>
      <c r="B683" s="8">
        <v>40.78028209</v>
      </c>
      <c r="C683" s="8" t="s">
        <v>1985</v>
      </c>
      <c r="D683" s="8" t="s">
        <v>1035</v>
      </c>
      <c r="E683" s="8" t="b">
        <f t="shared" si="10"/>
        <v>0</v>
      </c>
      <c r="F683" s="8" t="str" cm="1">
        <f t="array" ref="F683">_xlfn._xlws.FILTER(E683:E3881, C683:C3881= "6D-PM-1020-01", "No Squirrels Found")</f>
        <v>No Squirrels Found</v>
      </c>
      <c r="G683" s="8" t="s">
        <v>34</v>
      </c>
      <c r="H683" s="10">
        <v>10172018</v>
      </c>
      <c r="I683" s="10">
        <v>6</v>
      </c>
      <c r="J683" s="8" t="s">
        <v>39</v>
      </c>
      <c r="K683" s="8" t="s">
        <v>40</v>
      </c>
      <c r="L683" s="8" t="s">
        <v>41</v>
      </c>
      <c r="M683" s="8" t="s">
        <v>42</v>
      </c>
      <c r="O683" s="8" t="s">
        <v>43</v>
      </c>
      <c r="P683" s="8" t="b">
        <v>0</v>
      </c>
      <c r="R683" s="8" t="b">
        <v>1</v>
      </c>
      <c r="S683" s="8" t="b">
        <v>1</v>
      </c>
      <c r="T683" s="8" t="b">
        <v>1</v>
      </c>
      <c r="U683" s="8" t="b">
        <v>0</v>
      </c>
      <c r="V683" s="8" t="b">
        <v>0</v>
      </c>
      <c r="X683" s="8" t="b">
        <v>0</v>
      </c>
      <c r="Y683" s="8" t="b">
        <v>0</v>
      </c>
      <c r="Z683" s="8" t="b">
        <v>0</v>
      </c>
      <c r="AA683" s="8" t="b">
        <v>0</v>
      </c>
      <c r="AB683" s="8" t="b">
        <v>1</v>
      </c>
      <c r="AC683" s="8" t="b">
        <v>1</v>
      </c>
      <c r="AD683" s="8" t="b">
        <v>0</v>
      </c>
      <c r="AE683" s="8" t="b">
        <v>0</v>
      </c>
      <c r="AG683" s="11" t="b" cm="1">
        <f t="array" ref="AG683">IF(OR(Y683:AA683="TRUE", AE683="true"), "Threatened")</f>
        <v>0</v>
      </c>
      <c r="AH683" s="11" t="s">
        <v>1986</v>
      </c>
      <c r="AI683" s="8" t="b">
        <v>1</v>
      </c>
    </row>
    <row r="684" spans="1:35" ht="31.2">
      <c r="A684" s="8">
        <v>-73.970768359999994</v>
      </c>
      <c r="B684" s="8">
        <v>40.775981559999998</v>
      </c>
      <c r="C684" s="8" t="s">
        <v>1987</v>
      </c>
      <c r="D684" s="8" t="s">
        <v>79</v>
      </c>
      <c r="E684" s="8" t="b">
        <f t="shared" si="10"/>
        <v>0</v>
      </c>
      <c r="F684" s="8" t="str" cm="1">
        <f t="array" ref="F684">_xlfn._xlws.FILTER(E684:E3882, C684:C3882= "6D-PM-1020-01", "No Squirrels Found")</f>
        <v>No Squirrels Found</v>
      </c>
      <c r="G684" s="8" t="s">
        <v>48</v>
      </c>
      <c r="H684" s="10">
        <v>10172018</v>
      </c>
      <c r="I684" s="10">
        <v>11</v>
      </c>
      <c r="J684" s="8" t="s">
        <v>39</v>
      </c>
      <c r="K684" s="8" t="s">
        <v>40</v>
      </c>
      <c r="L684" s="8" t="s">
        <v>41</v>
      </c>
      <c r="M684" s="8" t="s">
        <v>42</v>
      </c>
      <c r="O684" s="8" t="s">
        <v>50</v>
      </c>
      <c r="Q684" s="8" t="s">
        <v>1988</v>
      </c>
      <c r="R684" s="8" t="b">
        <v>1</v>
      </c>
      <c r="S684" s="8" t="b">
        <v>0</v>
      </c>
      <c r="T684" s="8" t="b">
        <v>0</v>
      </c>
      <c r="U684" s="8" t="b">
        <v>0</v>
      </c>
      <c r="V684" s="8" t="b">
        <v>0</v>
      </c>
      <c r="X684" s="8" t="b">
        <v>0</v>
      </c>
      <c r="Y684" s="8" t="b">
        <v>0</v>
      </c>
      <c r="Z684" s="8" t="b">
        <v>0</v>
      </c>
      <c r="AA684" s="8" t="b">
        <v>0</v>
      </c>
      <c r="AB684" s="8" t="b">
        <v>0</v>
      </c>
      <c r="AC684" s="8" t="b">
        <v>0</v>
      </c>
      <c r="AD684" s="8" t="b">
        <v>0</v>
      </c>
      <c r="AE684" s="8" t="b">
        <v>1</v>
      </c>
      <c r="AG684" s="11" t="b" cm="1">
        <f t="array" ref="AG684">IF(OR(Y684:AA684="TRUE", AE684="true"), "Threatened")</f>
        <v>0</v>
      </c>
      <c r="AH684" s="11" t="s">
        <v>1989</v>
      </c>
      <c r="AI684" s="8" t="b">
        <v>1</v>
      </c>
    </row>
    <row r="685" spans="1:35" ht="31.2">
      <c r="A685" s="8">
        <v>-73.969105729999995</v>
      </c>
      <c r="B685" s="8">
        <v>40.776597350000003</v>
      </c>
      <c r="C685" s="8" t="s">
        <v>1990</v>
      </c>
      <c r="D685" s="8" t="s">
        <v>239</v>
      </c>
      <c r="E685" s="8" t="b">
        <f t="shared" si="10"/>
        <v>0</v>
      </c>
      <c r="F685" s="8" t="str" cm="1">
        <f t="array" ref="F685">_xlfn._xlws.FILTER(E685:E3883, C685:C3883= "6D-PM-1020-01", "No Squirrels Found")</f>
        <v>No Squirrels Found</v>
      </c>
      <c r="G685" s="8" t="s">
        <v>34</v>
      </c>
      <c r="H685" s="10">
        <v>10122018</v>
      </c>
      <c r="I685" s="10">
        <v>7</v>
      </c>
      <c r="J685" s="8" t="s">
        <v>39</v>
      </c>
      <c r="K685" s="8" t="s">
        <v>41</v>
      </c>
      <c r="L685" s="8" t="s">
        <v>135</v>
      </c>
      <c r="M685" s="8" t="s">
        <v>136</v>
      </c>
      <c r="O685" s="8" t="s">
        <v>43</v>
      </c>
      <c r="P685" s="8" t="b">
        <v>0</v>
      </c>
      <c r="R685" s="8" t="b">
        <v>1</v>
      </c>
      <c r="S685" s="8" t="b">
        <v>1</v>
      </c>
      <c r="T685" s="8" t="b">
        <v>0</v>
      </c>
      <c r="U685" s="8" t="b">
        <v>1</v>
      </c>
      <c r="V685" s="8" t="b">
        <v>1</v>
      </c>
      <c r="X685" s="8" t="b">
        <v>0</v>
      </c>
      <c r="Y685" s="8" t="b">
        <v>0</v>
      </c>
      <c r="Z685" s="8" t="b">
        <v>0</v>
      </c>
      <c r="AA685" s="8" t="b">
        <v>0</v>
      </c>
      <c r="AB685" s="8" t="b">
        <v>0</v>
      </c>
      <c r="AC685" s="8" t="b">
        <v>0</v>
      </c>
      <c r="AD685" s="8" t="b">
        <v>1</v>
      </c>
      <c r="AE685" s="8" t="b">
        <v>0</v>
      </c>
      <c r="AG685" s="11" t="b" cm="1">
        <f t="array" ref="AG685">IF(OR(Y685:AA685="TRUE", AE685="true"), "Threatened")</f>
        <v>0</v>
      </c>
      <c r="AH685" s="11" t="s">
        <v>1991</v>
      </c>
      <c r="AI685" s="8" t="b">
        <v>1</v>
      </c>
    </row>
    <row r="686" spans="1:35" ht="31.2">
      <c r="A686" s="8">
        <v>-73.965818179999999</v>
      </c>
      <c r="B686" s="8">
        <v>40.779816060000002</v>
      </c>
      <c r="C686" s="8" t="s">
        <v>1992</v>
      </c>
      <c r="D686" s="8" t="s">
        <v>1035</v>
      </c>
      <c r="E686" s="8" t="b">
        <f t="shared" si="10"/>
        <v>0</v>
      </c>
      <c r="F686" s="8" t="str" cm="1">
        <f t="array" ref="F686">_xlfn._xlws.FILTER(E686:E3884, C686:C3884= "6D-PM-1020-01", "No Squirrels Found")</f>
        <v>No Squirrels Found</v>
      </c>
      <c r="G686" s="8" t="s">
        <v>48</v>
      </c>
      <c r="H686" s="10">
        <v>10072018</v>
      </c>
      <c r="I686" s="10">
        <v>1</v>
      </c>
      <c r="J686" s="8" t="s">
        <v>39</v>
      </c>
      <c r="K686" s="8" t="s">
        <v>41</v>
      </c>
      <c r="L686" s="8" t="s">
        <v>40</v>
      </c>
      <c r="M686" s="8" t="s">
        <v>110</v>
      </c>
      <c r="O686" s="8" t="s">
        <v>43</v>
      </c>
      <c r="P686" s="8" t="b">
        <v>0</v>
      </c>
      <c r="R686" s="8" t="b">
        <v>0</v>
      </c>
      <c r="S686" s="8" t="b">
        <v>0</v>
      </c>
      <c r="T686" s="8" t="b">
        <v>0</v>
      </c>
      <c r="U686" s="8" t="b">
        <v>0</v>
      </c>
      <c r="V686" s="8" t="b">
        <v>1</v>
      </c>
      <c r="X686" s="8" t="b">
        <v>0</v>
      </c>
      <c r="Y686" s="8" t="b">
        <v>0</v>
      </c>
      <c r="Z686" s="8" t="b">
        <v>0</v>
      </c>
      <c r="AA686" s="8" t="b">
        <v>0</v>
      </c>
      <c r="AB686" s="8" t="b">
        <v>0</v>
      </c>
      <c r="AC686" s="8" t="b">
        <v>0</v>
      </c>
      <c r="AD686" s="8" t="b">
        <v>1</v>
      </c>
      <c r="AE686" s="8" t="b">
        <v>0</v>
      </c>
      <c r="AF686" s="11" t="s">
        <v>1993</v>
      </c>
      <c r="AG686" s="11" t="b" cm="1">
        <f t="array" ref="AG686">IF(OR(Y686:AA686="TRUE", AE686="true"), "Threatened")</f>
        <v>0</v>
      </c>
      <c r="AH686" s="11" t="s">
        <v>1994</v>
      </c>
      <c r="AI686" s="8" t="b">
        <v>1</v>
      </c>
    </row>
    <row r="687" spans="1:35" ht="31.2">
      <c r="A687" s="8">
        <v>-73.969574570000006</v>
      </c>
      <c r="B687" s="8">
        <v>40.779183510000003</v>
      </c>
      <c r="C687" s="8" t="s">
        <v>1995</v>
      </c>
      <c r="D687" s="8" t="s">
        <v>1996</v>
      </c>
      <c r="E687" s="8" t="b">
        <f t="shared" si="10"/>
        <v>0</v>
      </c>
      <c r="F687" s="8" t="str" cm="1">
        <f t="array" ref="F687">_xlfn._xlws.FILTER(E687:E3885, C687:C3885= "6D-PM-1020-01", "No Squirrels Found")</f>
        <v>No Squirrels Found</v>
      </c>
      <c r="G687" s="8" t="s">
        <v>48</v>
      </c>
      <c r="H687" s="10">
        <v>10082018</v>
      </c>
      <c r="I687" s="10">
        <v>6</v>
      </c>
      <c r="M687" s="8" t="s">
        <v>35</v>
      </c>
      <c r="O687" s="8" t="s">
        <v>50</v>
      </c>
      <c r="Q687" s="8" t="s">
        <v>1997</v>
      </c>
      <c r="R687" s="8" t="b">
        <v>0</v>
      </c>
      <c r="S687" s="8" t="b">
        <v>0</v>
      </c>
      <c r="T687" s="8" t="b">
        <v>0</v>
      </c>
      <c r="U687" s="8" t="b">
        <v>0</v>
      </c>
      <c r="V687" s="8" t="b">
        <v>0</v>
      </c>
      <c r="X687" s="8" t="b">
        <v>1</v>
      </c>
      <c r="Y687" s="8" t="b">
        <v>0</v>
      </c>
      <c r="Z687" s="8" t="b">
        <v>0</v>
      </c>
      <c r="AA687" s="8" t="b">
        <v>0</v>
      </c>
      <c r="AB687" s="8" t="b">
        <v>0</v>
      </c>
      <c r="AC687" s="8" t="b">
        <v>0</v>
      </c>
      <c r="AD687" s="8" t="b">
        <v>0</v>
      </c>
      <c r="AE687" s="8" t="b">
        <v>0</v>
      </c>
      <c r="AG687" s="11" t="b" cm="1">
        <f t="array" ref="AG687">IF(OR(Y687:AA687="TRUE", AE687="true"), "Threatened")</f>
        <v>0</v>
      </c>
      <c r="AH687" s="11" t="s">
        <v>1998</v>
      </c>
      <c r="AI687" s="8" t="b">
        <v>1</v>
      </c>
    </row>
    <row r="688" spans="1:35" ht="31.2">
      <c r="A688" s="8">
        <v>-73.963697179999997</v>
      </c>
      <c r="B688" s="8">
        <v>40.782563850000003</v>
      </c>
      <c r="C688" s="8" t="s">
        <v>1999</v>
      </c>
      <c r="D688" s="8" t="s">
        <v>177</v>
      </c>
      <c r="E688" s="8" t="b">
        <f t="shared" si="10"/>
        <v>0</v>
      </c>
      <c r="F688" s="8" t="str" cm="1">
        <f t="array" ref="F688">_xlfn._xlws.FILTER(E688:E3886, C688:C3886= "6D-PM-1020-01", "No Squirrels Found")</f>
        <v>No Squirrels Found</v>
      </c>
      <c r="G688" s="8" t="s">
        <v>48</v>
      </c>
      <c r="H688" s="10">
        <v>10072018</v>
      </c>
      <c r="I688" s="10">
        <v>4</v>
      </c>
      <c r="J688" s="8" t="s">
        <v>39</v>
      </c>
      <c r="K688" s="8" t="s">
        <v>41</v>
      </c>
      <c r="L688" s="8" t="s">
        <v>40</v>
      </c>
      <c r="M688" s="8" t="s">
        <v>110</v>
      </c>
      <c r="R688" s="8" t="b">
        <v>0</v>
      </c>
      <c r="S688" s="8" t="b">
        <v>0</v>
      </c>
      <c r="T688" s="8" t="b">
        <v>0</v>
      </c>
      <c r="U688" s="8" t="b">
        <v>0</v>
      </c>
      <c r="V688" s="8" t="b">
        <v>1</v>
      </c>
      <c r="X688" s="8" t="b">
        <v>0</v>
      </c>
      <c r="Y688" s="8" t="b">
        <v>0</v>
      </c>
      <c r="Z688" s="8" t="b">
        <v>0</v>
      </c>
      <c r="AA688" s="8" t="b">
        <v>0</v>
      </c>
      <c r="AB688" s="8" t="b">
        <v>0</v>
      </c>
      <c r="AC688" s="8" t="b">
        <v>0</v>
      </c>
      <c r="AD688" s="8" t="b">
        <v>1</v>
      </c>
      <c r="AE688" s="8" t="b">
        <v>0</v>
      </c>
      <c r="AG688" s="11" t="b" cm="1">
        <f t="array" ref="AG688">IF(OR(Y688:AA688="TRUE", AE688="true"), "Threatened")</f>
        <v>0</v>
      </c>
      <c r="AH688" s="11" t="s">
        <v>2000</v>
      </c>
      <c r="AI688" s="8" t="b">
        <v>1</v>
      </c>
    </row>
    <row r="689" spans="1:35" ht="31.2">
      <c r="A689" s="8">
        <v>-73.958078560000004</v>
      </c>
      <c r="B689" s="8">
        <v>40.795798130000001</v>
      </c>
      <c r="C689" s="8" t="s">
        <v>2001</v>
      </c>
      <c r="D689" s="8" t="s">
        <v>928</v>
      </c>
      <c r="E689" s="8" t="b">
        <f t="shared" si="10"/>
        <v>0</v>
      </c>
      <c r="F689" s="8" t="str" cm="1">
        <f t="array" ref="F689">_xlfn._xlws.FILTER(E689:E3887, C689:C3887= "6D-PM-1020-01", "No Squirrels Found")</f>
        <v>No Squirrels Found</v>
      </c>
      <c r="G689" s="8" t="s">
        <v>34</v>
      </c>
      <c r="H689" s="10">
        <v>10132018</v>
      </c>
      <c r="I689" s="10">
        <v>1</v>
      </c>
      <c r="J689" s="8" t="s">
        <v>39</v>
      </c>
      <c r="K689" s="8" t="s">
        <v>40</v>
      </c>
      <c r="L689" s="8" t="s">
        <v>117</v>
      </c>
      <c r="M689" s="8" t="s">
        <v>118</v>
      </c>
      <c r="O689" s="8" t="s">
        <v>43</v>
      </c>
      <c r="P689" s="8" t="b">
        <v>0</v>
      </c>
      <c r="R689" s="8" t="b">
        <v>0</v>
      </c>
      <c r="S689" s="8" t="b">
        <v>0</v>
      </c>
      <c r="T689" s="8" t="b">
        <v>0</v>
      </c>
      <c r="U689" s="8" t="b">
        <v>1</v>
      </c>
      <c r="V689" s="8" t="b">
        <v>1</v>
      </c>
      <c r="X689" s="8" t="b">
        <v>0</v>
      </c>
      <c r="Y689" s="8" t="b">
        <v>0</v>
      </c>
      <c r="Z689" s="8" t="b">
        <v>0</v>
      </c>
      <c r="AA689" s="8" t="b">
        <v>0</v>
      </c>
      <c r="AB689" s="8" t="b">
        <v>0</v>
      </c>
      <c r="AC689" s="8" t="b">
        <v>0</v>
      </c>
      <c r="AD689" s="8" t="b">
        <v>1</v>
      </c>
      <c r="AE689" s="8" t="b">
        <v>0</v>
      </c>
      <c r="AG689" s="11" t="b" cm="1">
        <f t="array" ref="AG689">IF(OR(Y689:AA689="TRUE", AE689="true"), "Threatened")</f>
        <v>0</v>
      </c>
      <c r="AH689" s="11" t="s">
        <v>2002</v>
      </c>
      <c r="AI689" s="8" t="b">
        <v>1</v>
      </c>
    </row>
    <row r="690" spans="1:35" ht="31.2">
      <c r="A690" s="8">
        <v>-73.970595380000006</v>
      </c>
      <c r="B690" s="8">
        <v>40.776291209999997</v>
      </c>
      <c r="C690" s="8" t="s">
        <v>2003</v>
      </c>
      <c r="D690" s="8" t="s">
        <v>79</v>
      </c>
      <c r="E690" s="8" t="b">
        <f t="shared" si="10"/>
        <v>0</v>
      </c>
      <c r="F690" s="8" t="str" cm="1">
        <f t="array" ref="F690">_xlfn._xlws.FILTER(E690:E3888, C690:C3888= "6D-PM-1020-01", "No Squirrels Found")</f>
        <v>No Squirrels Found</v>
      </c>
      <c r="G690" s="8" t="s">
        <v>34</v>
      </c>
      <c r="H690" s="10">
        <v>10082018</v>
      </c>
      <c r="I690" s="10">
        <v>5</v>
      </c>
      <c r="J690" s="8" t="s">
        <v>39</v>
      </c>
      <c r="K690" s="8" t="s">
        <v>40</v>
      </c>
      <c r="L690" s="8" t="s">
        <v>84</v>
      </c>
      <c r="M690" s="8" t="s">
        <v>103</v>
      </c>
      <c r="O690" s="8" t="s">
        <v>43</v>
      </c>
      <c r="P690" s="8" t="b">
        <v>0</v>
      </c>
      <c r="R690" s="8" t="b">
        <v>0</v>
      </c>
      <c r="S690" s="8" t="b">
        <v>0</v>
      </c>
      <c r="T690" s="8" t="b">
        <v>0</v>
      </c>
      <c r="U690" s="8" t="b">
        <v>0</v>
      </c>
      <c r="V690" s="8" t="b">
        <v>1</v>
      </c>
      <c r="X690" s="8" t="b">
        <v>0</v>
      </c>
      <c r="Y690" s="8" t="b">
        <v>0</v>
      </c>
      <c r="Z690" s="8" t="b">
        <v>0</v>
      </c>
      <c r="AA690" s="8" t="b">
        <v>0</v>
      </c>
      <c r="AB690" s="8" t="b">
        <v>0</v>
      </c>
      <c r="AC690" s="8" t="b">
        <v>0</v>
      </c>
      <c r="AD690" s="8" t="b">
        <v>1</v>
      </c>
      <c r="AE690" s="8" t="b">
        <v>0</v>
      </c>
      <c r="AG690" s="11" t="b" cm="1">
        <f t="array" ref="AG690">IF(OR(Y690:AA690="TRUE", AE690="true"), "Threatened")</f>
        <v>0</v>
      </c>
      <c r="AH690" s="11" t="s">
        <v>2004</v>
      </c>
      <c r="AI690" s="8" t="b">
        <v>1</v>
      </c>
    </row>
    <row r="691" spans="1:35" ht="31.2">
      <c r="A691" s="8">
        <v>-73.976794909999995</v>
      </c>
      <c r="B691" s="8">
        <v>40.774454579999997</v>
      </c>
      <c r="C691" s="8" t="s">
        <v>2005</v>
      </c>
      <c r="D691" s="8" t="s">
        <v>859</v>
      </c>
      <c r="E691" s="8" t="b">
        <f t="shared" si="10"/>
        <v>0</v>
      </c>
      <c r="F691" s="8" t="str" cm="1">
        <f t="array" ref="F691">_xlfn._xlws.FILTER(E691:E3889, C691:C3889= "6D-PM-1020-01", "No Squirrels Found")</f>
        <v>No Squirrels Found</v>
      </c>
      <c r="G691" s="8" t="s">
        <v>34</v>
      </c>
      <c r="H691" s="10">
        <v>10102018</v>
      </c>
      <c r="I691" s="10">
        <v>1</v>
      </c>
      <c r="J691" s="8" t="s">
        <v>39</v>
      </c>
      <c r="M691" s="8" t="s">
        <v>35</v>
      </c>
      <c r="O691" s="8" t="s">
        <v>43</v>
      </c>
      <c r="P691" s="8" t="b">
        <v>0</v>
      </c>
      <c r="Q691" s="8" t="s">
        <v>2006</v>
      </c>
      <c r="R691" s="8" t="b">
        <v>0</v>
      </c>
      <c r="S691" s="8" t="b">
        <v>0</v>
      </c>
      <c r="T691" s="8" t="b">
        <v>1</v>
      </c>
      <c r="U691" s="8" t="b">
        <v>0</v>
      </c>
      <c r="V691" s="8" t="b">
        <v>0</v>
      </c>
      <c r="W691" s="11" t="s">
        <v>2007</v>
      </c>
      <c r="X691" s="8" t="b">
        <v>0</v>
      </c>
      <c r="Y691" s="8" t="b">
        <v>0</v>
      </c>
      <c r="Z691" s="8" t="b">
        <v>0</v>
      </c>
      <c r="AA691" s="8" t="b">
        <v>0</v>
      </c>
      <c r="AB691" s="8" t="b">
        <v>0</v>
      </c>
      <c r="AC691" s="8" t="b">
        <v>0</v>
      </c>
      <c r="AD691" s="8" t="b">
        <v>1</v>
      </c>
      <c r="AE691" s="8" t="b">
        <v>0</v>
      </c>
      <c r="AG691" s="11" t="b" cm="1">
        <f t="array" ref="AG691">IF(OR(Y691:AA691="TRUE", AE691="true"), "Threatened")</f>
        <v>0</v>
      </c>
      <c r="AH691" s="11" t="s">
        <v>2008</v>
      </c>
      <c r="AI691" s="8" t="b">
        <v>0</v>
      </c>
    </row>
    <row r="692" spans="1:35" ht="31.2">
      <c r="A692" s="8">
        <v>-73.969596499999994</v>
      </c>
      <c r="B692" s="8">
        <v>40.78023022</v>
      </c>
      <c r="C692" s="8" t="s">
        <v>2009</v>
      </c>
      <c r="D692" s="8" t="s">
        <v>631</v>
      </c>
      <c r="E692" s="8" t="b">
        <f t="shared" si="10"/>
        <v>0</v>
      </c>
      <c r="F692" s="8" t="str" cm="1">
        <f t="array" ref="F692">_xlfn._xlws.FILTER(E692:E3890, C692:C3890= "6D-PM-1020-01", "No Squirrels Found")</f>
        <v>No Squirrels Found</v>
      </c>
      <c r="G692" s="8" t="s">
        <v>34</v>
      </c>
      <c r="H692" s="10">
        <v>10182018</v>
      </c>
      <c r="I692" s="10">
        <v>8</v>
      </c>
      <c r="J692" s="8" t="s">
        <v>54</v>
      </c>
      <c r="K692" s="8" t="s">
        <v>192</v>
      </c>
      <c r="M692" s="8" t="s">
        <v>193</v>
      </c>
      <c r="O692" s="8" t="s">
        <v>43</v>
      </c>
      <c r="P692" s="8" t="b">
        <v>0</v>
      </c>
      <c r="R692" s="8" t="b">
        <v>0</v>
      </c>
      <c r="S692" s="8" t="b">
        <v>0</v>
      </c>
      <c r="T692" s="8" t="b">
        <v>0</v>
      </c>
      <c r="U692" s="8" t="b">
        <v>0</v>
      </c>
      <c r="V692" s="8" t="b">
        <v>1</v>
      </c>
      <c r="X692" s="8" t="b">
        <v>0</v>
      </c>
      <c r="Y692" s="8" t="b">
        <v>0</v>
      </c>
      <c r="Z692" s="8" t="b">
        <v>0</v>
      </c>
      <c r="AA692" s="8" t="b">
        <v>0</v>
      </c>
      <c r="AB692" s="8" t="b">
        <v>0</v>
      </c>
      <c r="AC692" s="8" t="b">
        <v>0</v>
      </c>
      <c r="AD692" s="8" t="b">
        <v>0</v>
      </c>
      <c r="AE692" s="8" t="b">
        <v>0</v>
      </c>
      <c r="AG692" s="11" t="b" cm="1">
        <f t="array" ref="AG692">IF(OR(Y692:AA692="TRUE", AE692="true"), "Threatened")</f>
        <v>0</v>
      </c>
      <c r="AH692" s="11" t="s">
        <v>2010</v>
      </c>
      <c r="AI692" s="8" t="b">
        <v>1</v>
      </c>
    </row>
    <row r="693" spans="1:35" ht="31.2">
      <c r="A693" s="8">
        <v>-73.959452929999998</v>
      </c>
      <c r="B693" s="8">
        <v>40.784049260000003</v>
      </c>
      <c r="C693" s="8" t="s">
        <v>2011</v>
      </c>
      <c r="D693" s="8" t="s">
        <v>848</v>
      </c>
      <c r="E693" s="8" t="b">
        <f t="shared" si="10"/>
        <v>0</v>
      </c>
      <c r="F693" s="8" t="str" cm="1">
        <f t="array" ref="F693">_xlfn._xlws.FILTER(E693:E3891, C693:C3891= "6D-PM-1020-01", "No Squirrels Found")</f>
        <v>No Squirrels Found</v>
      </c>
      <c r="G693" s="8" t="s">
        <v>34</v>
      </c>
      <c r="H693" s="10">
        <v>10102018</v>
      </c>
      <c r="I693" s="10">
        <v>4</v>
      </c>
      <c r="J693" s="8" t="s">
        <v>39</v>
      </c>
      <c r="K693" s="8" t="s">
        <v>40</v>
      </c>
      <c r="L693" s="8" t="s">
        <v>41</v>
      </c>
      <c r="M693" s="8" t="s">
        <v>42</v>
      </c>
      <c r="O693" s="8" t="s">
        <v>43</v>
      </c>
      <c r="P693" s="8" t="b">
        <v>0</v>
      </c>
      <c r="R693" s="8" t="b">
        <v>0</v>
      </c>
      <c r="S693" s="8" t="b">
        <v>0</v>
      </c>
      <c r="T693" s="8" t="b">
        <v>0</v>
      </c>
      <c r="U693" s="8" t="b">
        <v>1</v>
      </c>
      <c r="V693" s="8" t="b">
        <v>1</v>
      </c>
      <c r="X693" s="8" t="b">
        <v>0</v>
      </c>
      <c r="Y693" s="8" t="b">
        <v>0</v>
      </c>
      <c r="Z693" s="8" t="b">
        <v>0</v>
      </c>
      <c r="AA693" s="8" t="b">
        <v>0</v>
      </c>
      <c r="AB693" s="8" t="b">
        <v>0</v>
      </c>
      <c r="AC693" s="8" t="b">
        <v>1</v>
      </c>
      <c r="AD693" s="8" t="b">
        <v>0</v>
      </c>
      <c r="AE693" s="8" t="b">
        <v>0</v>
      </c>
      <c r="AG693" s="11" t="b" cm="1">
        <f t="array" ref="AG693">IF(OR(Y693:AA693="TRUE", AE693="true"), "Threatened")</f>
        <v>0</v>
      </c>
      <c r="AH693" s="11" t="s">
        <v>2012</v>
      </c>
      <c r="AI693" s="8" t="b">
        <v>1</v>
      </c>
    </row>
    <row r="694" spans="1:35" ht="31.2">
      <c r="A694" s="8">
        <v>-73.969353369999993</v>
      </c>
      <c r="B694" s="8">
        <v>40.78382474</v>
      </c>
      <c r="C694" s="8" t="s">
        <v>2013</v>
      </c>
      <c r="D694" s="8" t="s">
        <v>2014</v>
      </c>
      <c r="E694" s="8" t="b">
        <f t="shared" si="10"/>
        <v>0</v>
      </c>
      <c r="F694" s="8" t="str" cm="1">
        <f t="array" ref="F694">_xlfn._xlws.FILTER(E694:E3892, C694:C3892= "6D-PM-1020-01", "No Squirrels Found")</f>
        <v>No Squirrels Found</v>
      </c>
      <c r="G694" s="8" t="s">
        <v>48</v>
      </c>
      <c r="H694" s="10">
        <v>10192018</v>
      </c>
      <c r="I694" s="10">
        <v>6</v>
      </c>
      <c r="J694" s="8" t="s">
        <v>54</v>
      </c>
      <c r="K694" s="8" t="s">
        <v>40</v>
      </c>
      <c r="M694" s="8" t="s">
        <v>55</v>
      </c>
      <c r="O694" s="8" t="s">
        <v>43</v>
      </c>
      <c r="P694" s="8" t="b">
        <v>0</v>
      </c>
      <c r="R694" s="8" t="b">
        <v>0</v>
      </c>
      <c r="S694" s="8" t="b">
        <v>0</v>
      </c>
      <c r="T694" s="8" t="b">
        <v>0</v>
      </c>
      <c r="U694" s="8" t="b">
        <v>0</v>
      </c>
      <c r="V694" s="8" t="b">
        <v>1</v>
      </c>
      <c r="X694" s="8" t="b">
        <v>0</v>
      </c>
      <c r="Y694" s="8" t="b">
        <v>0</v>
      </c>
      <c r="Z694" s="8" t="b">
        <v>0</v>
      </c>
      <c r="AA694" s="8" t="b">
        <v>0</v>
      </c>
      <c r="AB694" s="8" t="b">
        <v>0</v>
      </c>
      <c r="AC694" s="8" t="b">
        <v>0</v>
      </c>
      <c r="AD694" s="8" t="b">
        <v>1</v>
      </c>
      <c r="AE694" s="8" t="b">
        <v>0</v>
      </c>
      <c r="AG694" s="11" t="b" cm="1">
        <f t="array" ref="AG694">IF(OR(Y694:AA694="TRUE", AE694="true"), "Threatened")</f>
        <v>0</v>
      </c>
      <c r="AH694" s="11" t="s">
        <v>2015</v>
      </c>
      <c r="AI694" s="8" t="b">
        <v>1</v>
      </c>
    </row>
    <row r="695" spans="1:35" ht="31.2">
      <c r="A695" s="8">
        <v>-73.96980327</v>
      </c>
      <c r="B695" s="8">
        <v>40.778234390000001</v>
      </c>
      <c r="C695" s="8" t="s">
        <v>2016</v>
      </c>
      <c r="D695" s="8" t="s">
        <v>721</v>
      </c>
      <c r="E695" s="8" t="b">
        <f t="shared" si="10"/>
        <v>0</v>
      </c>
      <c r="F695" s="8" t="str" cm="1">
        <f t="array" ref="F695">_xlfn._xlws.FILTER(E695:E3893, C695:C3893= "6D-PM-1020-01", "No Squirrels Found")</f>
        <v>No Squirrels Found</v>
      </c>
      <c r="G695" s="8" t="s">
        <v>48</v>
      </c>
      <c r="H695" s="10">
        <v>10072018</v>
      </c>
      <c r="I695" s="10">
        <v>2</v>
      </c>
      <c r="J695" s="8" t="s">
        <v>39</v>
      </c>
      <c r="K695" s="8" t="s">
        <v>40</v>
      </c>
      <c r="L695" s="8" t="s">
        <v>84</v>
      </c>
      <c r="M695" s="8" t="s">
        <v>103</v>
      </c>
      <c r="O695" s="8" t="s">
        <v>43</v>
      </c>
      <c r="P695" s="8" t="b">
        <v>0</v>
      </c>
      <c r="R695" s="8" t="b">
        <v>0</v>
      </c>
      <c r="S695" s="8" t="b">
        <v>0</v>
      </c>
      <c r="T695" s="8" t="b">
        <v>0</v>
      </c>
      <c r="U695" s="8" t="b">
        <v>0</v>
      </c>
      <c r="V695" s="8" t="b">
        <v>1</v>
      </c>
      <c r="X695" s="8" t="b">
        <v>0</v>
      </c>
      <c r="Y695" s="8" t="b">
        <v>0</v>
      </c>
      <c r="Z695" s="8" t="b">
        <v>0</v>
      </c>
      <c r="AA695" s="8" t="b">
        <v>0</v>
      </c>
      <c r="AB695" s="8" t="b">
        <v>0</v>
      </c>
      <c r="AC695" s="8" t="b">
        <v>0</v>
      </c>
      <c r="AD695" s="8" t="b">
        <v>1</v>
      </c>
      <c r="AE695" s="8" t="b">
        <v>0</v>
      </c>
      <c r="AG695" s="11" t="b" cm="1">
        <f t="array" ref="AG695">IF(OR(Y695:AA695="TRUE", AE695="true"), "Threatened")</f>
        <v>0</v>
      </c>
      <c r="AH695" s="11" t="s">
        <v>2017</v>
      </c>
      <c r="AI695" s="8" t="b">
        <v>1</v>
      </c>
    </row>
    <row r="696" spans="1:35" ht="31.2">
      <c r="A696" s="8">
        <v>-73.968508060000005</v>
      </c>
      <c r="B696" s="8">
        <v>40.774530980000002</v>
      </c>
      <c r="C696" s="8" t="s">
        <v>2018</v>
      </c>
      <c r="D696" s="8" t="s">
        <v>2019</v>
      </c>
      <c r="E696" s="8" t="b">
        <f t="shared" si="10"/>
        <v>0</v>
      </c>
      <c r="F696" s="8" t="str" cm="1">
        <f t="array" ref="F696">_xlfn._xlws.FILTER(E696:E3894, C696:C3894= "6D-PM-1020-01", "No Squirrels Found")</f>
        <v>No Squirrels Found</v>
      </c>
      <c r="G696" s="8" t="s">
        <v>34</v>
      </c>
      <c r="H696" s="10">
        <v>10082018</v>
      </c>
      <c r="I696" s="10">
        <v>3</v>
      </c>
      <c r="J696" s="8" t="s">
        <v>54</v>
      </c>
      <c r="K696" s="8" t="s">
        <v>41</v>
      </c>
      <c r="L696" s="8" t="s">
        <v>40</v>
      </c>
      <c r="M696" s="8" t="s">
        <v>110</v>
      </c>
      <c r="O696" s="8" t="s">
        <v>50</v>
      </c>
      <c r="P696" s="8">
        <v>20</v>
      </c>
      <c r="Q696" s="8" t="s">
        <v>2020</v>
      </c>
      <c r="R696" s="8" t="b">
        <v>0</v>
      </c>
      <c r="S696" s="8" t="b">
        <v>0</v>
      </c>
      <c r="T696" s="8" t="b">
        <v>1</v>
      </c>
      <c r="U696" s="8" t="b">
        <v>0</v>
      </c>
      <c r="V696" s="8" t="b">
        <v>0</v>
      </c>
      <c r="X696" s="8" t="b">
        <v>0</v>
      </c>
      <c r="Y696" s="8" t="b">
        <v>0</v>
      </c>
      <c r="Z696" s="8" t="b">
        <v>0</v>
      </c>
      <c r="AA696" s="8" t="b">
        <v>0</v>
      </c>
      <c r="AB696" s="8" t="b">
        <v>0</v>
      </c>
      <c r="AC696" s="8" t="b">
        <v>0</v>
      </c>
      <c r="AD696" s="8" t="b">
        <v>1</v>
      </c>
      <c r="AE696" s="8" t="b">
        <v>0</v>
      </c>
      <c r="AG696" s="11" t="b" cm="1">
        <f t="array" ref="AG696">IF(OR(Y696:AA696="TRUE", AE696="true"), "Threatened")</f>
        <v>0</v>
      </c>
      <c r="AH696" s="11" t="s">
        <v>2021</v>
      </c>
      <c r="AI696" s="8" t="b">
        <v>1</v>
      </c>
    </row>
    <row r="697" spans="1:35" ht="31.2">
      <c r="A697" s="8">
        <v>-73.965609819999997</v>
      </c>
      <c r="B697" s="8">
        <v>40.77576431</v>
      </c>
      <c r="C697" s="8" t="s">
        <v>2022</v>
      </c>
      <c r="D697" s="8" t="s">
        <v>419</v>
      </c>
      <c r="E697" s="8" t="b">
        <f t="shared" si="10"/>
        <v>0</v>
      </c>
      <c r="F697" s="8" t="str" cm="1">
        <f t="array" ref="F697">_xlfn._xlws.FILTER(E697:E3895, C697:C3895= "6D-PM-1020-01", "No Squirrels Found")</f>
        <v>No Squirrels Found</v>
      </c>
      <c r="G697" s="8" t="s">
        <v>48</v>
      </c>
      <c r="H697" s="10">
        <v>10082018</v>
      </c>
      <c r="I697" s="10">
        <v>5</v>
      </c>
      <c r="J697" s="8" t="s">
        <v>39</v>
      </c>
      <c r="K697" s="8" t="s">
        <v>40</v>
      </c>
      <c r="M697" s="8" t="s">
        <v>55</v>
      </c>
      <c r="O697" s="8" t="s">
        <v>50</v>
      </c>
      <c r="P697" s="8">
        <v>5</v>
      </c>
      <c r="R697" s="8" t="b">
        <v>0</v>
      </c>
      <c r="S697" s="8" t="b">
        <v>0</v>
      </c>
      <c r="T697" s="8" t="b">
        <v>1</v>
      </c>
      <c r="U697" s="8" t="b">
        <v>0</v>
      </c>
      <c r="V697" s="8" t="b">
        <v>0</v>
      </c>
      <c r="X697" s="8" t="b">
        <v>0</v>
      </c>
      <c r="Y697" s="8" t="b">
        <v>0</v>
      </c>
      <c r="Z697" s="8" t="b">
        <v>0</v>
      </c>
      <c r="AA697" s="8" t="b">
        <v>0</v>
      </c>
      <c r="AB697" s="8" t="b">
        <v>0</v>
      </c>
      <c r="AC697" s="8" t="b">
        <v>0</v>
      </c>
      <c r="AD697" s="8" t="b">
        <v>0</v>
      </c>
      <c r="AE697" s="8" t="b">
        <v>1</v>
      </c>
      <c r="AG697" s="11" t="b" cm="1">
        <f t="array" ref="AG697">IF(OR(Y697:AA697="TRUE", AE697="true"), "Threatened")</f>
        <v>0</v>
      </c>
      <c r="AH697" s="11" t="s">
        <v>2023</v>
      </c>
      <c r="AI697" s="8" t="b">
        <v>1</v>
      </c>
    </row>
    <row r="698" spans="1:35" ht="31.2">
      <c r="A698" s="8">
        <v>-73.970465599999997</v>
      </c>
      <c r="B698" s="8">
        <v>40.770112580000003</v>
      </c>
      <c r="C698" s="8" t="s">
        <v>2024</v>
      </c>
      <c r="D698" s="8" t="s">
        <v>113</v>
      </c>
      <c r="E698" s="8" t="b">
        <f t="shared" si="10"/>
        <v>0</v>
      </c>
      <c r="F698" s="8" t="str" cm="1">
        <f t="array" ref="F698">_xlfn._xlws.FILTER(E698:E3896, C698:C3896= "6D-PM-1020-01", "No Squirrels Found")</f>
        <v>No Squirrels Found</v>
      </c>
      <c r="G698" s="8" t="s">
        <v>34</v>
      </c>
      <c r="H698" s="10">
        <v>10062018</v>
      </c>
      <c r="I698" s="10">
        <v>5</v>
      </c>
      <c r="J698" s="8" t="s">
        <v>39</v>
      </c>
      <c r="K698" s="8" t="s">
        <v>40</v>
      </c>
      <c r="L698" s="8" t="s">
        <v>41</v>
      </c>
      <c r="M698" s="8" t="s">
        <v>42</v>
      </c>
      <c r="O698" s="8" t="s">
        <v>43</v>
      </c>
      <c r="P698" s="8" t="b">
        <v>0</v>
      </c>
      <c r="Q698" s="8" t="s">
        <v>2025</v>
      </c>
      <c r="R698" s="8" t="b">
        <v>1</v>
      </c>
      <c r="S698" s="8" t="b">
        <v>0</v>
      </c>
      <c r="T698" s="8" t="b">
        <v>0</v>
      </c>
      <c r="U698" s="8" t="b">
        <v>1</v>
      </c>
      <c r="V698" s="8" t="b">
        <v>1</v>
      </c>
      <c r="X698" s="8" t="b">
        <v>0</v>
      </c>
      <c r="Y698" s="8" t="b">
        <v>0</v>
      </c>
      <c r="Z698" s="8" t="b">
        <v>0</v>
      </c>
      <c r="AA698" s="8" t="b">
        <v>0</v>
      </c>
      <c r="AB698" s="8" t="b">
        <v>1</v>
      </c>
      <c r="AC698" s="8" t="b">
        <v>0</v>
      </c>
      <c r="AD698" s="8" t="b">
        <v>0</v>
      </c>
      <c r="AE698" s="8" t="b">
        <v>1</v>
      </c>
      <c r="AG698" s="11" t="b" cm="1">
        <f t="array" ref="AG698">IF(OR(Y698:AA698="TRUE", AE698="true"), "Threatened")</f>
        <v>0</v>
      </c>
      <c r="AH698" s="11" t="s">
        <v>2026</v>
      </c>
      <c r="AI698" s="8" t="b">
        <v>1</v>
      </c>
    </row>
    <row r="699" spans="1:35" ht="31.2">
      <c r="A699" s="8">
        <v>-73.958553769999995</v>
      </c>
      <c r="B699" s="8">
        <v>40.79039058</v>
      </c>
      <c r="C699" s="8" t="s">
        <v>2027</v>
      </c>
      <c r="D699" s="8" t="s">
        <v>144</v>
      </c>
      <c r="E699" s="8" t="b">
        <f t="shared" si="10"/>
        <v>0</v>
      </c>
      <c r="F699" s="8" t="str" cm="1">
        <f t="array" ref="F699">_xlfn._xlws.FILTER(E699:E3897, C699:C3897= "6D-PM-1020-01", "No Squirrels Found")</f>
        <v>No Squirrels Found</v>
      </c>
      <c r="G699" s="8" t="s">
        <v>48</v>
      </c>
      <c r="H699" s="10">
        <v>10122018</v>
      </c>
      <c r="I699" s="10">
        <v>3</v>
      </c>
      <c r="J699" s="8" t="s">
        <v>39</v>
      </c>
      <c r="K699" s="8" t="s">
        <v>40</v>
      </c>
      <c r="L699" s="8" t="s">
        <v>41</v>
      </c>
      <c r="M699" s="8" t="s">
        <v>42</v>
      </c>
      <c r="O699" s="8" t="s">
        <v>50</v>
      </c>
      <c r="P699" s="8">
        <v>20</v>
      </c>
      <c r="R699" s="8" t="b">
        <v>0</v>
      </c>
      <c r="S699" s="8" t="b">
        <v>0</v>
      </c>
      <c r="T699" s="8" t="b">
        <v>1</v>
      </c>
      <c r="U699" s="8" t="b">
        <v>0</v>
      </c>
      <c r="V699" s="8" t="b">
        <v>0</v>
      </c>
      <c r="W699" s="11" t="s">
        <v>2028</v>
      </c>
      <c r="X699" s="8" t="b">
        <v>0</v>
      </c>
      <c r="Y699" s="8" t="b">
        <v>0</v>
      </c>
      <c r="Z699" s="8" t="b">
        <v>0</v>
      </c>
      <c r="AA699" s="8" t="b">
        <v>0</v>
      </c>
      <c r="AB699" s="8" t="b">
        <v>0</v>
      </c>
      <c r="AC699" s="8" t="b">
        <v>0</v>
      </c>
      <c r="AD699" s="8" t="b">
        <v>0</v>
      </c>
      <c r="AE699" s="8" t="b">
        <v>0</v>
      </c>
      <c r="AG699" s="11" t="b" cm="1">
        <f t="array" ref="AG699">IF(OR(Y699:AA699="TRUE", AE699="true"), "Threatened")</f>
        <v>0</v>
      </c>
      <c r="AH699" s="11" t="s">
        <v>2029</v>
      </c>
      <c r="AI699" s="8" t="b">
        <v>0</v>
      </c>
    </row>
    <row r="700" spans="1:35" ht="31.2">
      <c r="A700" s="8">
        <v>-73.950469350000006</v>
      </c>
      <c r="B700" s="8">
        <v>40.797225439999998</v>
      </c>
      <c r="C700" s="8" t="s">
        <v>2030</v>
      </c>
      <c r="D700" s="8" t="s">
        <v>686</v>
      </c>
      <c r="E700" s="8" t="b">
        <f t="shared" si="10"/>
        <v>0</v>
      </c>
      <c r="F700" s="8" t="str" cm="1">
        <f t="array" ref="F700">_xlfn._xlws.FILTER(E700:E3898, C700:C3898= "6D-PM-1020-01", "No Squirrels Found")</f>
        <v>No Squirrels Found</v>
      </c>
      <c r="G700" s="8" t="s">
        <v>48</v>
      </c>
      <c r="H700" s="10">
        <v>10192018</v>
      </c>
      <c r="I700" s="10">
        <v>1</v>
      </c>
      <c r="J700" s="8" t="s">
        <v>39</v>
      </c>
      <c r="K700" s="8" t="s">
        <v>41</v>
      </c>
      <c r="L700" s="8" t="s">
        <v>84</v>
      </c>
      <c r="M700" s="8" t="s">
        <v>85</v>
      </c>
      <c r="O700" s="8" t="s">
        <v>43</v>
      </c>
      <c r="P700" s="8" t="b">
        <v>0</v>
      </c>
      <c r="R700" s="8" t="b">
        <v>0</v>
      </c>
      <c r="S700" s="8" t="b">
        <v>0</v>
      </c>
      <c r="T700" s="8" t="b">
        <v>0</v>
      </c>
      <c r="U700" s="8" t="b">
        <v>1</v>
      </c>
      <c r="V700" s="8" t="b">
        <v>1</v>
      </c>
      <c r="X700" s="8" t="b">
        <v>0</v>
      </c>
      <c r="Y700" s="8" t="b">
        <v>0</v>
      </c>
      <c r="Z700" s="8" t="b">
        <v>0</v>
      </c>
      <c r="AA700" s="8" t="b">
        <v>0</v>
      </c>
      <c r="AB700" s="8" t="b">
        <v>0</v>
      </c>
      <c r="AC700" s="8" t="b">
        <v>0</v>
      </c>
      <c r="AD700" s="8" t="b">
        <v>0</v>
      </c>
      <c r="AE700" s="8" t="b">
        <v>0</v>
      </c>
      <c r="AG700" s="11" t="b" cm="1">
        <f t="array" ref="AG700">IF(OR(Y700:AA700="TRUE", AE700="true"), "Threatened")</f>
        <v>0</v>
      </c>
      <c r="AH700" s="11" t="s">
        <v>2031</v>
      </c>
      <c r="AI700" s="8" t="b">
        <v>1</v>
      </c>
    </row>
    <row r="701" spans="1:35" ht="31.2">
      <c r="A701" s="8">
        <v>-73.969126180000004</v>
      </c>
      <c r="B701" s="8">
        <v>40.770292939999997</v>
      </c>
      <c r="C701" s="8" t="s">
        <v>2032</v>
      </c>
      <c r="D701" s="8" t="s">
        <v>1326</v>
      </c>
      <c r="E701" s="8" t="b">
        <f t="shared" si="10"/>
        <v>0</v>
      </c>
      <c r="F701" s="8" t="str" cm="1">
        <f t="array" ref="F701">_xlfn._xlws.FILTER(E701:E3899, C701:C3899= "6D-PM-1020-01", "No Squirrels Found")</f>
        <v>No Squirrels Found</v>
      </c>
      <c r="G701" s="8" t="s">
        <v>48</v>
      </c>
      <c r="H701" s="10">
        <v>10062018</v>
      </c>
      <c r="I701" s="10">
        <v>12</v>
      </c>
      <c r="J701" s="8" t="s">
        <v>39</v>
      </c>
      <c r="K701" s="8" t="s">
        <v>40</v>
      </c>
      <c r="M701" s="8" t="s">
        <v>55</v>
      </c>
      <c r="O701" s="8" t="s">
        <v>50</v>
      </c>
      <c r="P701" s="8">
        <v>50</v>
      </c>
      <c r="Q701" s="8" t="s">
        <v>206</v>
      </c>
      <c r="R701" s="8" t="b">
        <v>0</v>
      </c>
      <c r="S701" s="8" t="b">
        <v>0</v>
      </c>
      <c r="T701" s="8" t="b">
        <v>1</v>
      </c>
      <c r="U701" s="8" t="b">
        <v>0</v>
      </c>
      <c r="V701" s="8" t="b">
        <v>0</v>
      </c>
      <c r="X701" s="8" t="b">
        <v>0</v>
      </c>
      <c r="Y701" s="8" t="b">
        <v>0</v>
      </c>
      <c r="Z701" s="8" t="b">
        <v>0</v>
      </c>
      <c r="AA701" s="8" t="b">
        <v>0</v>
      </c>
      <c r="AB701" s="8" t="b">
        <v>0</v>
      </c>
      <c r="AC701" s="8" t="b">
        <v>0</v>
      </c>
      <c r="AD701" s="8" t="b">
        <v>1</v>
      </c>
      <c r="AE701" s="8" t="b">
        <v>0</v>
      </c>
      <c r="AG701" s="11" t="b" cm="1">
        <f t="array" ref="AG701">IF(OR(Y701:AA701="TRUE", AE701="true"), "Threatened")</f>
        <v>0</v>
      </c>
      <c r="AH701" s="11" t="s">
        <v>2033</v>
      </c>
      <c r="AI701" s="8" t="b">
        <v>1</v>
      </c>
    </row>
    <row r="702" spans="1:35" ht="31.2">
      <c r="A702" s="8">
        <v>-73.95292302</v>
      </c>
      <c r="B702" s="8">
        <v>40.796066340000003</v>
      </c>
      <c r="C702" s="8" t="s">
        <v>2034</v>
      </c>
      <c r="D702" s="8" t="s">
        <v>1292</v>
      </c>
      <c r="E702" s="8" t="b">
        <f t="shared" si="10"/>
        <v>0</v>
      </c>
      <c r="F702" s="8" t="str" cm="1">
        <f t="array" ref="F702">_xlfn._xlws.FILTER(E702:E3900, C702:C3900= "6D-PM-1020-01", "No Squirrels Found")</f>
        <v>No Squirrels Found</v>
      </c>
      <c r="G702" s="8" t="s">
        <v>34</v>
      </c>
      <c r="H702" s="10">
        <v>10132018</v>
      </c>
      <c r="I702" s="10">
        <v>6</v>
      </c>
      <c r="J702" s="8" t="s">
        <v>54</v>
      </c>
      <c r="K702" s="8" t="s">
        <v>40</v>
      </c>
      <c r="M702" s="8" t="s">
        <v>55</v>
      </c>
      <c r="O702" s="8" t="s">
        <v>43</v>
      </c>
      <c r="P702" s="8" t="b">
        <v>0</v>
      </c>
      <c r="Q702" s="8" t="s">
        <v>2035</v>
      </c>
      <c r="R702" s="8" t="b">
        <v>0</v>
      </c>
      <c r="S702" s="8" t="b">
        <v>0</v>
      </c>
      <c r="T702" s="8" t="b">
        <v>0</v>
      </c>
      <c r="U702" s="8" t="b">
        <v>1</v>
      </c>
      <c r="V702" s="8" t="b">
        <v>0</v>
      </c>
      <c r="X702" s="8" t="b">
        <v>0</v>
      </c>
      <c r="Y702" s="8" t="b">
        <v>0</v>
      </c>
      <c r="Z702" s="8" t="b">
        <v>0</v>
      </c>
      <c r="AA702" s="8" t="b">
        <v>0</v>
      </c>
      <c r="AB702" s="8" t="b">
        <v>0</v>
      </c>
      <c r="AC702" s="8" t="b">
        <v>0</v>
      </c>
      <c r="AD702" s="8" t="b">
        <v>0</v>
      </c>
      <c r="AE702" s="8" t="b">
        <v>0</v>
      </c>
      <c r="AG702" s="11" t="b" cm="1">
        <f t="array" ref="AG702">IF(OR(Y702:AA702="TRUE", AE702="true"), "Threatened")</f>
        <v>0</v>
      </c>
      <c r="AH702" s="11" t="s">
        <v>2036</v>
      </c>
      <c r="AI702" s="8" t="b">
        <v>1</v>
      </c>
    </row>
    <row r="703" spans="1:35" ht="31.2">
      <c r="A703" s="8">
        <v>-73.963858549999998</v>
      </c>
      <c r="B703" s="8">
        <v>40.780899959999999</v>
      </c>
      <c r="C703" s="8" t="s">
        <v>2037</v>
      </c>
      <c r="D703" s="8" t="s">
        <v>358</v>
      </c>
      <c r="E703" s="8" t="b">
        <f t="shared" si="10"/>
        <v>0</v>
      </c>
      <c r="F703" s="8" t="str" cm="1">
        <f t="array" ref="F703">_xlfn._xlws.FILTER(E703:E3901, C703:C3901= "6D-PM-1020-01", "No Squirrels Found")</f>
        <v>No Squirrels Found</v>
      </c>
      <c r="G703" s="8" t="s">
        <v>48</v>
      </c>
      <c r="H703" s="10">
        <v>10142018</v>
      </c>
      <c r="I703" s="10">
        <v>3</v>
      </c>
      <c r="J703" s="8" t="s">
        <v>39</v>
      </c>
      <c r="K703" s="8" t="s">
        <v>40</v>
      </c>
      <c r="L703" s="8" t="s">
        <v>84</v>
      </c>
      <c r="M703" s="8" t="s">
        <v>103</v>
      </c>
      <c r="O703" s="8" t="s">
        <v>50</v>
      </c>
      <c r="P703" s="8">
        <v>7</v>
      </c>
      <c r="R703" s="8" t="b">
        <v>0</v>
      </c>
      <c r="S703" s="8" t="b">
        <v>0</v>
      </c>
      <c r="T703" s="8" t="b">
        <v>0</v>
      </c>
      <c r="U703" s="8" t="b">
        <v>0</v>
      </c>
      <c r="V703" s="8" t="b">
        <v>1</v>
      </c>
      <c r="X703" s="8" t="b">
        <v>0</v>
      </c>
      <c r="Y703" s="8" t="b">
        <v>0</v>
      </c>
      <c r="Z703" s="8" t="b">
        <v>0</v>
      </c>
      <c r="AA703" s="8" t="b">
        <v>0</v>
      </c>
      <c r="AB703" s="8" t="b">
        <v>1</v>
      </c>
      <c r="AC703" s="8" t="b">
        <v>0</v>
      </c>
      <c r="AD703" s="8" t="b">
        <v>1</v>
      </c>
      <c r="AE703" s="8" t="b">
        <v>0</v>
      </c>
      <c r="AG703" s="11" t="b" cm="1">
        <f t="array" ref="AG703">IF(OR(Y703:AA703="TRUE", AE703="true"), "Threatened")</f>
        <v>0</v>
      </c>
      <c r="AH703" s="11" t="s">
        <v>2038</v>
      </c>
      <c r="AI703" s="8" t="b">
        <v>1</v>
      </c>
    </row>
    <row r="704" spans="1:35" ht="31.2">
      <c r="A704" s="8">
        <v>-73.957630449999996</v>
      </c>
      <c r="B704" s="8">
        <v>40.795981060000003</v>
      </c>
      <c r="C704" s="8" t="s">
        <v>2039</v>
      </c>
      <c r="D704" s="8" t="s">
        <v>841</v>
      </c>
      <c r="E704" s="8" t="b">
        <f t="shared" si="10"/>
        <v>0</v>
      </c>
      <c r="F704" s="8" t="str" cm="1">
        <f t="array" ref="F704">_xlfn._xlws.FILTER(E704:E3902, C704:C3902= "6D-PM-1020-01", "No Squirrels Found")</f>
        <v>No Squirrels Found</v>
      </c>
      <c r="G704" s="8" t="s">
        <v>48</v>
      </c>
      <c r="H704" s="10">
        <v>10172018</v>
      </c>
      <c r="I704" s="10">
        <v>5</v>
      </c>
      <c r="J704" s="8" t="s">
        <v>39</v>
      </c>
      <c r="K704" s="8" t="s">
        <v>40</v>
      </c>
      <c r="L704" s="8" t="s">
        <v>1924</v>
      </c>
      <c r="M704" s="8" t="s">
        <v>1925</v>
      </c>
      <c r="N704" s="11" t="s">
        <v>2040</v>
      </c>
      <c r="O704" s="8" t="s">
        <v>43</v>
      </c>
      <c r="P704" s="8" t="b">
        <v>0</v>
      </c>
      <c r="R704" s="8" t="b">
        <v>1</v>
      </c>
      <c r="S704" s="8" t="b">
        <v>0</v>
      </c>
      <c r="T704" s="8" t="b">
        <v>0</v>
      </c>
      <c r="U704" s="8" t="b">
        <v>1</v>
      </c>
      <c r="V704" s="8" t="b">
        <v>0</v>
      </c>
      <c r="W704" s="11" t="s">
        <v>2041</v>
      </c>
      <c r="X704" s="8" t="b">
        <v>0</v>
      </c>
      <c r="Y704" s="8" t="b">
        <v>0</v>
      </c>
      <c r="Z704" s="8" t="b">
        <v>0</v>
      </c>
      <c r="AA704" s="8" t="b">
        <v>0</v>
      </c>
      <c r="AB704" s="8" t="b">
        <v>0</v>
      </c>
      <c r="AC704" s="8" t="b">
        <v>0</v>
      </c>
      <c r="AD704" s="8" t="b">
        <v>0</v>
      </c>
      <c r="AE704" s="8" t="b">
        <v>1</v>
      </c>
      <c r="AG704" s="11" t="b" cm="1">
        <f t="array" ref="AG704">IF(OR(Y704:AA704="TRUE", AE704="true"), "Threatened")</f>
        <v>0</v>
      </c>
      <c r="AH704" s="11" t="s">
        <v>2042</v>
      </c>
      <c r="AI704" s="8" t="b">
        <v>0</v>
      </c>
    </row>
    <row r="705" spans="1:35" ht="31.2">
      <c r="A705" s="8">
        <v>-73.979356559999999</v>
      </c>
      <c r="B705" s="8">
        <v>40.767925939999998</v>
      </c>
      <c r="C705" s="8" t="s">
        <v>2043</v>
      </c>
      <c r="D705" s="8" t="s">
        <v>1235</v>
      </c>
      <c r="E705" s="8" t="b">
        <f t="shared" si="10"/>
        <v>0</v>
      </c>
      <c r="F705" s="8" t="str" cm="1">
        <f t="array" ref="F705">_xlfn._xlws.FILTER(E705:E3903, C705:C3903= "6D-PM-1020-01", "No Squirrels Found")</f>
        <v>No Squirrels Found</v>
      </c>
      <c r="G705" s="8" t="s">
        <v>48</v>
      </c>
      <c r="H705" s="10">
        <v>10102018</v>
      </c>
      <c r="I705" s="10">
        <v>9</v>
      </c>
      <c r="J705" s="8" t="s">
        <v>39</v>
      </c>
      <c r="K705" s="8" t="s">
        <v>40</v>
      </c>
      <c r="L705" s="8" t="s">
        <v>84</v>
      </c>
      <c r="M705" s="8" t="s">
        <v>103</v>
      </c>
      <c r="O705" s="8" t="s">
        <v>43</v>
      </c>
      <c r="P705" s="8" t="b">
        <v>0</v>
      </c>
      <c r="R705" s="8" t="b">
        <v>0</v>
      </c>
      <c r="S705" s="8" t="b">
        <v>0</v>
      </c>
      <c r="T705" s="8" t="b">
        <v>0</v>
      </c>
      <c r="U705" s="8" t="b">
        <v>1</v>
      </c>
      <c r="V705" s="8" t="b">
        <v>1</v>
      </c>
      <c r="X705" s="8" t="b">
        <v>0</v>
      </c>
      <c r="Y705" s="8" t="b">
        <v>0</v>
      </c>
      <c r="Z705" s="8" t="b">
        <v>0</v>
      </c>
      <c r="AA705" s="8" t="b">
        <v>0</v>
      </c>
      <c r="AB705" s="8" t="b">
        <v>0</v>
      </c>
      <c r="AC705" s="8" t="b">
        <v>0</v>
      </c>
      <c r="AD705" s="8" t="b">
        <v>0</v>
      </c>
      <c r="AE705" s="8" t="b">
        <v>0</v>
      </c>
      <c r="AF705" s="11" t="s">
        <v>2044</v>
      </c>
      <c r="AG705" s="11" t="b" cm="1">
        <f t="array" ref="AG705">IF(OR(Y705:AA705="TRUE", AE705="true"), "Threatened")</f>
        <v>0</v>
      </c>
      <c r="AH705" s="11" t="s">
        <v>2045</v>
      </c>
      <c r="AI705" s="8" t="b">
        <v>1</v>
      </c>
    </row>
    <row r="706" spans="1:35" ht="31.2">
      <c r="A706" s="8">
        <v>-73.977922829999997</v>
      </c>
      <c r="B706" s="8">
        <v>40.768101969999996</v>
      </c>
      <c r="C706" s="8" t="s">
        <v>2046</v>
      </c>
      <c r="D706" s="8" t="s">
        <v>512</v>
      </c>
      <c r="E706" s="8" t="b">
        <f t="shared" si="10"/>
        <v>0</v>
      </c>
      <c r="F706" s="8" t="str" cm="1">
        <f t="array" ref="F706">_xlfn._xlws.FILTER(E706:E3904, C706:C3904= "6D-PM-1020-01", "No Squirrels Found")</f>
        <v>No Squirrels Found</v>
      </c>
      <c r="G706" s="8" t="s">
        <v>34</v>
      </c>
      <c r="H706" s="10">
        <v>10102018</v>
      </c>
      <c r="I706" s="10">
        <v>1</v>
      </c>
      <c r="J706" s="8" t="s">
        <v>39</v>
      </c>
      <c r="K706" s="8" t="s">
        <v>40</v>
      </c>
      <c r="L706" s="8" t="s">
        <v>41</v>
      </c>
      <c r="M706" s="8" t="s">
        <v>42</v>
      </c>
      <c r="O706" s="8" t="s">
        <v>43</v>
      </c>
      <c r="P706" s="8" t="b">
        <v>0</v>
      </c>
      <c r="R706" s="8" t="b">
        <v>0</v>
      </c>
      <c r="S706" s="8" t="b">
        <v>0</v>
      </c>
      <c r="T706" s="8" t="b">
        <v>0</v>
      </c>
      <c r="U706" s="8" t="b">
        <v>0</v>
      </c>
      <c r="V706" s="8" t="b">
        <v>1</v>
      </c>
      <c r="X706" s="8" t="b">
        <v>0</v>
      </c>
      <c r="Y706" s="8" t="b">
        <v>0</v>
      </c>
      <c r="Z706" s="8" t="b">
        <v>0</v>
      </c>
      <c r="AA706" s="8" t="b">
        <v>0</v>
      </c>
      <c r="AB706" s="8" t="b">
        <v>0</v>
      </c>
      <c r="AC706" s="8" t="b">
        <v>0</v>
      </c>
      <c r="AD706" s="8" t="b">
        <v>0</v>
      </c>
      <c r="AE706" s="8" t="b">
        <v>0</v>
      </c>
      <c r="AG706" s="11" t="b" cm="1">
        <f t="array" ref="AG706">IF(OR(Y706:AA706="TRUE", AE706="true"), "Threatened")</f>
        <v>0</v>
      </c>
      <c r="AH706" s="11" t="s">
        <v>2047</v>
      </c>
      <c r="AI706" s="8" t="b">
        <v>1</v>
      </c>
    </row>
    <row r="707" spans="1:35" ht="31.2">
      <c r="A707" s="8">
        <v>-73.957013259999997</v>
      </c>
      <c r="B707" s="8">
        <v>40.793201420000003</v>
      </c>
      <c r="C707" s="8" t="s">
        <v>2048</v>
      </c>
      <c r="D707" s="8" t="s">
        <v>2049</v>
      </c>
      <c r="E707" s="8" t="b">
        <f t="shared" ref="E707:E770" si="11">OR(D707 = "05D", D707 = "07D", D707 = "06C", D707 = "06E")</f>
        <v>0</v>
      </c>
      <c r="F707" s="8" t="str" cm="1">
        <f t="array" ref="F707">_xlfn._xlws.FILTER(E707:E3905, C707:C3905= "6D-PM-1020-01", "No Squirrels Found")</f>
        <v>No Squirrels Found</v>
      </c>
      <c r="G707" s="8" t="s">
        <v>34</v>
      </c>
      <c r="H707" s="10">
        <v>10122018</v>
      </c>
      <c r="I707" s="10">
        <v>1</v>
      </c>
      <c r="J707" s="8" t="s">
        <v>54</v>
      </c>
      <c r="K707" s="8" t="s">
        <v>40</v>
      </c>
      <c r="L707" s="8" t="s">
        <v>168</v>
      </c>
      <c r="M707" s="8" t="s">
        <v>169</v>
      </c>
      <c r="O707" s="8" t="s">
        <v>43</v>
      </c>
      <c r="P707" s="8" t="b">
        <v>0</v>
      </c>
      <c r="R707" s="8" t="b">
        <v>1</v>
      </c>
      <c r="S707" s="8" t="b">
        <v>0</v>
      </c>
      <c r="T707" s="8" t="b">
        <v>0</v>
      </c>
      <c r="U707" s="8" t="b">
        <v>1</v>
      </c>
      <c r="V707" s="8" t="b">
        <v>1</v>
      </c>
      <c r="X707" s="8" t="b">
        <v>0</v>
      </c>
      <c r="Y707" s="8" t="b">
        <v>0</v>
      </c>
      <c r="Z707" s="8" t="b">
        <v>0</v>
      </c>
      <c r="AA707" s="8" t="b">
        <v>1</v>
      </c>
      <c r="AB707" s="8" t="b">
        <v>0</v>
      </c>
      <c r="AC707" s="8" t="b">
        <v>0</v>
      </c>
      <c r="AD707" s="8" t="b">
        <v>1</v>
      </c>
      <c r="AE707" s="8" t="b">
        <v>1</v>
      </c>
      <c r="AG707" s="11" t="b" cm="1">
        <f t="array" ref="AG707">IF(OR(Y707:AA707="TRUE", AE707="true"), "Threatened")</f>
        <v>0</v>
      </c>
      <c r="AH707" s="11" t="s">
        <v>2050</v>
      </c>
      <c r="AI707" s="8" t="b">
        <v>1</v>
      </c>
    </row>
    <row r="708" spans="1:35" ht="31.2">
      <c r="A708" s="8">
        <v>-73.961547499999995</v>
      </c>
      <c r="B708" s="8">
        <v>40.793156070000002</v>
      </c>
      <c r="C708" s="8" t="s">
        <v>2051</v>
      </c>
      <c r="D708" s="8" t="s">
        <v>931</v>
      </c>
      <c r="E708" s="8" t="b">
        <f t="shared" si="11"/>
        <v>0</v>
      </c>
      <c r="F708" s="8" t="str" cm="1">
        <f t="array" ref="F708">_xlfn._xlws.FILTER(E708:E3906, C708:C3906= "6D-PM-1020-01", "No Squirrels Found")</f>
        <v>No Squirrels Found</v>
      </c>
      <c r="G708" s="8" t="s">
        <v>48</v>
      </c>
      <c r="H708" s="10">
        <v>10102018</v>
      </c>
      <c r="I708" s="10">
        <v>6</v>
      </c>
      <c r="J708" s="8" t="s">
        <v>39</v>
      </c>
      <c r="K708" s="8" t="s">
        <v>40</v>
      </c>
      <c r="M708" s="8" t="s">
        <v>55</v>
      </c>
      <c r="O708" s="8" t="s">
        <v>43</v>
      </c>
      <c r="P708" s="8" t="b">
        <v>0</v>
      </c>
      <c r="R708" s="8" t="b">
        <v>0</v>
      </c>
      <c r="S708" s="8" t="b">
        <v>0</v>
      </c>
      <c r="T708" s="8" t="b">
        <v>0</v>
      </c>
      <c r="U708" s="8" t="b">
        <v>0</v>
      </c>
      <c r="V708" s="8" t="b">
        <v>1</v>
      </c>
      <c r="X708" s="8" t="b">
        <v>0</v>
      </c>
      <c r="Y708" s="8" t="b">
        <v>0</v>
      </c>
      <c r="Z708" s="8" t="b">
        <v>0</v>
      </c>
      <c r="AA708" s="8" t="b">
        <v>0</v>
      </c>
      <c r="AB708" s="8" t="b">
        <v>0</v>
      </c>
      <c r="AC708" s="8" t="b">
        <v>0</v>
      </c>
      <c r="AD708" s="8" t="b">
        <v>1</v>
      </c>
      <c r="AE708" s="8" t="b">
        <v>0</v>
      </c>
      <c r="AG708" s="11" t="b" cm="1">
        <f t="array" ref="AG708">IF(OR(Y708:AA708="TRUE", AE708="true"), "Threatened")</f>
        <v>0</v>
      </c>
      <c r="AH708" s="11" t="s">
        <v>2052</v>
      </c>
      <c r="AI708" s="8" t="b">
        <v>1</v>
      </c>
    </row>
    <row r="709" spans="1:35" ht="31.2">
      <c r="A709" s="8">
        <v>-73.959281950000005</v>
      </c>
      <c r="B709" s="8">
        <v>40.794106200000002</v>
      </c>
      <c r="C709" s="8" t="s">
        <v>2053</v>
      </c>
      <c r="D709" s="8" t="s">
        <v>69</v>
      </c>
      <c r="E709" s="8" t="b">
        <f t="shared" si="11"/>
        <v>0</v>
      </c>
      <c r="F709" s="8" t="str" cm="1">
        <f t="array" ref="F709">_xlfn._xlws.FILTER(E709:E3907, C709:C3907= "6D-PM-1020-01", "No Squirrels Found")</f>
        <v>No Squirrels Found</v>
      </c>
      <c r="G709" s="8" t="s">
        <v>48</v>
      </c>
      <c r="H709" s="10">
        <v>10072018</v>
      </c>
      <c r="I709" s="10">
        <v>6</v>
      </c>
      <c r="J709" s="8" t="s">
        <v>39</v>
      </c>
      <c r="M709" s="8" t="s">
        <v>35</v>
      </c>
      <c r="O709" s="8" t="s">
        <v>50</v>
      </c>
      <c r="P709" s="8">
        <v>30</v>
      </c>
      <c r="R709" s="8" t="b">
        <v>0</v>
      </c>
      <c r="S709" s="8" t="b">
        <v>0</v>
      </c>
      <c r="T709" s="8" t="b">
        <v>1</v>
      </c>
      <c r="U709" s="8" t="b">
        <v>0</v>
      </c>
      <c r="V709" s="8" t="b">
        <v>0</v>
      </c>
      <c r="X709" s="8" t="b">
        <v>0</v>
      </c>
      <c r="Y709" s="8" t="b">
        <v>0</v>
      </c>
      <c r="Z709" s="8" t="b">
        <v>0</v>
      </c>
      <c r="AA709" s="8" t="b">
        <v>0</v>
      </c>
      <c r="AB709" s="8" t="b">
        <v>0</v>
      </c>
      <c r="AC709" s="8" t="b">
        <v>0</v>
      </c>
      <c r="AD709" s="8" t="b">
        <v>0</v>
      </c>
      <c r="AE709" s="8" t="b">
        <v>0</v>
      </c>
      <c r="AG709" s="11" t="b" cm="1">
        <f t="array" ref="AG709">IF(OR(Y709:AA709="TRUE", AE709="true"), "Threatened")</f>
        <v>0</v>
      </c>
      <c r="AH709" s="11" t="s">
        <v>2054</v>
      </c>
      <c r="AI709" s="8" t="b">
        <v>1</v>
      </c>
    </row>
    <row r="710" spans="1:35" ht="31.2">
      <c r="A710" s="8">
        <v>-73.95193879</v>
      </c>
      <c r="B710" s="8">
        <v>40.793627360000002</v>
      </c>
      <c r="C710" s="8" t="s">
        <v>2055</v>
      </c>
      <c r="D710" s="8" t="s">
        <v>2056</v>
      </c>
      <c r="E710" s="8" t="b">
        <f t="shared" si="11"/>
        <v>0</v>
      </c>
      <c r="F710" s="8" t="str" cm="1">
        <f t="array" ref="F710">_xlfn._xlws.FILTER(E710:E3908, C710:C3908= "6D-PM-1020-01", "No Squirrels Found")</f>
        <v>No Squirrels Found</v>
      </c>
      <c r="G710" s="8" t="s">
        <v>34</v>
      </c>
      <c r="H710" s="10">
        <v>10142018</v>
      </c>
      <c r="I710" s="10">
        <v>4</v>
      </c>
      <c r="J710" s="8" t="s">
        <v>39</v>
      </c>
      <c r="K710" s="8" t="s">
        <v>40</v>
      </c>
      <c r="M710" s="8" t="s">
        <v>55</v>
      </c>
      <c r="O710" s="8" t="s">
        <v>43</v>
      </c>
      <c r="P710" s="8" t="b">
        <v>0</v>
      </c>
      <c r="R710" s="8" t="b">
        <v>1</v>
      </c>
      <c r="S710" s="8" t="b">
        <v>0</v>
      </c>
      <c r="T710" s="8" t="b">
        <v>0</v>
      </c>
      <c r="U710" s="8" t="b">
        <v>0</v>
      </c>
      <c r="V710" s="8" t="b">
        <v>0</v>
      </c>
      <c r="X710" s="8" t="b">
        <v>0</v>
      </c>
      <c r="Y710" s="8" t="b">
        <v>0</v>
      </c>
      <c r="Z710" s="8" t="b">
        <v>0</v>
      </c>
      <c r="AA710" s="8" t="b">
        <v>0</v>
      </c>
      <c r="AB710" s="8" t="b">
        <v>0</v>
      </c>
      <c r="AC710" s="8" t="b">
        <v>0</v>
      </c>
      <c r="AD710" s="8" t="b">
        <v>0</v>
      </c>
      <c r="AE710" s="8" t="b">
        <v>0</v>
      </c>
      <c r="AG710" s="11" t="b" cm="1">
        <f t="array" ref="AG710">IF(OR(Y710:AA710="TRUE", AE710="true"), "Threatened")</f>
        <v>0</v>
      </c>
      <c r="AH710" s="11" t="s">
        <v>2057</v>
      </c>
      <c r="AI710" s="8" t="b">
        <v>1</v>
      </c>
    </row>
    <row r="711" spans="1:35" ht="31.2">
      <c r="A711" s="8">
        <v>-73.969556990000001</v>
      </c>
      <c r="B711" s="8">
        <v>40.771206210000003</v>
      </c>
      <c r="C711" s="8" t="s">
        <v>2058</v>
      </c>
      <c r="D711" s="8" t="s">
        <v>2059</v>
      </c>
      <c r="E711" s="8" t="b">
        <f t="shared" si="11"/>
        <v>0</v>
      </c>
      <c r="F711" s="8" t="str" cm="1">
        <f t="array" ref="F711">_xlfn._xlws.FILTER(E711:E3909, C711:C3909= "6D-PM-1020-01", "No Squirrels Found")</f>
        <v>No Squirrels Found</v>
      </c>
      <c r="G711" s="8" t="s">
        <v>34</v>
      </c>
      <c r="H711" s="10">
        <v>10182018</v>
      </c>
      <c r="I711" s="10">
        <v>1</v>
      </c>
      <c r="J711" s="8" t="s">
        <v>39</v>
      </c>
      <c r="K711" s="8" t="s">
        <v>40</v>
      </c>
      <c r="L711" s="8" t="s">
        <v>84</v>
      </c>
      <c r="M711" s="8" t="s">
        <v>103</v>
      </c>
      <c r="O711" s="8" t="s">
        <v>43</v>
      </c>
      <c r="P711" s="8" t="b">
        <v>0</v>
      </c>
      <c r="R711" s="8" t="b">
        <v>0</v>
      </c>
      <c r="S711" s="8" t="b">
        <v>0</v>
      </c>
      <c r="T711" s="8" t="b">
        <v>0</v>
      </c>
      <c r="U711" s="8" t="b">
        <v>0</v>
      </c>
      <c r="V711" s="8" t="b">
        <v>0</v>
      </c>
      <c r="X711" s="8" t="b">
        <v>0</v>
      </c>
      <c r="Y711" s="8" t="b">
        <v>0</v>
      </c>
      <c r="Z711" s="8" t="b">
        <v>0</v>
      </c>
      <c r="AA711" s="8" t="b">
        <v>0</v>
      </c>
      <c r="AB711" s="8" t="b">
        <v>0</v>
      </c>
      <c r="AC711" s="8" t="b">
        <v>0</v>
      </c>
      <c r="AD711" s="8" t="b">
        <v>1</v>
      </c>
      <c r="AE711" s="8" t="b">
        <v>0</v>
      </c>
      <c r="AG711" s="11" t="b" cm="1">
        <f t="array" ref="AG711">IF(OR(Y711:AA711="TRUE", AE711="true"), "Threatened")</f>
        <v>0</v>
      </c>
      <c r="AH711" s="11" t="s">
        <v>2060</v>
      </c>
      <c r="AI711" s="8" t="b">
        <v>1</v>
      </c>
    </row>
    <row r="712" spans="1:35" ht="31.2">
      <c r="A712" s="8">
        <v>-73.976798090000003</v>
      </c>
      <c r="B712" s="8">
        <v>40.774362779999997</v>
      </c>
      <c r="C712" s="8" t="s">
        <v>2061</v>
      </c>
      <c r="D712" s="8" t="s">
        <v>859</v>
      </c>
      <c r="E712" s="8" t="b">
        <f t="shared" si="11"/>
        <v>0</v>
      </c>
      <c r="F712" s="8" t="str" cm="1">
        <f t="array" ref="F712">_xlfn._xlws.FILTER(E712:E3910, C712:C3910= "6D-PM-1020-01", "No Squirrels Found")</f>
        <v>No Squirrels Found</v>
      </c>
      <c r="G712" s="8" t="s">
        <v>34</v>
      </c>
      <c r="H712" s="10">
        <v>10102018</v>
      </c>
      <c r="I712" s="10">
        <v>2</v>
      </c>
      <c r="J712" s="8" t="s">
        <v>39</v>
      </c>
      <c r="M712" s="8" t="s">
        <v>35</v>
      </c>
      <c r="O712" s="8" t="s">
        <v>43</v>
      </c>
      <c r="P712" s="8" t="b">
        <v>0</v>
      </c>
      <c r="R712" s="8" t="b">
        <v>1</v>
      </c>
      <c r="S712" s="8" t="b">
        <v>0</v>
      </c>
      <c r="T712" s="8" t="b">
        <v>0</v>
      </c>
      <c r="U712" s="8" t="b">
        <v>0</v>
      </c>
      <c r="V712" s="8" t="b">
        <v>0</v>
      </c>
      <c r="X712" s="8" t="b">
        <v>0</v>
      </c>
      <c r="Y712" s="8" t="b">
        <v>0</v>
      </c>
      <c r="Z712" s="8" t="b">
        <v>0</v>
      </c>
      <c r="AA712" s="8" t="b">
        <v>0</v>
      </c>
      <c r="AB712" s="8" t="b">
        <v>0</v>
      </c>
      <c r="AC712" s="8" t="b">
        <v>0</v>
      </c>
      <c r="AD712" s="8" t="b">
        <v>1</v>
      </c>
      <c r="AE712" s="8" t="b">
        <v>0</v>
      </c>
      <c r="AG712" s="11" t="b" cm="1">
        <f t="array" ref="AG712">IF(OR(Y712:AA712="TRUE", AE712="true"), "Threatened")</f>
        <v>0</v>
      </c>
      <c r="AH712" s="11" t="s">
        <v>2062</v>
      </c>
      <c r="AI712" s="8" t="b">
        <v>1</v>
      </c>
    </row>
    <row r="713" spans="1:35" ht="31.2">
      <c r="A713" s="8">
        <v>-73.973616989999996</v>
      </c>
      <c r="B713" s="8">
        <v>40.771494220000001</v>
      </c>
      <c r="C713" s="8" t="s">
        <v>2063</v>
      </c>
      <c r="D713" s="8" t="s">
        <v>159</v>
      </c>
      <c r="E713" s="8" t="b">
        <f t="shared" si="11"/>
        <v>0</v>
      </c>
      <c r="F713" s="8" t="str" cm="1">
        <f t="array" ref="F713">_xlfn._xlws.FILTER(E713:E3911, C713:C3911= "6D-PM-1020-01", "No Squirrels Found")</f>
        <v>No Squirrels Found</v>
      </c>
      <c r="G713" s="8" t="s">
        <v>48</v>
      </c>
      <c r="H713" s="10">
        <v>10062018</v>
      </c>
      <c r="I713" s="10">
        <v>6</v>
      </c>
      <c r="J713" s="8" t="s">
        <v>39</v>
      </c>
      <c r="K713" s="8" t="s">
        <v>40</v>
      </c>
      <c r="L713" s="8" t="s">
        <v>41</v>
      </c>
      <c r="M713" s="8" t="s">
        <v>42</v>
      </c>
      <c r="O713" s="8" t="s">
        <v>43</v>
      </c>
      <c r="P713" s="8" t="b">
        <v>0</v>
      </c>
      <c r="R713" s="8" t="b">
        <v>1</v>
      </c>
      <c r="S713" s="8" t="b">
        <v>0</v>
      </c>
      <c r="T713" s="8" t="b">
        <v>0</v>
      </c>
      <c r="U713" s="8" t="b">
        <v>0</v>
      </c>
      <c r="V713" s="8" t="b">
        <v>0</v>
      </c>
      <c r="X713" s="8" t="b">
        <v>0</v>
      </c>
      <c r="Y713" s="8" t="b">
        <v>0</v>
      </c>
      <c r="Z713" s="8" t="b">
        <v>0</v>
      </c>
      <c r="AA713" s="8" t="b">
        <v>0</v>
      </c>
      <c r="AB713" s="8" t="b">
        <v>0</v>
      </c>
      <c r="AC713" s="8" t="b">
        <v>1</v>
      </c>
      <c r="AD713" s="8" t="b">
        <v>0</v>
      </c>
      <c r="AE713" s="8" t="b">
        <v>0</v>
      </c>
      <c r="AG713" s="11" t="b" cm="1">
        <f t="array" ref="AG713">IF(OR(Y713:AA713="TRUE", AE713="true"), "Threatened")</f>
        <v>0</v>
      </c>
      <c r="AH713" s="11" t="s">
        <v>2064</v>
      </c>
      <c r="AI713" s="8" t="b">
        <v>1</v>
      </c>
    </row>
    <row r="714" spans="1:35" ht="31.2">
      <c r="A714" s="8">
        <v>-73.956200809999999</v>
      </c>
      <c r="B714" s="8">
        <v>40.798181450000001</v>
      </c>
      <c r="C714" s="8" t="s">
        <v>2065</v>
      </c>
      <c r="D714" s="8" t="s">
        <v>1248</v>
      </c>
      <c r="E714" s="8" t="b">
        <f t="shared" si="11"/>
        <v>0</v>
      </c>
      <c r="F714" s="8" t="str" cm="1">
        <f t="array" ref="F714">_xlfn._xlws.FILTER(E714:E3912, C714:C3912= "6D-PM-1020-01", "No Squirrels Found")</f>
        <v>No Squirrels Found</v>
      </c>
      <c r="G714" s="8" t="s">
        <v>48</v>
      </c>
      <c r="H714" s="10">
        <v>10172018</v>
      </c>
      <c r="I714" s="10">
        <v>6</v>
      </c>
      <c r="J714" s="8" t="s">
        <v>39</v>
      </c>
      <c r="K714" s="8" t="s">
        <v>40</v>
      </c>
      <c r="L714" s="8" t="s">
        <v>41</v>
      </c>
      <c r="M714" s="8" t="s">
        <v>42</v>
      </c>
      <c r="O714" s="8" t="s">
        <v>43</v>
      </c>
      <c r="P714" s="8" t="b">
        <v>0</v>
      </c>
      <c r="R714" s="8" t="b">
        <v>1</v>
      </c>
      <c r="S714" s="8" t="b">
        <v>0</v>
      </c>
      <c r="T714" s="8" t="b">
        <v>0</v>
      </c>
      <c r="U714" s="8" t="b">
        <v>0</v>
      </c>
      <c r="V714" s="8" t="b">
        <v>0</v>
      </c>
      <c r="X714" s="8" t="b">
        <v>0</v>
      </c>
      <c r="Y714" s="8" t="b">
        <v>0</v>
      </c>
      <c r="Z714" s="8" t="b">
        <v>0</v>
      </c>
      <c r="AA714" s="8" t="b">
        <v>0</v>
      </c>
      <c r="AB714" s="8" t="b">
        <v>0</v>
      </c>
      <c r="AC714" s="8" t="b">
        <v>0</v>
      </c>
      <c r="AD714" s="8" t="b">
        <v>0</v>
      </c>
      <c r="AE714" s="8" t="b">
        <v>1</v>
      </c>
      <c r="AG714" s="11" t="b" cm="1">
        <f t="array" ref="AG714">IF(OR(Y714:AA714="TRUE", AE714="true"), "Threatened")</f>
        <v>0</v>
      </c>
      <c r="AH714" s="11" t="s">
        <v>2066</v>
      </c>
      <c r="AI714" s="8" t="b">
        <v>1</v>
      </c>
    </row>
    <row r="715" spans="1:35" ht="31.2">
      <c r="A715" s="8">
        <v>-73.969158579999998</v>
      </c>
      <c r="B715" s="8">
        <v>40.776340470000001</v>
      </c>
      <c r="C715" s="8" t="s">
        <v>2067</v>
      </c>
      <c r="D715" s="8" t="s">
        <v>239</v>
      </c>
      <c r="E715" s="8" t="b">
        <f t="shared" si="11"/>
        <v>0</v>
      </c>
      <c r="F715" s="8" t="str" cm="1">
        <f t="array" ref="F715">_xlfn._xlws.FILTER(E715:E3913, C715:C3913= "6D-PM-1020-01", "No Squirrels Found")</f>
        <v>No Squirrels Found</v>
      </c>
      <c r="G715" s="8" t="s">
        <v>48</v>
      </c>
      <c r="H715" s="10">
        <v>10072018</v>
      </c>
      <c r="I715" s="10">
        <v>3</v>
      </c>
      <c r="J715" s="8" t="s">
        <v>39</v>
      </c>
      <c r="K715" s="8" t="s">
        <v>40</v>
      </c>
      <c r="L715" s="8" t="s">
        <v>117</v>
      </c>
      <c r="M715" s="8" t="s">
        <v>118</v>
      </c>
      <c r="O715" s="8" t="s">
        <v>43</v>
      </c>
      <c r="P715" s="8" t="b">
        <v>0</v>
      </c>
      <c r="R715" s="8" t="b">
        <v>0</v>
      </c>
      <c r="S715" s="8" t="b">
        <v>0</v>
      </c>
      <c r="T715" s="8" t="b">
        <v>0</v>
      </c>
      <c r="U715" s="8" t="b">
        <v>0</v>
      </c>
      <c r="V715" s="8" t="b">
        <v>1</v>
      </c>
      <c r="X715" s="8" t="b">
        <v>0</v>
      </c>
      <c r="Y715" s="8" t="b">
        <v>0</v>
      </c>
      <c r="Z715" s="8" t="b">
        <v>0</v>
      </c>
      <c r="AA715" s="8" t="b">
        <v>0</v>
      </c>
      <c r="AB715" s="8" t="b">
        <v>0</v>
      </c>
      <c r="AC715" s="8" t="b">
        <v>0</v>
      </c>
      <c r="AD715" s="8" t="b">
        <v>1</v>
      </c>
      <c r="AE715" s="8" t="b">
        <v>0</v>
      </c>
      <c r="AG715" s="11" t="b" cm="1">
        <f t="array" ref="AG715">IF(OR(Y715:AA715="TRUE", AE715="true"), "Threatened")</f>
        <v>0</v>
      </c>
      <c r="AH715" s="11" t="s">
        <v>2068</v>
      </c>
      <c r="AI715" s="8" t="b">
        <v>1</v>
      </c>
    </row>
    <row r="716" spans="1:35" ht="31.2">
      <c r="A716" s="8">
        <v>-73.977202660000003</v>
      </c>
      <c r="B716" s="8">
        <v>40.769159879999997</v>
      </c>
      <c r="C716" s="8" t="s">
        <v>2069</v>
      </c>
      <c r="D716" s="8" t="s">
        <v>544</v>
      </c>
      <c r="E716" s="8" t="b">
        <f t="shared" si="11"/>
        <v>0</v>
      </c>
      <c r="F716" s="8" t="str" cm="1">
        <f t="array" ref="F716">_xlfn._xlws.FILTER(E716:E3914, C716:C3914= "6D-PM-1020-01", "No Squirrels Found")</f>
        <v>No Squirrels Found</v>
      </c>
      <c r="G716" s="8" t="s">
        <v>34</v>
      </c>
      <c r="H716" s="10">
        <v>10082018</v>
      </c>
      <c r="I716" s="10">
        <v>14</v>
      </c>
      <c r="J716" s="8" t="s">
        <v>39</v>
      </c>
      <c r="K716" s="8" t="s">
        <v>41</v>
      </c>
      <c r="L716" s="8" t="s">
        <v>135</v>
      </c>
      <c r="M716" s="8" t="s">
        <v>136</v>
      </c>
      <c r="O716" s="8" t="s">
        <v>43</v>
      </c>
      <c r="P716" s="8" t="b">
        <v>0</v>
      </c>
      <c r="R716" s="8" t="b">
        <v>0</v>
      </c>
      <c r="S716" s="8" t="b">
        <v>0</v>
      </c>
      <c r="T716" s="8" t="b">
        <v>0</v>
      </c>
      <c r="U716" s="8" t="b">
        <v>0</v>
      </c>
      <c r="V716" s="8" t="b">
        <v>1</v>
      </c>
      <c r="X716" s="8" t="b">
        <v>0</v>
      </c>
      <c r="Y716" s="8" t="b">
        <v>0</v>
      </c>
      <c r="Z716" s="8" t="b">
        <v>0</v>
      </c>
      <c r="AA716" s="8" t="b">
        <v>0</v>
      </c>
      <c r="AB716" s="8" t="b">
        <v>0</v>
      </c>
      <c r="AC716" s="8" t="b">
        <v>0</v>
      </c>
      <c r="AD716" s="8" t="b">
        <v>1</v>
      </c>
      <c r="AE716" s="8" t="b">
        <v>0</v>
      </c>
      <c r="AG716" s="11" t="b" cm="1">
        <f t="array" ref="AG716">IF(OR(Y716:AA716="TRUE", AE716="true"), "Threatened")</f>
        <v>0</v>
      </c>
      <c r="AH716" s="11" t="s">
        <v>2070</v>
      </c>
      <c r="AI716" s="8" t="b">
        <v>1</v>
      </c>
    </row>
    <row r="717" spans="1:35" ht="31.2">
      <c r="A717" s="8">
        <v>-73.974542799999995</v>
      </c>
      <c r="B717" s="8">
        <v>40.76918482</v>
      </c>
      <c r="C717" s="8" t="s">
        <v>2071</v>
      </c>
      <c r="D717" s="8" t="s">
        <v>259</v>
      </c>
      <c r="E717" s="8" t="b">
        <f t="shared" si="11"/>
        <v>0</v>
      </c>
      <c r="F717" s="8" t="str" cm="1">
        <f t="array" ref="F717">_xlfn._xlws.FILTER(E717:E3915, C717:C3915= "6D-PM-1020-01", "No Squirrels Found")</f>
        <v>No Squirrels Found</v>
      </c>
      <c r="G717" s="8" t="s">
        <v>48</v>
      </c>
      <c r="H717" s="10">
        <v>10082018</v>
      </c>
      <c r="I717" s="10">
        <v>3</v>
      </c>
      <c r="J717" s="8" t="s">
        <v>39</v>
      </c>
      <c r="K717" s="8" t="s">
        <v>40</v>
      </c>
      <c r="L717" s="8" t="s">
        <v>41</v>
      </c>
      <c r="M717" s="8" t="s">
        <v>42</v>
      </c>
      <c r="O717" s="8" t="s">
        <v>43</v>
      </c>
      <c r="P717" s="8" t="b">
        <v>0</v>
      </c>
      <c r="R717" s="8" t="b">
        <v>1</v>
      </c>
      <c r="S717" s="8" t="b">
        <v>0</v>
      </c>
      <c r="T717" s="8" t="b">
        <v>0</v>
      </c>
      <c r="U717" s="8" t="b">
        <v>0</v>
      </c>
      <c r="V717" s="8" t="b">
        <v>1</v>
      </c>
      <c r="X717" s="8" t="b">
        <v>0</v>
      </c>
      <c r="Y717" s="8" t="b">
        <v>0</v>
      </c>
      <c r="Z717" s="8" t="b">
        <v>0</v>
      </c>
      <c r="AA717" s="8" t="b">
        <v>0</v>
      </c>
      <c r="AB717" s="8" t="b">
        <v>0</v>
      </c>
      <c r="AC717" s="8" t="b">
        <v>0</v>
      </c>
      <c r="AD717" s="8" t="b">
        <v>0</v>
      </c>
      <c r="AE717" s="8" t="b">
        <v>0</v>
      </c>
      <c r="AG717" s="11" t="b" cm="1">
        <f t="array" ref="AG717">IF(OR(Y717:AA717="TRUE", AE717="true"), "Threatened")</f>
        <v>0</v>
      </c>
      <c r="AH717" s="11" t="s">
        <v>2072</v>
      </c>
      <c r="AI717" s="8" t="b">
        <v>1</v>
      </c>
    </row>
    <row r="718" spans="1:35" ht="31.2">
      <c r="A718" s="8">
        <v>-73.957474959999999</v>
      </c>
      <c r="B718" s="8">
        <v>40.798189890000003</v>
      </c>
      <c r="C718" s="8" t="s">
        <v>2073</v>
      </c>
      <c r="D718" s="8" t="s">
        <v>1248</v>
      </c>
      <c r="E718" s="8" t="b">
        <f t="shared" si="11"/>
        <v>0</v>
      </c>
      <c r="F718" s="8" t="str" cm="1">
        <f t="array" ref="F718">_xlfn._xlws.FILTER(E718:E3916, C718:C3916= "6D-PM-1020-01", "No Squirrels Found")</f>
        <v>No Squirrels Found</v>
      </c>
      <c r="G718" s="8" t="s">
        <v>34</v>
      </c>
      <c r="H718" s="10">
        <v>10062018</v>
      </c>
      <c r="I718" s="10">
        <v>8</v>
      </c>
      <c r="J718" s="8" t="s">
        <v>39</v>
      </c>
      <c r="K718" s="8" t="s">
        <v>40</v>
      </c>
      <c r="M718" s="8" t="s">
        <v>55</v>
      </c>
      <c r="O718" s="8" t="s">
        <v>43</v>
      </c>
      <c r="P718" s="8" t="b">
        <v>0</v>
      </c>
      <c r="Q718" s="8" t="s">
        <v>2074</v>
      </c>
      <c r="R718" s="8" t="b">
        <v>1</v>
      </c>
      <c r="S718" s="8" t="b">
        <v>0</v>
      </c>
      <c r="T718" s="8" t="b">
        <v>0</v>
      </c>
      <c r="U718" s="8" t="b">
        <v>0</v>
      </c>
      <c r="V718" s="8" t="b">
        <v>0</v>
      </c>
      <c r="X718" s="8" t="b">
        <v>0</v>
      </c>
      <c r="Y718" s="8" t="b">
        <v>0</v>
      </c>
      <c r="Z718" s="8" t="b">
        <v>0</v>
      </c>
      <c r="AA718" s="8" t="b">
        <v>0</v>
      </c>
      <c r="AB718" s="8" t="b">
        <v>0</v>
      </c>
      <c r="AC718" s="8" t="b">
        <v>0</v>
      </c>
      <c r="AD718" s="8" t="b">
        <v>0</v>
      </c>
      <c r="AE718" s="8" t="b">
        <v>1</v>
      </c>
      <c r="AG718" s="11" t="b" cm="1">
        <f t="array" ref="AG718">IF(OR(Y718:AA718="TRUE", AE718="true"), "Threatened")</f>
        <v>0</v>
      </c>
      <c r="AH718" s="11" t="s">
        <v>2075</v>
      </c>
      <c r="AI718" s="8" t="b">
        <v>1</v>
      </c>
    </row>
    <row r="719" spans="1:35" ht="31.2">
      <c r="A719" s="8">
        <v>-73.966169449999995</v>
      </c>
      <c r="B719" s="8">
        <v>40.77575306</v>
      </c>
      <c r="C719" s="8" t="s">
        <v>2076</v>
      </c>
      <c r="D719" s="8" t="s">
        <v>672</v>
      </c>
      <c r="E719" s="8" t="b">
        <f t="shared" si="11"/>
        <v>0</v>
      </c>
      <c r="F719" s="8" t="str" cm="1">
        <f t="array" ref="F719">_xlfn._xlws.FILTER(E719:E3917, C719:C3917= "6D-PM-1020-01", "No Squirrels Found")</f>
        <v>No Squirrels Found</v>
      </c>
      <c r="G719" s="8" t="s">
        <v>34</v>
      </c>
      <c r="H719" s="10">
        <v>10082018</v>
      </c>
      <c r="I719" s="10">
        <v>7</v>
      </c>
      <c r="J719" s="8" t="s">
        <v>39</v>
      </c>
      <c r="K719" s="8" t="s">
        <v>40</v>
      </c>
      <c r="L719" s="8" t="s">
        <v>41</v>
      </c>
      <c r="M719" s="8" t="s">
        <v>42</v>
      </c>
      <c r="O719" s="8" t="s">
        <v>43</v>
      </c>
      <c r="P719" s="8" t="b">
        <v>0</v>
      </c>
      <c r="Q719" s="8" t="s">
        <v>2077</v>
      </c>
      <c r="R719" s="8" t="b">
        <v>0</v>
      </c>
      <c r="S719" s="8" t="b">
        <v>0</v>
      </c>
      <c r="T719" s="8" t="b">
        <v>0</v>
      </c>
      <c r="U719" s="8" t="b">
        <v>1</v>
      </c>
      <c r="V719" s="8" t="b">
        <v>1</v>
      </c>
      <c r="X719" s="8" t="b">
        <v>0</v>
      </c>
      <c r="Y719" s="8" t="b">
        <v>0</v>
      </c>
      <c r="Z719" s="8" t="b">
        <v>0</v>
      </c>
      <c r="AA719" s="8" t="b">
        <v>0</v>
      </c>
      <c r="AB719" s="8" t="b">
        <v>0</v>
      </c>
      <c r="AC719" s="8" t="b">
        <v>0</v>
      </c>
      <c r="AD719" s="8" t="b">
        <v>1</v>
      </c>
      <c r="AE719" s="8" t="b">
        <v>0</v>
      </c>
      <c r="AG719" s="11" t="b" cm="1">
        <f t="array" ref="AG719">IF(OR(Y719:AA719="TRUE", AE719="true"), "Threatened")</f>
        <v>0</v>
      </c>
      <c r="AH719" s="11" t="s">
        <v>2078</v>
      </c>
      <c r="AI719" s="8" t="b">
        <v>1</v>
      </c>
    </row>
    <row r="720" spans="1:35" ht="31.2">
      <c r="A720" s="8">
        <v>-73.962688119999996</v>
      </c>
      <c r="B720" s="8">
        <v>40.790520829999998</v>
      </c>
      <c r="C720" s="8" t="s">
        <v>2079</v>
      </c>
      <c r="D720" s="8" t="s">
        <v>2080</v>
      </c>
      <c r="E720" s="8" t="b">
        <f t="shared" si="11"/>
        <v>0</v>
      </c>
      <c r="F720" s="8" t="str" cm="1">
        <f t="array" ref="F720">_xlfn._xlws.FILTER(E720:E3918, C720:C3918= "6D-PM-1020-01", "No Squirrels Found")</f>
        <v>No Squirrels Found</v>
      </c>
      <c r="G720" s="8" t="s">
        <v>48</v>
      </c>
      <c r="H720" s="10">
        <v>10142018</v>
      </c>
      <c r="I720" s="10">
        <v>1</v>
      </c>
      <c r="J720" s="8" t="s">
        <v>39</v>
      </c>
      <c r="K720" s="8" t="s">
        <v>40</v>
      </c>
      <c r="L720" s="8" t="s">
        <v>41</v>
      </c>
      <c r="M720" s="8" t="s">
        <v>42</v>
      </c>
      <c r="O720" s="8" t="s">
        <v>43</v>
      </c>
      <c r="P720" s="8" t="b">
        <v>0</v>
      </c>
      <c r="R720" s="8" t="b">
        <v>0</v>
      </c>
      <c r="S720" s="8" t="b">
        <v>0</v>
      </c>
      <c r="T720" s="8" t="b">
        <v>0</v>
      </c>
      <c r="U720" s="8" t="b">
        <v>1</v>
      </c>
      <c r="V720" s="8" t="b">
        <v>1</v>
      </c>
      <c r="X720" s="8" t="b">
        <v>0</v>
      </c>
      <c r="Y720" s="8" t="b">
        <v>0</v>
      </c>
      <c r="Z720" s="8" t="b">
        <v>0</v>
      </c>
      <c r="AA720" s="8" t="b">
        <v>0</v>
      </c>
      <c r="AB720" s="8" t="b">
        <v>1</v>
      </c>
      <c r="AC720" s="8" t="b">
        <v>0</v>
      </c>
      <c r="AD720" s="8" t="b">
        <v>1</v>
      </c>
      <c r="AE720" s="8" t="b">
        <v>0</v>
      </c>
      <c r="AG720" s="11" t="b" cm="1">
        <f t="array" ref="AG720">IF(OR(Y720:AA720="TRUE", AE720="true"), "Threatened")</f>
        <v>0</v>
      </c>
      <c r="AH720" s="11" t="s">
        <v>2081</v>
      </c>
      <c r="AI720" s="8" t="b">
        <v>1</v>
      </c>
    </row>
    <row r="721" spans="1:35" ht="31.2">
      <c r="A721" s="8">
        <v>-73.966981430000004</v>
      </c>
      <c r="B721" s="8">
        <v>40.780390920000002</v>
      </c>
      <c r="C721" s="8" t="s">
        <v>2082</v>
      </c>
      <c r="D721" s="8" t="s">
        <v>2083</v>
      </c>
      <c r="E721" s="8" t="b">
        <f t="shared" si="11"/>
        <v>0</v>
      </c>
      <c r="F721" s="8" t="str" cm="1">
        <f t="array" ref="F721">_xlfn._xlws.FILTER(E721:E3919, C721:C3919= "6D-PM-1020-01", "No Squirrels Found")</f>
        <v>No Squirrels Found</v>
      </c>
      <c r="G721" s="8" t="s">
        <v>34</v>
      </c>
      <c r="H721" s="10">
        <v>10182018</v>
      </c>
      <c r="I721" s="10">
        <v>1</v>
      </c>
      <c r="J721" s="8" t="s">
        <v>39</v>
      </c>
      <c r="K721" s="8" t="s">
        <v>40</v>
      </c>
      <c r="L721" s="8" t="s">
        <v>41</v>
      </c>
      <c r="M721" s="8" t="s">
        <v>42</v>
      </c>
      <c r="O721" s="8" t="s">
        <v>43</v>
      </c>
      <c r="P721" s="8" t="b">
        <v>0</v>
      </c>
      <c r="R721" s="8" t="b">
        <v>1</v>
      </c>
      <c r="S721" s="8" t="b">
        <v>0</v>
      </c>
      <c r="T721" s="8" t="b">
        <v>0</v>
      </c>
      <c r="U721" s="8" t="b">
        <v>0</v>
      </c>
      <c r="V721" s="8" t="b">
        <v>0</v>
      </c>
      <c r="X721" s="8" t="b">
        <v>0</v>
      </c>
      <c r="Y721" s="8" t="b">
        <v>0</v>
      </c>
      <c r="Z721" s="8" t="b">
        <v>0</v>
      </c>
      <c r="AA721" s="8" t="b">
        <v>0</v>
      </c>
      <c r="AB721" s="8" t="b">
        <v>1</v>
      </c>
      <c r="AC721" s="8" t="b">
        <v>0</v>
      </c>
      <c r="AD721" s="8" t="b">
        <v>0</v>
      </c>
      <c r="AE721" s="8" t="b">
        <v>1</v>
      </c>
      <c r="AG721" s="11" t="b" cm="1">
        <f t="array" ref="AG721">IF(OR(Y721:AA721="TRUE", AE721="true"), "Threatened")</f>
        <v>0</v>
      </c>
      <c r="AH721" s="11" t="s">
        <v>2084</v>
      </c>
      <c r="AI721" s="8" t="b">
        <v>1</v>
      </c>
    </row>
    <row r="722" spans="1:35" ht="31.2">
      <c r="A722" s="8">
        <v>-73.971826199999995</v>
      </c>
      <c r="B722" s="8">
        <v>40.766677180000002</v>
      </c>
      <c r="C722" s="8" t="s">
        <v>2085</v>
      </c>
      <c r="D722" s="8" t="s">
        <v>1243</v>
      </c>
      <c r="E722" s="8" t="b">
        <f t="shared" si="11"/>
        <v>0</v>
      </c>
      <c r="F722" s="8" t="str" cm="1">
        <f t="array" ref="F722">_xlfn._xlws.FILTER(E722:E3920, C722:C3920= "6D-PM-1020-01", "No Squirrels Found")</f>
        <v>No Squirrels Found</v>
      </c>
      <c r="G722" s="8" t="s">
        <v>34</v>
      </c>
      <c r="H722" s="10">
        <v>10072018</v>
      </c>
      <c r="I722" s="10">
        <v>2</v>
      </c>
      <c r="J722" s="8" t="s">
        <v>39</v>
      </c>
      <c r="K722" s="8" t="s">
        <v>192</v>
      </c>
      <c r="M722" s="8" t="s">
        <v>193</v>
      </c>
      <c r="O722" s="8" t="s">
        <v>43</v>
      </c>
      <c r="P722" s="8" t="b">
        <v>0</v>
      </c>
      <c r="R722" s="8" t="b">
        <v>0</v>
      </c>
      <c r="S722" s="8" t="b">
        <v>1</v>
      </c>
      <c r="T722" s="8" t="b">
        <v>0</v>
      </c>
      <c r="U722" s="8" t="b">
        <v>0</v>
      </c>
      <c r="V722" s="8" t="b">
        <v>0</v>
      </c>
      <c r="X722" s="8" t="b">
        <v>0</v>
      </c>
      <c r="Y722" s="8" t="b">
        <v>0</v>
      </c>
      <c r="Z722" s="8" t="b">
        <v>0</v>
      </c>
      <c r="AA722" s="8" t="b">
        <v>0</v>
      </c>
      <c r="AB722" s="8" t="b">
        <v>0</v>
      </c>
      <c r="AC722" s="8" t="b">
        <v>0</v>
      </c>
      <c r="AD722" s="8" t="b">
        <v>0</v>
      </c>
      <c r="AE722" s="8" t="b">
        <v>0</v>
      </c>
      <c r="AG722" s="11" t="b" cm="1">
        <f t="array" ref="AG722">IF(OR(Y722:AA722="TRUE", AE722="true"), "Threatened")</f>
        <v>0</v>
      </c>
      <c r="AH722" s="11" t="s">
        <v>2086</v>
      </c>
      <c r="AI722" s="8" t="b">
        <v>1</v>
      </c>
    </row>
    <row r="723" spans="1:35" ht="31.2">
      <c r="A723" s="8">
        <v>-73.974595370000003</v>
      </c>
      <c r="B723" s="8">
        <v>40.772828400000002</v>
      </c>
      <c r="C723" s="8" t="s">
        <v>2087</v>
      </c>
      <c r="D723" s="8" t="s">
        <v>2088</v>
      </c>
      <c r="E723" s="8" t="b">
        <f t="shared" si="11"/>
        <v>0</v>
      </c>
      <c r="F723" s="8" t="str" cm="1">
        <f t="array" ref="F723">_xlfn._xlws.FILTER(E723:E3921, C723:C3921= "6D-PM-1020-01", "No Squirrels Found")</f>
        <v>No Squirrels Found</v>
      </c>
      <c r="G723" s="8" t="s">
        <v>48</v>
      </c>
      <c r="H723" s="10">
        <v>10072018</v>
      </c>
      <c r="I723" s="10">
        <v>7</v>
      </c>
      <c r="J723" s="8" t="s">
        <v>39</v>
      </c>
      <c r="K723" s="8" t="s">
        <v>40</v>
      </c>
      <c r="L723" s="8" t="s">
        <v>41</v>
      </c>
      <c r="M723" s="8" t="s">
        <v>42</v>
      </c>
      <c r="O723" s="8" t="s">
        <v>43</v>
      </c>
      <c r="P723" s="8" t="b">
        <v>0</v>
      </c>
      <c r="R723" s="8" t="b">
        <v>0</v>
      </c>
      <c r="S723" s="8" t="b">
        <v>0</v>
      </c>
      <c r="T723" s="8" t="b">
        <v>0</v>
      </c>
      <c r="U723" s="8" t="b">
        <v>1</v>
      </c>
      <c r="V723" s="8" t="b">
        <v>0</v>
      </c>
      <c r="X723" s="8" t="b">
        <v>0</v>
      </c>
      <c r="Y723" s="8" t="b">
        <v>0</v>
      </c>
      <c r="Z723" s="8" t="b">
        <v>0</v>
      </c>
      <c r="AA723" s="8" t="b">
        <v>0</v>
      </c>
      <c r="AB723" s="8" t="b">
        <v>0</v>
      </c>
      <c r="AC723" s="8" t="b">
        <v>0</v>
      </c>
      <c r="AD723" s="8" t="b">
        <v>0</v>
      </c>
      <c r="AE723" s="8" t="b">
        <v>0</v>
      </c>
      <c r="AG723" s="11" t="b" cm="1">
        <f t="array" ref="AG723">IF(OR(Y723:AA723="TRUE", AE723="true"), "Threatened")</f>
        <v>0</v>
      </c>
      <c r="AH723" s="11" t="s">
        <v>2089</v>
      </c>
      <c r="AI723" s="8" t="b">
        <v>1</v>
      </c>
    </row>
    <row r="724" spans="1:35" ht="31.2">
      <c r="A724" s="8">
        <v>-73.965439750000002</v>
      </c>
      <c r="B724" s="8">
        <v>40.779886349999998</v>
      </c>
      <c r="C724" s="8" t="s">
        <v>2090</v>
      </c>
      <c r="D724" s="8" t="s">
        <v>1035</v>
      </c>
      <c r="E724" s="8" t="b">
        <f t="shared" si="11"/>
        <v>0</v>
      </c>
      <c r="F724" s="8" t="str" cm="1">
        <f t="array" ref="F724">_xlfn._xlws.FILTER(E724:E3922, C724:C3922= "6D-PM-1020-01", "No Squirrels Found")</f>
        <v>No Squirrels Found</v>
      </c>
      <c r="G724" s="8" t="s">
        <v>34</v>
      </c>
      <c r="H724" s="10">
        <v>10172018</v>
      </c>
      <c r="I724" s="10">
        <v>3</v>
      </c>
      <c r="J724" s="8" t="s">
        <v>39</v>
      </c>
      <c r="K724" s="8" t="s">
        <v>41</v>
      </c>
      <c r="L724" s="8" t="s">
        <v>40</v>
      </c>
      <c r="M724" s="8" t="s">
        <v>110</v>
      </c>
      <c r="O724" s="8" t="s">
        <v>43</v>
      </c>
      <c r="P724" s="8" t="b">
        <v>0</v>
      </c>
      <c r="R724" s="8" t="b">
        <v>0</v>
      </c>
      <c r="S724" s="8" t="b">
        <v>0</v>
      </c>
      <c r="T724" s="8" t="b">
        <v>0</v>
      </c>
      <c r="U724" s="8" t="b">
        <v>1</v>
      </c>
      <c r="V724" s="8" t="b">
        <v>1</v>
      </c>
      <c r="X724" s="8" t="b">
        <v>0</v>
      </c>
      <c r="Y724" s="8" t="b">
        <v>0</v>
      </c>
      <c r="Z724" s="8" t="b">
        <v>0</v>
      </c>
      <c r="AA724" s="8" t="b">
        <v>0</v>
      </c>
      <c r="AB724" s="8" t="b">
        <v>0</v>
      </c>
      <c r="AC724" s="8" t="b">
        <v>1</v>
      </c>
      <c r="AD724" s="8" t="b">
        <v>0</v>
      </c>
      <c r="AE724" s="8" t="b">
        <v>0</v>
      </c>
      <c r="AG724" s="11" t="b" cm="1">
        <f t="array" ref="AG724">IF(OR(Y724:AA724="TRUE", AE724="true"), "Threatened")</f>
        <v>0</v>
      </c>
      <c r="AH724" s="11" t="s">
        <v>2091</v>
      </c>
      <c r="AI724" s="8" t="b">
        <v>1</v>
      </c>
    </row>
    <row r="725" spans="1:35" ht="31.2">
      <c r="A725" s="8">
        <v>-73.953295280000006</v>
      </c>
      <c r="B725" s="8">
        <v>40.79200745</v>
      </c>
      <c r="C725" s="8" t="s">
        <v>2092</v>
      </c>
      <c r="D725" s="8" t="s">
        <v>106</v>
      </c>
      <c r="E725" s="8" t="b">
        <f t="shared" si="11"/>
        <v>0</v>
      </c>
      <c r="F725" s="8" t="str" cm="1">
        <f t="array" ref="F725">_xlfn._xlws.FILTER(E725:E3923, C725:C3923= "6D-PM-1020-01", "No Squirrels Found")</f>
        <v>No Squirrels Found</v>
      </c>
      <c r="G725" s="8" t="s">
        <v>48</v>
      </c>
      <c r="H725" s="10">
        <v>10172018</v>
      </c>
      <c r="I725" s="10">
        <v>8</v>
      </c>
      <c r="J725" s="8" t="s">
        <v>39</v>
      </c>
      <c r="K725" s="8" t="s">
        <v>40</v>
      </c>
      <c r="M725" s="8" t="s">
        <v>55</v>
      </c>
      <c r="O725" s="8" t="s">
        <v>43</v>
      </c>
      <c r="P725" s="8" t="b">
        <v>0</v>
      </c>
      <c r="R725" s="8" t="b">
        <v>0</v>
      </c>
      <c r="S725" s="8" t="b">
        <v>1</v>
      </c>
      <c r="T725" s="8" t="b">
        <v>0</v>
      </c>
      <c r="U725" s="8" t="b">
        <v>0</v>
      </c>
      <c r="V725" s="8" t="b">
        <v>0</v>
      </c>
      <c r="W725" s="11" t="s">
        <v>2093</v>
      </c>
      <c r="X725" s="8" t="b">
        <v>0</v>
      </c>
      <c r="Y725" s="8" t="b">
        <v>0</v>
      </c>
      <c r="Z725" s="8" t="b">
        <v>0</v>
      </c>
      <c r="AA725" s="8" t="b">
        <v>0</v>
      </c>
      <c r="AB725" s="8" t="b">
        <v>1</v>
      </c>
      <c r="AC725" s="8" t="b">
        <v>0</v>
      </c>
      <c r="AD725" s="8" t="b">
        <v>0</v>
      </c>
      <c r="AE725" s="8" t="b">
        <v>1</v>
      </c>
      <c r="AF725" s="11" t="s">
        <v>782</v>
      </c>
      <c r="AG725" s="11" t="b" cm="1">
        <f t="array" ref="AG725">IF(OR(Y725:AA725="TRUE", AE725="true"), "Threatened")</f>
        <v>0</v>
      </c>
      <c r="AH725" s="11" t="s">
        <v>2094</v>
      </c>
      <c r="AI725" s="8" t="b">
        <v>0</v>
      </c>
    </row>
    <row r="726" spans="1:35" ht="31.2">
      <c r="A726" s="8">
        <v>-73.968962779999998</v>
      </c>
      <c r="B726" s="8">
        <v>40.776062000000003</v>
      </c>
      <c r="C726" s="8" t="s">
        <v>2095</v>
      </c>
      <c r="D726" s="8" t="s">
        <v>239</v>
      </c>
      <c r="E726" s="8" t="b">
        <f t="shared" si="11"/>
        <v>0</v>
      </c>
      <c r="F726" s="8" t="str" cm="1">
        <f t="array" ref="F726">_xlfn._xlws.FILTER(E726:E3924, C726:C3924= "6D-PM-1020-01", "No Squirrels Found")</f>
        <v>No Squirrels Found</v>
      </c>
      <c r="G726" s="8" t="s">
        <v>48</v>
      </c>
      <c r="H726" s="10">
        <v>10072018</v>
      </c>
      <c r="I726" s="10">
        <v>6</v>
      </c>
      <c r="J726" s="8" t="s">
        <v>54</v>
      </c>
      <c r="K726" s="8" t="s">
        <v>40</v>
      </c>
      <c r="L726" s="8" t="s">
        <v>117</v>
      </c>
      <c r="M726" s="8" t="s">
        <v>118</v>
      </c>
      <c r="O726" s="8" t="s">
        <v>43</v>
      </c>
      <c r="P726" s="8" t="b">
        <v>0</v>
      </c>
      <c r="R726" s="8" t="b">
        <v>0</v>
      </c>
      <c r="S726" s="8" t="b">
        <v>1</v>
      </c>
      <c r="T726" s="8" t="b">
        <v>0</v>
      </c>
      <c r="U726" s="8" t="b">
        <v>0</v>
      </c>
      <c r="V726" s="8" t="b">
        <v>0</v>
      </c>
      <c r="X726" s="8" t="b">
        <v>0</v>
      </c>
      <c r="Y726" s="8" t="b">
        <v>0</v>
      </c>
      <c r="Z726" s="8" t="b">
        <v>0</v>
      </c>
      <c r="AA726" s="8" t="b">
        <v>0</v>
      </c>
      <c r="AB726" s="8" t="b">
        <v>0</v>
      </c>
      <c r="AC726" s="8" t="b">
        <v>0</v>
      </c>
      <c r="AD726" s="8" t="b">
        <v>1</v>
      </c>
      <c r="AE726" s="8" t="b">
        <v>0</v>
      </c>
      <c r="AG726" s="11" t="b" cm="1">
        <f t="array" ref="AG726">IF(OR(Y726:AA726="TRUE", AE726="true"), "Threatened")</f>
        <v>0</v>
      </c>
      <c r="AH726" s="11" t="s">
        <v>2096</v>
      </c>
      <c r="AI726" s="8" t="b">
        <v>1</v>
      </c>
    </row>
    <row r="727" spans="1:35" ht="31.2">
      <c r="A727" s="8">
        <v>-73.973305699999997</v>
      </c>
      <c r="B727" s="8">
        <v>40.778382329999999</v>
      </c>
      <c r="C727" s="8" t="s">
        <v>2097</v>
      </c>
      <c r="D727" s="8" t="s">
        <v>797</v>
      </c>
      <c r="E727" s="8" t="b">
        <f t="shared" si="11"/>
        <v>0</v>
      </c>
      <c r="F727" s="8" t="str" cm="1">
        <f t="array" ref="F727">_xlfn._xlws.FILTER(E727:E3925, C727:C3925= "6D-PM-1020-01", "No Squirrels Found")</f>
        <v>No Squirrels Found</v>
      </c>
      <c r="G727" s="8" t="s">
        <v>34</v>
      </c>
      <c r="H727" s="10">
        <v>10142018</v>
      </c>
      <c r="I727" s="10">
        <v>6</v>
      </c>
      <c r="J727" s="8" t="s">
        <v>39</v>
      </c>
      <c r="K727" s="8" t="s">
        <v>40</v>
      </c>
      <c r="L727" s="8" t="s">
        <v>117</v>
      </c>
      <c r="M727" s="8" t="s">
        <v>118</v>
      </c>
      <c r="O727" s="8" t="s">
        <v>50</v>
      </c>
      <c r="P727" s="8">
        <v>9</v>
      </c>
      <c r="R727" s="8" t="b">
        <v>0</v>
      </c>
      <c r="S727" s="8" t="b">
        <v>0</v>
      </c>
      <c r="T727" s="8" t="b">
        <v>1</v>
      </c>
      <c r="U727" s="8" t="b">
        <v>0</v>
      </c>
      <c r="V727" s="8" t="b">
        <v>0</v>
      </c>
      <c r="X727" s="8" t="b">
        <v>0</v>
      </c>
      <c r="Y727" s="8" t="b">
        <v>0</v>
      </c>
      <c r="Z727" s="8" t="b">
        <v>0</v>
      </c>
      <c r="AA727" s="8" t="b">
        <v>0</v>
      </c>
      <c r="AB727" s="8" t="b">
        <v>0</v>
      </c>
      <c r="AC727" s="8" t="b">
        <v>0</v>
      </c>
      <c r="AD727" s="8" t="b">
        <v>0</v>
      </c>
      <c r="AE727" s="8" t="b">
        <v>1</v>
      </c>
      <c r="AG727" s="11" t="b" cm="1">
        <f t="array" ref="AG727">IF(OR(Y727:AA727="TRUE", AE727="true"), "Threatened")</f>
        <v>0</v>
      </c>
      <c r="AH727" s="11" t="s">
        <v>2098</v>
      </c>
      <c r="AI727" s="8" t="b">
        <v>1</v>
      </c>
    </row>
    <row r="728" spans="1:35" ht="31.2">
      <c r="A728" s="8">
        <v>-73.963456320000006</v>
      </c>
      <c r="B728" s="8">
        <v>40.780992840000003</v>
      </c>
      <c r="C728" s="8" t="s">
        <v>2099</v>
      </c>
      <c r="D728" s="8" t="s">
        <v>358</v>
      </c>
      <c r="E728" s="8" t="b">
        <f t="shared" si="11"/>
        <v>0</v>
      </c>
      <c r="F728" s="8" t="str" cm="1">
        <f t="array" ref="F728">_xlfn._xlws.FILTER(E728:E3926, C728:C3926= "6D-PM-1020-01", "No Squirrels Found")</f>
        <v>No Squirrels Found</v>
      </c>
      <c r="G728" s="8" t="s">
        <v>34</v>
      </c>
      <c r="H728" s="10">
        <v>10072018</v>
      </c>
      <c r="I728" s="10">
        <v>4</v>
      </c>
      <c r="K728" s="8" t="s">
        <v>40</v>
      </c>
      <c r="L728" s="8" t="s">
        <v>41</v>
      </c>
      <c r="M728" s="8" t="s">
        <v>42</v>
      </c>
      <c r="O728" s="8" t="s">
        <v>43</v>
      </c>
      <c r="P728" s="8" t="b">
        <v>0</v>
      </c>
      <c r="R728" s="8" t="b">
        <v>0</v>
      </c>
      <c r="S728" s="8" t="b">
        <v>0</v>
      </c>
      <c r="T728" s="8" t="b">
        <v>0</v>
      </c>
      <c r="U728" s="8" t="b">
        <v>1</v>
      </c>
      <c r="V728" s="8" t="b">
        <v>0</v>
      </c>
      <c r="X728" s="8" t="b">
        <v>0</v>
      </c>
      <c r="Y728" s="8" t="b">
        <v>0</v>
      </c>
      <c r="Z728" s="8" t="b">
        <v>0</v>
      </c>
      <c r="AA728" s="8" t="b">
        <v>1</v>
      </c>
      <c r="AB728" s="8" t="b">
        <v>0</v>
      </c>
      <c r="AC728" s="8" t="b">
        <v>0</v>
      </c>
      <c r="AD728" s="8" t="b">
        <v>0</v>
      </c>
      <c r="AE728" s="8" t="b">
        <v>1</v>
      </c>
      <c r="AG728" s="11" t="b" cm="1">
        <f t="array" ref="AG728">IF(OR(Y728:AA728="TRUE", AE728="true"), "Threatened")</f>
        <v>0</v>
      </c>
      <c r="AH728" s="11" t="s">
        <v>2100</v>
      </c>
      <c r="AI728" s="8" t="b">
        <v>1</v>
      </c>
    </row>
    <row r="729" spans="1:35" ht="31.2">
      <c r="A729" s="8">
        <v>-73.960291310000002</v>
      </c>
      <c r="B729" s="8">
        <v>40.791063579999999</v>
      </c>
      <c r="C729" s="8" t="s">
        <v>2101</v>
      </c>
      <c r="D729" s="8" t="s">
        <v>309</v>
      </c>
      <c r="E729" s="8" t="b">
        <f t="shared" si="11"/>
        <v>0</v>
      </c>
      <c r="F729" s="8" t="str" cm="1">
        <f t="array" ref="F729">_xlfn._xlws.FILTER(E729:E3927, C729:C3927= "6D-PM-1020-01", "No Squirrels Found")</f>
        <v>No Squirrels Found</v>
      </c>
      <c r="G729" s="8" t="s">
        <v>34</v>
      </c>
      <c r="H729" s="10">
        <v>10062018</v>
      </c>
      <c r="I729" s="10">
        <v>3</v>
      </c>
      <c r="J729" s="8" t="s">
        <v>39</v>
      </c>
      <c r="K729" s="8" t="s">
        <v>40</v>
      </c>
      <c r="L729" s="8" t="s">
        <v>117</v>
      </c>
      <c r="M729" s="8" t="s">
        <v>118</v>
      </c>
      <c r="O729" s="8" t="s">
        <v>50</v>
      </c>
      <c r="P729" s="8">
        <v>40</v>
      </c>
      <c r="R729" s="8" t="b">
        <v>0</v>
      </c>
      <c r="S729" s="8" t="b">
        <v>0</v>
      </c>
      <c r="T729" s="8" t="b">
        <v>0</v>
      </c>
      <c r="U729" s="8" t="b">
        <v>1</v>
      </c>
      <c r="V729" s="8" t="b">
        <v>0</v>
      </c>
      <c r="X729" s="8" t="b">
        <v>0</v>
      </c>
      <c r="Y729" s="8" t="b">
        <v>0</v>
      </c>
      <c r="Z729" s="8" t="b">
        <v>0</v>
      </c>
      <c r="AA729" s="8" t="b">
        <v>0</v>
      </c>
      <c r="AB729" s="8" t="b">
        <v>1</v>
      </c>
      <c r="AC729" s="8" t="b">
        <v>0</v>
      </c>
      <c r="AD729" s="8" t="b">
        <v>1</v>
      </c>
      <c r="AE729" s="8" t="b">
        <v>0</v>
      </c>
      <c r="AG729" s="11" t="b" cm="1">
        <f t="array" ref="AG729">IF(OR(Y729:AA729="TRUE", AE729="true"), "Threatened")</f>
        <v>0</v>
      </c>
      <c r="AH729" s="11" t="s">
        <v>2102</v>
      </c>
      <c r="AI729" s="8" t="b">
        <v>1</v>
      </c>
    </row>
    <row r="730" spans="1:35" ht="31.2">
      <c r="A730" s="8">
        <v>-73.977604459999995</v>
      </c>
      <c r="B730" s="8">
        <v>40.769760730000002</v>
      </c>
      <c r="C730" s="8" t="s">
        <v>2103</v>
      </c>
      <c r="D730" s="8" t="s">
        <v>1586</v>
      </c>
      <c r="E730" s="8" t="b">
        <f t="shared" si="11"/>
        <v>0</v>
      </c>
      <c r="F730" s="8" t="str" cm="1">
        <f t="array" ref="F730">_xlfn._xlws.FILTER(E730:E3928, C730:C3928= "6D-PM-1020-01", "No Squirrels Found")</f>
        <v>No Squirrels Found</v>
      </c>
      <c r="G730" s="8" t="s">
        <v>34</v>
      </c>
      <c r="H730" s="10">
        <v>10102018</v>
      </c>
      <c r="I730" s="10">
        <v>15</v>
      </c>
      <c r="J730" s="8" t="s">
        <v>54</v>
      </c>
      <c r="K730" s="8" t="s">
        <v>40</v>
      </c>
      <c r="L730" s="8" t="s">
        <v>41</v>
      </c>
      <c r="M730" s="8" t="s">
        <v>42</v>
      </c>
      <c r="O730" s="8" t="s">
        <v>50</v>
      </c>
      <c r="Q730" s="8" t="s">
        <v>2104</v>
      </c>
      <c r="R730" s="8" t="b">
        <v>0</v>
      </c>
      <c r="S730" s="8" t="b">
        <v>1</v>
      </c>
      <c r="T730" s="8" t="b">
        <v>0</v>
      </c>
      <c r="U730" s="8" t="b">
        <v>0</v>
      </c>
      <c r="V730" s="8" t="b">
        <v>0</v>
      </c>
      <c r="W730" s="11" t="s">
        <v>2105</v>
      </c>
      <c r="X730" s="8" t="b">
        <v>0</v>
      </c>
      <c r="Y730" s="8" t="b">
        <v>0</v>
      </c>
      <c r="Z730" s="8" t="b">
        <v>0</v>
      </c>
      <c r="AA730" s="8" t="b">
        <v>0</v>
      </c>
      <c r="AB730" s="8" t="b">
        <v>0</v>
      </c>
      <c r="AC730" s="8" t="b">
        <v>0</v>
      </c>
      <c r="AD730" s="8" t="b">
        <v>1</v>
      </c>
      <c r="AE730" s="8" t="b">
        <v>0</v>
      </c>
      <c r="AG730" s="11" t="b" cm="1">
        <f t="array" ref="AG730">IF(OR(Y730:AA730="TRUE", AE730="true"), "Threatened")</f>
        <v>0</v>
      </c>
      <c r="AH730" s="11" t="s">
        <v>2106</v>
      </c>
      <c r="AI730" s="8" t="b">
        <v>0</v>
      </c>
    </row>
    <row r="731" spans="1:35" ht="31.2">
      <c r="A731" s="8">
        <v>-73.960728079999996</v>
      </c>
      <c r="B731" s="8">
        <v>40.790150670000003</v>
      </c>
      <c r="C731" s="8" t="s">
        <v>2107</v>
      </c>
      <c r="D731" s="8" t="s">
        <v>621</v>
      </c>
      <c r="E731" s="8" t="b">
        <f t="shared" si="11"/>
        <v>0</v>
      </c>
      <c r="F731" s="8" t="str" cm="1">
        <f t="array" ref="F731">_xlfn._xlws.FILTER(E731:E3929, C731:C3929= "6D-PM-1020-01", "No Squirrels Found")</f>
        <v>No Squirrels Found</v>
      </c>
      <c r="G731" s="8" t="s">
        <v>34</v>
      </c>
      <c r="H731" s="10">
        <v>10062018</v>
      </c>
      <c r="I731" s="10">
        <v>1</v>
      </c>
      <c r="J731" s="8" t="s">
        <v>39</v>
      </c>
      <c r="K731" s="8" t="s">
        <v>40</v>
      </c>
      <c r="M731" s="8" t="s">
        <v>55</v>
      </c>
      <c r="O731" s="8" t="s">
        <v>43</v>
      </c>
      <c r="P731" s="8" t="b">
        <v>0</v>
      </c>
      <c r="R731" s="8" t="b">
        <v>0</v>
      </c>
      <c r="S731" s="8" t="b">
        <v>0</v>
      </c>
      <c r="T731" s="8" t="b">
        <v>0</v>
      </c>
      <c r="U731" s="8" t="b">
        <v>1</v>
      </c>
      <c r="V731" s="8" t="b">
        <v>1</v>
      </c>
      <c r="X731" s="8" t="b">
        <v>0</v>
      </c>
      <c r="Y731" s="8" t="b">
        <v>0</v>
      </c>
      <c r="Z731" s="8" t="b">
        <v>0</v>
      </c>
      <c r="AA731" s="8" t="b">
        <v>1</v>
      </c>
      <c r="AB731" s="8" t="b">
        <v>0</v>
      </c>
      <c r="AC731" s="8" t="b">
        <v>0</v>
      </c>
      <c r="AD731" s="8" t="b">
        <v>0</v>
      </c>
      <c r="AE731" s="8" t="b">
        <v>1</v>
      </c>
      <c r="AG731" s="11" t="b" cm="1">
        <f t="array" ref="AG731">IF(OR(Y731:AA731="TRUE", AE731="true"), "Threatened")</f>
        <v>0</v>
      </c>
      <c r="AH731" s="11" t="s">
        <v>2108</v>
      </c>
      <c r="AI731" s="8" t="b">
        <v>1</v>
      </c>
    </row>
    <row r="732" spans="1:35" ht="31.2">
      <c r="A732" s="8">
        <v>-73.973354580000006</v>
      </c>
      <c r="B732" s="8">
        <v>40.7675056</v>
      </c>
      <c r="C732" s="8" t="s">
        <v>2109</v>
      </c>
      <c r="D732" s="8" t="s">
        <v>651</v>
      </c>
      <c r="E732" s="8" t="b">
        <f t="shared" si="11"/>
        <v>0</v>
      </c>
      <c r="F732" s="8" t="str" cm="1">
        <f t="array" ref="F732">_xlfn._xlws.FILTER(E732:E3930, C732:C3930= "6D-PM-1020-01", "No Squirrels Found")</f>
        <v>No Squirrels Found</v>
      </c>
      <c r="G732" s="8" t="s">
        <v>48</v>
      </c>
      <c r="H732" s="10">
        <v>10062018</v>
      </c>
      <c r="I732" s="10">
        <v>4</v>
      </c>
      <c r="J732" s="8" t="s">
        <v>39</v>
      </c>
      <c r="K732" s="8" t="s">
        <v>192</v>
      </c>
      <c r="M732" s="8" t="s">
        <v>193</v>
      </c>
      <c r="O732" s="8" t="s">
        <v>43</v>
      </c>
      <c r="P732" s="8" t="b">
        <v>0</v>
      </c>
      <c r="R732" s="8" t="b">
        <v>0</v>
      </c>
      <c r="S732" s="8" t="b">
        <v>0</v>
      </c>
      <c r="T732" s="8" t="b">
        <v>0</v>
      </c>
      <c r="U732" s="8" t="b">
        <v>1</v>
      </c>
      <c r="V732" s="8" t="b">
        <v>0</v>
      </c>
      <c r="X732" s="8" t="b">
        <v>0</v>
      </c>
      <c r="Y732" s="8" t="b">
        <v>0</v>
      </c>
      <c r="Z732" s="8" t="b">
        <v>0</v>
      </c>
      <c r="AA732" s="8" t="b">
        <v>0</v>
      </c>
      <c r="AB732" s="8" t="b">
        <v>0</v>
      </c>
      <c r="AC732" s="8" t="b">
        <v>0</v>
      </c>
      <c r="AD732" s="8" t="b">
        <v>1</v>
      </c>
      <c r="AE732" s="8" t="b">
        <v>0</v>
      </c>
      <c r="AG732" s="11" t="b" cm="1">
        <f t="array" ref="AG732">IF(OR(Y732:AA732="TRUE", AE732="true"), "Threatened")</f>
        <v>0</v>
      </c>
      <c r="AH732" s="11" t="s">
        <v>2110</v>
      </c>
      <c r="AI732" s="8" t="b">
        <v>1</v>
      </c>
    </row>
    <row r="733" spans="1:35" ht="31.2">
      <c r="A733" s="8">
        <v>-73.969504139999998</v>
      </c>
      <c r="B733" s="8">
        <v>40.779787880000001</v>
      </c>
      <c r="C733" s="8" t="s">
        <v>2111</v>
      </c>
      <c r="D733" s="8" t="s">
        <v>1996</v>
      </c>
      <c r="E733" s="8" t="b">
        <f t="shared" si="11"/>
        <v>0</v>
      </c>
      <c r="F733" s="8" t="str" cm="1">
        <f t="array" ref="F733">_xlfn._xlws.FILTER(E733:E3931, C733:C3931= "6D-PM-1020-01", "No Squirrels Found")</f>
        <v>No Squirrels Found</v>
      </c>
      <c r="G733" s="8" t="s">
        <v>48</v>
      </c>
      <c r="H733" s="10">
        <v>10082018</v>
      </c>
      <c r="I733" s="10">
        <v>2</v>
      </c>
      <c r="J733" s="8" t="s">
        <v>39</v>
      </c>
      <c r="K733" s="8" t="s">
        <v>40</v>
      </c>
      <c r="L733" s="8" t="s">
        <v>84</v>
      </c>
      <c r="M733" s="8" t="s">
        <v>103</v>
      </c>
      <c r="O733" s="8" t="s">
        <v>43</v>
      </c>
      <c r="P733" s="8" t="b">
        <v>0</v>
      </c>
      <c r="R733" s="8" t="b">
        <v>0</v>
      </c>
      <c r="S733" s="8" t="b">
        <v>1</v>
      </c>
      <c r="T733" s="8" t="b">
        <v>0</v>
      </c>
      <c r="U733" s="8" t="b">
        <v>0</v>
      </c>
      <c r="V733" s="8" t="b">
        <v>0</v>
      </c>
      <c r="X733" s="8" t="b">
        <v>0</v>
      </c>
      <c r="Y733" s="8" t="b">
        <v>0</v>
      </c>
      <c r="Z733" s="8" t="b">
        <v>0</v>
      </c>
      <c r="AA733" s="8" t="b">
        <v>0</v>
      </c>
      <c r="AB733" s="8" t="b">
        <v>0</v>
      </c>
      <c r="AC733" s="8" t="b">
        <v>0</v>
      </c>
      <c r="AD733" s="8" t="b">
        <v>0</v>
      </c>
      <c r="AE733" s="8" t="b">
        <v>1</v>
      </c>
      <c r="AG733" s="11" t="b" cm="1">
        <f t="array" ref="AG733">IF(OR(Y733:AA733="TRUE", AE733="true"), "Threatened")</f>
        <v>0</v>
      </c>
      <c r="AH733" s="11" t="s">
        <v>2112</v>
      </c>
      <c r="AI733" s="8" t="b">
        <v>1</v>
      </c>
    </row>
    <row r="734" spans="1:35" ht="31.2">
      <c r="A734" s="8">
        <v>-73.976439760000005</v>
      </c>
      <c r="B734" s="8">
        <v>40.773700460000001</v>
      </c>
      <c r="C734" s="8" t="s">
        <v>2113</v>
      </c>
      <c r="D734" s="8" t="s">
        <v>249</v>
      </c>
      <c r="E734" s="8" t="b">
        <f t="shared" si="11"/>
        <v>0</v>
      </c>
      <c r="F734" s="8" t="str" cm="1">
        <f t="array" ref="F734">_xlfn._xlws.FILTER(E734:E3932, C734:C3932= "6D-PM-1020-01", "No Squirrels Found")</f>
        <v>No Squirrels Found</v>
      </c>
      <c r="G734" s="8" t="s">
        <v>48</v>
      </c>
      <c r="H734" s="10">
        <v>10072018</v>
      </c>
      <c r="I734" s="10">
        <v>1</v>
      </c>
      <c r="J734" s="8" t="s">
        <v>39</v>
      </c>
      <c r="K734" s="8" t="s">
        <v>40</v>
      </c>
      <c r="L734" s="8" t="s">
        <v>41</v>
      </c>
      <c r="M734" s="8" t="s">
        <v>42</v>
      </c>
      <c r="O734" s="8" t="s">
        <v>50</v>
      </c>
      <c r="P734" s="8">
        <v>10</v>
      </c>
      <c r="R734" s="8" t="b">
        <v>0</v>
      </c>
      <c r="S734" s="8" t="b">
        <v>0</v>
      </c>
      <c r="T734" s="8" t="b">
        <v>1</v>
      </c>
      <c r="U734" s="8" t="b">
        <v>0</v>
      </c>
      <c r="V734" s="8" t="b">
        <v>0</v>
      </c>
      <c r="X734" s="8" t="b">
        <v>0</v>
      </c>
      <c r="Y734" s="8" t="b">
        <v>0</v>
      </c>
      <c r="Z734" s="8" t="b">
        <v>0</v>
      </c>
      <c r="AA734" s="8" t="b">
        <v>0</v>
      </c>
      <c r="AB734" s="8" t="b">
        <v>1</v>
      </c>
      <c r="AC734" s="8" t="b">
        <v>0</v>
      </c>
      <c r="AD734" s="8" t="b">
        <v>1</v>
      </c>
      <c r="AE734" s="8" t="b">
        <v>0</v>
      </c>
      <c r="AG734" s="11" t="b" cm="1">
        <f t="array" ref="AG734">IF(OR(Y734:AA734="TRUE", AE734="true"), "Threatened")</f>
        <v>0</v>
      </c>
      <c r="AH734" s="11" t="s">
        <v>2114</v>
      </c>
      <c r="AI734" s="8" t="b">
        <v>1</v>
      </c>
    </row>
    <row r="735" spans="1:35" ht="31.2">
      <c r="A735" s="8">
        <v>-73.971492119999994</v>
      </c>
      <c r="B735" s="8">
        <v>40.776758370000003</v>
      </c>
      <c r="C735" s="8" t="s">
        <v>2115</v>
      </c>
      <c r="D735" s="8" t="s">
        <v>741</v>
      </c>
      <c r="E735" s="8" t="b">
        <f t="shared" si="11"/>
        <v>0</v>
      </c>
      <c r="F735" s="8" t="str" cm="1">
        <f t="array" ref="F735">_xlfn._xlws.FILTER(E735:E3933, C735:C3933= "6D-PM-1020-01", "No Squirrels Found")</f>
        <v>No Squirrels Found</v>
      </c>
      <c r="G735" s="8" t="s">
        <v>48</v>
      </c>
      <c r="H735" s="10">
        <v>10142018</v>
      </c>
      <c r="I735" s="10">
        <v>11</v>
      </c>
      <c r="J735" s="8" t="s">
        <v>39</v>
      </c>
      <c r="K735" s="8" t="s">
        <v>40</v>
      </c>
      <c r="L735" s="8" t="s">
        <v>117</v>
      </c>
      <c r="M735" s="8" t="s">
        <v>118</v>
      </c>
      <c r="O735" s="8" t="s">
        <v>43</v>
      </c>
      <c r="P735" s="8" t="b">
        <v>0</v>
      </c>
      <c r="R735" s="8" t="b">
        <v>0</v>
      </c>
      <c r="S735" s="8" t="b">
        <v>0</v>
      </c>
      <c r="T735" s="8" t="b">
        <v>0</v>
      </c>
      <c r="U735" s="8" t="b">
        <v>0</v>
      </c>
      <c r="V735" s="8" t="b">
        <v>1</v>
      </c>
      <c r="X735" s="8" t="b">
        <v>0</v>
      </c>
      <c r="Y735" s="8" t="b">
        <v>0</v>
      </c>
      <c r="Z735" s="8" t="b">
        <v>0</v>
      </c>
      <c r="AA735" s="8" t="b">
        <v>0</v>
      </c>
      <c r="AB735" s="8" t="b">
        <v>0</v>
      </c>
      <c r="AC735" s="8" t="b">
        <v>0</v>
      </c>
      <c r="AD735" s="8" t="b">
        <v>1</v>
      </c>
      <c r="AE735" s="8" t="b">
        <v>0</v>
      </c>
      <c r="AG735" s="11" t="b" cm="1">
        <f t="array" ref="AG735">IF(OR(Y735:AA735="TRUE", AE735="true"), "Threatened")</f>
        <v>0</v>
      </c>
      <c r="AH735" s="11" t="s">
        <v>2116</v>
      </c>
      <c r="AI735" s="8" t="b">
        <v>1</v>
      </c>
    </row>
    <row r="736" spans="1:35" ht="31.2">
      <c r="A736" s="8">
        <v>-73.971379940000006</v>
      </c>
      <c r="B736" s="8">
        <v>40.772143489999998</v>
      </c>
      <c r="C736" s="8" t="s">
        <v>2117</v>
      </c>
      <c r="D736" s="8" t="s">
        <v>527</v>
      </c>
      <c r="E736" s="8" t="b">
        <f t="shared" si="11"/>
        <v>0</v>
      </c>
      <c r="F736" s="8" t="str" cm="1">
        <f t="array" ref="F736">_xlfn._xlws.FILTER(E736:E3934, C736:C3934= "6D-PM-1020-01", "No Squirrels Found")</f>
        <v>No Squirrels Found</v>
      </c>
      <c r="G736" s="8" t="s">
        <v>34</v>
      </c>
      <c r="H736" s="10">
        <v>10142018</v>
      </c>
      <c r="I736" s="10">
        <v>5</v>
      </c>
      <c r="J736" s="8" t="s">
        <v>39</v>
      </c>
      <c r="K736" s="8" t="s">
        <v>40</v>
      </c>
      <c r="L736" s="8" t="s">
        <v>41</v>
      </c>
      <c r="M736" s="8" t="s">
        <v>42</v>
      </c>
      <c r="O736" s="8" t="s">
        <v>43</v>
      </c>
      <c r="P736" s="8" t="b">
        <v>0</v>
      </c>
      <c r="R736" s="8" t="b">
        <v>0</v>
      </c>
      <c r="S736" s="8" t="b">
        <v>0</v>
      </c>
      <c r="T736" s="8" t="b">
        <v>0</v>
      </c>
      <c r="U736" s="8" t="b">
        <v>0</v>
      </c>
      <c r="V736" s="8" t="b">
        <v>1</v>
      </c>
      <c r="X736" s="8" t="b">
        <v>0</v>
      </c>
      <c r="Y736" s="8" t="b">
        <v>0</v>
      </c>
      <c r="Z736" s="8" t="b">
        <v>0</v>
      </c>
      <c r="AA736" s="8" t="b">
        <v>0</v>
      </c>
      <c r="AB736" s="8" t="b">
        <v>0</v>
      </c>
      <c r="AC736" s="8" t="b">
        <v>0</v>
      </c>
      <c r="AD736" s="8" t="b">
        <v>1</v>
      </c>
      <c r="AE736" s="8" t="b">
        <v>0</v>
      </c>
      <c r="AG736" s="11" t="b" cm="1">
        <f t="array" ref="AG736">IF(OR(Y736:AA736="TRUE", AE736="true"), "Threatened")</f>
        <v>0</v>
      </c>
      <c r="AH736" s="11" t="s">
        <v>2118</v>
      </c>
      <c r="AI736" s="8" t="b">
        <v>1</v>
      </c>
    </row>
    <row r="737" spans="1:35" ht="31.2">
      <c r="A737" s="8">
        <v>-73.966011010000003</v>
      </c>
      <c r="B737" s="8">
        <v>40.780999010000002</v>
      </c>
      <c r="C737" s="8" t="s">
        <v>2119</v>
      </c>
      <c r="D737" s="8" t="s">
        <v>574</v>
      </c>
      <c r="E737" s="8" t="b">
        <f t="shared" si="11"/>
        <v>0</v>
      </c>
      <c r="F737" s="8" t="str" cm="1">
        <f t="array" ref="F737">_xlfn._xlws.FILTER(E737:E3935, C737:C3935= "6D-PM-1020-01", "No Squirrels Found")</f>
        <v>No Squirrels Found</v>
      </c>
      <c r="G737" s="8" t="s">
        <v>48</v>
      </c>
      <c r="H737" s="10">
        <v>10142018</v>
      </c>
      <c r="I737" s="10">
        <v>1</v>
      </c>
      <c r="J737" s="8" t="s">
        <v>39</v>
      </c>
      <c r="K737" s="8" t="s">
        <v>40</v>
      </c>
      <c r="L737" s="8" t="s">
        <v>84</v>
      </c>
      <c r="M737" s="8" t="s">
        <v>103</v>
      </c>
      <c r="O737" s="8" t="s">
        <v>43</v>
      </c>
      <c r="P737" s="8" t="b">
        <v>0</v>
      </c>
      <c r="R737" s="8" t="b">
        <v>0</v>
      </c>
      <c r="S737" s="8" t="b">
        <v>0</v>
      </c>
      <c r="T737" s="8" t="b">
        <v>0</v>
      </c>
      <c r="U737" s="8" t="b">
        <v>1</v>
      </c>
      <c r="V737" s="8" t="b">
        <v>1</v>
      </c>
      <c r="X737" s="8" t="b">
        <v>0</v>
      </c>
      <c r="Y737" s="8" t="b">
        <v>0</v>
      </c>
      <c r="Z737" s="8" t="b">
        <v>0</v>
      </c>
      <c r="AA737" s="8" t="b">
        <v>0</v>
      </c>
      <c r="AB737" s="8" t="b">
        <v>0</v>
      </c>
      <c r="AC737" s="8" t="b">
        <v>0</v>
      </c>
      <c r="AD737" s="8" t="b">
        <v>1</v>
      </c>
      <c r="AE737" s="8" t="b">
        <v>0</v>
      </c>
      <c r="AG737" s="11" t="b" cm="1">
        <f t="array" ref="AG737">IF(OR(Y737:AA737="TRUE", AE737="true"), "Threatened")</f>
        <v>0</v>
      </c>
      <c r="AH737" s="11" t="s">
        <v>2120</v>
      </c>
      <c r="AI737" s="8" t="b">
        <v>1</v>
      </c>
    </row>
    <row r="738" spans="1:35" ht="31.2">
      <c r="A738" s="8">
        <v>-73.971117699999994</v>
      </c>
      <c r="B738" s="8">
        <v>40.77242785</v>
      </c>
      <c r="C738" s="8" t="s">
        <v>2121</v>
      </c>
      <c r="D738" s="8" t="s">
        <v>329</v>
      </c>
      <c r="E738" s="8" t="b">
        <f t="shared" si="11"/>
        <v>0</v>
      </c>
      <c r="F738" s="8" t="str" cm="1">
        <f t="array" ref="F738">_xlfn._xlws.FILTER(E738:E3936, C738:C3936= "6D-PM-1020-01", "No Squirrels Found")</f>
        <v>No Squirrels Found</v>
      </c>
      <c r="G738" s="8" t="s">
        <v>34</v>
      </c>
      <c r="H738" s="10">
        <v>10192018</v>
      </c>
      <c r="I738" s="10">
        <v>6</v>
      </c>
      <c r="J738" s="8" t="s">
        <v>39</v>
      </c>
      <c r="K738" s="8" t="s">
        <v>40</v>
      </c>
      <c r="L738" s="8" t="s">
        <v>84</v>
      </c>
      <c r="M738" s="8" t="s">
        <v>103</v>
      </c>
      <c r="O738" s="8" t="s">
        <v>50</v>
      </c>
      <c r="P738" s="8">
        <v>10</v>
      </c>
      <c r="Q738" s="8" t="s">
        <v>2122</v>
      </c>
      <c r="R738" s="8" t="b">
        <v>0</v>
      </c>
      <c r="S738" s="8" t="b">
        <v>0</v>
      </c>
      <c r="T738" s="8" t="b">
        <v>1</v>
      </c>
      <c r="U738" s="8" t="b">
        <v>0</v>
      </c>
      <c r="V738" s="8" t="b">
        <v>0</v>
      </c>
      <c r="X738" s="8" t="b">
        <v>0</v>
      </c>
      <c r="Y738" s="8" t="b">
        <v>0</v>
      </c>
      <c r="Z738" s="8" t="b">
        <v>0</v>
      </c>
      <c r="AA738" s="8" t="b">
        <v>0</v>
      </c>
      <c r="AB738" s="8" t="b">
        <v>0</v>
      </c>
      <c r="AC738" s="8" t="b">
        <v>0</v>
      </c>
      <c r="AD738" s="8" t="b">
        <v>1</v>
      </c>
      <c r="AE738" s="8" t="b">
        <v>0</v>
      </c>
      <c r="AG738" s="11" t="b" cm="1">
        <f t="array" ref="AG738">IF(OR(Y738:AA738="TRUE", AE738="true"), "Threatened")</f>
        <v>0</v>
      </c>
      <c r="AH738" s="11" t="s">
        <v>2123</v>
      </c>
      <c r="AI738" s="8" t="b">
        <v>1</v>
      </c>
    </row>
    <row r="739" spans="1:35" ht="78">
      <c r="A739" s="8">
        <v>-73.972571259999995</v>
      </c>
      <c r="B739" s="8">
        <v>40.766910180000004</v>
      </c>
      <c r="C739" s="8" t="s">
        <v>2124</v>
      </c>
      <c r="D739" s="8" t="s">
        <v>2125</v>
      </c>
      <c r="E739" s="8" t="b">
        <f t="shared" si="11"/>
        <v>0</v>
      </c>
      <c r="F739" s="8" t="str" cm="1">
        <f t="array" ref="F739">_xlfn._xlws.FILTER(E739:E3937, C739:C3937= "6D-PM-1020-01", "No Squirrels Found")</f>
        <v>No Squirrels Found</v>
      </c>
      <c r="G739" s="8" t="s">
        <v>48</v>
      </c>
      <c r="H739" s="10">
        <v>10062018</v>
      </c>
      <c r="I739" s="10">
        <v>2</v>
      </c>
      <c r="J739" s="8" t="s">
        <v>39</v>
      </c>
      <c r="K739" s="8" t="s">
        <v>40</v>
      </c>
      <c r="L739" s="8" t="s">
        <v>41</v>
      </c>
      <c r="M739" s="8" t="s">
        <v>42</v>
      </c>
      <c r="O739" s="8" t="s">
        <v>43</v>
      </c>
      <c r="P739" s="8" t="b">
        <v>0</v>
      </c>
      <c r="R739" s="8" t="b">
        <v>0</v>
      </c>
      <c r="S739" s="8" t="b">
        <v>0</v>
      </c>
      <c r="T739" s="8" t="b">
        <v>1</v>
      </c>
      <c r="U739" s="8" t="b">
        <v>0</v>
      </c>
      <c r="V739" s="8" t="b">
        <v>0</v>
      </c>
      <c r="W739" s="11" t="s">
        <v>2126</v>
      </c>
      <c r="X739" s="8" t="b">
        <v>0</v>
      </c>
      <c r="Y739" s="8" t="b">
        <v>0</v>
      </c>
      <c r="Z739" s="8" t="b">
        <v>0</v>
      </c>
      <c r="AA739" s="8" t="b">
        <v>0</v>
      </c>
      <c r="AB739" s="8" t="b">
        <v>0</v>
      </c>
      <c r="AC739" s="8" t="b">
        <v>1</v>
      </c>
      <c r="AD739" s="8" t="b">
        <v>0</v>
      </c>
      <c r="AE739" s="8" t="b">
        <v>1</v>
      </c>
      <c r="AF739" s="11" t="s">
        <v>2127</v>
      </c>
      <c r="AG739" s="11" t="b" cm="1">
        <f t="array" ref="AG739">IF(OR(Y739:AA739="TRUE", AE739="true"), "Threatened")</f>
        <v>0</v>
      </c>
      <c r="AH739" s="11" t="s">
        <v>2128</v>
      </c>
      <c r="AI739" s="8" t="b">
        <v>0</v>
      </c>
    </row>
    <row r="740" spans="1:35" ht="31.2">
      <c r="A740" s="8">
        <v>-73.962059740000001</v>
      </c>
      <c r="B740" s="8">
        <v>40.792246589999998</v>
      </c>
      <c r="C740" s="8" t="s">
        <v>2129</v>
      </c>
      <c r="D740" s="8" t="s">
        <v>931</v>
      </c>
      <c r="E740" s="8" t="b">
        <f t="shared" si="11"/>
        <v>0</v>
      </c>
      <c r="F740" s="8" t="str" cm="1">
        <f t="array" ref="F740">_xlfn._xlws.FILTER(E740:E3938, C740:C3938= "6D-PM-1020-01", "No Squirrels Found")</f>
        <v>No Squirrels Found</v>
      </c>
      <c r="G740" s="8" t="s">
        <v>34</v>
      </c>
      <c r="H740" s="10">
        <v>10102018</v>
      </c>
      <c r="I740" s="10">
        <v>10</v>
      </c>
      <c r="J740" s="8" t="s">
        <v>39</v>
      </c>
      <c r="K740" s="8" t="s">
        <v>40</v>
      </c>
      <c r="M740" s="8" t="s">
        <v>55</v>
      </c>
      <c r="O740" s="8" t="s">
        <v>43</v>
      </c>
      <c r="P740" s="8" t="b">
        <v>0</v>
      </c>
      <c r="R740" s="8" t="b">
        <v>0</v>
      </c>
      <c r="S740" s="8" t="b">
        <v>0</v>
      </c>
      <c r="T740" s="8" t="b">
        <v>0</v>
      </c>
      <c r="U740" s="8" t="b">
        <v>0</v>
      </c>
      <c r="V740" s="8" t="b">
        <v>1</v>
      </c>
      <c r="X740" s="8" t="b">
        <v>1</v>
      </c>
      <c r="Y740" s="8" t="b">
        <v>0</v>
      </c>
      <c r="Z740" s="8" t="b">
        <v>0</v>
      </c>
      <c r="AA740" s="8" t="b">
        <v>0</v>
      </c>
      <c r="AB740" s="8" t="b">
        <v>0</v>
      </c>
      <c r="AC740" s="8" t="b">
        <v>0</v>
      </c>
      <c r="AD740" s="8" t="b">
        <v>0</v>
      </c>
      <c r="AE740" s="8" t="b">
        <v>0</v>
      </c>
      <c r="AG740" s="11" t="b" cm="1">
        <f t="array" ref="AG740">IF(OR(Y740:AA740="TRUE", AE740="true"), "Threatened")</f>
        <v>0</v>
      </c>
      <c r="AH740" s="11" t="s">
        <v>2130</v>
      </c>
      <c r="AI740" s="8" t="b">
        <v>1</v>
      </c>
    </row>
    <row r="741" spans="1:35" ht="31.2">
      <c r="A741" s="8">
        <v>-73.958347790000005</v>
      </c>
      <c r="B741" s="8">
        <v>40.791407360000001</v>
      </c>
      <c r="C741" s="8" t="s">
        <v>2131</v>
      </c>
      <c r="D741" s="8" t="s">
        <v>92</v>
      </c>
      <c r="E741" s="8" t="b">
        <f t="shared" si="11"/>
        <v>0</v>
      </c>
      <c r="F741" s="8" t="str" cm="1">
        <f t="array" ref="F741">_xlfn._xlws.FILTER(E741:E3939, C741:C3939= "6D-PM-1020-01", "No Squirrels Found")</f>
        <v>No Squirrels Found</v>
      </c>
      <c r="G741" s="8" t="s">
        <v>34</v>
      </c>
      <c r="H741" s="10">
        <v>10122018</v>
      </c>
      <c r="I741" s="10">
        <v>6</v>
      </c>
      <c r="J741" s="8" t="s">
        <v>39</v>
      </c>
      <c r="K741" s="8" t="s">
        <v>40</v>
      </c>
      <c r="L741" s="8" t="s">
        <v>117</v>
      </c>
      <c r="M741" s="8" t="s">
        <v>118</v>
      </c>
      <c r="O741" s="8" t="s">
        <v>43</v>
      </c>
      <c r="P741" s="8" t="b">
        <v>0</v>
      </c>
      <c r="R741" s="8" t="b">
        <v>0</v>
      </c>
      <c r="S741" s="8" t="b">
        <v>1</v>
      </c>
      <c r="T741" s="8" t="b">
        <v>0</v>
      </c>
      <c r="U741" s="8" t="b">
        <v>1</v>
      </c>
      <c r="V741" s="8" t="b">
        <v>1</v>
      </c>
      <c r="X741" s="8" t="b">
        <v>1</v>
      </c>
      <c r="Y741" s="8" t="b">
        <v>0</v>
      </c>
      <c r="Z741" s="8" t="b">
        <v>0</v>
      </c>
      <c r="AA741" s="8" t="b">
        <v>0</v>
      </c>
      <c r="AB741" s="8" t="b">
        <v>1</v>
      </c>
      <c r="AC741" s="8" t="b">
        <v>0</v>
      </c>
      <c r="AD741" s="8" t="b">
        <v>0</v>
      </c>
      <c r="AE741" s="8" t="b">
        <v>0</v>
      </c>
      <c r="AG741" s="11" t="b" cm="1">
        <f t="array" ref="AG741">IF(OR(Y741:AA741="TRUE", AE741="true"), "Threatened")</f>
        <v>0</v>
      </c>
      <c r="AH741" s="11" t="s">
        <v>2132</v>
      </c>
      <c r="AI741" s="8" t="b">
        <v>1</v>
      </c>
    </row>
    <row r="742" spans="1:35" ht="31.2">
      <c r="A742" s="8">
        <v>-73.979021430000003</v>
      </c>
      <c r="B742" s="8">
        <v>40.768679120000002</v>
      </c>
      <c r="C742" s="8" t="s">
        <v>2133</v>
      </c>
      <c r="D742" s="8" t="s">
        <v>465</v>
      </c>
      <c r="E742" s="8" t="b">
        <f t="shared" si="11"/>
        <v>0</v>
      </c>
      <c r="F742" s="8" t="str" cm="1">
        <f t="array" ref="F742">_xlfn._xlws.FILTER(E742:E3940, C742:C3940= "6D-PM-1020-01", "No Squirrels Found")</f>
        <v>No Squirrels Found</v>
      </c>
      <c r="G742" s="8" t="s">
        <v>34</v>
      </c>
      <c r="H742" s="10">
        <v>10072018</v>
      </c>
      <c r="I742" s="10">
        <v>10</v>
      </c>
      <c r="J742" s="8" t="s">
        <v>39</v>
      </c>
      <c r="K742" s="8" t="s">
        <v>40</v>
      </c>
      <c r="L742" s="8" t="s">
        <v>84</v>
      </c>
      <c r="M742" s="8" t="s">
        <v>103</v>
      </c>
      <c r="O742" s="8" t="s">
        <v>43</v>
      </c>
      <c r="P742" s="8" t="b">
        <v>0</v>
      </c>
      <c r="R742" s="8" t="b">
        <v>0</v>
      </c>
      <c r="S742" s="8" t="b">
        <v>0</v>
      </c>
      <c r="T742" s="8" t="b">
        <v>0</v>
      </c>
      <c r="U742" s="8" t="b">
        <v>1</v>
      </c>
      <c r="V742" s="8" t="b">
        <v>0</v>
      </c>
      <c r="W742" s="11" t="s">
        <v>2134</v>
      </c>
      <c r="X742" s="8" t="b">
        <v>0</v>
      </c>
      <c r="Y742" s="8" t="b">
        <v>0</v>
      </c>
      <c r="Z742" s="8" t="b">
        <v>0</v>
      </c>
      <c r="AA742" s="8" t="b">
        <v>0</v>
      </c>
      <c r="AB742" s="8" t="b">
        <v>0</v>
      </c>
      <c r="AC742" s="8" t="b">
        <v>0</v>
      </c>
      <c r="AD742" s="8" t="b">
        <v>1</v>
      </c>
      <c r="AE742" s="8" t="b">
        <v>0</v>
      </c>
      <c r="AG742" s="11" t="b" cm="1">
        <f t="array" ref="AG742">IF(OR(Y742:AA742="TRUE", AE742="true"), "Threatened")</f>
        <v>0</v>
      </c>
      <c r="AH742" s="11" t="s">
        <v>2135</v>
      </c>
      <c r="AI742" s="8" t="b">
        <v>0</v>
      </c>
    </row>
    <row r="743" spans="1:35" ht="31.2">
      <c r="A743" s="8">
        <v>-73.976701700000007</v>
      </c>
      <c r="B743" s="8">
        <v>40.767401280000001</v>
      </c>
      <c r="C743" s="8" t="s">
        <v>2136</v>
      </c>
      <c r="D743" s="8" t="s">
        <v>47</v>
      </c>
      <c r="E743" s="8" t="b">
        <f t="shared" si="11"/>
        <v>0</v>
      </c>
      <c r="F743" s="8" t="str" cm="1">
        <f t="array" ref="F743">_xlfn._xlws.FILTER(E743:E3941, C743:C3941= "6D-PM-1020-01", "No Squirrels Found")</f>
        <v>No Squirrels Found</v>
      </c>
      <c r="G743" s="8" t="s">
        <v>34</v>
      </c>
      <c r="H743" s="10">
        <v>10142018</v>
      </c>
      <c r="I743" s="10">
        <v>2</v>
      </c>
      <c r="J743" s="8" t="s">
        <v>39</v>
      </c>
      <c r="K743" s="8" t="s">
        <v>40</v>
      </c>
      <c r="L743" s="8" t="s">
        <v>84</v>
      </c>
      <c r="M743" s="8" t="s">
        <v>103</v>
      </c>
      <c r="O743" s="8" t="s">
        <v>43</v>
      </c>
      <c r="P743" s="8" t="b">
        <v>0</v>
      </c>
      <c r="R743" s="8" t="b">
        <v>0</v>
      </c>
      <c r="S743" s="8" t="b">
        <v>0</v>
      </c>
      <c r="T743" s="8" t="b">
        <v>0</v>
      </c>
      <c r="U743" s="8" t="b">
        <v>0</v>
      </c>
      <c r="V743" s="8" t="b">
        <v>0</v>
      </c>
      <c r="X743" s="8" t="b">
        <v>0</v>
      </c>
      <c r="Y743" s="8" t="b">
        <v>0</v>
      </c>
      <c r="Z743" s="8" t="b">
        <v>0</v>
      </c>
      <c r="AA743" s="8" t="b">
        <v>0</v>
      </c>
      <c r="AB743" s="8" t="b">
        <v>0</v>
      </c>
      <c r="AC743" s="8" t="b">
        <v>0</v>
      </c>
      <c r="AD743" s="8" t="b">
        <v>1</v>
      </c>
      <c r="AE743" s="8" t="b">
        <v>0</v>
      </c>
      <c r="AG743" s="11" t="b" cm="1">
        <f t="array" ref="AG743">IF(OR(Y743:AA743="TRUE", AE743="true"), "Threatened")</f>
        <v>0</v>
      </c>
      <c r="AH743" s="11" t="s">
        <v>2137</v>
      </c>
      <c r="AI743" s="8" t="b">
        <v>1</v>
      </c>
    </row>
    <row r="744" spans="1:35" ht="46.8">
      <c r="A744" s="8">
        <v>-73.956503569999995</v>
      </c>
      <c r="B744" s="8">
        <v>40.793738269999999</v>
      </c>
      <c r="C744" s="8" t="s">
        <v>2138</v>
      </c>
      <c r="D744" s="8" t="s">
        <v>702</v>
      </c>
      <c r="E744" s="8" t="b">
        <f t="shared" si="11"/>
        <v>0</v>
      </c>
      <c r="F744" s="8" t="str" cm="1">
        <f t="array" ref="F744">_xlfn._xlws.FILTER(E744:E3942, C744:C3942= "6D-PM-1020-01", "No Squirrels Found")</f>
        <v>No Squirrels Found</v>
      </c>
      <c r="G744" s="8" t="s">
        <v>48</v>
      </c>
      <c r="H744" s="10">
        <v>10172018</v>
      </c>
      <c r="I744" s="10">
        <v>4</v>
      </c>
      <c r="J744" s="8" t="s">
        <v>54</v>
      </c>
      <c r="K744" s="8" t="s">
        <v>40</v>
      </c>
      <c r="L744" s="8" t="s">
        <v>84</v>
      </c>
      <c r="M744" s="8" t="s">
        <v>103</v>
      </c>
      <c r="N744" s="11" t="s">
        <v>2139</v>
      </c>
      <c r="O744" s="8" t="s">
        <v>43</v>
      </c>
      <c r="P744" s="8" t="b">
        <v>0</v>
      </c>
      <c r="R744" s="8" t="b">
        <v>1</v>
      </c>
      <c r="S744" s="8" t="b">
        <v>0</v>
      </c>
      <c r="T744" s="8" t="b">
        <v>0</v>
      </c>
      <c r="U744" s="8" t="b">
        <v>1</v>
      </c>
      <c r="V744" s="8" t="b">
        <v>1</v>
      </c>
      <c r="X744" s="8" t="b">
        <v>1</v>
      </c>
      <c r="Y744" s="8" t="b">
        <v>0</v>
      </c>
      <c r="Z744" s="8" t="b">
        <v>0</v>
      </c>
      <c r="AA744" s="8" t="b">
        <v>0</v>
      </c>
      <c r="AB744" s="8" t="b">
        <v>0</v>
      </c>
      <c r="AC744" s="8" t="b">
        <v>1</v>
      </c>
      <c r="AD744" s="8" t="b">
        <v>0</v>
      </c>
      <c r="AE744" s="8" t="b">
        <v>1</v>
      </c>
      <c r="AF744" s="11" t="s">
        <v>2140</v>
      </c>
      <c r="AG744" s="11" t="b" cm="1">
        <f t="array" ref="AG744">IF(OR(Y744:AA744="TRUE", AE744="true"), "Threatened")</f>
        <v>0</v>
      </c>
      <c r="AH744" s="11" t="s">
        <v>2141</v>
      </c>
      <c r="AI744" s="8" t="b">
        <v>1</v>
      </c>
    </row>
    <row r="745" spans="1:35" ht="31.2">
      <c r="A745" s="8">
        <v>-73.974568770000005</v>
      </c>
      <c r="B745" s="8">
        <v>40.777639690000001</v>
      </c>
      <c r="C745" s="8" t="s">
        <v>2142</v>
      </c>
      <c r="D745" s="8" t="s">
        <v>594</v>
      </c>
      <c r="E745" s="8" t="b">
        <f t="shared" si="11"/>
        <v>0</v>
      </c>
      <c r="F745" s="8" t="str" cm="1">
        <f t="array" ref="F745">_xlfn._xlws.FILTER(E745:E3943, C745:C3943= "6D-PM-1020-01", "No Squirrels Found")</f>
        <v>No Squirrels Found</v>
      </c>
      <c r="G745" s="8" t="s">
        <v>34</v>
      </c>
      <c r="H745" s="10">
        <v>10142018</v>
      </c>
      <c r="I745" s="10">
        <v>2</v>
      </c>
      <c r="J745" s="8" t="s">
        <v>39</v>
      </c>
      <c r="K745" s="8" t="s">
        <v>40</v>
      </c>
      <c r="M745" s="8" t="s">
        <v>55</v>
      </c>
      <c r="O745" s="8" t="s">
        <v>50</v>
      </c>
      <c r="P745" s="8">
        <v>45</v>
      </c>
      <c r="R745" s="8" t="b">
        <v>0</v>
      </c>
      <c r="S745" s="8" t="b">
        <v>0</v>
      </c>
      <c r="T745" s="8" t="b">
        <v>0</v>
      </c>
      <c r="U745" s="8" t="b">
        <v>0</v>
      </c>
      <c r="V745" s="8" t="b">
        <v>0</v>
      </c>
      <c r="X745" s="8" t="b">
        <v>0</v>
      </c>
      <c r="Y745" s="8" t="b">
        <v>0</v>
      </c>
      <c r="Z745" s="8" t="b">
        <v>0</v>
      </c>
      <c r="AA745" s="8" t="b">
        <v>0</v>
      </c>
      <c r="AB745" s="8" t="b">
        <v>0</v>
      </c>
      <c r="AC745" s="8" t="b">
        <v>0</v>
      </c>
      <c r="AD745" s="8" t="b">
        <v>0</v>
      </c>
      <c r="AE745" s="8" t="b">
        <v>0</v>
      </c>
      <c r="AG745" s="11" t="b" cm="1">
        <f t="array" ref="AG745">IF(OR(Y745:AA745="TRUE", AE745="true"), "Threatened")</f>
        <v>0</v>
      </c>
      <c r="AH745" s="11" t="s">
        <v>2143</v>
      </c>
      <c r="AI745" s="8" t="b">
        <v>1</v>
      </c>
    </row>
    <row r="746" spans="1:35" ht="31.2">
      <c r="A746" s="8">
        <v>-73.967164049999994</v>
      </c>
      <c r="B746" s="8">
        <v>40.777223679999999</v>
      </c>
      <c r="C746" s="8" t="s">
        <v>2144</v>
      </c>
      <c r="D746" s="8" t="s">
        <v>296</v>
      </c>
      <c r="E746" s="8" t="b">
        <f t="shared" si="11"/>
        <v>0</v>
      </c>
      <c r="F746" s="8" t="str" cm="1">
        <f t="array" ref="F746">_xlfn._xlws.FILTER(E746:E3944, C746:C3944= "6D-PM-1020-01", "No Squirrels Found")</f>
        <v>No Squirrels Found</v>
      </c>
      <c r="G746" s="8" t="s">
        <v>48</v>
      </c>
      <c r="H746" s="10">
        <v>10102018</v>
      </c>
      <c r="I746" s="10">
        <v>2</v>
      </c>
      <c r="J746" s="8" t="s">
        <v>39</v>
      </c>
      <c r="K746" s="8" t="s">
        <v>41</v>
      </c>
      <c r="L746" s="8" t="s">
        <v>40</v>
      </c>
      <c r="M746" s="8" t="s">
        <v>110</v>
      </c>
      <c r="O746" s="8" t="s">
        <v>43</v>
      </c>
      <c r="P746" s="8" t="b">
        <v>0</v>
      </c>
      <c r="R746" s="8" t="b">
        <v>0</v>
      </c>
      <c r="S746" s="8" t="b">
        <v>0</v>
      </c>
      <c r="T746" s="8" t="b">
        <v>0</v>
      </c>
      <c r="U746" s="8" t="b">
        <v>0</v>
      </c>
      <c r="V746" s="8" t="b">
        <v>1</v>
      </c>
      <c r="X746" s="8" t="b">
        <v>0</v>
      </c>
      <c r="Y746" s="8" t="b">
        <v>0</v>
      </c>
      <c r="Z746" s="8" t="b">
        <v>0</v>
      </c>
      <c r="AA746" s="8" t="b">
        <v>0</v>
      </c>
      <c r="AB746" s="8" t="b">
        <v>0</v>
      </c>
      <c r="AC746" s="8" t="b">
        <v>0</v>
      </c>
      <c r="AD746" s="8" t="b">
        <v>1</v>
      </c>
      <c r="AE746" s="8" t="b">
        <v>0</v>
      </c>
      <c r="AG746" s="11" t="b" cm="1">
        <f t="array" ref="AG746">IF(OR(Y746:AA746="TRUE", AE746="true"), "Threatened")</f>
        <v>0</v>
      </c>
      <c r="AH746" s="11" t="s">
        <v>2145</v>
      </c>
      <c r="AI746" s="8" t="b">
        <v>1</v>
      </c>
    </row>
    <row r="747" spans="1:35" ht="31.2">
      <c r="A747" s="8">
        <v>-73.959140770000005</v>
      </c>
      <c r="B747" s="8">
        <v>40.796084690000001</v>
      </c>
      <c r="C747" s="8" t="s">
        <v>2146</v>
      </c>
      <c r="D747" s="8" t="s">
        <v>972</v>
      </c>
      <c r="E747" s="8" t="b">
        <f t="shared" si="11"/>
        <v>0</v>
      </c>
      <c r="F747" s="8" t="str" cm="1">
        <f t="array" ref="F747">_xlfn._xlws.FILTER(E747:E3945, C747:C3945= "6D-PM-1020-01", "No Squirrels Found")</f>
        <v>No Squirrels Found</v>
      </c>
      <c r="G747" s="8" t="s">
        <v>48</v>
      </c>
      <c r="H747" s="10">
        <v>10182018</v>
      </c>
      <c r="I747" s="10">
        <v>1</v>
      </c>
      <c r="J747" s="8" t="s">
        <v>39</v>
      </c>
      <c r="K747" s="8" t="s">
        <v>192</v>
      </c>
      <c r="M747" s="8" t="s">
        <v>193</v>
      </c>
      <c r="O747" s="8" t="s">
        <v>43</v>
      </c>
      <c r="P747" s="8" t="b">
        <v>0</v>
      </c>
      <c r="R747" s="8" t="b">
        <v>1</v>
      </c>
      <c r="S747" s="8" t="b">
        <v>0</v>
      </c>
      <c r="T747" s="8" t="b">
        <v>0</v>
      </c>
      <c r="U747" s="8" t="b">
        <v>0</v>
      </c>
      <c r="V747" s="8" t="b">
        <v>0</v>
      </c>
      <c r="X747" s="8" t="b">
        <v>0</v>
      </c>
      <c r="Y747" s="8" t="b">
        <v>0</v>
      </c>
      <c r="Z747" s="8" t="b">
        <v>0</v>
      </c>
      <c r="AA747" s="8" t="b">
        <v>0</v>
      </c>
      <c r="AB747" s="8" t="b">
        <v>1</v>
      </c>
      <c r="AC747" s="8" t="b">
        <v>0</v>
      </c>
      <c r="AD747" s="8" t="b">
        <v>1</v>
      </c>
      <c r="AE747" s="8" t="b">
        <v>0</v>
      </c>
      <c r="AG747" s="11" t="b" cm="1">
        <f t="array" ref="AG747">IF(OR(Y747:AA747="TRUE", AE747="true"), "Threatened")</f>
        <v>0</v>
      </c>
      <c r="AH747" s="11" t="s">
        <v>2147</v>
      </c>
      <c r="AI747" s="8" t="b">
        <v>1</v>
      </c>
    </row>
    <row r="748" spans="1:35" ht="31.2">
      <c r="A748" s="8">
        <v>-73.977142259999994</v>
      </c>
      <c r="B748" s="8">
        <v>40.772361420000003</v>
      </c>
      <c r="C748" s="8" t="s">
        <v>2148</v>
      </c>
      <c r="D748" s="8" t="s">
        <v>72</v>
      </c>
      <c r="E748" s="8" t="b">
        <f t="shared" si="11"/>
        <v>0</v>
      </c>
      <c r="F748" s="8" t="str" cm="1">
        <f t="array" ref="F748">_xlfn._xlws.FILTER(E748:E3946, C748:C3946= "6D-PM-1020-01", "No Squirrels Found")</f>
        <v>No Squirrels Found</v>
      </c>
      <c r="G748" s="8" t="s">
        <v>48</v>
      </c>
      <c r="H748" s="10">
        <v>10082018</v>
      </c>
      <c r="I748" s="10">
        <v>2</v>
      </c>
      <c r="J748" s="8" t="s">
        <v>39</v>
      </c>
      <c r="K748" s="8" t="s">
        <v>40</v>
      </c>
      <c r="M748" s="8" t="s">
        <v>55</v>
      </c>
      <c r="O748" s="8" t="s">
        <v>50</v>
      </c>
      <c r="P748" s="8">
        <v>5</v>
      </c>
      <c r="R748" s="8" t="b">
        <v>0</v>
      </c>
      <c r="S748" s="8" t="b">
        <v>1</v>
      </c>
      <c r="T748" s="8" t="b">
        <v>0</v>
      </c>
      <c r="U748" s="8" t="b">
        <v>0</v>
      </c>
      <c r="V748" s="8" t="b">
        <v>0</v>
      </c>
      <c r="X748" s="8" t="b">
        <v>0</v>
      </c>
      <c r="Y748" s="8" t="b">
        <v>0</v>
      </c>
      <c r="Z748" s="8" t="b">
        <v>0</v>
      </c>
      <c r="AA748" s="8" t="b">
        <v>0</v>
      </c>
      <c r="AB748" s="8" t="b">
        <v>0</v>
      </c>
      <c r="AC748" s="8" t="b">
        <v>0</v>
      </c>
      <c r="AD748" s="8" t="b">
        <v>1</v>
      </c>
      <c r="AE748" s="8" t="b">
        <v>0</v>
      </c>
      <c r="AG748" s="11" t="b" cm="1">
        <f t="array" ref="AG748">IF(OR(Y748:AA748="TRUE", AE748="true"), "Threatened")</f>
        <v>0</v>
      </c>
      <c r="AH748" s="11" t="s">
        <v>2149</v>
      </c>
      <c r="AI748" s="8" t="b">
        <v>1</v>
      </c>
    </row>
    <row r="749" spans="1:35" ht="31.2">
      <c r="A749" s="8">
        <v>-73.975660379999994</v>
      </c>
      <c r="B749" s="8">
        <v>40.76725313</v>
      </c>
      <c r="C749" s="8" t="s">
        <v>2150</v>
      </c>
      <c r="D749" s="8" t="s">
        <v>1706</v>
      </c>
      <c r="E749" s="8" t="b">
        <f t="shared" si="11"/>
        <v>0</v>
      </c>
      <c r="F749" s="8" t="str" cm="1">
        <f t="array" ref="F749">_xlfn._xlws.FILTER(E749:E3947, C749:C3947= "6D-PM-1020-01", "No Squirrels Found")</f>
        <v>No Squirrels Found</v>
      </c>
      <c r="G749" s="8" t="s">
        <v>34</v>
      </c>
      <c r="H749" s="10">
        <v>10132018</v>
      </c>
      <c r="I749" s="10">
        <v>3</v>
      </c>
      <c r="J749" s="8" t="s">
        <v>39</v>
      </c>
      <c r="K749" s="8" t="s">
        <v>41</v>
      </c>
      <c r="L749" s="8" t="s">
        <v>40</v>
      </c>
      <c r="M749" s="8" t="s">
        <v>110</v>
      </c>
      <c r="O749" s="8" t="s">
        <v>43</v>
      </c>
      <c r="P749" s="8" t="b">
        <v>0</v>
      </c>
      <c r="R749" s="8" t="b">
        <v>0</v>
      </c>
      <c r="S749" s="8" t="b">
        <v>0</v>
      </c>
      <c r="T749" s="8" t="b">
        <v>0</v>
      </c>
      <c r="U749" s="8" t="b">
        <v>0</v>
      </c>
      <c r="V749" s="8" t="b">
        <v>1</v>
      </c>
      <c r="X749" s="8" t="b">
        <v>0</v>
      </c>
      <c r="Y749" s="8" t="b">
        <v>0</v>
      </c>
      <c r="Z749" s="8" t="b">
        <v>0</v>
      </c>
      <c r="AA749" s="8" t="b">
        <v>0</v>
      </c>
      <c r="AB749" s="8" t="b">
        <v>1</v>
      </c>
      <c r="AC749" s="8" t="b">
        <v>0</v>
      </c>
      <c r="AD749" s="8" t="b">
        <v>1</v>
      </c>
      <c r="AE749" s="8" t="b">
        <v>0</v>
      </c>
      <c r="AG749" s="11" t="b" cm="1">
        <f t="array" ref="AG749">IF(OR(Y749:AA749="TRUE", AE749="true"), "Threatened")</f>
        <v>0</v>
      </c>
      <c r="AH749" s="11" t="s">
        <v>2151</v>
      </c>
      <c r="AI749" s="8" t="b">
        <v>1</v>
      </c>
    </row>
    <row r="750" spans="1:35" ht="31.2">
      <c r="A750" s="8">
        <v>-73.96863046</v>
      </c>
      <c r="B750" s="8">
        <v>40.777363129999998</v>
      </c>
      <c r="C750" s="8" t="s">
        <v>2152</v>
      </c>
      <c r="D750" s="8" t="s">
        <v>150</v>
      </c>
      <c r="E750" s="8" t="b">
        <f t="shared" si="11"/>
        <v>0</v>
      </c>
      <c r="F750" s="8" t="str" cm="1">
        <f t="array" ref="F750">_xlfn._xlws.FILTER(E750:E3948, C750:C3948= "6D-PM-1020-01", "No Squirrels Found")</f>
        <v>No Squirrels Found</v>
      </c>
      <c r="G750" s="8" t="s">
        <v>34</v>
      </c>
      <c r="H750" s="10">
        <v>10082018</v>
      </c>
      <c r="I750" s="10">
        <v>1</v>
      </c>
      <c r="J750" s="8" t="s">
        <v>39</v>
      </c>
      <c r="K750" s="8" t="s">
        <v>40</v>
      </c>
      <c r="M750" s="8" t="s">
        <v>55</v>
      </c>
      <c r="O750" s="8" t="s">
        <v>50</v>
      </c>
      <c r="P750" s="8">
        <v>4</v>
      </c>
      <c r="Q750" s="8" t="s">
        <v>2153</v>
      </c>
      <c r="R750" s="8" t="b">
        <v>1</v>
      </c>
      <c r="S750" s="8" t="b">
        <v>0</v>
      </c>
      <c r="T750" s="8" t="b">
        <v>0</v>
      </c>
      <c r="U750" s="8" t="b">
        <v>1</v>
      </c>
      <c r="V750" s="8" t="b">
        <v>1</v>
      </c>
      <c r="X750" s="8" t="b">
        <v>0</v>
      </c>
      <c r="Y750" s="8" t="b">
        <v>0</v>
      </c>
      <c r="Z750" s="8" t="b">
        <v>0</v>
      </c>
      <c r="AA750" s="8" t="b">
        <v>0</v>
      </c>
      <c r="AB750" s="8" t="b">
        <v>0</v>
      </c>
      <c r="AC750" s="8" t="b">
        <v>0</v>
      </c>
      <c r="AD750" s="8" t="b">
        <v>1</v>
      </c>
      <c r="AE750" s="8" t="b">
        <v>0</v>
      </c>
      <c r="AG750" s="11" t="b" cm="1">
        <f t="array" ref="AG750">IF(OR(Y750:AA750="TRUE", AE750="true"), "Threatened")</f>
        <v>0</v>
      </c>
      <c r="AH750" s="11" t="s">
        <v>2154</v>
      </c>
      <c r="AI750" s="8" t="b">
        <v>1</v>
      </c>
    </row>
    <row r="751" spans="1:35" ht="31.2">
      <c r="A751" s="8">
        <v>-73.969967209999993</v>
      </c>
      <c r="B751" s="8">
        <v>40.777438930000002</v>
      </c>
      <c r="C751" s="8" t="s">
        <v>2155</v>
      </c>
      <c r="D751" s="8" t="s">
        <v>554</v>
      </c>
      <c r="E751" s="8" t="b">
        <f t="shared" si="11"/>
        <v>0</v>
      </c>
      <c r="F751" s="8" t="str" cm="1">
        <f t="array" ref="F751">_xlfn._xlws.FILTER(E751:E3949, C751:C3949= "6D-PM-1020-01", "No Squirrels Found")</f>
        <v>No Squirrels Found</v>
      </c>
      <c r="G751" s="8" t="s">
        <v>48</v>
      </c>
      <c r="H751" s="10">
        <v>10072018</v>
      </c>
      <c r="I751" s="10">
        <v>7</v>
      </c>
      <c r="J751" s="8" t="s">
        <v>39</v>
      </c>
      <c r="K751" s="8" t="s">
        <v>40</v>
      </c>
      <c r="L751" s="8" t="s">
        <v>84</v>
      </c>
      <c r="M751" s="8" t="s">
        <v>103</v>
      </c>
      <c r="O751" s="8" t="s">
        <v>43</v>
      </c>
      <c r="P751" s="8" t="b">
        <v>0</v>
      </c>
      <c r="R751" s="8" t="b">
        <v>0</v>
      </c>
      <c r="S751" s="8" t="b">
        <v>1</v>
      </c>
      <c r="T751" s="8" t="b">
        <v>0</v>
      </c>
      <c r="U751" s="8" t="b">
        <v>0</v>
      </c>
      <c r="V751" s="8" t="b">
        <v>1</v>
      </c>
      <c r="W751" s="11" t="s">
        <v>389</v>
      </c>
      <c r="X751" s="8" t="b">
        <v>0</v>
      </c>
      <c r="Y751" s="8" t="b">
        <v>0</v>
      </c>
      <c r="Z751" s="8" t="b">
        <v>0</v>
      </c>
      <c r="AA751" s="8" t="b">
        <v>0</v>
      </c>
      <c r="AB751" s="8" t="b">
        <v>0</v>
      </c>
      <c r="AC751" s="8" t="b">
        <v>0</v>
      </c>
      <c r="AD751" s="8" t="b">
        <v>1</v>
      </c>
      <c r="AE751" s="8" t="b">
        <v>0</v>
      </c>
      <c r="AG751" s="11" t="b" cm="1">
        <f t="array" ref="AG751">IF(OR(Y751:AA751="TRUE", AE751="true"), "Threatened")</f>
        <v>0</v>
      </c>
      <c r="AH751" s="11" t="s">
        <v>2156</v>
      </c>
      <c r="AI751" s="8" t="b">
        <v>0</v>
      </c>
    </row>
    <row r="752" spans="1:35" ht="31.2">
      <c r="A752" s="8">
        <v>-73.968347989999998</v>
      </c>
      <c r="B752" s="8">
        <v>40.781582729999997</v>
      </c>
      <c r="C752" s="8" t="s">
        <v>2157</v>
      </c>
      <c r="D752" s="8" t="s">
        <v>1038</v>
      </c>
      <c r="E752" s="8" t="b">
        <f t="shared" si="11"/>
        <v>0</v>
      </c>
      <c r="F752" s="8" t="str" cm="1">
        <f t="array" ref="F752">_xlfn._xlws.FILTER(E752:E3950, C752:C3950= "6D-PM-1020-01", "No Squirrels Found")</f>
        <v>No Squirrels Found</v>
      </c>
      <c r="G752" s="8" t="s">
        <v>34</v>
      </c>
      <c r="H752" s="10">
        <v>10182018</v>
      </c>
      <c r="I752" s="10">
        <v>1</v>
      </c>
      <c r="J752" s="8" t="s">
        <v>54</v>
      </c>
      <c r="K752" s="8" t="s">
        <v>40</v>
      </c>
      <c r="M752" s="8" t="s">
        <v>55</v>
      </c>
      <c r="O752" s="8" t="s">
        <v>43</v>
      </c>
      <c r="P752" s="8" t="b">
        <v>0</v>
      </c>
      <c r="R752" s="8" t="b">
        <v>1</v>
      </c>
      <c r="S752" s="8" t="b">
        <v>1</v>
      </c>
      <c r="T752" s="8" t="b">
        <v>0</v>
      </c>
      <c r="U752" s="8" t="b">
        <v>0</v>
      </c>
      <c r="V752" s="8" t="b">
        <v>0</v>
      </c>
      <c r="X752" s="8" t="b">
        <v>0</v>
      </c>
      <c r="Y752" s="8" t="b">
        <v>0</v>
      </c>
      <c r="Z752" s="8" t="b">
        <v>0</v>
      </c>
      <c r="AA752" s="8" t="b">
        <v>0</v>
      </c>
      <c r="AB752" s="8" t="b">
        <v>0</v>
      </c>
      <c r="AC752" s="8" t="b">
        <v>0</v>
      </c>
      <c r="AD752" s="8" t="b">
        <v>0</v>
      </c>
      <c r="AE752" s="8" t="b">
        <v>0</v>
      </c>
      <c r="AG752" s="11" t="b" cm="1">
        <f t="array" ref="AG752">IF(OR(Y752:AA752="TRUE", AE752="true"), "Threatened")</f>
        <v>0</v>
      </c>
      <c r="AH752" s="11" t="s">
        <v>2158</v>
      </c>
      <c r="AI752" s="8" t="b">
        <v>1</v>
      </c>
    </row>
    <row r="753" spans="1:35" ht="62.4">
      <c r="A753" s="8">
        <v>-73.976861769999999</v>
      </c>
      <c r="B753" s="8">
        <v>40.77418771</v>
      </c>
      <c r="C753" s="8" t="s">
        <v>2159</v>
      </c>
      <c r="D753" s="8" t="s">
        <v>859</v>
      </c>
      <c r="E753" s="8" t="b">
        <f t="shared" si="11"/>
        <v>0</v>
      </c>
      <c r="F753" s="8" t="str" cm="1">
        <f t="array" ref="F753">_xlfn._xlws.FILTER(E753:E3951, C753:C3951= "6D-PM-1020-01", "No Squirrels Found")</f>
        <v>No Squirrels Found</v>
      </c>
      <c r="G753" s="8" t="s">
        <v>34</v>
      </c>
      <c r="H753" s="10">
        <v>10102018</v>
      </c>
      <c r="I753" s="10">
        <v>3</v>
      </c>
      <c r="K753" s="8" t="s">
        <v>40</v>
      </c>
      <c r="L753" s="8" t="s">
        <v>84</v>
      </c>
      <c r="M753" s="8" t="s">
        <v>103</v>
      </c>
      <c r="O753" s="8" t="s">
        <v>43</v>
      </c>
      <c r="P753" s="8" t="b">
        <v>0</v>
      </c>
      <c r="R753" s="8" t="b">
        <v>0</v>
      </c>
      <c r="S753" s="8" t="b">
        <v>0</v>
      </c>
      <c r="T753" s="8" t="b">
        <v>0</v>
      </c>
      <c r="U753" s="8" t="b">
        <v>0</v>
      </c>
      <c r="V753" s="8" t="b">
        <v>0</v>
      </c>
      <c r="X753" s="8" t="b">
        <v>0</v>
      </c>
      <c r="Y753" s="8" t="b">
        <v>0</v>
      </c>
      <c r="Z753" s="8" t="b">
        <v>0</v>
      </c>
      <c r="AA753" s="8" t="b">
        <v>0</v>
      </c>
      <c r="AB753" s="8" t="b">
        <v>0</v>
      </c>
      <c r="AC753" s="8" t="b">
        <v>0</v>
      </c>
      <c r="AD753" s="8" t="b">
        <v>0</v>
      </c>
      <c r="AE753" s="8" t="b">
        <v>0</v>
      </c>
      <c r="AF753" s="11" t="s">
        <v>2160</v>
      </c>
      <c r="AG753" s="11" t="b" cm="1">
        <f t="array" ref="AG753">IF(OR(Y753:AA753="TRUE", AE753="true"), "Threatened")</f>
        <v>0</v>
      </c>
      <c r="AH753" s="11" t="s">
        <v>2161</v>
      </c>
      <c r="AI753" s="8" t="b">
        <v>1</v>
      </c>
    </row>
    <row r="754" spans="1:35" ht="31.2">
      <c r="A754" s="8">
        <v>-73.972937869999996</v>
      </c>
      <c r="B754" s="8">
        <v>40.76724076</v>
      </c>
      <c r="C754" s="8" t="s">
        <v>2162</v>
      </c>
      <c r="D754" s="8" t="s">
        <v>2125</v>
      </c>
      <c r="E754" s="8" t="b">
        <f t="shared" si="11"/>
        <v>0</v>
      </c>
      <c r="F754" s="8" t="str" cm="1">
        <f t="array" ref="F754">_xlfn._xlws.FILTER(E754:E3952, C754:C3952= "6D-PM-1020-01", "No Squirrels Found")</f>
        <v>No Squirrels Found</v>
      </c>
      <c r="G754" s="8" t="s">
        <v>48</v>
      </c>
      <c r="H754" s="10">
        <v>10062018</v>
      </c>
      <c r="I754" s="10">
        <v>4</v>
      </c>
      <c r="J754" s="8" t="s">
        <v>39</v>
      </c>
      <c r="K754" s="8" t="s">
        <v>40</v>
      </c>
      <c r="M754" s="8" t="s">
        <v>55</v>
      </c>
      <c r="O754" s="8" t="s">
        <v>43</v>
      </c>
      <c r="P754" s="8" t="b">
        <v>0</v>
      </c>
      <c r="R754" s="8" t="b">
        <v>0</v>
      </c>
      <c r="S754" s="8" t="b">
        <v>0</v>
      </c>
      <c r="T754" s="8" t="b">
        <v>0</v>
      </c>
      <c r="U754" s="8" t="b">
        <v>0</v>
      </c>
      <c r="V754" s="8" t="b">
        <v>1</v>
      </c>
      <c r="W754" s="11" t="s">
        <v>2163</v>
      </c>
      <c r="X754" s="8" t="b">
        <v>0</v>
      </c>
      <c r="Y754" s="8" t="b">
        <v>0</v>
      </c>
      <c r="Z754" s="8" t="b">
        <v>0</v>
      </c>
      <c r="AA754" s="8" t="b">
        <v>0</v>
      </c>
      <c r="AB754" s="8" t="b">
        <v>0</v>
      </c>
      <c r="AC754" s="8" t="b">
        <v>0</v>
      </c>
      <c r="AD754" s="8" t="b">
        <v>1</v>
      </c>
      <c r="AE754" s="8" t="b">
        <v>0</v>
      </c>
      <c r="AG754" s="11" t="b" cm="1">
        <f t="array" ref="AG754">IF(OR(Y754:AA754="TRUE", AE754="true"), "Threatened")</f>
        <v>0</v>
      </c>
      <c r="AH754" s="11" t="s">
        <v>2164</v>
      </c>
      <c r="AI754" s="8" t="b">
        <v>0</v>
      </c>
    </row>
    <row r="755" spans="1:35" ht="31.2">
      <c r="A755" s="8">
        <v>-73.956320309999995</v>
      </c>
      <c r="B755" s="8">
        <v>40.790627540000003</v>
      </c>
      <c r="C755" s="8" t="s">
        <v>2165</v>
      </c>
      <c r="D755" s="8" t="s">
        <v>533</v>
      </c>
      <c r="E755" s="8" t="b">
        <f t="shared" si="11"/>
        <v>0</v>
      </c>
      <c r="F755" s="8" t="str" cm="1">
        <f t="array" ref="F755">_xlfn._xlws.FILTER(E755:E3953, C755:C3953= "6D-PM-1020-01", "No Squirrels Found")</f>
        <v>No Squirrels Found</v>
      </c>
      <c r="G755" s="8" t="s">
        <v>34</v>
      </c>
      <c r="H755" s="10">
        <v>10062018</v>
      </c>
      <c r="I755" s="10">
        <v>1</v>
      </c>
      <c r="J755" s="8" t="s">
        <v>54</v>
      </c>
      <c r="K755" s="8" t="s">
        <v>40</v>
      </c>
      <c r="M755" s="8" t="s">
        <v>55</v>
      </c>
      <c r="O755" s="8" t="s">
        <v>50</v>
      </c>
      <c r="P755" s="8">
        <v>2</v>
      </c>
      <c r="R755" s="8" t="b">
        <v>0</v>
      </c>
      <c r="S755" s="8" t="b">
        <v>0</v>
      </c>
      <c r="T755" s="8" t="b">
        <v>1</v>
      </c>
      <c r="U755" s="8" t="b">
        <v>0</v>
      </c>
      <c r="V755" s="8" t="b">
        <v>0</v>
      </c>
      <c r="X755" s="8" t="b">
        <v>0</v>
      </c>
      <c r="Y755" s="8" t="b">
        <v>0</v>
      </c>
      <c r="Z755" s="8" t="b">
        <v>0</v>
      </c>
      <c r="AA755" s="8" t="b">
        <v>0</v>
      </c>
      <c r="AB755" s="8" t="b">
        <v>0</v>
      </c>
      <c r="AC755" s="8" t="b">
        <v>0</v>
      </c>
      <c r="AD755" s="8" t="b">
        <v>1</v>
      </c>
      <c r="AE755" s="8" t="b">
        <v>0</v>
      </c>
      <c r="AG755" s="11" t="b" cm="1">
        <f t="array" ref="AG755">IF(OR(Y755:AA755="TRUE", AE755="true"), "Threatened")</f>
        <v>0</v>
      </c>
      <c r="AH755" s="11" t="s">
        <v>2166</v>
      </c>
      <c r="AI755" s="8" t="b">
        <v>1</v>
      </c>
    </row>
    <row r="756" spans="1:35" ht="31.2">
      <c r="A756" s="8">
        <v>-73.95799418</v>
      </c>
      <c r="B756" s="8">
        <v>40.799121669999998</v>
      </c>
      <c r="C756" s="8" t="s">
        <v>2167</v>
      </c>
      <c r="D756" s="8" t="s">
        <v>382</v>
      </c>
      <c r="E756" s="8" t="b">
        <f t="shared" si="11"/>
        <v>0</v>
      </c>
      <c r="F756" s="8" t="str" cm="1">
        <f t="array" ref="F756">_xlfn._xlws.FILTER(E756:E3954, C756:C3954= "6D-PM-1020-01", "No Squirrels Found")</f>
        <v>No Squirrels Found</v>
      </c>
      <c r="G756" s="8" t="s">
        <v>34</v>
      </c>
      <c r="H756" s="10">
        <v>10142018</v>
      </c>
      <c r="I756" s="10">
        <v>2</v>
      </c>
      <c r="J756" s="8" t="s">
        <v>39</v>
      </c>
      <c r="K756" s="8" t="s">
        <v>192</v>
      </c>
      <c r="M756" s="8" t="s">
        <v>193</v>
      </c>
      <c r="O756" s="8" t="s">
        <v>50</v>
      </c>
      <c r="P756" s="8">
        <v>28</v>
      </c>
      <c r="R756" s="8" t="b">
        <v>0</v>
      </c>
      <c r="S756" s="8" t="b">
        <v>0</v>
      </c>
      <c r="T756" s="8" t="b">
        <v>1</v>
      </c>
      <c r="U756" s="8" t="b">
        <v>0</v>
      </c>
      <c r="V756" s="8" t="b">
        <v>0</v>
      </c>
      <c r="X756" s="8" t="b">
        <v>0</v>
      </c>
      <c r="Y756" s="8" t="b">
        <v>0</v>
      </c>
      <c r="Z756" s="8" t="b">
        <v>0</v>
      </c>
      <c r="AA756" s="8" t="b">
        <v>0</v>
      </c>
      <c r="AB756" s="8" t="b">
        <v>0</v>
      </c>
      <c r="AC756" s="8" t="b">
        <v>0</v>
      </c>
      <c r="AD756" s="8" t="b">
        <v>0</v>
      </c>
      <c r="AE756" s="8" t="b">
        <v>0</v>
      </c>
      <c r="AG756" s="11" t="b" cm="1">
        <f t="array" ref="AG756">IF(OR(Y756:AA756="TRUE", AE756="true"), "Threatened")</f>
        <v>0</v>
      </c>
      <c r="AH756" s="11" t="s">
        <v>2168</v>
      </c>
      <c r="AI756" s="8" t="b">
        <v>1</v>
      </c>
    </row>
    <row r="757" spans="1:35" ht="31.2">
      <c r="A757" s="8">
        <v>-73.977307920000001</v>
      </c>
      <c r="B757" s="8">
        <v>40.769650669999997</v>
      </c>
      <c r="C757" s="8" t="s">
        <v>2169</v>
      </c>
      <c r="D757" s="8" t="s">
        <v>1586</v>
      </c>
      <c r="E757" s="8" t="b">
        <f t="shared" si="11"/>
        <v>0</v>
      </c>
      <c r="F757" s="8" t="str" cm="1">
        <f t="array" ref="F757">_xlfn._xlws.FILTER(E757:E3955, C757:C3955= "6D-PM-1020-01", "No Squirrels Found")</f>
        <v>No Squirrels Found</v>
      </c>
      <c r="G757" s="8" t="s">
        <v>48</v>
      </c>
      <c r="H757" s="10">
        <v>10062018</v>
      </c>
      <c r="I757" s="10">
        <v>2</v>
      </c>
      <c r="J757" s="8" t="s">
        <v>54</v>
      </c>
      <c r="K757" s="8" t="s">
        <v>40</v>
      </c>
      <c r="L757" s="8" t="s">
        <v>84</v>
      </c>
      <c r="M757" s="8" t="s">
        <v>103</v>
      </c>
      <c r="O757" s="8" t="s">
        <v>43</v>
      </c>
      <c r="P757" s="8" t="b">
        <v>0</v>
      </c>
      <c r="R757" s="8" t="b">
        <v>1</v>
      </c>
      <c r="S757" s="8" t="b">
        <v>0</v>
      </c>
      <c r="T757" s="8" t="b">
        <v>0</v>
      </c>
      <c r="U757" s="8" t="b">
        <v>1</v>
      </c>
      <c r="V757" s="8" t="b">
        <v>1</v>
      </c>
      <c r="X757" s="8" t="b">
        <v>0</v>
      </c>
      <c r="Y757" s="8" t="b">
        <v>0</v>
      </c>
      <c r="Z757" s="8" t="b">
        <v>0</v>
      </c>
      <c r="AA757" s="8" t="b">
        <v>0</v>
      </c>
      <c r="AB757" s="8" t="b">
        <v>1</v>
      </c>
      <c r="AC757" s="8" t="b">
        <v>0</v>
      </c>
      <c r="AD757" s="8" t="b">
        <v>1</v>
      </c>
      <c r="AE757" s="8" t="b">
        <v>0</v>
      </c>
      <c r="AG757" s="11" t="b" cm="1">
        <f t="array" ref="AG757">IF(OR(Y757:AA757="TRUE", AE757="true"), "Threatened")</f>
        <v>0</v>
      </c>
      <c r="AH757" s="11" t="s">
        <v>2170</v>
      </c>
      <c r="AI757" s="8" t="b">
        <v>1</v>
      </c>
    </row>
    <row r="758" spans="1:35" ht="31.2">
      <c r="A758" s="8">
        <v>-73.978318529999996</v>
      </c>
      <c r="B758" s="8">
        <v>40.772486170000001</v>
      </c>
      <c r="C758" s="8" t="s">
        <v>2171</v>
      </c>
      <c r="D758" s="8" t="s">
        <v>503</v>
      </c>
      <c r="E758" s="8" t="b">
        <f t="shared" si="11"/>
        <v>0</v>
      </c>
      <c r="F758" s="8" t="str" cm="1">
        <f t="array" ref="F758">_xlfn._xlws.FILTER(E758:E3956, C758:C3956= "6D-PM-1020-01", "No Squirrels Found")</f>
        <v>No Squirrels Found</v>
      </c>
      <c r="G758" s="8" t="s">
        <v>48</v>
      </c>
      <c r="H758" s="10">
        <v>10062018</v>
      </c>
      <c r="I758" s="10">
        <v>3</v>
      </c>
      <c r="J758" s="8" t="s">
        <v>39</v>
      </c>
      <c r="K758" s="8" t="s">
        <v>40</v>
      </c>
      <c r="M758" s="8" t="s">
        <v>55</v>
      </c>
      <c r="N758" s="11" t="s">
        <v>2172</v>
      </c>
      <c r="O758" s="8" t="s">
        <v>50</v>
      </c>
      <c r="P758" s="8">
        <v>20</v>
      </c>
      <c r="Q758" s="8" t="s">
        <v>2173</v>
      </c>
      <c r="R758" s="8" t="b">
        <v>1</v>
      </c>
      <c r="S758" s="8" t="b">
        <v>0</v>
      </c>
      <c r="T758" s="8" t="b">
        <v>1</v>
      </c>
      <c r="U758" s="8" t="b">
        <v>0</v>
      </c>
      <c r="V758" s="8" t="b">
        <v>0</v>
      </c>
      <c r="W758" s="11" t="s">
        <v>694</v>
      </c>
      <c r="X758" s="8" t="b">
        <v>0</v>
      </c>
      <c r="Y758" s="8" t="b">
        <v>0</v>
      </c>
      <c r="Z758" s="8" t="b">
        <v>0</v>
      </c>
      <c r="AA758" s="8" t="b">
        <v>0</v>
      </c>
      <c r="AB758" s="8" t="b">
        <v>0</v>
      </c>
      <c r="AC758" s="8" t="b">
        <v>0</v>
      </c>
      <c r="AD758" s="8" t="b">
        <v>1</v>
      </c>
      <c r="AE758" s="8" t="b">
        <v>0</v>
      </c>
      <c r="AG758" s="11" t="b" cm="1">
        <f t="array" ref="AG758">IF(OR(Y758:AA758="TRUE", AE758="true"), "Threatened")</f>
        <v>0</v>
      </c>
      <c r="AH758" s="11" t="s">
        <v>2174</v>
      </c>
      <c r="AI758" s="8" t="b">
        <v>0</v>
      </c>
    </row>
    <row r="759" spans="1:35" ht="31.2">
      <c r="A759" s="8">
        <v>-73.970362159999993</v>
      </c>
      <c r="B759" s="8">
        <v>40.775032269999997</v>
      </c>
      <c r="C759" s="8" t="s">
        <v>2175</v>
      </c>
      <c r="D759" s="8" t="s">
        <v>738</v>
      </c>
      <c r="E759" s="8" t="b">
        <f t="shared" si="11"/>
        <v>0</v>
      </c>
      <c r="F759" s="8" t="str" cm="1">
        <f t="array" ref="F759">_xlfn._xlws.FILTER(E759:E3957, C759:C3957= "6D-PM-1020-01", "No Squirrels Found")</f>
        <v>No Squirrels Found</v>
      </c>
      <c r="G759" s="8" t="s">
        <v>48</v>
      </c>
      <c r="H759" s="10">
        <v>10172018</v>
      </c>
      <c r="I759" s="10">
        <v>8</v>
      </c>
      <c r="J759" s="8" t="s">
        <v>39</v>
      </c>
      <c r="K759" s="8" t="s">
        <v>40</v>
      </c>
      <c r="L759" s="8" t="s">
        <v>41</v>
      </c>
      <c r="M759" s="8" t="s">
        <v>42</v>
      </c>
      <c r="O759" s="8" t="s">
        <v>50</v>
      </c>
      <c r="P759" s="8">
        <v>1</v>
      </c>
      <c r="R759" s="8" t="b">
        <v>0</v>
      </c>
      <c r="S759" s="8" t="b">
        <v>0</v>
      </c>
      <c r="T759" s="8" t="b">
        <v>0</v>
      </c>
      <c r="U759" s="8" t="b">
        <v>1</v>
      </c>
      <c r="V759" s="8" t="b">
        <v>0</v>
      </c>
      <c r="W759" s="11" t="s">
        <v>1288</v>
      </c>
      <c r="X759" s="8" t="b">
        <v>0</v>
      </c>
      <c r="Y759" s="8" t="b">
        <v>0</v>
      </c>
      <c r="Z759" s="8" t="b">
        <v>0</v>
      </c>
      <c r="AA759" s="8" t="b">
        <v>0</v>
      </c>
      <c r="AB759" s="8" t="b">
        <v>0</v>
      </c>
      <c r="AC759" s="8" t="b">
        <v>0</v>
      </c>
      <c r="AD759" s="8" t="b">
        <v>1</v>
      </c>
      <c r="AE759" s="8" t="b">
        <v>0</v>
      </c>
      <c r="AG759" s="11" t="b" cm="1">
        <f t="array" ref="AG759">IF(OR(Y759:AA759="TRUE", AE759="true"), "Threatened")</f>
        <v>0</v>
      </c>
      <c r="AH759" s="11" t="s">
        <v>2176</v>
      </c>
      <c r="AI759" s="8" t="b">
        <v>0</v>
      </c>
    </row>
    <row r="760" spans="1:35" ht="31.2">
      <c r="A760" s="8">
        <v>-73.969951120000005</v>
      </c>
      <c r="B760" s="8">
        <v>40.776275660000003</v>
      </c>
      <c r="C760" s="8" t="s">
        <v>2177</v>
      </c>
      <c r="D760" s="8" t="s">
        <v>121</v>
      </c>
      <c r="E760" s="8" t="b">
        <f t="shared" si="11"/>
        <v>0</v>
      </c>
      <c r="F760" s="8" t="str" cm="1">
        <f t="array" ref="F760">_xlfn._xlws.FILTER(E760:E3958, C760:C3958= "6D-PM-1020-01", "No Squirrels Found")</f>
        <v>No Squirrels Found</v>
      </c>
      <c r="G760" s="8" t="s">
        <v>48</v>
      </c>
      <c r="H760" s="10">
        <v>10082018</v>
      </c>
      <c r="I760" s="10">
        <v>17</v>
      </c>
      <c r="J760" s="8" t="s">
        <v>39</v>
      </c>
      <c r="K760" s="8" t="s">
        <v>40</v>
      </c>
      <c r="M760" s="8" t="s">
        <v>55</v>
      </c>
      <c r="O760" s="8" t="s">
        <v>43</v>
      </c>
      <c r="P760" s="8" t="b">
        <v>0</v>
      </c>
      <c r="R760" s="8" t="b">
        <v>0</v>
      </c>
      <c r="S760" s="8" t="b">
        <v>0</v>
      </c>
      <c r="T760" s="8" t="b">
        <v>0</v>
      </c>
      <c r="U760" s="8" t="b">
        <v>1</v>
      </c>
      <c r="V760" s="8" t="b">
        <v>1</v>
      </c>
      <c r="X760" s="8" t="b">
        <v>0</v>
      </c>
      <c r="Y760" s="8" t="b">
        <v>0</v>
      </c>
      <c r="Z760" s="8" t="b">
        <v>0</v>
      </c>
      <c r="AA760" s="8" t="b">
        <v>0</v>
      </c>
      <c r="AB760" s="8" t="b">
        <v>0</v>
      </c>
      <c r="AC760" s="8" t="b">
        <v>0</v>
      </c>
      <c r="AD760" s="8" t="b">
        <v>1</v>
      </c>
      <c r="AE760" s="8" t="b">
        <v>0</v>
      </c>
      <c r="AG760" s="11" t="b" cm="1">
        <f t="array" ref="AG760">IF(OR(Y760:AA760="TRUE", AE760="true"), "Threatened")</f>
        <v>0</v>
      </c>
      <c r="AH760" s="11" t="s">
        <v>2178</v>
      </c>
      <c r="AI760" s="8" t="b">
        <v>1</v>
      </c>
    </row>
    <row r="761" spans="1:35" ht="31.2">
      <c r="A761" s="8">
        <v>-73.971823420000007</v>
      </c>
      <c r="B761" s="8">
        <v>40.781084249999999</v>
      </c>
      <c r="C761" s="8" t="s">
        <v>2179</v>
      </c>
      <c r="D761" s="8" t="s">
        <v>183</v>
      </c>
      <c r="E761" s="8" t="b">
        <f t="shared" si="11"/>
        <v>0</v>
      </c>
      <c r="F761" s="8" t="str" cm="1">
        <f t="array" ref="F761">_xlfn._xlws.FILTER(E761:E3959, C761:C3959= "6D-PM-1020-01", "No Squirrels Found")</f>
        <v>No Squirrels Found</v>
      </c>
      <c r="G761" s="8" t="s">
        <v>48</v>
      </c>
      <c r="H761" s="10">
        <v>10122018</v>
      </c>
      <c r="I761" s="10">
        <v>2</v>
      </c>
      <c r="J761" s="8" t="s">
        <v>39</v>
      </c>
      <c r="K761" s="8" t="s">
        <v>40</v>
      </c>
      <c r="L761" s="8" t="s">
        <v>41</v>
      </c>
      <c r="M761" s="8" t="s">
        <v>42</v>
      </c>
      <c r="O761" s="8" t="s">
        <v>50</v>
      </c>
      <c r="P761" s="8">
        <v>4</v>
      </c>
      <c r="R761" s="8" t="b">
        <v>0</v>
      </c>
      <c r="S761" s="8" t="b">
        <v>0</v>
      </c>
      <c r="T761" s="8" t="b">
        <v>1</v>
      </c>
      <c r="U761" s="8" t="b">
        <v>1</v>
      </c>
      <c r="V761" s="8" t="b">
        <v>1</v>
      </c>
      <c r="W761" s="11" t="s">
        <v>521</v>
      </c>
      <c r="X761" s="8" t="b">
        <v>0</v>
      </c>
      <c r="Y761" s="8" t="b">
        <v>0</v>
      </c>
      <c r="Z761" s="8" t="b">
        <v>0</v>
      </c>
      <c r="AA761" s="8" t="b">
        <v>1</v>
      </c>
      <c r="AB761" s="8" t="b">
        <v>0</v>
      </c>
      <c r="AC761" s="8" t="b">
        <v>0</v>
      </c>
      <c r="AD761" s="8" t="b">
        <v>0</v>
      </c>
      <c r="AE761" s="8" t="b">
        <v>1</v>
      </c>
      <c r="AG761" s="11" t="b" cm="1">
        <f t="array" ref="AG761">IF(OR(Y761:AA761="TRUE", AE761="true"), "Threatened")</f>
        <v>0</v>
      </c>
      <c r="AH761" s="11" t="s">
        <v>2180</v>
      </c>
      <c r="AI761" s="8" t="b">
        <v>0</v>
      </c>
    </row>
    <row r="762" spans="1:35" ht="31.2">
      <c r="A762" s="8">
        <v>-73.975062149999999</v>
      </c>
      <c r="B762" s="8">
        <v>40.77234172</v>
      </c>
      <c r="C762" s="8" t="s">
        <v>2181</v>
      </c>
      <c r="D762" s="8" t="s">
        <v>805</v>
      </c>
      <c r="E762" s="8" t="b">
        <f t="shared" si="11"/>
        <v>0</v>
      </c>
      <c r="F762" s="8" t="str" cm="1">
        <f t="array" ref="F762">_xlfn._xlws.FILTER(E762:E3960, C762:C3960= "6D-PM-1020-01", "No Squirrels Found")</f>
        <v>No Squirrels Found</v>
      </c>
      <c r="G762" s="8" t="s">
        <v>34</v>
      </c>
      <c r="H762" s="10">
        <v>10132018</v>
      </c>
      <c r="I762" s="10">
        <v>7</v>
      </c>
      <c r="K762" s="8" t="s">
        <v>40</v>
      </c>
      <c r="L762" s="8" t="s">
        <v>84</v>
      </c>
      <c r="M762" s="8" t="s">
        <v>103</v>
      </c>
      <c r="O762" s="8" t="s">
        <v>43</v>
      </c>
      <c r="P762" s="8" t="b">
        <v>0</v>
      </c>
      <c r="R762" s="8" t="b">
        <v>0</v>
      </c>
      <c r="S762" s="8" t="b">
        <v>0</v>
      </c>
      <c r="T762" s="8" t="b">
        <v>0</v>
      </c>
      <c r="U762" s="8" t="b">
        <v>1</v>
      </c>
      <c r="V762" s="8" t="b">
        <v>0</v>
      </c>
      <c r="X762" s="8" t="b">
        <v>0</v>
      </c>
      <c r="Y762" s="8" t="b">
        <v>0</v>
      </c>
      <c r="Z762" s="8" t="b">
        <v>0</v>
      </c>
      <c r="AA762" s="8" t="b">
        <v>0</v>
      </c>
      <c r="AB762" s="8" t="b">
        <v>0</v>
      </c>
      <c r="AC762" s="8" t="b">
        <v>0</v>
      </c>
      <c r="AD762" s="8" t="b">
        <v>1</v>
      </c>
      <c r="AE762" s="8" t="b">
        <v>0</v>
      </c>
      <c r="AG762" s="11" t="b" cm="1">
        <f t="array" ref="AG762">IF(OR(Y762:AA762="TRUE", AE762="true"), "Threatened")</f>
        <v>0</v>
      </c>
      <c r="AH762" s="11" t="s">
        <v>2182</v>
      </c>
      <c r="AI762" s="8" t="b">
        <v>1</v>
      </c>
    </row>
    <row r="763" spans="1:35" ht="31.2">
      <c r="A763" s="8">
        <v>-73.967929130000002</v>
      </c>
      <c r="B763" s="8">
        <v>40.784697309999999</v>
      </c>
      <c r="C763" s="8" t="s">
        <v>2183</v>
      </c>
      <c r="D763" s="8" t="s">
        <v>2184</v>
      </c>
      <c r="E763" s="8" t="b">
        <f t="shared" si="11"/>
        <v>0</v>
      </c>
      <c r="F763" s="8" t="str" cm="1">
        <f t="array" ref="F763">_xlfn._xlws.FILTER(E763:E3961, C763:C3961= "6D-PM-1020-01", "No Squirrels Found")</f>
        <v>No Squirrels Found</v>
      </c>
      <c r="G763" s="8" t="s">
        <v>34</v>
      </c>
      <c r="H763" s="10">
        <v>10122018</v>
      </c>
      <c r="I763" s="10">
        <v>2</v>
      </c>
      <c r="J763" s="8" t="s">
        <v>39</v>
      </c>
      <c r="K763" s="8" t="s">
        <v>40</v>
      </c>
      <c r="L763" s="8" t="s">
        <v>84</v>
      </c>
      <c r="M763" s="8" t="s">
        <v>103</v>
      </c>
      <c r="O763" s="8" t="s">
        <v>43</v>
      </c>
      <c r="P763" s="8" t="b">
        <v>0</v>
      </c>
      <c r="R763" s="8" t="b">
        <v>0</v>
      </c>
      <c r="S763" s="8" t="b">
        <v>1</v>
      </c>
      <c r="T763" s="8" t="b">
        <v>0</v>
      </c>
      <c r="U763" s="8" t="b">
        <v>0</v>
      </c>
      <c r="V763" s="8" t="b">
        <v>1</v>
      </c>
      <c r="W763" s="11" t="s">
        <v>2185</v>
      </c>
      <c r="X763" s="8" t="b">
        <v>0</v>
      </c>
      <c r="Y763" s="8" t="b">
        <v>0</v>
      </c>
      <c r="Z763" s="8" t="b">
        <v>0</v>
      </c>
      <c r="AA763" s="8" t="b">
        <v>0</v>
      </c>
      <c r="AB763" s="8" t="b">
        <v>1</v>
      </c>
      <c r="AC763" s="8" t="b">
        <v>0</v>
      </c>
      <c r="AD763" s="8" t="b">
        <v>0</v>
      </c>
      <c r="AE763" s="8" t="b">
        <v>1</v>
      </c>
      <c r="AG763" s="11" t="b" cm="1">
        <f t="array" ref="AG763">IF(OR(Y763:AA763="TRUE", AE763="true"), "Threatened")</f>
        <v>0</v>
      </c>
      <c r="AH763" s="11" t="s">
        <v>2186</v>
      </c>
      <c r="AI763" s="8" t="b">
        <v>0</v>
      </c>
    </row>
    <row r="764" spans="1:35" ht="31.2">
      <c r="A764" s="8">
        <v>-73.976745539999996</v>
      </c>
      <c r="B764" s="8">
        <v>40.77178662</v>
      </c>
      <c r="C764" s="8" t="s">
        <v>2187</v>
      </c>
      <c r="D764" s="8" t="s">
        <v>808</v>
      </c>
      <c r="E764" s="8" t="b">
        <f t="shared" si="11"/>
        <v>0</v>
      </c>
      <c r="F764" s="8" t="str" cm="1">
        <f t="array" ref="F764">_xlfn._xlws.FILTER(E764:E3962, C764:C3962= "6D-PM-1020-01", "No Squirrels Found")</f>
        <v>No Squirrels Found</v>
      </c>
      <c r="G764" s="8" t="s">
        <v>34</v>
      </c>
      <c r="H764" s="10">
        <v>10172018</v>
      </c>
      <c r="I764" s="10">
        <v>6</v>
      </c>
      <c r="J764" s="8" t="s">
        <v>39</v>
      </c>
      <c r="K764" s="8" t="s">
        <v>40</v>
      </c>
      <c r="L764" s="8" t="s">
        <v>41</v>
      </c>
      <c r="M764" s="8" t="s">
        <v>42</v>
      </c>
      <c r="O764" s="8" t="s">
        <v>43</v>
      </c>
      <c r="P764" s="8" t="b">
        <v>0</v>
      </c>
      <c r="R764" s="8" t="b">
        <v>1</v>
      </c>
      <c r="S764" s="8" t="b">
        <v>1</v>
      </c>
      <c r="T764" s="8" t="b">
        <v>0</v>
      </c>
      <c r="U764" s="8" t="b">
        <v>0</v>
      </c>
      <c r="V764" s="8" t="b">
        <v>1</v>
      </c>
      <c r="X764" s="8" t="b">
        <v>0</v>
      </c>
      <c r="Y764" s="8" t="b">
        <v>0</v>
      </c>
      <c r="Z764" s="8" t="b">
        <v>0</v>
      </c>
      <c r="AA764" s="8" t="b">
        <v>0</v>
      </c>
      <c r="AB764" s="8" t="b">
        <v>0</v>
      </c>
      <c r="AC764" s="8" t="b">
        <v>0</v>
      </c>
      <c r="AD764" s="8" t="b">
        <v>0</v>
      </c>
      <c r="AE764" s="8" t="b">
        <v>0</v>
      </c>
      <c r="AG764" s="11" t="b" cm="1">
        <f t="array" ref="AG764">IF(OR(Y764:AA764="TRUE", AE764="true"), "Threatened")</f>
        <v>0</v>
      </c>
      <c r="AH764" s="11" t="s">
        <v>2188</v>
      </c>
      <c r="AI764" s="8" t="b">
        <v>1</v>
      </c>
    </row>
    <row r="765" spans="1:35" ht="31.2">
      <c r="A765" s="8">
        <v>-73.974660880000002</v>
      </c>
      <c r="B765" s="8">
        <v>40.777609210000001</v>
      </c>
      <c r="C765" s="8" t="s">
        <v>2189</v>
      </c>
      <c r="D765" s="8" t="s">
        <v>594</v>
      </c>
      <c r="E765" s="8" t="b">
        <f t="shared" si="11"/>
        <v>0</v>
      </c>
      <c r="F765" s="8" t="str" cm="1">
        <f t="array" ref="F765">_xlfn._xlws.FILTER(E765:E3963, C765:C3963= "6D-PM-1020-01", "No Squirrels Found")</f>
        <v>No Squirrels Found</v>
      </c>
      <c r="G765" s="8" t="s">
        <v>48</v>
      </c>
      <c r="H765" s="10">
        <v>10172018</v>
      </c>
      <c r="I765" s="10">
        <v>1</v>
      </c>
      <c r="J765" s="8" t="s">
        <v>39</v>
      </c>
      <c r="K765" s="8" t="s">
        <v>40</v>
      </c>
      <c r="M765" s="8" t="s">
        <v>55</v>
      </c>
      <c r="O765" s="8" t="s">
        <v>50</v>
      </c>
      <c r="P765" s="8">
        <v>5</v>
      </c>
      <c r="R765" s="8" t="b">
        <v>0</v>
      </c>
      <c r="S765" s="8" t="b">
        <v>0</v>
      </c>
      <c r="T765" s="8" t="b">
        <v>1</v>
      </c>
      <c r="U765" s="8" t="b">
        <v>0</v>
      </c>
      <c r="V765" s="8" t="b">
        <v>0</v>
      </c>
      <c r="X765" s="8" t="b">
        <v>0</v>
      </c>
      <c r="Y765" s="8" t="b">
        <v>0</v>
      </c>
      <c r="Z765" s="8" t="b">
        <v>0</v>
      </c>
      <c r="AA765" s="8" t="b">
        <v>0</v>
      </c>
      <c r="AB765" s="8" t="b">
        <v>0</v>
      </c>
      <c r="AC765" s="8" t="b">
        <v>0</v>
      </c>
      <c r="AD765" s="8" t="b">
        <v>1</v>
      </c>
      <c r="AE765" s="8" t="b">
        <v>0</v>
      </c>
      <c r="AG765" s="11" t="b" cm="1">
        <f t="array" ref="AG765">IF(OR(Y765:AA765="TRUE", AE765="true"), "Threatened")</f>
        <v>0</v>
      </c>
      <c r="AH765" s="11" t="s">
        <v>2190</v>
      </c>
      <c r="AI765" s="8" t="b">
        <v>1</v>
      </c>
    </row>
    <row r="766" spans="1:35" ht="31.2">
      <c r="A766" s="8">
        <v>-73.9679778</v>
      </c>
      <c r="B766" s="8">
        <v>40.784762950000001</v>
      </c>
      <c r="C766" s="8" t="s">
        <v>2191</v>
      </c>
      <c r="D766" s="8" t="s">
        <v>2184</v>
      </c>
      <c r="E766" s="8" t="b">
        <f t="shared" si="11"/>
        <v>0</v>
      </c>
      <c r="F766" s="8" t="str" cm="1">
        <f t="array" ref="F766">_xlfn._xlws.FILTER(E766:E3964, C766:C3964= "6D-PM-1020-01", "No Squirrels Found")</f>
        <v>No Squirrels Found</v>
      </c>
      <c r="G766" s="8" t="s">
        <v>34</v>
      </c>
      <c r="H766" s="10">
        <v>10122018</v>
      </c>
      <c r="I766" s="10">
        <v>5</v>
      </c>
      <c r="J766" s="8" t="s">
        <v>39</v>
      </c>
      <c r="K766" s="8" t="s">
        <v>40</v>
      </c>
      <c r="L766" s="8" t="s">
        <v>41</v>
      </c>
      <c r="M766" s="8" t="s">
        <v>42</v>
      </c>
      <c r="O766" s="8" t="s">
        <v>50</v>
      </c>
      <c r="P766" s="8">
        <v>5</v>
      </c>
      <c r="Q766" s="8" t="s">
        <v>2192</v>
      </c>
      <c r="R766" s="8" t="b">
        <v>0</v>
      </c>
      <c r="S766" s="8" t="b">
        <v>1</v>
      </c>
      <c r="T766" s="8" t="b">
        <v>1</v>
      </c>
      <c r="U766" s="8" t="b">
        <v>0</v>
      </c>
      <c r="V766" s="8" t="b">
        <v>0</v>
      </c>
      <c r="X766" s="8" t="b">
        <v>0</v>
      </c>
      <c r="Y766" s="8" t="b">
        <v>0</v>
      </c>
      <c r="Z766" s="8" t="b">
        <v>0</v>
      </c>
      <c r="AA766" s="8" t="b">
        <v>0</v>
      </c>
      <c r="AB766" s="8" t="b">
        <v>0</v>
      </c>
      <c r="AC766" s="8" t="b">
        <v>0</v>
      </c>
      <c r="AD766" s="8" t="b">
        <v>1</v>
      </c>
      <c r="AE766" s="8" t="b">
        <v>0</v>
      </c>
      <c r="AG766" s="11" t="b" cm="1">
        <f t="array" ref="AG766">IF(OR(Y766:AA766="TRUE", AE766="true"), "Threatened")</f>
        <v>0</v>
      </c>
      <c r="AH766" s="11" t="s">
        <v>2193</v>
      </c>
      <c r="AI766" s="8" t="b">
        <v>1</v>
      </c>
    </row>
    <row r="767" spans="1:35" ht="31.2">
      <c r="A767" s="8">
        <v>-73.968446319999998</v>
      </c>
      <c r="B767" s="8">
        <v>40.783481330000001</v>
      </c>
      <c r="C767" s="8" t="s">
        <v>2194</v>
      </c>
      <c r="D767" s="8" t="s">
        <v>1415</v>
      </c>
      <c r="E767" s="8" t="b">
        <f t="shared" si="11"/>
        <v>0</v>
      </c>
      <c r="F767" s="8" t="str" cm="1">
        <f t="array" ref="F767">_xlfn._xlws.FILTER(E767:E3965, C767:C3965= "6D-PM-1020-01", "No Squirrels Found")</f>
        <v>No Squirrels Found</v>
      </c>
      <c r="G767" s="8" t="s">
        <v>48</v>
      </c>
      <c r="H767" s="10">
        <v>10192018</v>
      </c>
      <c r="I767" s="10">
        <v>2</v>
      </c>
      <c r="J767" s="8" t="s">
        <v>39</v>
      </c>
      <c r="K767" s="8" t="s">
        <v>40</v>
      </c>
      <c r="M767" s="8" t="s">
        <v>55</v>
      </c>
      <c r="O767" s="8" t="s">
        <v>43</v>
      </c>
      <c r="P767" s="8" t="b">
        <v>0</v>
      </c>
      <c r="R767" s="8" t="b">
        <v>0</v>
      </c>
      <c r="S767" s="8" t="b">
        <v>0</v>
      </c>
      <c r="T767" s="8" t="b">
        <v>0</v>
      </c>
      <c r="U767" s="8" t="b">
        <v>0</v>
      </c>
      <c r="V767" s="8" t="b">
        <v>0</v>
      </c>
      <c r="X767" s="8" t="b">
        <v>0</v>
      </c>
      <c r="Y767" s="8" t="b">
        <v>0</v>
      </c>
      <c r="Z767" s="8" t="b">
        <v>0</v>
      </c>
      <c r="AA767" s="8" t="b">
        <v>0</v>
      </c>
      <c r="AB767" s="8" t="b">
        <v>0</v>
      </c>
      <c r="AC767" s="8" t="b">
        <v>0</v>
      </c>
      <c r="AD767" s="8" t="b">
        <v>1</v>
      </c>
      <c r="AE767" s="8" t="b">
        <v>0</v>
      </c>
      <c r="AG767" s="11" t="b" cm="1">
        <f t="array" ref="AG767">IF(OR(Y767:AA767="TRUE", AE767="true"), "Threatened")</f>
        <v>0</v>
      </c>
      <c r="AH767" s="11" t="s">
        <v>2195</v>
      </c>
      <c r="AI767" s="8" t="b">
        <v>1</v>
      </c>
    </row>
    <row r="768" spans="1:35" ht="31.2">
      <c r="A768" s="8">
        <v>-73.965573460000002</v>
      </c>
      <c r="B768" s="8">
        <v>40.780536689999998</v>
      </c>
      <c r="C768" s="8" t="s">
        <v>2196</v>
      </c>
      <c r="D768" s="8" t="s">
        <v>574</v>
      </c>
      <c r="E768" s="8" t="b">
        <f t="shared" si="11"/>
        <v>0</v>
      </c>
      <c r="F768" s="8" t="str" cm="1">
        <f t="array" ref="F768">_xlfn._xlws.FILTER(E768:E3966, C768:C3966= "6D-PM-1020-01", "No Squirrels Found")</f>
        <v>No Squirrels Found</v>
      </c>
      <c r="G768" s="8" t="s">
        <v>48</v>
      </c>
      <c r="H768" s="10">
        <v>10142018</v>
      </c>
      <c r="I768" s="10">
        <v>2</v>
      </c>
      <c r="J768" s="8" t="s">
        <v>39</v>
      </c>
      <c r="K768" s="8" t="s">
        <v>40</v>
      </c>
      <c r="L768" s="8" t="s">
        <v>41</v>
      </c>
      <c r="M768" s="8" t="s">
        <v>42</v>
      </c>
      <c r="O768" s="8" t="s">
        <v>50</v>
      </c>
      <c r="P768" s="8">
        <v>30</v>
      </c>
      <c r="R768" s="8" t="b">
        <v>0</v>
      </c>
      <c r="S768" s="8" t="b">
        <v>0</v>
      </c>
      <c r="T768" s="8" t="b">
        <v>1</v>
      </c>
      <c r="U768" s="8" t="b">
        <v>0</v>
      </c>
      <c r="V768" s="8" t="b">
        <v>0</v>
      </c>
      <c r="W768" s="11" t="s">
        <v>2197</v>
      </c>
      <c r="X768" s="8" t="b">
        <v>1</v>
      </c>
      <c r="Y768" s="8" t="b">
        <v>0</v>
      </c>
      <c r="Z768" s="8" t="b">
        <v>0</v>
      </c>
      <c r="AA768" s="8" t="b">
        <v>0</v>
      </c>
      <c r="AB768" s="8" t="b">
        <v>0</v>
      </c>
      <c r="AC768" s="8" t="b">
        <v>0</v>
      </c>
      <c r="AD768" s="8" t="b">
        <v>0</v>
      </c>
      <c r="AE768" s="8" t="b">
        <v>0</v>
      </c>
      <c r="AG768" s="11" t="b" cm="1">
        <f t="array" ref="AG768">IF(OR(Y768:AA768="TRUE", AE768="true"), "Threatened")</f>
        <v>0</v>
      </c>
      <c r="AH768" s="11" t="s">
        <v>2198</v>
      </c>
      <c r="AI768" s="8" t="b">
        <v>0</v>
      </c>
    </row>
    <row r="769" spans="1:35" ht="31.2">
      <c r="A769" s="8">
        <v>-73.972939490000002</v>
      </c>
      <c r="B769" s="8">
        <v>40.774325670000003</v>
      </c>
      <c r="C769" s="8" t="s">
        <v>2199</v>
      </c>
      <c r="D769" s="8" t="s">
        <v>98</v>
      </c>
      <c r="E769" s="8" t="b">
        <f t="shared" si="11"/>
        <v>0</v>
      </c>
      <c r="F769" s="8" t="str" cm="1">
        <f t="array" ref="F769">_xlfn._xlws.FILTER(E769:E3967, C769:C3967= "6D-PM-1020-01", "No Squirrels Found")</f>
        <v>No Squirrels Found</v>
      </c>
      <c r="G769" s="8" t="s">
        <v>48</v>
      </c>
      <c r="H769" s="10">
        <v>10102018</v>
      </c>
      <c r="I769" s="10">
        <v>1</v>
      </c>
      <c r="J769" s="8" t="s">
        <v>39</v>
      </c>
      <c r="K769" s="8" t="s">
        <v>40</v>
      </c>
      <c r="L769" s="8" t="s">
        <v>117</v>
      </c>
      <c r="M769" s="8" t="s">
        <v>118</v>
      </c>
      <c r="O769" s="8" t="s">
        <v>43</v>
      </c>
      <c r="P769" s="8" t="b">
        <v>0</v>
      </c>
      <c r="R769" s="8" t="b">
        <v>0</v>
      </c>
      <c r="S769" s="8" t="b">
        <v>0</v>
      </c>
      <c r="T769" s="8" t="b">
        <v>1</v>
      </c>
      <c r="U769" s="8" t="b">
        <v>1</v>
      </c>
      <c r="V769" s="8" t="b">
        <v>1</v>
      </c>
      <c r="X769" s="8" t="b">
        <v>0</v>
      </c>
      <c r="Y769" s="8" t="b">
        <v>0</v>
      </c>
      <c r="Z769" s="8" t="b">
        <v>0</v>
      </c>
      <c r="AA769" s="8" t="b">
        <v>0</v>
      </c>
      <c r="AB769" s="8" t="b">
        <v>0</v>
      </c>
      <c r="AC769" s="8" t="b">
        <v>0</v>
      </c>
      <c r="AD769" s="8" t="b">
        <v>0</v>
      </c>
      <c r="AE769" s="8" t="b">
        <v>1</v>
      </c>
      <c r="AG769" s="11" t="b" cm="1">
        <f t="array" ref="AG769">IF(OR(Y769:AA769="TRUE", AE769="true"), "Threatened")</f>
        <v>0</v>
      </c>
      <c r="AH769" s="11" t="s">
        <v>2200</v>
      </c>
      <c r="AI769" s="8" t="b">
        <v>1</v>
      </c>
    </row>
    <row r="770" spans="1:35" ht="31.2">
      <c r="A770" s="8">
        <v>-73.976521919999996</v>
      </c>
      <c r="B770" s="8">
        <v>40.773784720000002</v>
      </c>
      <c r="C770" s="8" t="s">
        <v>2201</v>
      </c>
      <c r="D770" s="8" t="s">
        <v>802</v>
      </c>
      <c r="E770" s="8" t="b">
        <f t="shared" si="11"/>
        <v>0</v>
      </c>
      <c r="F770" s="8" t="str" cm="1">
        <f t="array" ref="F770">_xlfn._xlws.FILTER(E770:E3968, C770:C3968= "6D-PM-1020-01", "No Squirrels Found")</f>
        <v>No Squirrels Found</v>
      </c>
      <c r="G770" s="8" t="s">
        <v>48</v>
      </c>
      <c r="H770" s="10">
        <v>10102018</v>
      </c>
      <c r="I770" s="10">
        <v>1</v>
      </c>
      <c r="J770" s="8" t="s">
        <v>39</v>
      </c>
      <c r="K770" s="8" t="s">
        <v>40</v>
      </c>
      <c r="L770" s="8" t="s">
        <v>41</v>
      </c>
      <c r="M770" s="8" t="s">
        <v>42</v>
      </c>
      <c r="O770" s="8" t="s">
        <v>43</v>
      </c>
      <c r="P770" s="8" t="b">
        <v>0</v>
      </c>
      <c r="R770" s="8" t="b">
        <v>0</v>
      </c>
      <c r="S770" s="8" t="b">
        <v>0</v>
      </c>
      <c r="T770" s="8" t="b">
        <v>0</v>
      </c>
      <c r="U770" s="8" t="b">
        <v>0</v>
      </c>
      <c r="V770" s="8" t="b">
        <v>1</v>
      </c>
      <c r="X770" s="8" t="b">
        <v>1</v>
      </c>
      <c r="Y770" s="8" t="b">
        <v>0</v>
      </c>
      <c r="Z770" s="8" t="b">
        <v>0</v>
      </c>
      <c r="AA770" s="8" t="b">
        <v>0</v>
      </c>
      <c r="AB770" s="8" t="b">
        <v>0</v>
      </c>
      <c r="AC770" s="8" t="b">
        <v>0</v>
      </c>
      <c r="AD770" s="8" t="b">
        <v>0</v>
      </c>
      <c r="AE770" s="8" t="b">
        <v>1</v>
      </c>
      <c r="AG770" s="11" t="b" cm="1">
        <f t="array" ref="AG770">IF(OR(Y770:AA770="TRUE", AE770="true"), "Threatened")</f>
        <v>0</v>
      </c>
      <c r="AH770" s="11" t="s">
        <v>2202</v>
      </c>
      <c r="AI770" s="8" t="b">
        <v>1</v>
      </c>
    </row>
    <row r="771" spans="1:35" ht="31.2">
      <c r="A771" s="8">
        <v>-73.959778279999995</v>
      </c>
      <c r="B771" s="8">
        <v>40.792077339999999</v>
      </c>
      <c r="C771" s="8" t="s">
        <v>2203</v>
      </c>
      <c r="D771" s="8" t="s">
        <v>1205</v>
      </c>
      <c r="E771" s="8" t="b">
        <f t="shared" ref="E771:E834" si="12">OR(D771 = "05D", D771 = "07D", D771 = "06C", D771 = "06E")</f>
        <v>0</v>
      </c>
      <c r="F771" s="8" t="str" cm="1">
        <f t="array" ref="F771">_xlfn._xlws.FILTER(E771:E3969, C771:C3969= "6D-PM-1020-01", "No Squirrels Found")</f>
        <v>No Squirrels Found</v>
      </c>
      <c r="G771" s="8" t="s">
        <v>48</v>
      </c>
      <c r="H771" s="10">
        <v>10172018</v>
      </c>
      <c r="I771" s="10">
        <v>7</v>
      </c>
      <c r="J771" s="8" t="s">
        <v>39</v>
      </c>
      <c r="K771" s="8" t="s">
        <v>192</v>
      </c>
      <c r="M771" s="8" t="s">
        <v>193</v>
      </c>
      <c r="O771" s="8" t="s">
        <v>43</v>
      </c>
      <c r="P771" s="8" t="b">
        <v>0</v>
      </c>
      <c r="R771" s="8" t="b">
        <v>0</v>
      </c>
      <c r="S771" s="8" t="b">
        <v>0</v>
      </c>
      <c r="T771" s="8" t="b">
        <v>0</v>
      </c>
      <c r="U771" s="8" t="b">
        <v>0</v>
      </c>
      <c r="V771" s="8" t="b">
        <v>1</v>
      </c>
      <c r="X771" s="8" t="b">
        <v>0</v>
      </c>
      <c r="Y771" s="8" t="b">
        <v>1</v>
      </c>
      <c r="Z771" s="8" t="b">
        <v>0</v>
      </c>
      <c r="AA771" s="8" t="b">
        <v>1</v>
      </c>
      <c r="AB771" s="8" t="b">
        <v>0</v>
      </c>
      <c r="AC771" s="8" t="b">
        <v>0</v>
      </c>
      <c r="AD771" s="8" t="b">
        <v>1</v>
      </c>
      <c r="AE771" s="8" t="b">
        <v>0</v>
      </c>
      <c r="AG771" s="11" t="b" cm="1">
        <f t="array" ref="AG771">IF(OR(Y771:AA771="TRUE", AE771="true"), "Threatened")</f>
        <v>0</v>
      </c>
      <c r="AH771" s="11" t="s">
        <v>2204</v>
      </c>
      <c r="AI771" s="8" t="b">
        <v>1</v>
      </c>
    </row>
    <row r="772" spans="1:35" ht="31.2">
      <c r="A772" s="8">
        <v>-73.964862679999996</v>
      </c>
      <c r="B772" s="8">
        <v>40.780450610000003</v>
      </c>
      <c r="C772" s="8" t="s">
        <v>2205</v>
      </c>
      <c r="D772" s="8" t="s">
        <v>2206</v>
      </c>
      <c r="E772" s="8" t="b">
        <f t="shared" si="12"/>
        <v>0</v>
      </c>
      <c r="F772" s="8" t="str" cm="1">
        <f t="array" ref="F772">_xlfn._xlws.FILTER(E772:E3970, C772:C3970= "6D-PM-1020-01", "No Squirrels Found")</f>
        <v>No Squirrels Found</v>
      </c>
      <c r="G772" s="8" t="s">
        <v>48</v>
      </c>
      <c r="H772" s="10">
        <v>10182018</v>
      </c>
      <c r="I772" s="10">
        <v>2</v>
      </c>
      <c r="J772" s="8" t="s">
        <v>39</v>
      </c>
      <c r="K772" s="8" t="s">
        <v>40</v>
      </c>
      <c r="M772" s="8" t="s">
        <v>55</v>
      </c>
      <c r="O772" s="8" t="s">
        <v>50</v>
      </c>
      <c r="P772" s="8">
        <v>5</v>
      </c>
      <c r="Q772" s="8" t="s">
        <v>2207</v>
      </c>
      <c r="R772" s="8" t="b">
        <v>1</v>
      </c>
      <c r="S772" s="8" t="b">
        <v>0</v>
      </c>
      <c r="T772" s="8" t="b">
        <v>1</v>
      </c>
      <c r="U772" s="8" t="b">
        <v>0</v>
      </c>
      <c r="V772" s="8" t="b">
        <v>0</v>
      </c>
      <c r="X772" s="8" t="b">
        <v>1</v>
      </c>
      <c r="Y772" s="8" t="b">
        <v>0</v>
      </c>
      <c r="Z772" s="8" t="b">
        <v>0</v>
      </c>
      <c r="AA772" s="8" t="b">
        <v>0</v>
      </c>
      <c r="AB772" s="8" t="b">
        <v>0</v>
      </c>
      <c r="AC772" s="8" t="b">
        <v>0</v>
      </c>
      <c r="AD772" s="8" t="b">
        <v>0</v>
      </c>
      <c r="AE772" s="8" t="b">
        <v>0</v>
      </c>
      <c r="AG772" s="11" t="b" cm="1">
        <f t="array" ref="AG772">IF(OR(Y772:AA772="TRUE", AE772="true"), "Threatened")</f>
        <v>0</v>
      </c>
      <c r="AH772" s="11" t="s">
        <v>2208</v>
      </c>
      <c r="AI772" s="8" t="b">
        <v>1</v>
      </c>
    </row>
    <row r="773" spans="1:35" ht="31.2">
      <c r="A773" s="8">
        <v>-73.958418850000001</v>
      </c>
      <c r="B773" s="8">
        <v>40.791324099999997</v>
      </c>
      <c r="C773" s="8" t="s">
        <v>2209</v>
      </c>
      <c r="D773" s="8" t="s">
        <v>1214</v>
      </c>
      <c r="E773" s="8" t="b">
        <f t="shared" si="12"/>
        <v>0</v>
      </c>
      <c r="F773" s="8" t="str" cm="1">
        <f t="array" ref="F773">_xlfn._xlws.FILTER(E773:E3971, C773:C3971= "6D-PM-1020-01", "No Squirrels Found")</f>
        <v>No Squirrels Found</v>
      </c>
      <c r="G773" s="8" t="s">
        <v>34</v>
      </c>
      <c r="H773" s="10">
        <v>10122018</v>
      </c>
      <c r="I773" s="10">
        <v>7</v>
      </c>
      <c r="J773" s="8" t="s">
        <v>39</v>
      </c>
      <c r="K773" s="8" t="s">
        <v>40</v>
      </c>
      <c r="L773" s="8" t="s">
        <v>84</v>
      </c>
      <c r="M773" s="8" t="s">
        <v>103</v>
      </c>
      <c r="O773" s="8" t="s">
        <v>43</v>
      </c>
      <c r="P773" s="8" t="b">
        <v>0</v>
      </c>
      <c r="R773" s="8" t="b">
        <v>1</v>
      </c>
      <c r="S773" s="8" t="b">
        <v>1</v>
      </c>
      <c r="T773" s="8" t="b">
        <v>0</v>
      </c>
      <c r="U773" s="8" t="b">
        <v>0</v>
      </c>
      <c r="V773" s="8" t="b">
        <v>0</v>
      </c>
      <c r="X773" s="8" t="b">
        <v>0</v>
      </c>
      <c r="Y773" s="8" t="b">
        <v>0</v>
      </c>
      <c r="Z773" s="8" t="b">
        <v>0</v>
      </c>
      <c r="AA773" s="8" t="b">
        <v>0</v>
      </c>
      <c r="AB773" s="8" t="b">
        <v>0</v>
      </c>
      <c r="AC773" s="8" t="b">
        <v>0</v>
      </c>
      <c r="AD773" s="8" t="b">
        <v>0</v>
      </c>
      <c r="AE773" s="8" t="b">
        <v>0</v>
      </c>
      <c r="AG773" s="11" t="b" cm="1">
        <f t="array" ref="AG773">IF(OR(Y773:AA773="TRUE", AE773="true"), "Threatened")</f>
        <v>0</v>
      </c>
      <c r="AH773" s="11" t="s">
        <v>2210</v>
      </c>
      <c r="AI773" s="8" t="b">
        <v>1</v>
      </c>
    </row>
    <row r="774" spans="1:35" ht="31.2">
      <c r="A774" s="8">
        <v>-73.956618910000003</v>
      </c>
      <c r="B774" s="8">
        <v>40.788341799999998</v>
      </c>
      <c r="C774" s="8" t="s">
        <v>2211</v>
      </c>
      <c r="D774" s="8" t="s">
        <v>196</v>
      </c>
      <c r="E774" s="8" t="b">
        <f t="shared" si="12"/>
        <v>0</v>
      </c>
      <c r="F774" s="8" t="str" cm="1">
        <f t="array" ref="F774">_xlfn._xlws.FILTER(E774:E3972, C774:C3972= "6D-PM-1020-01", "No Squirrels Found")</f>
        <v>No Squirrels Found</v>
      </c>
      <c r="G774" s="8" t="s">
        <v>34</v>
      </c>
      <c r="H774" s="10">
        <v>10082018</v>
      </c>
      <c r="I774" s="10">
        <v>1</v>
      </c>
      <c r="J774" s="8" t="s">
        <v>39</v>
      </c>
      <c r="K774" s="8" t="s">
        <v>40</v>
      </c>
      <c r="L774" s="8" t="s">
        <v>84</v>
      </c>
      <c r="M774" s="8" t="s">
        <v>103</v>
      </c>
      <c r="O774" s="8" t="s">
        <v>50</v>
      </c>
      <c r="P774" s="8">
        <v>15</v>
      </c>
      <c r="R774" s="8" t="b">
        <v>0</v>
      </c>
      <c r="S774" s="8" t="b">
        <v>0</v>
      </c>
      <c r="T774" s="8" t="b">
        <v>1</v>
      </c>
      <c r="U774" s="8" t="b">
        <v>0</v>
      </c>
      <c r="V774" s="8" t="b">
        <v>0</v>
      </c>
      <c r="X774" s="8" t="b">
        <v>0</v>
      </c>
      <c r="Y774" s="8" t="b">
        <v>0</v>
      </c>
      <c r="Z774" s="8" t="b">
        <v>0</v>
      </c>
      <c r="AA774" s="8" t="b">
        <v>0</v>
      </c>
      <c r="AB774" s="8" t="b">
        <v>0</v>
      </c>
      <c r="AC774" s="8" t="b">
        <v>0</v>
      </c>
      <c r="AD774" s="8" t="b">
        <v>1</v>
      </c>
      <c r="AE774" s="8" t="b">
        <v>0</v>
      </c>
      <c r="AG774" s="11" t="b" cm="1">
        <f t="array" ref="AG774">IF(OR(Y774:AA774="TRUE", AE774="true"), "Threatened")</f>
        <v>0</v>
      </c>
      <c r="AH774" s="11" t="s">
        <v>2212</v>
      </c>
      <c r="AI774" s="8" t="b">
        <v>1</v>
      </c>
    </row>
    <row r="775" spans="1:35" ht="31.2">
      <c r="A775" s="8">
        <v>-73.967360369999994</v>
      </c>
      <c r="B775" s="8">
        <v>40.787697420000001</v>
      </c>
      <c r="C775" s="8" t="s">
        <v>2213</v>
      </c>
      <c r="D775" s="8" t="s">
        <v>488</v>
      </c>
      <c r="E775" s="8" t="b">
        <f t="shared" si="12"/>
        <v>0</v>
      </c>
      <c r="F775" s="8" t="str" cm="1">
        <f t="array" ref="F775">_xlfn._xlws.FILTER(E775:E3973, C775:C3973= "6D-PM-1020-01", "No Squirrels Found")</f>
        <v>No Squirrels Found</v>
      </c>
      <c r="G775" s="8" t="s">
        <v>34</v>
      </c>
      <c r="H775" s="10">
        <v>10062018</v>
      </c>
      <c r="I775" s="10">
        <v>3</v>
      </c>
      <c r="J775" s="8" t="s">
        <v>39</v>
      </c>
      <c r="K775" s="8" t="s">
        <v>40</v>
      </c>
      <c r="M775" s="8" t="s">
        <v>55</v>
      </c>
      <c r="O775" s="8" t="s">
        <v>43</v>
      </c>
      <c r="P775" s="8" t="b">
        <v>0</v>
      </c>
      <c r="R775" s="8" t="b">
        <v>0</v>
      </c>
      <c r="S775" s="8" t="b">
        <v>0</v>
      </c>
      <c r="T775" s="8" t="b">
        <v>0</v>
      </c>
      <c r="U775" s="8" t="b">
        <v>0</v>
      </c>
      <c r="V775" s="8" t="b">
        <v>1</v>
      </c>
      <c r="X775" s="8" t="b">
        <v>0</v>
      </c>
      <c r="Y775" s="8" t="b">
        <v>0</v>
      </c>
      <c r="Z775" s="8" t="b">
        <v>0</v>
      </c>
      <c r="AA775" s="8" t="b">
        <v>0</v>
      </c>
      <c r="AB775" s="8" t="b">
        <v>0</v>
      </c>
      <c r="AC775" s="8" t="b">
        <v>0</v>
      </c>
      <c r="AD775" s="8" t="b">
        <v>0</v>
      </c>
      <c r="AE775" s="8" t="b">
        <v>1</v>
      </c>
      <c r="AG775" s="11" t="b" cm="1">
        <f t="array" ref="AG775">IF(OR(Y775:AA775="TRUE", AE775="true"), "Threatened")</f>
        <v>0</v>
      </c>
      <c r="AH775" s="11" t="s">
        <v>2214</v>
      </c>
      <c r="AI775" s="8" t="b">
        <v>1</v>
      </c>
    </row>
    <row r="776" spans="1:35" ht="31.2">
      <c r="A776" s="8">
        <v>-73.959575779999994</v>
      </c>
      <c r="B776" s="8">
        <v>40.789924259999999</v>
      </c>
      <c r="C776" s="8" t="s">
        <v>2215</v>
      </c>
      <c r="D776" s="8" t="s">
        <v>1409</v>
      </c>
      <c r="E776" s="8" t="b">
        <f t="shared" si="12"/>
        <v>0</v>
      </c>
      <c r="F776" s="8" t="str" cm="1">
        <f t="array" ref="F776">_xlfn._xlws.FILTER(E776:E3974, C776:C3974= "6D-PM-1020-01", "No Squirrels Found")</f>
        <v>No Squirrels Found</v>
      </c>
      <c r="G776" s="8" t="s">
        <v>34</v>
      </c>
      <c r="H776" s="10">
        <v>10062018</v>
      </c>
      <c r="I776" s="10">
        <v>1</v>
      </c>
      <c r="J776" s="8" t="s">
        <v>39</v>
      </c>
      <c r="K776" s="8" t="s">
        <v>40</v>
      </c>
      <c r="L776" s="8" t="s">
        <v>41</v>
      </c>
      <c r="M776" s="8" t="s">
        <v>42</v>
      </c>
      <c r="O776" s="8" t="s">
        <v>43</v>
      </c>
      <c r="P776" s="8" t="b">
        <v>0</v>
      </c>
      <c r="Q776" s="8" t="s">
        <v>1410</v>
      </c>
      <c r="R776" s="8" t="b">
        <v>0</v>
      </c>
      <c r="S776" s="8" t="b">
        <v>0</v>
      </c>
      <c r="T776" s="8" t="b">
        <v>0</v>
      </c>
      <c r="U776" s="8" t="b">
        <v>0</v>
      </c>
      <c r="V776" s="8" t="b">
        <v>1</v>
      </c>
      <c r="X776" s="8" t="b">
        <v>0</v>
      </c>
      <c r="Y776" s="8" t="b">
        <v>1</v>
      </c>
      <c r="Z776" s="8" t="b">
        <v>0</v>
      </c>
      <c r="AA776" s="8" t="b">
        <v>0</v>
      </c>
      <c r="AB776" s="8" t="b">
        <v>0</v>
      </c>
      <c r="AC776" s="8" t="b">
        <v>0</v>
      </c>
      <c r="AD776" s="8" t="b">
        <v>1</v>
      </c>
      <c r="AE776" s="8" t="b">
        <v>0</v>
      </c>
      <c r="AG776" s="11" t="b" cm="1">
        <f t="array" ref="AG776">IF(OR(Y776:AA776="TRUE", AE776="true"), "Threatened")</f>
        <v>0</v>
      </c>
      <c r="AH776" s="11" t="s">
        <v>2216</v>
      </c>
      <c r="AI776" s="8" t="b">
        <v>1</v>
      </c>
    </row>
    <row r="777" spans="1:35" ht="31.2">
      <c r="A777" s="8">
        <v>-73.968681680000003</v>
      </c>
      <c r="B777" s="8">
        <v>40.775770420000001</v>
      </c>
      <c r="C777" s="8" t="s">
        <v>2217</v>
      </c>
      <c r="D777" s="8" t="s">
        <v>239</v>
      </c>
      <c r="E777" s="8" t="b">
        <f t="shared" si="12"/>
        <v>0</v>
      </c>
      <c r="F777" s="8" t="str" cm="1">
        <f t="array" ref="F777">_xlfn._xlws.FILTER(E777:E3975, C777:C3975= "6D-PM-1020-01", "No Squirrels Found")</f>
        <v>No Squirrels Found</v>
      </c>
      <c r="G777" s="8" t="s">
        <v>34</v>
      </c>
      <c r="H777" s="10">
        <v>10122018</v>
      </c>
      <c r="I777" s="10">
        <v>2</v>
      </c>
      <c r="J777" s="8" t="s">
        <v>39</v>
      </c>
      <c r="K777" s="8" t="s">
        <v>40</v>
      </c>
      <c r="L777" s="8" t="s">
        <v>117</v>
      </c>
      <c r="M777" s="8" t="s">
        <v>118</v>
      </c>
      <c r="O777" s="8" t="s">
        <v>50</v>
      </c>
      <c r="P777" s="8">
        <v>3</v>
      </c>
      <c r="R777" s="8" t="b">
        <v>0</v>
      </c>
      <c r="S777" s="8" t="b">
        <v>0</v>
      </c>
      <c r="T777" s="8" t="b">
        <v>1</v>
      </c>
      <c r="U777" s="8" t="b">
        <v>1</v>
      </c>
      <c r="V777" s="8" t="b">
        <v>0</v>
      </c>
      <c r="X777" s="8" t="b">
        <v>0</v>
      </c>
      <c r="Y777" s="8" t="b">
        <v>0</v>
      </c>
      <c r="Z777" s="8" t="b">
        <v>0</v>
      </c>
      <c r="AA777" s="8" t="b">
        <v>0</v>
      </c>
      <c r="AB777" s="8" t="b">
        <v>0</v>
      </c>
      <c r="AC777" s="8" t="b">
        <v>0</v>
      </c>
      <c r="AD777" s="8" t="b">
        <v>1</v>
      </c>
      <c r="AE777" s="8" t="b">
        <v>0</v>
      </c>
      <c r="AG777" s="11" t="b" cm="1">
        <f t="array" ref="AG777">IF(OR(Y777:AA777="TRUE", AE777="true"), "Threatened")</f>
        <v>0</v>
      </c>
      <c r="AH777" s="11" t="s">
        <v>2218</v>
      </c>
      <c r="AI777" s="8" t="b">
        <v>1</v>
      </c>
    </row>
    <row r="778" spans="1:35" ht="31.2">
      <c r="A778" s="8">
        <v>-73.965421030000002</v>
      </c>
      <c r="B778" s="8">
        <v>40.778252969999997</v>
      </c>
      <c r="C778" s="8" t="s">
        <v>2219</v>
      </c>
      <c r="D778" s="8" t="s">
        <v>2220</v>
      </c>
      <c r="E778" s="8" t="b">
        <f t="shared" si="12"/>
        <v>0</v>
      </c>
      <c r="F778" s="8" t="str" cm="1">
        <f t="array" ref="F778">_xlfn._xlws.FILTER(E778:E3976, C778:C3976= "6D-PM-1020-01", "No Squirrels Found")</f>
        <v>No Squirrels Found</v>
      </c>
      <c r="G778" s="8" t="s">
        <v>48</v>
      </c>
      <c r="H778" s="10">
        <v>10182018</v>
      </c>
      <c r="I778" s="10">
        <v>1</v>
      </c>
      <c r="J778" s="8" t="s">
        <v>54</v>
      </c>
      <c r="K778" s="8" t="s">
        <v>40</v>
      </c>
      <c r="M778" s="8" t="s">
        <v>55</v>
      </c>
      <c r="O778" s="8" t="s">
        <v>43</v>
      </c>
      <c r="P778" s="8" t="b">
        <v>0</v>
      </c>
      <c r="R778" s="8" t="b">
        <v>0</v>
      </c>
      <c r="S778" s="8" t="b">
        <v>0</v>
      </c>
      <c r="T778" s="8" t="b">
        <v>0</v>
      </c>
      <c r="U778" s="8" t="b">
        <v>0</v>
      </c>
      <c r="V778" s="8" t="b">
        <v>1</v>
      </c>
      <c r="X778" s="8" t="b">
        <v>0</v>
      </c>
      <c r="Y778" s="8" t="b">
        <v>0</v>
      </c>
      <c r="Z778" s="8" t="b">
        <v>0</v>
      </c>
      <c r="AA778" s="8" t="b">
        <v>0</v>
      </c>
      <c r="AB778" s="8" t="b">
        <v>0</v>
      </c>
      <c r="AC778" s="8" t="b">
        <v>0</v>
      </c>
      <c r="AD778" s="8" t="b">
        <v>0</v>
      </c>
      <c r="AE778" s="8" t="b">
        <v>1</v>
      </c>
      <c r="AG778" s="11" t="b" cm="1">
        <f t="array" ref="AG778">IF(OR(Y778:AA778="TRUE", AE778="true"), "Threatened")</f>
        <v>0</v>
      </c>
      <c r="AH778" s="11" t="s">
        <v>2221</v>
      </c>
      <c r="AI778" s="8" t="b">
        <v>1</v>
      </c>
    </row>
    <row r="779" spans="1:35" ht="31.2">
      <c r="A779" s="8">
        <v>-73.96770549</v>
      </c>
      <c r="B779" s="8">
        <v>40.778992870000003</v>
      </c>
      <c r="C779" s="8" t="s">
        <v>2222</v>
      </c>
      <c r="D779" s="8" t="s">
        <v>215</v>
      </c>
      <c r="E779" s="8" t="b">
        <f t="shared" si="12"/>
        <v>0</v>
      </c>
      <c r="F779" s="8" t="str" cm="1">
        <f t="array" ref="F779">_xlfn._xlws.FILTER(E779:E3977, C779:C3977= "6D-PM-1020-01", "No Squirrels Found")</f>
        <v>No Squirrels Found</v>
      </c>
      <c r="G779" s="8" t="s">
        <v>48</v>
      </c>
      <c r="H779" s="10">
        <v>10172018</v>
      </c>
      <c r="I779" s="10">
        <v>3</v>
      </c>
      <c r="J779" s="8" t="s">
        <v>39</v>
      </c>
      <c r="K779" s="8" t="s">
        <v>40</v>
      </c>
      <c r="M779" s="8" t="s">
        <v>55</v>
      </c>
      <c r="O779" s="8" t="s">
        <v>50</v>
      </c>
      <c r="P779" s="8">
        <v>9</v>
      </c>
      <c r="Q779" s="8" t="s">
        <v>2223</v>
      </c>
      <c r="R779" s="8" t="b">
        <v>0</v>
      </c>
      <c r="S779" s="8" t="b">
        <v>0</v>
      </c>
      <c r="T779" s="8" t="b">
        <v>1</v>
      </c>
      <c r="U779" s="8" t="b">
        <v>0</v>
      </c>
      <c r="V779" s="8" t="b">
        <v>0</v>
      </c>
      <c r="X779" s="8" t="b">
        <v>0</v>
      </c>
      <c r="Y779" s="8" t="b">
        <v>0</v>
      </c>
      <c r="Z779" s="8" t="b">
        <v>0</v>
      </c>
      <c r="AA779" s="8" t="b">
        <v>0</v>
      </c>
      <c r="AB779" s="8" t="b">
        <v>0</v>
      </c>
      <c r="AC779" s="8" t="b">
        <v>0</v>
      </c>
      <c r="AD779" s="8" t="b">
        <v>0</v>
      </c>
      <c r="AE779" s="8" t="b">
        <v>0</v>
      </c>
      <c r="AG779" s="11" t="b" cm="1">
        <f t="array" ref="AG779">IF(OR(Y779:AA779="TRUE", AE779="true"), "Threatened")</f>
        <v>0</v>
      </c>
      <c r="AH779" s="11" t="s">
        <v>2224</v>
      </c>
      <c r="AI779" s="8" t="b">
        <v>1</v>
      </c>
    </row>
    <row r="780" spans="1:35" ht="31.2">
      <c r="A780" s="8">
        <v>-73.974530549999997</v>
      </c>
      <c r="B780" s="8">
        <v>40.774204320000003</v>
      </c>
      <c r="C780" s="8" t="s">
        <v>2225</v>
      </c>
      <c r="D780" s="8" t="s">
        <v>845</v>
      </c>
      <c r="E780" s="8" t="b">
        <f t="shared" si="12"/>
        <v>0</v>
      </c>
      <c r="F780" s="8" t="str" cm="1">
        <f t="array" ref="F780">_xlfn._xlws.FILTER(E780:E3978, C780:C3978= "6D-PM-1020-01", "No Squirrels Found")</f>
        <v>No Squirrels Found</v>
      </c>
      <c r="G780" s="8" t="s">
        <v>34</v>
      </c>
      <c r="H780" s="10">
        <v>10132018</v>
      </c>
      <c r="I780" s="10">
        <v>2</v>
      </c>
      <c r="J780" s="8" t="s">
        <v>39</v>
      </c>
      <c r="K780" s="8" t="s">
        <v>40</v>
      </c>
      <c r="L780" s="8" t="s">
        <v>41</v>
      </c>
      <c r="M780" s="8" t="s">
        <v>42</v>
      </c>
      <c r="O780" s="8" t="s">
        <v>43</v>
      </c>
      <c r="P780" s="8" t="b">
        <v>0</v>
      </c>
      <c r="R780" s="8" t="b">
        <v>0</v>
      </c>
      <c r="S780" s="8" t="b">
        <v>0</v>
      </c>
      <c r="T780" s="8" t="b">
        <v>0</v>
      </c>
      <c r="U780" s="8" t="b">
        <v>1</v>
      </c>
      <c r="V780" s="8" t="b">
        <v>1</v>
      </c>
      <c r="X780" s="8" t="b">
        <v>0</v>
      </c>
      <c r="Y780" s="8" t="b">
        <v>0</v>
      </c>
      <c r="Z780" s="8" t="b">
        <v>0</v>
      </c>
      <c r="AA780" s="8" t="b">
        <v>0</v>
      </c>
      <c r="AB780" s="8" t="b">
        <v>1</v>
      </c>
      <c r="AC780" s="8" t="b">
        <v>0</v>
      </c>
      <c r="AD780" s="8" t="b">
        <v>1</v>
      </c>
      <c r="AE780" s="8" t="b">
        <v>1</v>
      </c>
      <c r="AG780" s="11" t="b" cm="1">
        <f t="array" ref="AG780">IF(OR(Y780:AA780="TRUE", AE780="true"), "Threatened")</f>
        <v>0</v>
      </c>
      <c r="AH780" s="11" t="s">
        <v>2226</v>
      </c>
      <c r="AI780" s="8" t="b">
        <v>1</v>
      </c>
    </row>
    <row r="781" spans="1:35" ht="31.2">
      <c r="A781" s="8">
        <v>-73.967547210000006</v>
      </c>
      <c r="B781" s="8">
        <v>40.783594720000004</v>
      </c>
      <c r="C781" s="8" t="s">
        <v>2227</v>
      </c>
      <c r="D781" s="8" t="s">
        <v>698</v>
      </c>
      <c r="E781" s="8" t="b">
        <f t="shared" si="12"/>
        <v>0</v>
      </c>
      <c r="F781" s="8" t="str" cm="1">
        <f t="array" ref="F781">_xlfn._xlws.FILTER(E781:E3979, C781:C3979= "6D-PM-1020-01", "No Squirrels Found")</f>
        <v>No Squirrels Found</v>
      </c>
      <c r="G781" s="8" t="s">
        <v>34</v>
      </c>
      <c r="H781" s="10">
        <v>10062018</v>
      </c>
      <c r="I781" s="10">
        <v>6</v>
      </c>
      <c r="J781" s="8" t="s">
        <v>54</v>
      </c>
      <c r="K781" s="8" t="s">
        <v>41</v>
      </c>
      <c r="L781" s="8" t="s">
        <v>40</v>
      </c>
      <c r="M781" s="8" t="s">
        <v>110</v>
      </c>
      <c r="O781" s="8" t="s">
        <v>50</v>
      </c>
      <c r="P781" s="8">
        <v>10</v>
      </c>
      <c r="Q781" s="8" t="s">
        <v>2104</v>
      </c>
      <c r="R781" s="8" t="b">
        <v>0</v>
      </c>
      <c r="S781" s="8" t="b">
        <v>0</v>
      </c>
      <c r="T781" s="8" t="b">
        <v>0</v>
      </c>
      <c r="U781" s="8" t="b">
        <v>1</v>
      </c>
      <c r="V781" s="8" t="b">
        <v>0</v>
      </c>
      <c r="X781" s="8" t="b">
        <v>0</v>
      </c>
      <c r="Y781" s="8" t="b">
        <v>0</v>
      </c>
      <c r="Z781" s="8" t="b">
        <v>0</v>
      </c>
      <c r="AA781" s="8" t="b">
        <v>0</v>
      </c>
      <c r="AB781" s="8" t="b">
        <v>0</v>
      </c>
      <c r="AC781" s="8" t="b">
        <v>0</v>
      </c>
      <c r="AD781" s="8" t="b">
        <v>0</v>
      </c>
      <c r="AE781" s="8" t="b">
        <v>0</v>
      </c>
      <c r="AG781" s="11" t="b" cm="1">
        <f t="array" ref="AG781">IF(OR(Y781:AA781="TRUE", AE781="true"), "Threatened")</f>
        <v>0</v>
      </c>
      <c r="AH781" s="11" t="s">
        <v>2228</v>
      </c>
      <c r="AI781" s="8" t="b">
        <v>1</v>
      </c>
    </row>
    <row r="782" spans="1:35" ht="31.2">
      <c r="A782" s="8">
        <v>-73.955516029999998</v>
      </c>
      <c r="B782" s="8">
        <v>40.792318819999998</v>
      </c>
      <c r="C782" s="8" t="s">
        <v>2229</v>
      </c>
      <c r="D782" s="8" t="s">
        <v>2230</v>
      </c>
      <c r="E782" s="8" t="b">
        <f t="shared" si="12"/>
        <v>0</v>
      </c>
      <c r="F782" s="8" t="str" cm="1">
        <f t="array" ref="F782">_xlfn._xlws.FILTER(E782:E3980, C782:C3980= "6D-PM-1020-01", "No Squirrels Found")</f>
        <v>No Squirrels Found</v>
      </c>
      <c r="G782" s="8" t="s">
        <v>48</v>
      </c>
      <c r="H782" s="10">
        <v>10072018</v>
      </c>
      <c r="I782" s="10">
        <v>1</v>
      </c>
      <c r="J782" s="8" t="s">
        <v>39</v>
      </c>
      <c r="K782" s="8" t="s">
        <v>40</v>
      </c>
      <c r="L782" s="8" t="s">
        <v>84</v>
      </c>
      <c r="M782" s="8" t="s">
        <v>103</v>
      </c>
      <c r="O782" s="8" t="s">
        <v>50</v>
      </c>
      <c r="P782" s="8">
        <v>15</v>
      </c>
      <c r="R782" s="8" t="b">
        <v>0</v>
      </c>
      <c r="S782" s="8" t="b">
        <v>0</v>
      </c>
      <c r="T782" s="8" t="b">
        <v>1</v>
      </c>
      <c r="U782" s="8" t="b">
        <v>0</v>
      </c>
      <c r="V782" s="8" t="b">
        <v>0</v>
      </c>
      <c r="X782" s="8" t="b">
        <v>0</v>
      </c>
      <c r="Y782" s="8" t="b">
        <v>0</v>
      </c>
      <c r="Z782" s="8" t="b">
        <v>0</v>
      </c>
      <c r="AA782" s="8" t="b">
        <v>0</v>
      </c>
      <c r="AB782" s="8" t="b">
        <v>0</v>
      </c>
      <c r="AC782" s="8" t="b">
        <v>0</v>
      </c>
      <c r="AD782" s="8" t="b">
        <v>1</v>
      </c>
      <c r="AE782" s="8" t="b">
        <v>0</v>
      </c>
      <c r="AG782" s="11" t="b" cm="1">
        <f t="array" ref="AG782">IF(OR(Y782:AA782="TRUE", AE782="true"), "Threatened")</f>
        <v>0</v>
      </c>
      <c r="AH782" s="11" t="s">
        <v>2231</v>
      </c>
      <c r="AI782" s="8" t="b">
        <v>1</v>
      </c>
    </row>
    <row r="783" spans="1:35" ht="31.2">
      <c r="A783" s="8">
        <v>-73.971055910000004</v>
      </c>
      <c r="B783" s="8">
        <v>40.779427990000002</v>
      </c>
      <c r="C783" s="8" t="s">
        <v>2232</v>
      </c>
      <c r="D783" s="8" t="s">
        <v>116</v>
      </c>
      <c r="E783" s="8" t="b">
        <f t="shared" si="12"/>
        <v>0</v>
      </c>
      <c r="F783" s="8" t="str" cm="1">
        <f t="array" ref="F783">_xlfn._xlws.FILTER(E783:E3981, C783:C3981= "6D-PM-1020-01", "No Squirrels Found")</f>
        <v>No Squirrels Found</v>
      </c>
      <c r="G783" s="8" t="s">
        <v>34</v>
      </c>
      <c r="H783" s="10">
        <v>10182018</v>
      </c>
      <c r="I783" s="10">
        <v>1</v>
      </c>
      <c r="J783" s="8" t="s">
        <v>39</v>
      </c>
      <c r="K783" s="8" t="s">
        <v>40</v>
      </c>
      <c r="L783" s="8" t="s">
        <v>117</v>
      </c>
      <c r="M783" s="8" t="s">
        <v>118</v>
      </c>
      <c r="O783" s="8" t="s">
        <v>50</v>
      </c>
      <c r="P783" s="8">
        <v>3</v>
      </c>
      <c r="R783" s="8" t="b">
        <v>0</v>
      </c>
      <c r="S783" s="8" t="b">
        <v>0</v>
      </c>
      <c r="T783" s="8" t="b">
        <v>1</v>
      </c>
      <c r="U783" s="8" t="b">
        <v>0</v>
      </c>
      <c r="V783" s="8" t="b">
        <v>0</v>
      </c>
      <c r="X783" s="8" t="b">
        <v>0</v>
      </c>
      <c r="Y783" s="8" t="b">
        <v>0</v>
      </c>
      <c r="Z783" s="8" t="b">
        <v>0</v>
      </c>
      <c r="AA783" s="8" t="b">
        <v>0</v>
      </c>
      <c r="AB783" s="8" t="b">
        <v>0</v>
      </c>
      <c r="AC783" s="8" t="b">
        <v>0</v>
      </c>
      <c r="AD783" s="8" t="b">
        <v>0</v>
      </c>
      <c r="AE783" s="8" t="b">
        <v>0</v>
      </c>
      <c r="AF783" s="11" t="s">
        <v>2233</v>
      </c>
      <c r="AG783" s="11" t="b" cm="1">
        <f t="array" ref="AG783">IF(OR(Y783:AA783="TRUE", AE783="true"), "Threatened")</f>
        <v>0</v>
      </c>
      <c r="AH783" s="11" t="s">
        <v>2234</v>
      </c>
      <c r="AI783" s="8" t="b">
        <v>1</v>
      </c>
    </row>
    <row r="784" spans="1:35" ht="31.2">
      <c r="A784" s="8">
        <v>-73.96776543</v>
      </c>
      <c r="B784" s="8">
        <v>40.786785530000003</v>
      </c>
      <c r="C784" s="8" t="s">
        <v>2235</v>
      </c>
      <c r="D784" s="8" t="s">
        <v>147</v>
      </c>
      <c r="E784" s="8" t="b">
        <f t="shared" si="12"/>
        <v>0</v>
      </c>
      <c r="F784" s="8" t="str" cm="1">
        <f t="array" ref="F784">_xlfn._xlws.FILTER(E784:E3982, C784:C3982= "6D-PM-1020-01", "No Squirrels Found")</f>
        <v>No Squirrels Found</v>
      </c>
      <c r="G784" s="8" t="s">
        <v>48</v>
      </c>
      <c r="H784" s="10">
        <v>10132018</v>
      </c>
      <c r="I784" s="10">
        <v>3</v>
      </c>
      <c r="K784" s="8" t="s">
        <v>40</v>
      </c>
      <c r="M784" s="8" t="s">
        <v>55</v>
      </c>
      <c r="O784" s="8" t="s">
        <v>50</v>
      </c>
      <c r="P784" s="8">
        <v>15</v>
      </c>
      <c r="Q784" s="8" t="s">
        <v>1735</v>
      </c>
      <c r="R784" s="8" t="b">
        <v>0</v>
      </c>
      <c r="S784" s="8" t="b">
        <v>0</v>
      </c>
      <c r="T784" s="8" t="b">
        <v>0</v>
      </c>
      <c r="U784" s="8" t="b">
        <v>0</v>
      </c>
      <c r="V784" s="8" t="b">
        <v>0</v>
      </c>
      <c r="W784" s="11" t="s">
        <v>2236</v>
      </c>
      <c r="X784" s="8" t="b">
        <v>0</v>
      </c>
      <c r="Y784" s="8" t="b">
        <v>0</v>
      </c>
      <c r="Z784" s="8" t="b">
        <v>0</v>
      </c>
      <c r="AA784" s="8" t="b">
        <v>0</v>
      </c>
      <c r="AB784" s="8" t="b">
        <v>0</v>
      </c>
      <c r="AC784" s="8" t="b">
        <v>0</v>
      </c>
      <c r="AD784" s="8" t="b">
        <v>1</v>
      </c>
      <c r="AE784" s="8" t="b">
        <v>0</v>
      </c>
      <c r="AG784" s="11" t="b" cm="1">
        <f t="array" ref="AG784">IF(OR(Y784:AA784="TRUE", AE784="true"), "Threatened")</f>
        <v>0</v>
      </c>
      <c r="AH784" s="11" t="s">
        <v>2237</v>
      </c>
      <c r="AI784" s="8" t="b">
        <v>0</v>
      </c>
    </row>
    <row r="785" spans="1:35" ht="31.2">
      <c r="A785" s="8">
        <v>-73.964965809999995</v>
      </c>
      <c r="B785" s="8">
        <v>40.782326240000003</v>
      </c>
      <c r="C785" s="8" t="s">
        <v>2238</v>
      </c>
      <c r="D785" s="8" t="s">
        <v>177</v>
      </c>
      <c r="E785" s="8" t="b">
        <f t="shared" si="12"/>
        <v>0</v>
      </c>
      <c r="F785" s="8" t="str" cm="1">
        <f t="array" ref="F785">_xlfn._xlws.FILTER(E785:E3983, C785:C3983= "6D-PM-1020-01", "No Squirrels Found")</f>
        <v>No Squirrels Found</v>
      </c>
      <c r="G785" s="8" t="s">
        <v>34</v>
      </c>
      <c r="H785" s="10">
        <v>10142018</v>
      </c>
      <c r="I785" s="10">
        <v>3</v>
      </c>
      <c r="J785" s="8" t="s">
        <v>54</v>
      </c>
      <c r="K785" s="8" t="s">
        <v>40</v>
      </c>
      <c r="L785" s="8" t="s">
        <v>41</v>
      </c>
      <c r="M785" s="8" t="s">
        <v>42</v>
      </c>
      <c r="O785" s="8" t="s">
        <v>43</v>
      </c>
      <c r="P785" s="8" t="b">
        <v>0</v>
      </c>
      <c r="R785" s="8" t="b">
        <v>0</v>
      </c>
      <c r="S785" s="8" t="b">
        <v>0</v>
      </c>
      <c r="T785" s="8" t="b">
        <v>0</v>
      </c>
      <c r="U785" s="8" t="b">
        <v>0</v>
      </c>
      <c r="V785" s="8" t="b">
        <v>1</v>
      </c>
      <c r="X785" s="8" t="b">
        <v>0</v>
      </c>
      <c r="Y785" s="8" t="b">
        <v>0</v>
      </c>
      <c r="Z785" s="8" t="b">
        <v>0</v>
      </c>
      <c r="AA785" s="8" t="b">
        <v>1</v>
      </c>
      <c r="AB785" s="8" t="b">
        <v>0</v>
      </c>
      <c r="AC785" s="8" t="b">
        <v>0</v>
      </c>
      <c r="AD785" s="8" t="b">
        <v>1</v>
      </c>
      <c r="AE785" s="8" t="b">
        <v>0</v>
      </c>
      <c r="AG785" s="11" t="b" cm="1">
        <f t="array" ref="AG785">IF(OR(Y785:AA785="TRUE", AE785="true"), "Threatened")</f>
        <v>0</v>
      </c>
      <c r="AH785" s="11" t="s">
        <v>2239</v>
      </c>
      <c r="AI785" s="8" t="b">
        <v>1</v>
      </c>
    </row>
    <row r="786" spans="1:35" ht="31.2">
      <c r="A786" s="8">
        <v>-73.96194174</v>
      </c>
      <c r="B786" s="8">
        <v>40.79303659</v>
      </c>
      <c r="C786" s="8" t="s">
        <v>2240</v>
      </c>
      <c r="D786" s="8" t="s">
        <v>931</v>
      </c>
      <c r="E786" s="8" t="b">
        <f t="shared" si="12"/>
        <v>0</v>
      </c>
      <c r="F786" s="8" t="str" cm="1">
        <f t="array" ref="F786">_xlfn._xlws.FILTER(E786:E3984, C786:C3984= "6D-PM-1020-01", "No Squirrels Found")</f>
        <v>No Squirrels Found</v>
      </c>
      <c r="G786" s="8" t="s">
        <v>34</v>
      </c>
      <c r="H786" s="10">
        <v>10102018</v>
      </c>
      <c r="I786" s="10">
        <v>12</v>
      </c>
      <c r="J786" s="8" t="s">
        <v>39</v>
      </c>
      <c r="K786" s="8" t="s">
        <v>40</v>
      </c>
      <c r="M786" s="8" t="s">
        <v>55</v>
      </c>
      <c r="O786" s="8" t="s">
        <v>43</v>
      </c>
      <c r="P786" s="8" t="b">
        <v>0</v>
      </c>
      <c r="R786" s="8" t="b">
        <v>0</v>
      </c>
      <c r="S786" s="8" t="b">
        <v>0</v>
      </c>
      <c r="T786" s="8" t="b">
        <v>0</v>
      </c>
      <c r="U786" s="8" t="b">
        <v>0</v>
      </c>
      <c r="V786" s="8" t="b">
        <v>1</v>
      </c>
      <c r="X786" s="8" t="b">
        <v>0</v>
      </c>
      <c r="Y786" s="8" t="b">
        <v>0</v>
      </c>
      <c r="Z786" s="8" t="b">
        <v>0</v>
      </c>
      <c r="AA786" s="8" t="b">
        <v>0</v>
      </c>
      <c r="AB786" s="8" t="b">
        <v>0</v>
      </c>
      <c r="AC786" s="8" t="b">
        <v>0</v>
      </c>
      <c r="AD786" s="8" t="b">
        <v>0</v>
      </c>
      <c r="AE786" s="8" t="b">
        <v>1</v>
      </c>
      <c r="AG786" s="11" t="b" cm="1">
        <f t="array" ref="AG786">IF(OR(Y786:AA786="TRUE", AE786="true"), "Threatened")</f>
        <v>0</v>
      </c>
      <c r="AH786" s="11" t="s">
        <v>2241</v>
      </c>
      <c r="AI786" s="8" t="b">
        <v>1</v>
      </c>
    </row>
    <row r="787" spans="1:35" ht="31.2">
      <c r="A787" s="8">
        <v>-73.953296600000002</v>
      </c>
      <c r="B787" s="8">
        <v>40.792764460000001</v>
      </c>
      <c r="C787" s="8" t="s">
        <v>2242</v>
      </c>
      <c r="D787" s="8" t="s">
        <v>106</v>
      </c>
      <c r="E787" s="8" t="b">
        <f t="shared" si="12"/>
        <v>0</v>
      </c>
      <c r="F787" s="8" t="str" cm="1">
        <f t="array" ref="F787">_xlfn._xlws.FILTER(E787:E3985, C787:C3985= "6D-PM-1020-01", "No Squirrels Found")</f>
        <v>No Squirrels Found</v>
      </c>
      <c r="G787" s="8" t="s">
        <v>48</v>
      </c>
      <c r="H787" s="10">
        <v>10172018</v>
      </c>
      <c r="I787" s="10">
        <v>3</v>
      </c>
      <c r="J787" s="8" t="s">
        <v>39</v>
      </c>
      <c r="K787" s="8" t="s">
        <v>40</v>
      </c>
      <c r="L787" s="8" t="s">
        <v>41</v>
      </c>
      <c r="M787" s="8" t="s">
        <v>42</v>
      </c>
      <c r="N787" s="11" t="s">
        <v>256</v>
      </c>
      <c r="O787" s="8" t="s">
        <v>43</v>
      </c>
      <c r="P787" s="8" t="b">
        <v>0</v>
      </c>
      <c r="R787" s="8" t="b">
        <v>1</v>
      </c>
      <c r="S787" s="8" t="b">
        <v>0</v>
      </c>
      <c r="T787" s="8" t="b">
        <v>0</v>
      </c>
      <c r="U787" s="8" t="b">
        <v>1</v>
      </c>
      <c r="V787" s="8" t="b">
        <v>1</v>
      </c>
      <c r="X787" s="8" t="b">
        <v>0</v>
      </c>
      <c r="Y787" s="8" t="b">
        <v>0</v>
      </c>
      <c r="Z787" s="8" t="b">
        <v>0</v>
      </c>
      <c r="AA787" s="8" t="b">
        <v>0</v>
      </c>
      <c r="AB787" s="8" t="b">
        <v>0</v>
      </c>
      <c r="AC787" s="8" t="b">
        <v>0</v>
      </c>
      <c r="AD787" s="8" t="b">
        <v>1</v>
      </c>
      <c r="AE787" s="8" t="b">
        <v>0</v>
      </c>
      <c r="AG787" s="11" t="b" cm="1">
        <f t="array" ref="AG787">IF(OR(Y787:AA787="TRUE", AE787="true"), "Threatened")</f>
        <v>0</v>
      </c>
      <c r="AH787" s="11" t="s">
        <v>2243</v>
      </c>
      <c r="AI787" s="8" t="b">
        <v>1</v>
      </c>
    </row>
    <row r="788" spans="1:35" ht="31.2">
      <c r="A788" s="8">
        <v>-73.972515749999999</v>
      </c>
      <c r="B788" s="8">
        <v>40.765837670000003</v>
      </c>
      <c r="C788" s="8" t="s">
        <v>2244</v>
      </c>
      <c r="D788" s="8" t="s">
        <v>2245</v>
      </c>
      <c r="E788" s="8" t="b">
        <f t="shared" si="12"/>
        <v>0</v>
      </c>
      <c r="F788" s="8" t="str" cm="1">
        <f t="array" ref="F788">_xlfn._xlws.FILTER(E788:E3986, C788:C3986= "6D-PM-1020-01", "No Squirrels Found")</f>
        <v>No Squirrels Found</v>
      </c>
      <c r="G788" s="8" t="s">
        <v>34</v>
      </c>
      <c r="H788" s="10">
        <v>10062018</v>
      </c>
      <c r="I788" s="10">
        <v>2</v>
      </c>
      <c r="J788" s="8" t="s">
        <v>39</v>
      </c>
      <c r="K788" s="8" t="s">
        <v>40</v>
      </c>
      <c r="L788" s="8" t="s">
        <v>117</v>
      </c>
      <c r="M788" s="8" t="s">
        <v>118</v>
      </c>
      <c r="O788" s="8" t="s">
        <v>43</v>
      </c>
      <c r="P788" s="8" t="b">
        <v>0</v>
      </c>
      <c r="R788" s="8" t="b">
        <v>1</v>
      </c>
      <c r="S788" s="8" t="b">
        <v>0</v>
      </c>
      <c r="T788" s="8" t="b">
        <v>0</v>
      </c>
      <c r="U788" s="8" t="b">
        <v>1</v>
      </c>
      <c r="V788" s="8" t="b">
        <v>1</v>
      </c>
      <c r="X788" s="8" t="b">
        <v>0</v>
      </c>
      <c r="Y788" s="8" t="b">
        <v>0</v>
      </c>
      <c r="Z788" s="8" t="b">
        <v>0</v>
      </c>
      <c r="AA788" s="8" t="b">
        <v>0</v>
      </c>
      <c r="AB788" s="8" t="b">
        <v>0</v>
      </c>
      <c r="AC788" s="8" t="b">
        <v>0</v>
      </c>
      <c r="AD788" s="8" t="b">
        <v>1</v>
      </c>
      <c r="AE788" s="8" t="b">
        <v>0</v>
      </c>
      <c r="AG788" s="11" t="b" cm="1">
        <f t="array" ref="AG788">IF(OR(Y788:AA788="TRUE", AE788="true"), "Threatened")</f>
        <v>0</v>
      </c>
      <c r="AH788" s="11" t="s">
        <v>2246</v>
      </c>
      <c r="AI788" s="8" t="b">
        <v>1</v>
      </c>
    </row>
    <row r="789" spans="1:35" ht="31.2">
      <c r="A789" s="8">
        <v>-73.968747669999999</v>
      </c>
      <c r="B789" s="8">
        <v>40.774285669999998</v>
      </c>
      <c r="C789" s="8" t="s">
        <v>2247</v>
      </c>
      <c r="D789" s="8" t="s">
        <v>991</v>
      </c>
      <c r="E789" s="8" t="b">
        <f t="shared" si="12"/>
        <v>0</v>
      </c>
      <c r="F789" s="8" t="str" cm="1">
        <f t="array" ref="F789">_xlfn._xlws.FILTER(E789:E3987, C789:C3987= "6D-PM-1020-01", "No Squirrels Found")</f>
        <v>No Squirrels Found</v>
      </c>
      <c r="G789" s="8" t="s">
        <v>48</v>
      </c>
      <c r="H789" s="10">
        <v>10122018</v>
      </c>
      <c r="I789" s="10">
        <v>1</v>
      </c>
      <c r="J789" s="8" t="s">
        <v>39</v>
      </c>
      <c r="K789" s="8" t="s">
        <v>41</v>
      </c>
      <c r="L789" s="8" t="s">
        <v>40</v>
      </c>
      <c r="M789" s="8" t="s">
        <v>110</v>
      </c>
      <c r="O789" s="8" t="s">
        <v>50</v>
      </c>
      <c r="P789" s="8">
        <v>2</v>
      </c>
      <c r="R789" s="8" t="b">
        <v>0</v>
      </c>
      <c r="S789" s="8" t="b">
        <v>0</v>
      </c>
      <c r="T789" s="8" t="b">
        <v>1</v>
      </c>
      <c r="U789" s="8" t="b">
        <v>0</v>
      </c>
      <c r="V789" s="8" t="b">
        <v>0</v>
      </c>
      <c r="X789" s="8" t="b">
        <v>0</v>
      </c>
      <c r="Y789" s="8" t="b">
        <v>0</v>
      </c>
      <c r="Z789" s="8" t="b">
        <v>0</v>
      </c>
      <c r="AA789" s="8" t="b">
        <v>0</v>
      </c>
      <c r="AB789" s="8" t="b">
        <v>0</v>
      </c>
      <c r="AC789" s="8" t="b">
        <v>0</v>
      </c>
      <c r="AD789" s="8" t="b">
        <v>1</v>
      </c>
      <c r="AE789" s="8" t="b">
        <v>0</v>
      </c>
      <c r="AG789" s="11" t="b" cm="1">
        <f t="array" ref="AG789">IF(OR(Y789:AA789="TRUE", AE789="true"), "Threatened")</f>
        <v>0</v>
      </c>
      <c r="AH789" s="11" t="s">
        <v>2248</v>
      </c>
      <c r="AI789" s="8" t="b">
        <v>1</v>
      </c>
    </row>
    <row r="790" spans="1:35" ht="31.2">
      <c r="A790" s="8">
        <v>-73.96750231</v>
      </c>
      <c r="B790" s="8">
        <v>40.787255469999998</v>
      </c>
      <c r="C790" s="8" t="s">
        <v>2249</v>
      </c>
      <c r="D790" s="8" t="s">
        <v>147</v>
      </c>
      <c r="E790" s="8" t="b">
        <f t="shared" si="12"/>
        <v>0</v>
      </c>
      <c r="F790" s="8" t="str" cm="1">
        <f t="array" ref="F790">_xlfn._xlws.FILTER(E790:E3988, C790:C3988= "6D-PM-1020-01", "No Squirrels Found")</f>
        <v>No Squirrels Found</v>
      </c>
      <c r="G790" s="8" t="s">
        <v>34</v>
      </c>
      <c r="H790" s="10">
        <v>10072018</v>
      </c>
      <c r="I790" s="10">
        <v>1</v>
      </c>
      <c r="J790" s="8" t="s">
        <v>39</v>
      </c>
      <c r="K790" s="8" t="s">
        <v>41</v>
      </c>
      <c r="L790" s="8" t="s">
        <v>40</v>
      </c>
      <c r="M790" s="8" t="s">
        <v>110</v>
      </c>
      <c r="O790" s="8" t="s">
        <v>50</v>
      </c>
      <c r="P790" s="8">
        <v>40</v>
      </c>
      <c r="Q790" s="8" t="s">
        <v>206</v>
      </c>
      <c r="R790" s="8" t="b">
        <v>0</v>
      </c>
      <c r="S790" s="8" t="b">
        <v>0</v>
      </c>
      <c r="T790" s="8" t="b">
        <v>1</v>
      </c>
      <c r="U790" s="8" t="b">
        <v>0</v>
      </c>
      <c r="V790" s="8" t="b">
        <v>0</v>
      </c>
      <c r="X790" s="8" t="b">
        <v>0</v>
      </c>
      <c r="Y790" s="8" t="b">
        <v>0</v>
      </c>
      <c r="Z790" s="8" t="b">
        <v>0</v>
      </c>
      <c r="AA790" s="8" t="b">
        <v>0</v>
      </c>
      <c r="AB790" s="8" t="b">
        <v>0</v>
      </c>
      <c r="AC790" s="8" t="b">
        <v>0</v>
      </c>
      <c r="AD790" s="8" t="b">
        <v>0</v>
      </c>
      <c r="AE790" s="8" t="b">
        <v>0</v>
      </c>
      <c r="AG790" s="11" t="b" cm="1">
        <f t="array" ref="AG790">IF(OR(Y790:AA790="TRUE", AE790="true"), "Threatened")</f>
        <v>0</v>
      </c>
      <c r="AH790" s="11" t="s">
        <v>2250</v>
      </c>
      <c r="AI790" s="8" t="b">
        <v>1</v>
      </c>
    </row>
    <row r="791" spans="1:35" ht="31.2">
      <c r="A791" s="8">
        <v>-73.974504049999993</v>
      </c>
      <c r="B791" s="8">
        <v>40.773330389999998</v>
      </c>
      <c r="C791" s="8" t="s">
        <v>2251</v>
      </c>
      <c r="D791" s="8" t="s">
        <v>1403</v>
      </c>
      <c r="E791" s="8" t="b">
        <f t="shared" si="12"/>
        <v>0</v>
      </c>
      <c r="F791" s="8" t="str" cm="1">
        <f t="array" ref="F791">_xlfn._xlws.FILTER(E791:E3989, C791:C3989= "6D-PM-1020-01", "No Squirrels Found")</f>
        <v>No Squirrels Found</v>
      </c>
      <c r="G791" s="8" t="s">
        <v>34</v>
      </c>
      <c r="H791" s="10">
        <v>10062018</v>
      </c>
      <c r="I791" s="10">
        <v>6</v>
      </c>
      <c r="J791" s="8" t="s">
        <v>39</v>
      </c>
      <c r="K791" s="8" t="s">
        <v>40</v>
      </c>
      <c r="L791" s="8" t="s">
        <v>117</v>
      </c>
      <c r="M791" s="8" t="s">
        <v>118</v>
      </c>
      <c r="O791" s="8" t="s">
        <v>43</v>
      </c>
      <c r="P791" s="8" t="b">
        <v>0</v>
      </c>
      <c r="R791" s="8" t="b">
        <v>0</v>
      </c>
      <c r="S791" s="8" t="b">
        <v>0</v>
      </c>
      <c r="T791" s="8" t="b">
        <v>0</v>
      </c>
      <c r="U791" s="8" t="b">
        <v>0</v>
      </c>
      <c r="V791" s="8" t="b">
        <v>1</v>
      </c>
      <c r="X791" s="8" t="b">
        <v>0</v>
      </c>
      <c r="Y791" s="8" t="b">
        <v>0</v>
      </c>
      <c r="Z791" s="8" t="b">
        <v>0</v>
      </c>
      <c r="AA791" s="8" t="b">
        <v>0</v>
      </c>
      <c r="AB791" s="8" t="b">
        <v>0</v>
      </c>
      <c r="AC791" s="8" t="b">
        <v>0</v>
      </c>
      <c r="AD791" s="8" t="b">
        <v>1</v>
      </c>
      <c r="AE791" s="8" t="b">
        <v>0</v>
      </c>
      <c r="AG791" s="11" t="b" cm="1">
        <f t="array" ref="AG791">IF(OR(Y791:AA791="TRUE", AE791="true"), "Threatened")</f>
        <v>0</v>
      </c>
      <c r="AH791" s="11" t="s">
        <v>2252</v>
      </c>
      <c r="AI791" s="8" t="b">
        <v>1</v>
      </c>
    </row>
    <row r="792" spans="1:35" ht="31.2">
      <c r="A792" s="8">
        <v>-73.977263590000007</v>
      </c>
      <c r="B792" s="8">
        <v>40.770942890000001</v>
      </c>
      <c r="C792" s="8" t="s">
        <v>2253</v>
      </c>
      <c r="D792" s="8" t="s">
        <v>808</v>
      </c>
      <c r="E792" s="8" t="b">
        <f t="shared" si="12"/>
        <v>0</v>
      </c>
      <c r="F792" s="8" t="str" cm="1">
        <f t="array" ref="F792">_xlfn._xlws.FILTER(E792:E3990, C792:C3990= "6D-PM-1020-01", "No Squirrels Found")</f>
        <v>No Squirrels Found</v>
      </c>
      <c r="G792" s="8" t="s">
        <v>34</v>
      </c>
      <c r="H792" s="10">
        <v>10172018</v>
      </c>
      <c r="I792" s="10">
        <v>3</v>
      </c>
      <c r="J792" s="8" t="s">
        <v>39</v>
      </c>
      <c r="K792" s="8" t="s">
        <v>40</v>
      </c>
      <c r="L792" s="8" t="s">
        <v>41</v>
      </c>
      <c r="M792" s="8" t="s">
        <v>42</v>
      </c>
      <c r="O792" s="8" t="s">
        <v>43</v>
      </c>
      <c r="P792" s="8" t="b">
        <v>0</v>
      </c>
      <c r="R792" s="8" t="b">
        <v>0</v>
      </c>
      <c r="S792" s="8" t="b">
        <v>0</v>
      </c>
      <c r="T792" s="8" t="b">
        <v>0</v>
      </c>
      <c r="U792" s="8" t="b">
        <v>0</v>
      </c>
      <c r="V792" s="8" t="b">
        <v>1</v>
      </c>
      <c r="X792" s="8" t="b">
        <v>0</v>
      </c>
      <c r="Y792" s="8" t="b">
        <v>0</v>
      </c>
      <c r="Z792" s="8" t="b">
        <v>0</v>
      </c>
      <c r="AA792" s="8" t="b">
        <v>0</v>
      </c>
      <c r="AB792" s="8" t="b">
        <v>0</v>
      </c>
      <c r="AC792" s="8" t="b">
        <v>0</v>
      </c>
      <c r="AD792" s="8" t="b">
        <v>0</v>
      </c>
      <c r="AE792" s="8" t="b">
        <v>1</v>
      </c>
      <c r="AG792" s="11" t="b" cm="1">
        <f t="array" ref="AG792">IF(OR(Y792:AA792="TRUE", AE792="true"), "Threatened")</f>
        <v>0</v>
      </c>
      <c r="AH792" s="11" t="s">
        <v>2254</v>
      </c>
      <c r="AI792" s="8" t="b">
        <v>1</v>
      </c>
    </row>
    <row r="793" spans="1:35" ht="31.2">
      <c r="A793" s="8">
        <v>-73.973011569999997</v>
      </c>
      <c r="B793" s="8">
        <v>40.774101829999999</v>
      </c>
      <c r="C793" s="8" t="s">
        <v>2255</v>
      </c>
      <c r="D793" s="8" t="s">
        <v>2256</v>
      </c>
      <c r="E793" s="8" t="b">
        <f t="shared" si="12"/>
        <v>0</v>
      </c>
      <c r="F793" s="8" t="str" cm="1">
        <f t="array" ref="F793">_xlfn._xlws.FILTER(E793:E3991, C793:C3991= "6D-PM-1020-01", "No Squirrels Found")</f>
        <v>No Squirrels Found</v>
      </c>
      <c r="G793" s="8" t="s">
        <v>48</v>
      </c>
      <c r="H793" s="10">
        <v>10082018</v>
      </c>
      <c r="I793" s="10">
        <v>5</v>
      </c>
      <c r="J793" s="8" t="s">
        <v>54</v>
      </c>
      <c r="K793" s="8" t="s">
        <v>40</v>
      </c>
      <c r="L793" s="8" t="s">
        <v>84</v>
      </c>
      <c r="M793" s="8" t="s">
        <v>103</v>
      </c>
      <c r="O793" s="8" t="s">
        <v>50</v>
      </c>
      <c r="P793" s="8">
        <v>25</v>
      </c>
      <c r="R793" s="8" t="b">
        <v>0</v>
      </c>
      <c r="S793" s="8" t="b">
        <v>0</v>
      </c>
      <c r="T793" s="8" t="b">
        <v>1</v>
      </c>
      <c r="U793" s="8" t="b">
        <v>1</v>
      </c>
      <c r="V793" s="8" t="b">
        <v>0</v>
      </c>
      <c r="X793" s="8" t="b">
        <v>0</v>
      </c>
      <c r="Y793" s="8" t="b">
        <v>0</v>
      </c>
      <c r="Z793" s="8" t="b">
        <v>0</v>
      </c>
      <c r="AA793" s="8" t="b">
        <v>0</v>
      </c>
      <c r="AB793" s="8" t="b">
        <v>0</v>
      </c>
      <c r="AC793" s="8" t="b">
        <v>0</v>
      </c>
      <c r="AD793" s="8" t="b">
        <v>0</v>
      </c>
      <c r="AE793" s="8" t="b">
        <v>0</v>
      </c>
      <c r="AG793" s="11" t="b" cm="1">
        <f t="array" ref="AG793">IF(OR(Y793:AA793="TRUE", AE793="true"), "Threatened")</f>
        <v>0</v>
      </c>
      <c r="AH793" s="11" t="s">
        <v>2257</v>
      </c>
      <c r="AI793" s="8" t="b">
        <v>1</v>
      </c>
    </row>
    <row r="794" spans="1:35" ht="31.2">
      <c r="A794" s="8">
        <v>-73.973011170000007</v>
      </c>
      <c r="B794" s="8">
        <v>40.778215770000003</v>
      </c>
      <c r="C794" s="8" t="s">
        <v>2258</v>
      </c>
      <c r="D794" s="8" t="s">
        <v>1764</v>
      </c>
      <c r="E794" s="8" t="b">
        <f t="shared" si="12"/>
        <v>0</v>
      </c>
      <c r="F794" s="8" t="str" cm="1">
        <f t="array" ref="F794">_xlfn._xlws.FILTER(E794:E3992, C794:C3992= "6D-PM-1020-01", "No Squirrels Found")</f>
        <v>No Squirrels Found</v>
      </c>
      <c r="G794" s="8" t="s">
        <v>34</v>
      </c>
      <c r="H794" s="10">
        <v>10142018</v>
      </c>
      <c r="I794" s="10">
        <v>5</v>
      </c>
      <c r="J794" s="8" t="s">
        <v>39</v>
      </c>
      <c r="K794" s="8" t="s">
        <v>40</v>
      </c>
      <c r="M794" s="8" t="s">
        <v>55</v>
      </c>
      <c r="O794" s="8" t="s">
        <v>43</v>
      </c>
      <c r="P794" s="8" t="b">
        <v>0</v>
      </c>
      <c r="R794" s="8" t="b">
        <v>0</v>
      </c>
      <c r="S794" s="8" t="b">
        <v>0</v>
      </c>
      <c r="T794" s="8" t="b">
        <v>0</v>
      </c>
      <c r="U794" s="8" t="b">
        <v>0</v>
      </c>
      <c r="V794" s="8" t="b">
        <v>1</v>
      </c>
      <c r="X794" s="8" t="b">
        <v>0</v>
      </c>
      <c r="Y794" s="8" t="b">
        <v>0</v>
      </c>
      <c r="Z794" s="8" t="b">
        <v>0</v>
      </c>
      <c r="AA794" s="8" t="b">
        <v>0</v>
      </c>
      <c r="AB794" s="8" t="b">
        <v>0</v>
      </c>
      <c r="AC794" s="8" t="b">
        <v>0</v>
      </c>
      <c r="AD794" s="8" t="b">
        <v>0</v>
      </c>
      <c r="AE794" s="8" t="b">
        <v>1</v>
      </c>
      <c r="AG794" s="11" t="b" cm="1">
        <f t="array" ref="AG794">IF(OR(Y794:AA794="TRUE", AE794="true"), "Threatened")</f>
        <v>0</v>
      </c>
      <c r="AH794" s="11" t="s">
        <v>2259</v>
      </c>
      <c r="AI794" s="8" t="b">
        <v>1</v>
      </c>
    </row>
    <row r="795" spans="1:35" ht="31.2">
      <c r="A795" s="8">
        <v>-73.979001060000002</v>
      </c>
      <c r="B795" s="8">
        <v>40.768573240000002</v>
      </c>
      <c r="C795" s="8" t="s">
        <v>2260</v>
      </c>
      <c r="D795" s="8" t="s">
        <v>1235</v>
      </c>
      <c r="E795" s="8" t="b">
        <f t="shared" si="12"/>
        <v>0</v>
      </c>
      <c r="F795" s="8" t="str" cm="1">
        <f t="array" ref="F795">_xlfn._xlws.FILTER(E795:E3993, C795:C3993= "6D-PM-1020-01", "No Squirrels Found")</f>
        <v>No Squirrels Found</v>
      </c>
      <c r="G795" s="8" t="s">
        <v>34</v>
      </c>
      <c r="H795" s="10">
        <v>10132018</v>
      </c>
      <c r="I795" s="10">
        <v>9</v>
      </c>
      <c r="J795" s="8" t="s">
        <v>39</v>
      </c>
      <c r="M795" s="8" t="s">
        <v>35</v>
      </c>
      <c r="O795" s="8" t="s">
        <v>43</v>
      </c>
      <c r="P795" s="8" t="b">
        <v>0</v>
      </c>
      <c r="R795" s="8" t="b">
        <v>0</v>
      </c>
      <c r="S795" s="8" t="b">
        <v>0</v>
      </c>
      <c r="T795" s="8" t="b">
        <v>1</v>
      </c>
      <c r="U795" s="8" t="b">
        <v>0</v>
      </c>
      <c r="V795" s="8" t="b">
        <v>0</v>
      </c>
      <c r="X795" s="8" t="b">
        <v>0</v>
      </c>
      <c r="Y795" s="8" t="b">
        <v>0</v>
      </c>
      <c r="Z795" s="8" t="b">
        <v>0</v>
      </c>
      <c r="AA795" s="8" t="b">
        <v>0</v>
      </c>
      <c r="AB795" s="8" t="b">
        <v>0</v>
      </c>
      <c r="AC795" s="8" t="b">
        <v>0</v>
      </c>
      <c r="AD795" s="8" t="b">
        <v>0</v>
      </c>
      <c r="AE795" s="8" t="b">
        <v>0</v>
      </c>
      <c r="AG795" s="11" t="b" cm="1">
        <f t="array" ref="AG795">IF(OR(Y795:AA795="TRUE", AE795="true"), "Threatened")</f>
        <v>0</v>
      </c>
      <c r="AH795" s="11" t="s">
        <v>2261</v>
      </c>
      <c r="AI795" s="8" t="b">
        <v>1</v>
      </c>
    </row>
    <row r="796" spans="1:35" ht="31.2">
      <c r="A796" s="8">
        <v>-73.958252349999995</v>
      </c>
      <c r="B796" s="8">
        <v>40.799689749999999</v>
      </c>
      <c r="C796" s="8" t="s">
        <v>2262</v>
      </c>
      <c r="D796" s="8" t="s">
        <v>478</v>
      </c>
      <c r="E796" s="8" t="b">
        <f t="shared" si="12"/>
        <v>0</v>
      </c>
      <c r="F796" s="8" t="str" cm="1">
        <f t="array" ref="F796">_xlfn._xlws.FILTER(E796:E3994, C796:C3994= "6D-PM-1020-01", "No Squirrels Found")</f>
        <v>No Squirrels Found</v>
      </c>
      <c r="G796" s="8" t="s">
        <v>34</v>
      </c>
      <c r="H796" s="10">
        <v>10072018</v>
      </c>
      <c r="I796" s="10">
        <v>5</v>
      </c>
      <c r="J796" s="8" t="s">
        <v>39</v>
      </c>
      <c r="K796" s="8" t="s">
        <v>40</v>
      </c>
      <c r="L796" s="8" t="s">
        <v>117</v>
      </c>
      <c r="M796" s="8" t="s">
        <v>118</v>
      </c>
      <c r="O796" s="8" t="s">
        <v>43</v>
      </c>
      <c r="P796" s="8" t="b">
        <v>0</v>
      </c>
      <c r="R796" s="8" t="b">
        <v>1</v>
      </c>
      <c r="S796" s="8" t="b">
        <v>0</v>
      </c>
      <c r="T796" s="8" t="b">
        <v>1</v>
      </c>
      <c r="U796" s="8" t="b">
        <v>0</v>
      </c>
      <c r="V796" s="8" t="b">
        <v>0</v>
      </c>
      <c r="X796" s="8" t="b">
        <v>0</v>
      </c>
      <c r="Y796" s="8" t="b">
        <v>0</v>
      </c>
      <c r="Z796" s="8" t="b">
        <v>0</v>
      </c>
      <c r="AA796" s="8" t="b">
        <v>0</v>
      </c>
      <c r="AB796" s="8" t="b">
        <v>0</v>
      </c>
      <c r="AC796" s="8" t="b">
        <v>0</v>
      </c>
      <c r="AD796" s="8" t="b">
        <v>0</v>
      </c>
      <c r="AE796" s="8" t="b">
        <v>1</v>
      </c>
      <c r="AG796" s="11" t="b" cm="1">
        <f t="array" ref="AG796">IF(OR(Y796:AA796="TRUE", AE796="true"), "Threatened")</f>
        <v>0</v>
      </c>
      <c r="AH796" s="11" t="s">
        <v>2263</v>
      </c>
      <c r="AI796" s="8" t="b">
        <v>1</v>
      </c>
    </row>
    <row r="797" spans="1:35" ht="31.2">
      <c r="A797" s="8">
        <v>-73.97066418</v>
      </c>
      <c r="B797" s="8">
        <v>40.775922919999999</v>
      </c>
      <c r="C797" s="8" t="s">
        <v>2264</v>
      </c>
      <c r="D797" s="8" t="s">
        <v>79</v>
      </c>
      <c r="E797" s="8" t="b">
        <f t="shared" si="12"/>
        <v>0</v>
      </c>
      <c r="F797" s="8" t="str" cm="1">
        <f t="array" ref="F797">_xlfn._xlws.FILTER(E797:E3995, C797:C3995= "6D-PM-1020-01", "No Squirrels Found")</f>
        <v>No Squirrels Found</v>
      </c>
      <c r="G797" s="8" t="s">
        <v>48</v>
      </c>
      <c r="H797" s="10">
        <v>10172018</v>
      </c>
      <c r="I797" s="10">
        <v>12</v>
      </c>
      <c r="J797" s="8" t="s">
        <v>39</v>
      </c>
      <c r="K797" s="8" t="s">
        <v>40</v>
      </c>
      <c r="L797" s="8" t="s">
        <v>41</v>
      </c>
      <c r="M797" s="8" t="s">
        <v>42</v>
      </c>
      <c r="O797" s="8" t="s">
        <v>43</v>
      </c>
      <c r="P797" s="8" t="b">
        <v>0</v>
      </c>
      <c r="R797" s="8" t="b">
        <v>0</v>
      </c>
      <c r="S797" s="8" t="b">
        <v>0</v>
      </c>
      <c r="T797" s="8" t="b">
        <v>0</v>
      </c>
      <c r="U797" s="8" t="b">
        <v>1</v>
      </c>
      <c r="V797" s="8" t="b">
        <v>0</v>
      </c>
      <c r="X797" s="8" t="b">
        <v>0</v>
      </c>
      <c r="Y797" s="8" t="b">
        <v>0</v>
      </c>
      <c r="Z797" s="8" t="b">
        <v>0</v>
      </c>
      <c r="AA797" s="8" t="b">
        <v>0</v>
      </c>
      <c r="AB797" s="8" t="b">
        <v>0</v>
      </c>
      <c r="AC797" s="8" t="b">
        <v>0</v>
      </c>
      <c r="AD797" s="8" t="b">
        <v>1</v>
      </c>
      <c r="AE797" s="8" t="b">
        <v>0</v>
      </c>
      <c r="AG797" s="11" t="b" cm="1">
        <f t="array" ref="AG797">IF(OR(Y797:AA797="TRUE", AE797="true"), "Threatened")</f>
        <v>0</v>
      </c>
      <c r="AH797" s="11" t="s">
        <v>2265</v>
      </c>
      <c r="AI797" s="8" t="b">
        <v>1</v>
      </c>
    </row>
    <row r="798" spans="1:35" ht="31.2">
      <c r="A798" s="8">
        <v>-73.969345750000002</v>
      </c>
      <c r="B798" s="8">
        <v>40.777042969999997</v>
      </c>
      <c r="C798" s="8" t="s">
        <v>2266</v>
      </c>
      <c r="D798" s="8" t="s">
        <v>150</v>
      </c>
      <c r="E798" s="8" t="b">
        <f t="shared" si="12"/>
        <v>0</v>
      </c>
      <c r="F798" s="8" t="str" cm="1">
        <f t="array" ref="F798">_xlfn._xlws.FILTER(E798:E3996, C798:C3996= "6D-PM-1020-01", "No Squirrels Found")</f>
        <v>No Squirrels Found</v>
      </c>
      <c r="G798" s="8" t="s">
        <v>48</v>
      </c>
      <c r="H798" s="10">
        <v>10132018</v>
      </c>
      <c r="I798" s="10">
        <v>2</v>
      </c>
      <c r="J798" s="8" t="s">
        <v>39</v>
      </c>
      <c r="K798" s="8" t="s">
        <v>40</v>
      </c>
      <c r="L798" s="8" t="s">
        <v>41</v>
      </c>
      <c r="M798" s="8" t="s">
        <v>42</v>
      </c>
      <c r="O798" s="8" t="s">
        <v>50</v>
      </c>
      <c r="P798" s="8">
        <v>20</v>
      </c>
      <c r="R798" s="8" t="b">
        <v>1</v>
      </c>
      <c r="S798" s="8" t="b">
        <v>0</v>
      </c>
      <c r="T798" s="8" t="b">
        <v>1</v>
      </c>
      <c r="U798" s="8" t="b">
        <v>0</v>
      </c>
      <c r="V798" s="8" t="b">
        <v>0</v>
      </c>
      <c r="X798" s="8" t="b">
        <v>0</v>
      </c>
      <c r="Y798" s="8" t="b">
        <v>0</v>
      </c>
      <c r="Z798" s="8" t="b">
        <v>0</v>
      </c>
      <c r="AA798" s="8" t="b">
        <v>0</v>
      </c>
      <c r="AB798" s="8" t="b">
        <v>0</v>
      </c>
      <c r="AC798" s="8" t="b">
        <v>1</v>
      </c>
      <c r="AD798" s="8" t="b">
        <v>0</v>
      </c>
      <c r="AE798" s="8" t="b">
        <v>0</v>
      </c>
      <c r="AG798" s="11" t="b" cm="1">
        <f t="array" ref="AG798">IF(OR(Y798:AA798="TRUE", AE798="true"), "Threatened")</f>
        <v>0</v>
      </c>
      <c r="AH798" s="11" t="s">
        <v>2267</v>
      </c>
      <c r="AI798" s="8" t="b">
        <v>1</v>
      </c>
    </row>
    <row r="799" spans="1:35" ht="31.2">
      <c r="A799" s="8">
        <v>-73.980854230000006</v>
      </c>
      <c r="B799" s="8">
        <v>40.767870219999999</v>
      </c>
      <c r="C799" s="8" t="s">
        <v>2268</v>
      </c>
      <c r="D799" s="8" t="s">
        <v>855</v>
      </c>
      <c r="E799" s="8" t="b">
        <f t="shared" si="12"/>
        <v>0</v>
      </c>
      <c r="F799" s="8" t="str" cm="1">
        <f t="array" ref="F799">_xlfn._xlws.FILTER(E799:E3997, C799:C3997= "6D-PM-1020-01", "No Squirrels Found")</f>
        <v>No Squirrels Found</v>
      </c>
      <c r="G799" s="8" t="s">
        <v>48</v>
      </c>
      <c r="H799" s="10">
        <v>10122018</v>
      </c>
      <c r="I799" s="10">
        <v>17</v>
      </c>
      <c r="J799" s="8" t="s">
        <v>39</v>
      </c>
      <c r="K799" s="8" t="s">
        <v>40</v>
      </c>
      <c r="L799" s="8" t="s">
        <v>117</v>
      </c>
      <c r="M799" s="8" t="s">
        <v>118</v>
      </c>
      <c r="O799" s="8" t="s">
        <v>43</v>
      </c>
      <c r="P799" s="8" t="b">
        <v>0</v>
      </c>
      <c r="R799" s="8" t="b">
        <v>0</v>
      </c>
      <c r="S799" s="8" t="b">
        <v>0</v>
      </c>
      <c r="T799" s="8" t="b">
        <v>1</v>
      </c>
      <c r="U799" s="8" t="b">
        <v>1</v>
      </c>
      <c r="V799" s="8" t="b">
        <v>1</v>
      </c>
      <c r="X799" s="8" t="b">
        <v>0</v>
      </c>
      <c r="Y799" s="8" t="b">
        <v>0</v>
      </c>
      <c r="Z799" s="8" t="b">
        <v>0</v>
      </c>
      <c r="AA799" s="8" t="b">
        <v>0</v>
      </c>
      <c r="AB799" s="8" t="b">
        <v>0</v>
      </c>
      <c r="AC799" s="8" t="b">
        <v>0</v>
      </c>
      <c r="AD799" s="8" t="b">
        <v>1</v>
      </c>
      <c r="AE799" s="8" t="b">
        <v>0</v>
      </c>
      <c r="AG799" s="11" t="b" cm="1">
        <f t="array" ref="AG799">IF(OR(Y799:AA799="TRUE", AE799="true"), "Threatened")</f>
        <v>0</v>
      </c>
      <c r="AH799" s="11" t="s">
        <v>2269</v>
      </c>
      <c r="AI799" s="8" t="b">
        <v>1</v>
      </c>
    </row>
    <row r="800" spans="1:35" ht="31.2">
      <c r="A800" s="8">
        <v>-73.952941319999994</v>
      </c>
      <c r="B800" s="8">
        <v>40.792096340000001</v>
      </c>
      <c r="C800" s="8" t="s">
        <v>2270</v>
      </c>
      <c r="D800" s="8" t="s">
        <v>106</v>
      </c>
      <c r="E800" s="8" t="b">
        <f t="shared" si="12"/>
        <v>0</v>
      </c>
      <c r="F800" s="8" t="str" cm="1">
        <f t="array" ref="F800">_xlfn._xlws.FILTER(E800:E3998, C800:C3998= "6D-PM-1020-01", "No Squirrels Found")</f>
        <v>No Squirrels Found</v>
      </c>
      <c r="G800" s="8" t="s">
        <v>34</v>
      </c>
      <c r="H800" s="10">
        <v>10072018</v>
      </c>
      <c r="I800" s="10">
        <v>6</v>
      </c>
      <c r="J800" s="8" t="s">
        <v>39</v>
      </c>
      <c r="K800" s="8" t="s">
        <v>41</v>
      </c>
      <c r="L800" s="8" t="s">
        <v>135</v>
      </c>
      <c r="M800" s="8" t="s">
        <v>136</v>
      </c>
      <c r="O800" s="8" t="s">
        <v>43</v>
      </c>
      <c r="P800" s="8" t="b">
        <v>0</v>
      </c>
      <c r="R800" s="8" t="b">
        <v>0</v>
      </c>
      <c r="S800" s="8" t="b">
        <v>0</v>
      </c>
      <c r="T800" s="8" t="b">
        <v>0</v>
      </c>
      <c r="U800" s="8" t="b">
        <v>1</v>
      </c>
      <c r="V800" s="8" t="b">
        <v>0</v>
      </c>
      <c r="X800" s="8" t="b">
        <v>0</v>
      </c>
      <c r="Y800" s="8" t="b">
        <v>0</v>
      </c>
      <c r="Z800" s="8" t="b">
        <v>0</v>
      </c>
      <c r="AA800" s="8" t="b">
        <v>0</v>
      </c>
      <c r="AB800" s="8" t="b">
        <v>0</v>
      </c>
      <c r="AC800" s="8" t="b">
        <v>0</v>
      </c>
      <c r="AD800" s="8" t="b">
        <v>1</v>
      </c>
      <c r="AE800" s="8" t="b">
        <v>0</v>
      </c>
      <c r="AG800" s="11" t="b" cm="1">
        <f t="array" ref="AG800">IF(OR(Y800:AA800="TRUE", AE800="true"), "Threatened")</f>
        <v>0</v>
      </c>
      <c r="AH800" s="11" t="s">
        <v>2271</v>
      </c>
      <c r="AI800" s="8" t="b">
        <v>1</v>
      </c>
    </row>
    <row r="801" spans="1:35" ht="31.2">
      <c r="A801" s="8">
        <v>-73.968214399999994</v>
      </c>
      <c r="B801" s="8">
        <v>40.777307069999999</v>
      </c>
      <c r="C801" s="8" t="s">
        <v>2272</v>
      </c>
      <c r="D801" s="8" t="s">
        <v>246</v>
      </c>
      <c r="E801" s="8" t="b">
        <f t="shared" si="12"/>
        <v>0</v>
      </c>
      <c r="F801" s="8" t="str" cm="1">
        <f t="array" ref="F801">_xlfn._xlws.FILTER(E801:E3999, C801:C3999= "6D-PM-1020-01", "No Squirrels Found")</f>
        <v>No Squirrels Found</v>
      </c>
      <c r="G801" s="8" t="s">
        <v>48</v>
      </c>
      <c r="H801" s="10">
        <v>10072018</v>
      </c>
      <c r="I801" s="10">
        <v>8</v>
      </c>
      <c r="J801" s="8" t="s">
        <v>39</v>
      </c>
      <c r="K801" s="8" t="s">
        <v>41</v>
      </c>
      <c r="L801" s="8" t="s">
        <v>84</v>
      </c>
      <c r="M801" s="8" t="s">
        <v>85</v>
      </c>
      <c r="O801" s="8" t="s">
        <v>43</v>
      </c>
      <c r="P801" s="8" t="b">
        <v>0</v>
      </c>
      <c r="R801" s="8" t="b">
        <v>0</v>
      </c>
      <c r="S801" s="8" t="b">
        <v>0</v>
      </c>
      <c r="T801" s="8" t="b">
        <v>0</v>
      </c>
      <c r="U801" s="8" t="b">
        <v>0</v>
      </c>
      <c r="V801" s="8" t="b">
        <v>1</v>
      </c>
      <c r="X801" s="8" t="b">
        <v>0</v>
      </c>
      <c r="Y801" s="8" t="b">
        <v>0</v>
      </c>
      <c r="Z801" s="8" t="b">
        <v>0</v>
      </c>
      <c r="AA801" s="8" t="b">
        <v>0</v>
      </c>
      <c r="AB801" s="8" t="b">
        <v>0</v>
      </c>
      <c r="AC801" s="8" t="b">
        <v>0</v>
      </c>
      <c r="AD801" s="8" t="b">
        <v>1</v>
      </c>
      <c r="AE801" s="8" t="b">
        <v>0</v>
      </c>
      <c r="AG801" s="11" t="b" cm="1">
        <f t="array" ref="AG801">IF(OR(Y801:AA801="TRUE", AE801="true"), "Threatened")</f>
        <v>0</v>
      </c>
      <c r="AH801" s="11" t="s">
        <v>2273</v>
      </c>
      <c r="AI801" s="8" t="b">
        <v>1</v>
      </c>
    </row>
    <row r="802" spans="1:35" ht="31.2">
      <c r="A802" s="8">
        <v>-73.974334229999997</v>
      </c>
      <c r="B802" s="8">
        <v>40.772774290000001</v>
      </c>
      <c r="C802" s="8" t="s">
        <v>2274</v>
      </c>
      <c r="D802" s="8" t="s">
        <v>2088</v>
      </c>
      <c r="E802" s="8" t="b">
        <f t="shared" si="12"/>
        <v>0</v>
      </c>
      <c r="F802" s="8" t="str" cm="1">
        <f t="array" ref="F802">_xlfn._xlws.FILTER(E802:E4000, C802:C4000= "6D-PM-1020-01", "No Squirrels Found")</f>
        <v>No Squirrels Found</v>
      </c>
      <c r="G802" s="8" t="s">
        <v>48</v>
      </c>
      <c r="H802" s="10">
        <v>10072018</v>
      </c>
      <c r="I802" s="10">
        <v>8</v>
      </c>
      <c r="J802" s="8" t="s">
        <v>39</v>
      </c>
      <c r="K802" s="8" t="s">
        <v>40</v>
      </c>
      <c r="M802" s="8" t="s">
        <v>55</v>
      </c>
      <c r="O802" s="8" t="s">
        <v>50</v>
      </c>
      <c r="P802" s="8">
        <v>15</v>
      </c>
      <c r="R802" s="8" t="b">
        <v>0</v>
      </c>
      <c r="S802" s="8" t="b">
        <v>0</v>
      </c>
      <c r="T802" s="8" t="b">
        <v>0</v>
      </c>
      <c r="U802" s="8" t="b">
        <v>0</v>
      </c>
      <c r="V802" s="8" t="b">
        <v>0</v>
      </c>
      <c r="W802" s="11" t="s">
        <v>2275</v>
      </c>
      <c r="X802" s="8" t="b">
        <v>0</v>
      </c>
      <c r="Y802" s="8" t="b">
        <v>0</v>
      </c>
      <c r="Z802" s="8" t="b">
        <v>0</v>
      </c>
      <c r="AA802" s="8" t="b">
        <v>0</v>
      </c>
      <c r="AB802" s="8" t="b">
        <v>0</v>
      </c>
      <c r="AC802" s="8" t="b">
        <v>0</v>
      </c>
      <c r="AD802" s="8" t="b">
        <v>0</v>
      </c>
      <c r="AE802" s="8" t="b">
        <v>0</v>
      </c>
      <c r="AG802" s="11" t="b" cm="1">
        <f t="array" ref="AG802">IF(OR(Y802:AA802="TRUE", AE802="true"), "Threatened")</f>
        <v>0</v>
      </c>
      <c r="AH802" s="11" t="s">
        <v>2276</v>
      </c>
      <c r="AI802" s="8" t="b">
        <v>0</v>
      </c>
    </row>
    <row r="803" spans="1:35" ht="31.2">
      <c r="A803" s="8">
        <v>-73.958494209999998</v>
      </c>
      <c r="B803" s="8">
        <v>40.799500860000002</v>
      </c>
      <c r="C803" s="8" t="s">
        <v>2277</v>
      </c>
      <c r="D803" s="8" t="s">
        <v>478</v>
      </c>
      <c r="E803" s="8" t="b">
        <f t="shared" si="12"/>
        <v>0</v>
      </c>
      <c r="F803" s="8" t="str" cm="1">
        <f t="array" ref="F803">_xlfn._xlws.FILTER(E803:E4001, C803:C4001= "6D-PM-1020-01", "No Squirrels Found")</f>
        <v>No Squirrels Found</v>
      </c>
      <c r="G803" s="8" t="s">
        <v>48</v>
      </c>
      <c r="H803" s="10">
        <v>10132018</v>
      </c>
      <c r="I803" s="10">
        <v>1</v>
      </c>
      <c r="J803" s="8" t="s">
        <v>39</v>
      </c>
      <c r="K803" s="8" t="s">
        <v>40</v>
      </c>
      <c r="L803" s="8" t="s">
        <v>41</v>
      </c>
      <c r="M803" s="8" t="s">
        <v>42</v>
      </c>
      <c r="O803" s="8" t="s">
        <v>43</v>
      </c>
      <c r="P803" s="8" t="b">
        <v>0</v>
      </c>
      <c r="R803" s="8" t="b">
        <v>1</v>
      </c>
      <c r="S803" s="8" t="b">
        <v>0</v>
      </c>
      <c r="T803" s="8" t="b">
        <v>0</v>
      </c>
      <c r="U803" s="8" t="b">
        <v>0</v>
      </c>
      <c r="V803" s="8" t="b">
        <v>0</v>
      </c>
      <c r="W803" s="11" t="s">
        <v>2278</v>
      </c>
      <c r="X803" s="8" t="b">
        <v>0</v>
      </c>
      <c r="Y803" s="8" t="b">
        <v>0</v>
      </c>
      <c r="Z803" s="8" t="b">
        <v>0</v>
      </c>
      <c r="AA803" s="8" t="b">
        <v>0</v>
      </c>
      <c r="AB803" s="8" t="b">
        <v>0</v>
      </c>
      <c r="AC803" s="8" t="b">
        <v>0</v>
      </c>
      <c r="AD803" s="8" t="b">
        <v>1</v>
      </c>
      <c r="AE803" s="8" t="b">
        <v>0</v>
      </c>
      <c r="AG803" s="11" t="b" cm="1">
        <f t="array" ref="AG803">IF(OR(Y803:AA803="TRUE", AE803="true"), "Threatened")</f>
        <v>0</v>
      </c>
      <c r="AH803" s="11" t="s">
        <v>2279</v>
      </c>
      <c r="AI803" s="8" t="b">
        <v>0</v>
      </c>
    </row>
    <row r="804" spans="1:35" ht="31.2">
      <c r="A804" s="8">
        <v>-73.969798370000007</v>
      </c>
      <c r="B804" s="8">
        <v>40.770067699999998</v>
      </c>
      <c r="C804" s="8" t="s">
        <v>2280</v>
      </c>
      <c r="D804" s="8" t="s">
        <v>1326</v>
      </c>
      <c r="E804" s="8" t="b">
        <f t="shared" si="12"/>
        <v>0</v>
      </c>
      <c r="F804" s="8" t="str" cm="1">
        <f t="array" ref="F804">_xlfn._xlws.FILTER(E804:E4002, C804:C4002= "6D-PM-1020-01", "No Squirrels Found")</f>
        <v>No Squirrels Found</v>
      </c>
      <c r="G804" s="8" t="s">
        <v>34</v>
      </c>
      <c r="H804" s="10">
        <v>10132018</v>
      </c>
      <c r="I804" s="10">
        <v>9</v>
      </c>
      <c r="J804" s="8" t="s">
        <v>39</v>
      </c>
      <c r="K804" s="8" t="s">
        <v>40</v>
      </c>
      <c r="L804" s="8" t="s">
        <v>117</v>
      </c>
      <c r="M804" s="8" t="s">
        <v>118</v>
      </c>
      <c r="O804" s="8" t="s">
        <v>43</v>
      </c>
      <c r="P804" s="8" t="b">
        <v>0</v>
      </c>
      <c r="R804" s="8" t="b">
        <v>0</v>
      </c>
      <c r="S804" s="8" t="b">
        <v>0</v>
      </c>
      <c r="T804" s="8" t="b">
        <v>0</v>
      </c>
      <c r="U804" s="8" t="b">
        <v>0</v>
      </c>
      <c r="V804" s="8" t="b">
        <v>1</v>
      </c>
      <c r="X804" s="8" t="b">
        <v>0</v>
      </c>
      <c r="Y804" s="8" t="b">
        <v>0</v>
      </c>
      <c r="Z804" s="8" t="b">
        <v>0</v>
      </c>
      <c r="AA804" s="8" t="b">
        <v>0</v>
      </c>
      <c r="AB804" s="8" t="b">
        <v>0</v>
      </c>
      <c r="AC804" s="8" t="b">
        <v>0</v>
      </c>
      <c r="AD804" s="8" t="b">
        <v>1</v>
      </c>
      <c r="AE804" s="8" t="b">
        <v>0</v>
      </c>
      <c r="AG804" s="11" t="b" cm="1">
        <f t="array" ref="AG804">IF(OR(Y804:AA804="TRUE", AE804="true"), "Threatened")</f>
        <v>0</v>
      </c>
      <c r="AH804" s="11" t="s">
        <v>2281</v>
      </c>
      <c r="AI804" s="8" t="b">
        <v>1</v>
      </c>
    </row>
    <row r="805" spans="1:35" ht="31.2">
      <c r="A805" s="8">
        <v>-73.969719659999996</v>
      </c>
      <c r="B805" s="8">
        <v>40.781406850000003</v>
      </c>
      <c r="C805" s="8" t="s">
        <v>2282</v>
      </c>
      <c r="D805" s="8" t="s">
        <v>422</v>
      </c>
      <c r="E805" s="8" t="b">
        <f t="shared" si="12"/>
        <v>0</v>
      </c>
      <c r="F805" s="8" t="str" cm="1">
        <f t="array" ref="F805">_xlfn._xlws.FILTER(E805:E4003, C805:C4003= "6D-PM-1020-01", "No Squirrels Found")</f>
        <v>No Squirrels Found</v>
      </c>
      <c r="G805" s="8" t="s">
        <v>48</v>
      </c>
      <c r="H805" s="10">
        <v>10192018</v>
      </c>
      <c r="I805" s="10">
        <v>1</v>
      </c>
      <c r="J805" s="8" t="s">
        <v>54</v>
      </c>
      <c r="K805" s="8" t="s">
        <v>40</v>
      </c>
      <c r="L805" s="8" t="s">
        <v>117</v>
      </c>
      <c r="M805" s="8" t="s">
        <v>118</v>
      </c>
      <c r="N805" s="11" t="s">
        <v>2283</v>
      </c>
      <c r="O805" s="8" t="s">
        <v>43</v>
      </c>
      <c r="P805" s="8" t="b">
        <v>0</v>
      </c>
      <c r="R805" s="8" t="b">
        <v>1</v>
      </c>
      <c r="S805" s="8" t="b">
        <v>0</v>
      </c>
      <c r="T805" s="8" t="b">
        <v>0</v>
      </c>
      <c r="U805" s="8" t="b">
        <v>1</v>
      </c>
      <c r="V805" s="8" t="b">
        <v>0</v>
      </c>
      <c r="X805" s="8" t="b">
        <v>0</v>
      </c>
      <c r="Y805" s="8" t="b">
        <v>0</v>
      </c>
      <c r="Z805" s="8" t="b">
        <v>0</v>
      </c>
      <c r="AA805" s="8" t="b">
        <v>0</v>
      </c>
      <c r="AB805" s="8" t="b">
        <v>0</v>
      </c>
      <c r="AC805" s="8" t="b">
        <v>0</v>
      </c>
      <c r="AD805" s="8" t="b">
        <v>1</v>
      </c>
      <c r="AE805" s="8" t="b">
        <v>1</v>
      </c>
      <c r="AF805" s="11" t="s">
        <v>645</v>
      </c>
      <c r="AG805" s="11" t="b" cm="1">
        <f t="array" ref="AG805">IF(OR(Y805:AA805="TRUE", AE805="true"), "Threatened")</f>
        <v>0</v>
      </c>
      <c r="AH805" s="11" t="s">
        <v>2284</v>
      </c>
      <c r="AI805" s="8" t="b">
        <v>1</v>
      </c>
    </row>
    <row r="806" spans="1:35" ht="31.2">
      <c r="A806" s="8">
        <v>-73.970685149999994</v>
      </c>
      <c r="B806" s="8">
        <v>40.778077699999997</v>
      </c>
      <c r="C806" s="8" t="s">
        <v>2285</v>
      </c>
      <c r="D806" s="8" t="s">
        <v>554</v>
      </c>
      <c r="E806" s="8" t="b">
        <f t="shared" si="12"/>
        <v>0</v>
      </c>
      <c r="F806" s="8" t="str" cm="1">
        <f t="array" ref="F806">_xlfn._xlws.FILTER(E806:E4004, C806:C4004= "6D-PM-1020-01", "No Squirrels Found")</f>
        <v>No Squirrels Found</v>
      </c>
      <c r="G806" s="8" t="s">
        <v>34</v>
      </c>
      <c r="H806" s="10">
        <v>10172018</v>
      </c>
      <c r="I806" s="10">
        <v>4</v>
      </c>
      <c r="J806" s="8" t="s">
        <v>39</v>
      </c>
      <c r="K806" s="8" t="s">
        <v>41</v>
      </c>
      <c r="M806" s="8" t="s">
        <v>49</v>
      </c>
      <c r="O806" s="8" t="s">
        <v>50</v>
      </c>
      <c r="P806" s="8">
        <v>2</v>
      </c>
      <c r="Q806" s="8" t="s">
        <v>760</v>
      </c>
      <c r="R806" s="8" t="b">
        <v>1</v>
      </c>
      <c r="S806" s="8" t="b">
        <v>0</v>
      </c>
      <c r="T806" s="8" t="b">
        <v>0</v>
      </c>
      <c r="U806" s="8" t="b">
        <v>0</v>
      </c>
      <c r="V806" s="8" t="b">
        <v>0</v>
      </c>
      <c r="X806" s="8" t="b">
        <v>0</v>
      </c>
      <c r="Y806" s="8" t="b">
        <v>0</v>
      </c>
      <c r="Z806" s="8" t="b">
        <v>0</v>
      </c>
      <c r="AA806" s="8" t="b">
        <v>0</v>
      </c>
      <c r="AB806" s="8" t="b">
        <v>0</v>
      </c>
      <c r="AC806" s="8" t="b">
        <v>0</v>
      </c>
      <c r="AD806" s="8" t="b">
        <v>1</v>
      </c>
      <c r="AE806" s="8" t="b">
        <v>0</v>
      </c>
      <c r="AG806" s="11" t="b" cm="1">
        <f t="array" ref="AG806">IF(OR(Y806:AA806="TRUE", AE806="true"), "Threatened")</f>
        <v>0</v>
      </c>
      <c r="AH806" s="11" t="s">
        <v>2286</v>
      </c>
      <c r="AI806" s="8" t="b">
        <v>1</v>
      </c>
    </row>
    <row r="807" spans="1:35" ht="31.2">
      <c r="A807" s="8">
        <v>-73.970475759999999</v>
      </c>
      <c r="B807" s="8">
        <v>40.776334810000002</v>
      </c>
      <c r="C807" s="8" t="s">
        <v>2287</v>
      </c>
      <c r="D807" s="8" t="s">
        <v>79</v>
      </c>
      <c r="E807" s="8" t="b">
        <f t="shared" si="12"/>
        <v>0</v>
      </c>
      <c r="F807" s="8" t="str" cm="1">
        <f t="array" ref="F807">_xlfn._xlws.FILTER(E807:E4005, C807:C4005= "6D-PM-1020-01", "No Squirrels Found")</f>
        <v>No Squirrels Found</v>
      </c>
      <c r="G807" s="8" t="s">
        <v>48</v>
      </c>
      <c r="H807" s="10">
        <v>10172018</v>
      </c>
      <c r="I807" s="10">
        <v>2</v>
      </c>
      <c r="J807" s="8" t="s">
        <v>39</v>
      </c>
      <c r="K807" s="8" t="s">
        <v>40</v>
      </c>
      <c r="M807" s="8" t="s">
        <v>55</v>
      </c>
      <c r="O807" s="8" t="s">
        <v>43</v>
      </c>
      <c r="P807" s="8" t="b">
        <v>0</v>
      </c>
      <c r="R807" s="8" t="b">
        <v>0</v>
      </c>
      <c r="S807" s="8" t="b">
        <v>0</v>
      </c>
      <c r="T807" s="8" t="b">
        <v>0</v>
      </c>
      <c r="U807" s="8" t="b">
        <v>0</v>
      </c>
      <c r="V807" s="8" t="b">
        <v>1</v>
      </c>
      <c r="W807" s="11" t="s">
        <v>2288</v>
      </c>
      <c r="X807" s="8" t="b">
        <v>0</v>
      </c>
      <c r="Y807" s="8" t="b">
        <v>0</v>
      </c>
      <c r="Z807" s="8" t="b">
        <v>0</v>
      </c>
      <c r="AA807" s="8" t="b">
        <v>0</v>
      </c>
      <c r="AB807" s="8" t="b">
        <v>0</v>
      </c>
      <c r="AC807" s="8" t="b">
        <v>1</v>
      </c>
      <c r="AD807" s="8" t="b">
        <v>0</v>
      </c>
      <c r="AE807" s="8" t="b">
        <v>0</v>
      </c>
      <c r="AG807" s="11" t="b" cm="1">
        <f t="array" ref="AG807">IF(OR(Y807:AA807="TRUE", AE807="true"), "Threatened")</f>
        <v>0</v>
      </c>
      <c r="AH807" s="11" t="s">
        <v>2289</v>
      </c>
      <c r="AI807" s="8" t="b">
        <v>0</v>
      </c>
    </row>
    <row r="808" spans="1:35" ht="31.2">
      <c r="A808" s="8">
        <v>-73.977725899999996</v>
      </c>
      <c r="B808" s="8">
        <v>40.768205989999998</v>
      </c>
      <c r="C808" s="8" t="s">
        <v>2290</v>
      </c>
      <c r="D808" s="8" t="s">
        <v>512</v>
      </c>
      <c r="E808" s="8" t="b">
        <f t="shared" si="12"/>
        <v>0</v>
      </c>
      <c r="F808" s="8" t="str" cm="1">
        <f t="array" ref="F808">_xlfn._xlws.FILTER(E808:E4006, C808:C4006= "6D-PM-1020-01", "No Squirrels Found")</f>
        <v>No Squirrels Found</v>
      </c>
      <c r="G808" s="8" t="s">
        <v>34</v>
      </c>
      <c r="H808" s="10">
        <v>10102018</v>
      </c>
      <c r="I808" s="10">
        <v>10</v>
      </c>
      <c r="J808" s="8" t="s">
        <v>39</v>
      </c>
      <c r="K808" s="8" t="s">
        <v>40</v>
      </c>
      <c r="L808" s="8" t="s">
        <v>84</v>
      </c>
      <c r="M808" s="8" t="s">
        <v>103</v>
      </c>
      <c r="O808" s="8" t="s">
        <v>43</v>
      </c>
      <c r="P808" s="8" t="b">
        <v>0</v>
      </c>
      <c r="R808" s="8" t="b">
        <v>0</v>
      </c>
      <c r="S808" s="8" t="b">
        <v>0</v>
      </c>
      <c r="T808" s="8" t="b">
        <v>0</v>
      </c>
      <c r="U808" s="8" t="b">
        <v>0</v>
      </c>
      <c r="V808" s="8" t="b">
        <v>1</v>
      </c>
      <c r="X808" s="8" t="b">
        <v>0</v>
      </c>
      <c r="Y808" s="8" t="b">
        <v>0</v>
      </c>
      <c r="Z808" s="8" t="b">
        <v>0</v>
      </c>
      <c r="AA808" s="8" t="b">
        <v>0</v>
      </c>
      <c r="AB808" s="8" t="b">
        <v>0</v>
      </c>
      <c r="AC808" s="8" t="b">
        <v>0</v>
      </c>
      <c r="AD808" s="8" t="b">
        <v>0</v>
      </c>
      <c r="AE808" s="8" t="b">
        <v>1</v>
      </c>
      <c r="AG808" s="11" t="b" cm="1">
        <f t="array" ref="AG808">IF(OR(Y808:AA808="TRUE", AE808="true"), "Threatened")</f>
        <v>0</v>
      </c>
      <c r="AH808" s="11" t="s">
        <v>2291</v>
      </c>
      <c r="AI808" s="8" t="b">
        <v>1</v>
      </c>
    </row>
    <row r="809" spans="1:35" ht="31.2">
      <c r="A809" s="8">
        <v>-73.971688180000001</v>
      </c>
      <c r="B809" s="8">
        <v>40.778553539999997</v>
      </c>
      <c r="C809" s="8" t="s">
        <v>2292</v>
      </c>
      <c r="D809" s="8" t="s">
        <v>1631</v>
      </c>
      <c r="E809" s="8" t="b">
        <f t="shared" si="12"/>
        <v>0</v>
      </c>
      <c r="F809" s="8" t="str" cm="1">
        <f t="array" ref="F809">_xlfn._xlws.FILTER(E809:E4007, C809:C4007= "6D-PM-1020-01", "No Squirrels Found")</f>
        <v>No Squirrels Found</v>
      </c>
      <c r="G809" s="8" t="s">
        <v>34</v>
      </c>
      <c r="H809" s="10">
        <v>10172018</v>
      </c>
      <c r="I809" s="10">
        <v>2</v>
      </c>
      <c r="J809" s="8" t="s">
        <v>39</v>
      </c>
      <c r="K809" s="8" t="s">
        <v>40</v>
      </c>
      <c r="L809" s="8" t="s">
        <v>41</v>
      </c>
      <c r="M809" s="8" t="s">
        <v>42</v>
      </c>
      <c r="O809" s="8" t="s">
        <v>50</v>
      </c>
      <c r="P809" s="8">
        <v>0</v>
      </c>
      <c r="R809" s="8" t="b">
        <v>0</v>
      </c>
      <c r="S809" s="8" t="b">
        <v>0</v>
      </c>
      <c r="T809" s="8" t="b">
        <v>1</v>
      </c>
      <c r="U809" s="8" t="b">
        <v>0</v>
      </c>
      <c r="V809" s="8" t="b">
        <v>0</v>
      </c>
      <c r="X809" s="8" t="b">
        <v>0</v>
      </c>
      <c r="Y809" s="8" t="b">
        <v>0</v>
      </c>
      <c r="Z809" s="8" t="b">
        <v>0</v>
      </c>
      <c r="AA809" s="8" t="b">
        <v>0</v>
      </c>
      <c r="AB809" s="8" t="b">
        <v>0</v>
      </c>
      <c r="AC809" s="8" t="b">
        <v>0</v>
      </c>
      <c r="AD809" s="8" t="b">
        <v>0</v>
      </c>
      <c r="AE809" s="8" t="b">
        <v>1</v>
      </c>
      <c r="AG809" s="11" t="b" cm="1">
        <f t="array" ref="AG809">IF(OR(Y809:AA809="TRUE", AE809="true"), "Threatened")</f>
        <v>0</v>
      </c>
      <c r="AH809" s="11" t="s">
        <v>2293</v>
      </c>
      <c r="AI809" s="8" t="b">
        <v>1</v>
      </c>
    </row>
    <row r="810" spans="1:35" ht="31.2">
      <c r="A810" s="8">
        <v>-73.963325060000003</v>
      </c>
      <c r="B810" s="8">
        <v>40.792215509999998</v>
      </c>
      <c r="C810" s="8" t="s">
        <v>2294</v>
      </c>
      <c r="D810" s="8" t="s">
        <v>125</v>
      </c>
      <c r="E810" s="8" t="b">
        <f t="shared" si="12"/>
        <v>0</v>
      </c>
      <c r="F810" s="8" t="str" cm="1">
        <f t="array" ref="F810">_xlfn._xlws.FILTER(E810:E4008, C810:C4008= "6D-PM-1020-01", "No Squirrels Found")</f>
        <v>No Squirrels Found</v>
      </c>
      <c r="G810" s="8" t="s">
        <v>34</v>
      </c>
      <c r="H810" s="10">
        <v>10132018</v>
      </c>
      <c r="I810" s="10">
        <v>9</v>
      </c>
      <c r="J810" s="8" t="s">
        <v>39</v>
      </c>
      <c r="K810" s="8" t="s">
        <v>40</v>
      </c>
      <c r="L810" s="8" t="s">
        <v>84</v>
      </c>
      <c r="M810" s="8" t="s">
        <v>103</v>
      </c>
      <c r="O810" s="8" t="s">
        <v>43</v>
      </c>
      <c r="P810" s="8" t="b">
        <v>0</v>
      </c>
      <c r="R810" s="8" t="b">
        <v>0</v>
      </c>
      <c r="S810" s="8" t="b">
        <v>0</v>
      </c>
      <c r="T810" s="8" t="b">
        <v>0</v>
      </c>
      <c r="U810" s="8" t="b">
        <v>0</v>
      </c>
      <c r="V810" s="8" t="b">
        <v>1</v>
      </c>
      <c r="X810" s="8" t="b">
        <v>0</v>
      </c>
      <c r="Y810" s="8" t="b">
        <v>0</v>
      </c>
      <c r="Z810" s="8" t="b">
        <v>0</v>
      </c>
      <c r="AA810" s="8" t="b">
        <v>0</v>
      </c>
      <c r="AB810" s="8" t="b">
        <v>0</v>
      </c>
      <c r="AC810" s="8" t="b">
        <v>0</v>
      </c>
      <c r="AD810" s="8" t="b">
        <v>1</v>
      </c>
      <c r="AE810" s="8" t="b">
        <v>0</v>
      </c>
      <c r="AG810" s="11" t="b" cm="1">
        <f t="array" ref="AG810">IF(OR(Y810:AA810="TRUE", AE810="true"), "Threatened")</f>
        <v>0</v>
      </c>
      <c r="AH810" s="11" t="s">
        <v>2295</v>
      </c>
      <c r="AI810" s="8" t="b">
        <v>1</v>
      </c>
    </row>
    <row r="811" spans="1:35" ht="31.2">
      <c r="A811" s="8">
        <v>-73.967418109999997</v>
      </c>
      <c r="B811" s="8">
        <v>40.776459539999998</v>
      </c>
      <c r="C811" s="8" t="s">
        <v>2296</v>
      </c>
      <c r="D811" s="8" t="s">
        <v>326</v>
      </c>
      <c r="E811" s="8" t="b">
        <f t="shared" si="12"/>
        <v>0</v>
      </c>
      <c r="F811" s="8" t="str" cm="1">
        <f t="array" ref="F811">_xlfn._xlws.FILTER(E811:E4009, C811:C4009= "6D-PM-1020-01", "No Squirrels Found")</f>
        <v>No Squirrels Found</v>
      </c>
      <c r="G811" s="8" t="s">
        <v>48</v>
      </c>
      <c r="H811" s="10">
        <v>10082018</v>
      </c>
      <c r="I811" s="10">
        <v>5</v>
      </c>
      <c r="J811" s="8" t="s">
        <v>39</v>
      </c>
      <c r="K811" s="8" t="s">
        <v>40</v>
      </c>
      <c r="L811" s="8" t="s">
        <v>41</v>
      </c>
      <c r="M811" s="8" t="s">
        <v>42</v>
      </c>
      <c r="O811" s="8" t="s">
        <v>43</v>
      </c>
      <c r="P811" s="8" t="b">
        <v>0</v>
      </c>
      <c r="R811" s="8" t="b">
        <v>0</v>
      </c>
      <c r="S811" s="8" t="b">
        <v>0</v>
      </c>
      <c r="T811" s="8" t="b">
        <v>0</v>
      </c>
      <c r="U811" s="8" t="b">
        <v>0</v>
      </c>
      <c r="V811" s="8" t="b">
        <v>1</v>
      </c>
      <c r="X811" s="8" t="b">
        <v>0</v>
      </c>
      <c r="Y811" s="8" t="b">
        <v>0</v>
      </c>
      <c r="Z811" s="8" t="b">
        <v>0</v>
      </c>
      <c r="AA811" s="8" t="b">
        <v>0</v>
      </c>
      <c r="AB811" s="8" t="b">
        <v>0</v>
      </c>
      <c r="AC811" s="8" t="b">
        <v>0</v>
      </c>
      <c r="AD811" s="8" t="b">
        <v>1</v>
      </c>
      <c r="AE811" s="8" t="b">
        <v>0</v>
      </c>
      <c r="AG811" s="11" t="b" cm="1">
        <f t="array" ref="AG811">IF(OR(Y811:AA811="TRUE", AE811="true"), "Threatened")</f>
        <v>0</v>
      </c>
      <c r="AH811" s="11" t="s">
        <v>2297</v>
      </c>
      <c r="AI811" s="8" t="b">
        <v>1</v>
      </c>
    </row>
    <row r="812" spans="1:35" ht="31.2">
      <c r="A812" s="8">
        <v>-73.977169529999998</v>
      </c>
      <c r="B812" s="8">
        <v>40.772427729999997</v>
      </c>
      <c r="C812" s="8" t="s">
        <v>2298</v>
      </c>
      <c r="D812" s="8" t="s">
        <v>72</v>
      </c>
      <c r="E812" s="8" t="b">
        <f t="shared" si="12"/>
        <v>0</v>
      </c>
      <c r="F812" s="8" t="str" cm="1">
        <f t="array" ref="F812">_xlfn._xlws.FILTER(E812:E4010, C812:C4010= "6D-PM-1020-01", "No Squirrels Found")</f>
        <v>No Squirrels Found</v>
      </c>
      <c r="G812" s="8" t="s">
        <v>48</v>
      </c>
      <c r="H812" s="10">
        <v>10082018</v>
      </c>
      <c r="I812" s="10">
        <v>3</v>
      </c>
      <c r="J812" s="8" t="s">
        <v>39</v>
      </c>
      <c r="K812" s="8" t="s">
        <v>40</v>
      </c>
      <c r="M812" s="8" t="s">
        <v>55</v>
      </c>
      <c r="O812" s="8" t="s">
        <v>50</v>
      </c>
      <c r="P812" s="8">
        <v>5</v>
      </c>
      <c r="R812" s="8" t="b">
        <v>0</v>
      </c>
      <c r="S812" s="8" t="b">
        <v>1</v>
      </c>
      <c r="T812" s="8" t="b">
        <v>0</v>
      </c>
      <c r="U812" s="8" t="b">
        <v>0</v>
      </c>
      <c r="V812" s="8" t="b">
        <v>0</v>
      </c>
      <c r="X812" s="8" t="b">
        <v>0</v>
      </c>
      <c r="Y812" s="8" t="b">
        <v>0</v>
      </c>
      <c r="Z812" s="8" t="b">
        <v>0</v>
      </c>
      <c r="AA812" s="8" t="b">
        <v>0</v>
      </c>
      <c r="AB812" s="8" t="b">
        <v>0</v>
      </c>
      <c r="AC812" s="8" t="b">
        <v>0</v>
      </c>
      <c r="AD812" s="8" t="b">
        <v>1</v>
      </c>
      <c r="AE812" s="8" t="b">
        <v>0</v>
      </c>
      <c r="AG812" s="11" t="b" cm="1">
        <f t="array" ref="AG812">IF(OR(Y812:AA812="TRUE", AE812="true"), "Threatened")</f>
        <v>0</v>
      </c>
      <c r="AH812" s="11" t="s">
        <v>2299</v>
      </c>
      <c r="AI812" s="8" t="b">
        <v>1</v>
      </c>
    </row>
    <row r="813" spans="1:35" ht="31.2">
      <c r="A813" s="8">
        <v>-73.969967519999997</v>
      </c>
      <c r="B813" s="8">
        <v>40.777301260000002</v>
      </c>
      <c r="C813" s="8" t="s">
        <v>2300</v>
      </c>
      <c r="D813" s="8" t="s">
        <v>150</v>
      </c>
      <c r="E813" s="8" t="b">
        <f t="shared" si="12"/>
        <v>0</v>
      </c>
      <c r="F813" s="8" t="str" cm="1">
        <f t="array" ref="F813">_xlfn._xlws.FILTER(E813:E4011, C813:C4011= "6D-PM-1020-01", "No Squirrels Found")</f>
        <v>No Squirrels Found</v>
      </c>
      <c r="G813" s="8" t="s">
        <v>34</v>
      </c>
      <c r="H813" s="10">
        <v>10082018</v>
      </c>
      <c r="I813" s="10">
        <v>7</v>
      </c>
      <c r="J813" s="8" t="s">
        <v>39</v>
      </c>
      <c r="K813" s="8" t="s">
        <v>40</v>
      </c>
      <c r="M813" s="8" t="s">
        <v>55</v>
      </c>
      <c r="O813" s="8" t="s">
        <v>43</v>
      </c>
      <c r="P813" s="8" t="b">
        <v>0</v>
      </c>
      <c r="R813" s="8" t="b">
        <v>0</v>
      </c>
      <c r="S813" s="8" t="b">
        <v>0</v>
      </c>
      <c r="T813" s="8" t="b">
        <v>0</v>
      </c>
      <c r="U813" s="8" t="b">
        <v>1</v>
      </c>
      <c r="V813" s="8" t="b">
        <v>0</v>
      </c>
      <c r="X813" s="8" t="b">
        <v>0</v>
      </c>
      <c r="Y813" s="8" t="b">
        <v>0</v>
      </c>
      <c r="Z813" s="8" t="b">
        <v>0</v>
      </c>
      <c r="AA813" s="8" t="b">
        <v>0</v>
      </c>
      <c r="AB813" s="8" t="b">
        <v>0</v>
      </c>
      <c r="AC813" s="8" t="b">
        <v>0</v>
      </c>
      <c r="AD813" s="8" t="b">
        <v>1</v>
      </c>
      <c r="AE813" s="8" t="b">
        <v>0</v>
      </c>
      <c r="AG813" s="11" t="b" cm="1">
        <f t="array" ref="AG813">IF(OR(Y813:AA813="TRUE", AE813="true"), "Threatened")</f>
        <v>0</v>
      </c>
      <c r="AH813" s="11" t="s">
        <v>2301</v>
      </c>
      <c r="AI813" s="8" t="b">
        <v>1</v>
      </c>
    </row>
    <row r="814" spans="1:35" ht="31.2">
      <c r="A814" s="8">
        <v>-73.975895980000004</v>
      </c>
      <c r="B814" s="8">
        <v>40.76941257</v>
      </c>
      <c r="C814" s="8" t="s">
        <v>2302</v>
      </c>
      <c r="D814" s="8" t="s">
        <v>544</v>
      </c>
      <c r="E814" s="8" t="b">
        <f t="shared" si="12"/>
        <v>0</v>
      </c>
      <c r="F814" s="8" t="str" cm="1">
        <f t="array" ref="F814">_xlfn._xlws.FILTER(E814:E4012, C814:C4012= "6D-PM-1020-01", "No Squirrels Found")</f>
        <v>No Squirrels Found</v>
      </c>
      <c r="G814" s="8" t="s">
        <v>34</v>
      </c>
      <c r="H814" s="10">
        <v>10082018</v>
      </c>
      <c r="I814" s="10">
        <v>1</v>
      </c>
      <c r="J814" s="8" t="s">
        <v>39</v>
      </c>
      <c r="K814" s="8" t="s">
        <v>41</v>
      </c>
      <c r="L814" s="8" t="s">
        <v>135</v>
      </c>
      <c r="M814" s="8" t="s">
        <v>136</v>
      </c>
      <c r="O814" s="8" t="s">
        <v>43</v>
      </c>
      <c r="P814" s="8" t="b">
        <v>0</v>
      </c>
      <c r="R814" s="8" t="b">
        <v>0</v>
      </c>
      <c r="S814" s="8" t="b">
        <v>0</v>
      </c>
      <c r="T814" s="8" t="b">
        <v>0</v>
      </c>
      <c r="U814" s="8" t="b">
        <v>1</v>
      </c>
      <c r="V814" s="8" t="b">
        <v>0</v>
      </c>
      <c r="X814" s="8" t="b">
        <v>0</v>
      </c>
      <c r="Y814" s="8" t="b">
        <v>0</v>
      </c>
      <c r="Z814" s="8" t="b">
        <v>0</v>
      </c>
      <c r="AA814" s="8" t="b">
        <v>0</v>
      </c>
      <c r="AB814" s="8" t="b">
        <v>0</v>
      </c>
      <c r="AC814" s="8" t="b">
        <v>0</v>
      </c>
      <c r="AD814" s="8" t="b">
        <v>0</v>
      </c>
      <c r="AE814" s="8" t="b">
        <v>1</v>
      </c>
      <c r="AG814" s="11" t="b" cm="1">
        <f t="array" ref="AG814">IF(OR(Y814:AA814="TRUE", AE814="true"), "Threatened")</f>
        <v>0</v>
      </c>
      <c r="AH814" s="11" t="s">
        <v>2303</v>
      </c>
      <c r="AI814" s="8" t="b">
        <v>1</v>
      </c>
    </row>
    <row r="815" spans="1:35" ht="31.2">
      <c r="A815" s="8">
        <v>-73.96076085</v>
      </c>
      <c r="B815" s="8">
        <v>40.795468759999999</v>
      </c>
      <c r="C815" s="8" t="s">
        <v>2304</v>
      </c>
      <c r="D815" s="8" t="s">
        <v>387</v>
      </c>
      <c r="E815" s="8" t="b">
        <f t="shared" si="12"/>
        <v>0</v>
      </c>
      <c r="F815" s="8" t="str" cm="1">
        <f t="array" ref="F815">_xlfn._xlws.FILTER(E815:E4013, C815:C4013= "6D-PM-1020-01", "No Squirrels Found")</f>
        <v>No Squirrels Found</v>
      </c>
      <c r="G815" s="8" t="s">
        <v>34</v>
      </c>
      <c r="H815" s="10">
        <v>10132018</v>
      </c>
      <c r="I815" s="10">
        <v>6</v>
      </c>
      <c r="K815" s="8" t="s">
        <v>40</v>
      </c>
      <c r="L815" s="8" t="s">
        <v>41</v>
      </c>
      <c r="M815" s="8" t="s">
        <v>42</v>
      </c>
      <c r="O815" s="8" t="s">
        <v>43</v>
      </c>
      <c r="P815" s="8" t="b">
        <v>0</v>
      </c>
      <c r="Q815" s="8" t="s">
        <v>2305</v>
      </c>
      <c r="R815" s="8" t="b">
        <v>0</v>
      </c>
      <c r="S815" s="8" t="b">
        <v>0</v>
      </c>
      <c r="T815" s="8" t="b">
        <v>0</v>
      </c>
      <c r="U815" s="8" t="b">
        <v>1</v>
      </c>
      <c r="V815" s="8" t="b">
        <v>0</v>
      </c>
      <c r="X815" s="8" t="b">
        <v>0</v>
      </c>
      <c r="Y815" s="8" t="b">
        <v>0</v>
      </c>
      <c r="Z815" s="8" t="b">
        <v>0</v>
      </c>
      <c r="AA815" s="8" t="b">
        <v>0</v>
      </c>
      <c r="AB815" s="8" t="b">
        <v>0</v>
      </c>
      <c r="AC815" s="8" t="b">
        <v>0</v>
      </c>
      <c r="AD815" s="8" t="b">
        <v>1</v>
      </c>
      <c r="AE815" s="8" t="b">
        <v>0</v>
      </c>
      <c r="AG815" s="11" t="b" cm="1">
        <f t="array" ref="AG815">IF(OR(Y815:AA815="TRUE", AE815="true"), "Threatened")</f>
        <v>0</v>
      </c>
      <c r="AH815" s="11" t="s">
        <v>2306</v>
      </c>
      <c r="AI815" s="8" t="b">
        <v>1</v>
      </c>
    </row>
    <row r="816" spans="1:35" ht="31.2">
      <c r="A816" s="8">
        <v>-73.975328379999993</v>
      </c>
      <c r="B816" s="8">
        <v>40.77330439</v>
      </c>
      <c r="C816" s="8" t="s">
        <v>2307</v>
      </c>
      <c r="D816" s="8" t="s">
        <v>805</v>
      </c>
      <c r="E816" s="8" t="b">
        <f t="shared" si="12"/>
        <v>0</v>
      </c>
      <c r="F816" s="8" t="str" cm="1">
        <f t="array" ref="F816">_xlfn._xlws.FILTER(E816:E4014, C816:C4014= "6D-PM-1020-01", "No Squirrels Found")</f>
        <v>No Squirrels Found</v>
      </c>
      <c r="G816" s="8" t="s">
        <v>34</v>
      </c>
      <c r="H816" s="10">
        <v>10132018</v>
      </c>
      <c r="I816" s="10">
        <v>2</v>
      </c>
      <c r="J816" s="8" t="s">
        <v>39</v>
      </c>
      <c r="K816" s="8" t="s">
        <v>40</v>
      </c>
      <c r="L816" s="8" t="s">
        <v>41</v>
      </c>
      <c r="M816" s="8" t="s">
        <v>42</v>
      </c>
      <c r="O816" s="8" t="s">
        <v>43</v>
      </c>
      <c r="P816" s="8" t="b">
        <v>0</v>
      </c>
      <c r="R816" s="8" t="b">
        <v>0</v>
      </c>
      <c r="S816" s="8" t="b">
        <v>0</v>
      </c>
      <c r="T816" s="8" t="b">
        <v>0</v>
      </c>
      <c r="U816" s="8" t="b">
        <v>0</v>
      </c>
      <c r="V816" s="8" t="b">
        <v>1</v>
      </c>
      <c r="X816" s="8" t="b">
        <v>0</v>
      </c>
      <c r="Y816" s="8" t="b">
        <v>0</v>
      </c>
      <c r="Z816" s="8" t="b">
        <v>0</v>
      </c>
      <c r="AA816" s="8" t="b">
        <v>1</v>
      </c>
      <c r="AB816" s="8" t="b">
        <v>0</v>
      </c>
      <c r="AC816" s="8" t="b">
        <v>0</v>
      </c>
      <c r="AD816" s="8" t="b">
        <v>1</v>
      </c>
      <c r="AE816" s="8" t="b">
        <v>0</v>
      </c>
      <c r="AG816" s="11" t="b" cm="1">
        <f t="array" ref="AG816">IF(OR(Y816:AA816="TRUE", AE816="true"), "Threatened")</f>
        <v>0</v>
      </c>
      <c r="AH816" s="11" t="s">
        <v>2308</v>
      </c>
      <c r="AI816" s="8" t="b">
        <v>1</v>
      </c>
    </row>
    <row r="817" spans="1:35" ht="31.2">
      <c r="A817" s="8">
        <v>-73.978530050000003</v>
      </c>
      <c r="B817" s="8">
        <v>40.77211277</v>
      </c>
      <c r="C817" s="8" t="s">
        <v>2309</v>
      </c>
      <c r="D817" s="8" t="s">
        <v>874</v>
      </c>
      <c r="E817" s="8" t="b">
        <f t="shared" si="12"/>
        <v>0</v>
      </c>
      <c r="F817" s="8" t="str" cm="1">
        <f t="array" ref="F817">_xlfn._xlws.FILTER(E817:E4015, C817:C4015= "6D-PM-1020-01", "No Squirrels Found")</f>
        <v>No Squirrels Found</v>
      </c>
      <c r="G817" s="8" t="s">
        <v>48</v>
      </c>
      <c r="H817" s="10">
        <v>10062018</v>
      </c>
      <c r="I817" s="10">
        <v>7</v>
      </c>
      <c r="J817" s="8" t="s">
        <v>39</v>
      </c>
      <c r="K817" s="8" t="s">
        <v>40</v>
      </c>
      <c r="L817" s="8" t="s">
        <v>117</v>
      </c>
      <c r="M817" s="8" t="s">
        <v>118</v>
      </c>
      <c r="O817" s="8" t="s">
        <v>43</v>
      </c>
      <c r="P817" s="8" t="b">
        <v>0</v>
      </c>
      <c r="R817" s="8" t="b">
        <v>0</v>
      </c>
      <c r="S817" s="8" t="b">
        <v>0</v>
      </c>
      <c r="T817" s="8" t="b">
        <v>0</v>
      </c>
      <c r="U817" s="8" t="b">
        <v>1</v>
      </c>
      <c r="V817" s="8" t="b">
        <v>1</v>
      </c>
      <c r="X817" s="8" t="b">
        <v>0</v>
      </c>
      <c r="Y817" s="8" t="b">
        <v>0</v>
      </c>
      <c r="Z817" s="8" t="b">
        <v>0</v>
      </c>
      <c r="AA817" s="8" t="b">
        <v>0</v>
      </c>
      <c r="AB817" s="8" t="b">
        <v>1</v>
      </c>
      <c r="AC817" s="8" t="b">
        <v>0</v>
      </c>
      <c r="AD817" s="8" t="b">
        <v>1</v>
      </c>
      <c r="AE817" s="8" t="b">
        <v>0</v>
      </c>
      <c r="AG817" s="11" t="b" cm="1">
        <f t="array" ref="AG817">IF(OR(Y817:AA817="TRUE", AE817="true"), "Threatened")</f>
        <v>0</v>
      </c>
      <c r="AH817" s="11" t="s">
        <v>2310</v>
      </c>
      <c r="AI817" s="8" t="b">
        <v>1</v>
      </c>
    </row>
    <row r="818" spans="1:35" ht="31.2">
      <c r="A818" s="8">
        <v>-73.954002239999994</v>
      </c>
      <c r="B818" s="8">
        <v>40.797940990000001</v>
      </c>
      <c r="C818" s="8" t="s">
        <v>2311</v>
      </c>
      <c r="D818" s="8" t="s">
        <v>1520</v>
      </c>
      <c r="E818" s="8" t="b">
        <f t="shared" si="12"/>
        <v>0</v>
      </c>
      <c r="F818" s="8" t="str" cm="1">
        <f t="array" ref="F818">_xlfn._xlws.FILTER(E818:E4016, C818:C4016= "6D-PM-1020-01", "No Squirrels Found")</f>
        <v>No Squirrels Found</v>
      </c>
      <c r="G818" s="8" t="s">
        <v>48</v>
      </c>
      <c r="H818" s="10">
        <v>10072018</v>
      </c>
      <c r="I818" s="10">
        <v>1</v>
      </c>
      <c r="J818" s="8" t="s">
        <v>39</v>
      </c>
      <c r="K818" s="8" t="s">
        <v>40</v>
      </c>
      <c r="L818" s="8" t="s">
        <v>84</v>
      </c>
      <c r="M818" s="8" t="s">
        <v>103</v>
      </c>
      <c r="N818" s="11" t="s">
        <v>2312</v>
      </c>
      <c r="O818" s="8" t="s">
        <v>43</v>
      </c>
      <c r="P818" s="8" t="b">
        <v>0</v>
      </c>
      <c r="R818" s="8" t="b">
        <v>0</v>
      </c>
      <c r="S818" s="8" t="b">
        <v>0</v>
      </c>
      <c r="T818" s="8" t="b">
        <v>0</v>
      </c>
      <c r="U818" s="8" t="b">
        <v>0</v>
      </c>
      <c r="V818" s="8" t="b">
        <v>1</v>
      </c>
      <c r="X818" s="8" t="b">
        <v>0</v>
      </c>
      <c r="Y818" s="8" t="b">
        <v>0</v>
      </c>
      <c r="Z818" s="8" t="b">
        <v>0</v>
      </c>
      <c r="AA818" s="8" t="b">
        <v>0</v>
      </c>
      <c r="AB818" s="8" t="b">
        <v>0</v>
      </c>
      <c r="AC818" s="8" t="b">
        <v>0</v>
      </c>
      <c r="AD818" s="8" t="b">
        <v>1</v>
      </c>
      <c r="AE818" s="8" t="b">
        <v>0</v>
      </c>
      <c r="AG818" s="11" t="b" cm="1">
        <f t="array" ref="AG818">IF(OR(Y818:AA818="TRUE", AE818="true"), "Threatened")</f>
        <v>0</v>
      </c>
      <c r="AH818" s="11" t="s">
        <v>2313</v>
      </c>
      <c r="AI818" s="8" t="b">
        <v>1</v>
      </c>
    </row>
    <row r="819" spans="1:35" ht="31.2">
      <c r="A819" s="8">
        <v>-73.960875740000006</v>
      </c>
      <c r="B819" s="8">
        <v>40.790668650000001</v>
      </c>
      <c r="C819" s="8" t="s">
        <v>2314</v>
      </c>
      <c r="D819" s="8" t="s">
        <v>621</v>
      </c>
      <c r="E819" s="8" t="b">
        <f t="shared" si="12"/>
        <v>0</v>
      </c>
      <c r="F819" s="8" t="str" cm="1">
        <f t="array" ref="F819">_xlfn._xlws.FILTER(E819:E4017, C819:C4017= "6D-PM-1020-01", "No Squirrels Found")</f>
        <v>No Squirrels Found</v>
      </c>
      <c r="G819" s="8" t="s">
        <v>48</v>
      </c>
      <c r="H819" s="10">
        <v>10142018</v>
      </c>
      <c r="I819" s="10">
        <v>6</v>
      </c>
      <c r="J819" s="8" t="s">
        <v>39</v>
      </c>
      <c r="K819" s="8" t="s">
        <v>40</v>
      </c>
      <c r="L819" s="8" t="s">
        <v>41</v>
      </c>
      <c r="M819" s="8" t="s">
        <v>42</v>
      </c>
      <c r="O819" s="8" t="s">
        <v>43</v>
      </c>
      <c r="P819" s="8" t="b">
        <v>0</v>
      </c>
      <c r="R819" s="8" t="b">
        <v>0</v>
      </c>
      <c r="S819" s="8" t="b">
        <v>0</v>
      </c>
      <c r="T819" s="8" t="b">
        <v>0</v>
      </c>
      <c r="U819" s="8" t="b">
        <v>1</v>
      </c>
      <c r="V819" s="8" t="b">
        <v>0</v>
      </c>
      <c r="X819" s="8" t="b">
        <v>0</v>
      </c>
      <c r="Y819" s="8" t="b">
        <v>0</v>
      </c>
      <c r="Z819" s="8" t="b">
        <v>0</v>
      </c>
      <c r="AA819" s="8" t="b">
        <v>0</v>
      </c>
      <c r="AB819" s="8" t="b">
        <v>0</v>
      </c>
      <c r="AC819" s="8" t="b">
        <v>0</v>
      </c>
      <c r="AD819" s="8" t="b">
        <v>1</v>
      </c>
      <c r="AE819" s="8" t="b">
        <v>0</v>
      </c>
      <c r="AG819" s="11" t="b" cm="1">
        <f t="array" ref="AG819">IF(OR(Y819:AA819="TRUE", AE819="true"), "Threatened")</f>
        <v>0</v>
      </c>
      <c r="AH819" s="11" t="s">
        <v>2315</v>
      </c>
      <c r="AI819" s="8" t="b">
        <v>1</v>
      </c>
    </row>
    <row r="820" spans="1:35" ht="31.2">
      <c r="A820" s="8">
        <v>-73.960362009999997</v>
      </c>
      <c r="B820" s="8">
        <v>40.795596580000002</v>
      </c>
      <c r="C820" s="8" t="s">
        <v>2316</v>
      </c>
      <c r="D820" s="8" t="s">
        <v>1406</v>
      </c>
      <c r="E820" s="8" t="b">
        <f t="shared" si="12"/>
        <v>0</v>
      </c>
      <c r="F820" s="8" t="str" cm="1">
        <f t="array" ref="F820">_xlfn._xlws.FILTER(E820:E4018, C820:C4018= "6D-PM-1020-01", "No Squirrels Found")</f>
        <v>No Squirrels Found</v>
      </c>
      <c r="G820" s="8" t="s">
        <v>48</v>
      </c>
      <c r="H820" s="10">
        <v>10132018</v>
      </c>
      <c r="I820" s="10">
        <v>2</v>
      </c>
      <c r="K820" s="8" t="s">
        <v>40</v>
      </c>
      <c r="M820" s="8" t="s">
        <v>55</v>
      </c>
      <c r="O820" s="8" t="s">
        <v>43</v>
      </c>
      <c r="P820" s="8" t="b">
        <v>0</v>
      </c>
      <c r="R820" s="8" t="b">
        <v>1</v>
      </c>
      <c r="S820" s="8" t="b">
        <v>0</v>
      </c>
      <c r="T820" s="8" t="b">
        <v>0</v>
      </c>
      <c r="U820" s="8" t="b">
        <v>0</v>
      </c>
      <c r="V820" s="8" t="b">
        <v>0</v>
      </c>
      <c r="X820" s="8" t="b">
        <v>0</v>
      </c>
      <c r="Y820" s="8" t="b">
        <v>0</v>
      </c>
      <c r="Z820" s="8" t="b">
        <v>0</v>
      </c>
      <c r="AA820" s="8" t="b">
        <v>0</v>
      </c>
      <c r="AB820" s="8" t="b">
        <v>0</v>
      </c>
      <c r="AC820" s="8" t="b">
        <v>0</v>
      </c>
      <c r="AD820" s="8" t="b">
        <v>0</v>
      </c>
      <c r="AE820" s="8" t="b">
        <v>0</v>
      </c>
      <c r="AF820" s="11" t="s">
        <v>2317</v>
      </c>
      <c r="AG820" s="11" t="b" cm="1">
        <f t="array" ref="AG820">IF(OR(Y820:AA820="TRUE", AE820="true"), "Threatened")</f>
        <v>0</v>
      </c>
      <c r="AH820" s="11" t="s">
        <v>2318</v>
      </c>
      <c r="AI820" s="8" t="b">
        <v>1</v>
      </c>
    </row>
    <row r="821" spans="1:35" ht="31.2">
      <c r="A821" s="8">
        <v>-73.980190210000004</v>
      </c>
      <c r="B821" s="8">
        <v>40.769557599999999</v>
      </c>
      <c r="C821" s="8" t="s">
        <v>2319</v>
      </c>
      <c r="D821" s="8" t="s">
        <v>253</v>
      </c>
      <c r="E821" s="8" t="b">
        <f t="shared" si="12"/>
        <v>0</v>
      </c>
      <c r="F821" s="8" t="str" cm="1">
        <f t="array" ref="F821">_xlfn._xlws.FILTER(E821:E4019, C821:C4019= "6D-PM-1020-01", "No Squirrels Found")</f>
        <v>No Squirrels Found</v>
      </c>
      <c r="G821" s="8" t="s">
        <v>48</v>
      </c>
      <c r="H821" s="10">
        <v>10122018</v>
      </c>
      <c r="I821" s="10">
        <v>3</v>
      </c>
      <c r="J821" s="8" t="s">
        <v>54</v>
      </c>
      <c r="K821" s="8" t="s">
        <v>40</v>
      </c>
      <c r="L821" s="8" t="s">
        <v>1924</v>
      </c>
      <c r="M821" s="8" t="s">
        <v>1925</v>
      </c>
      <c r="N821" s="11" t="s">
        <v>2320</v>
      </c>
      <c r="O821" s="8" t="s">
        <v>50</v>
      </c>
      <c r="P821" s="8">
        <v>1</v>
      </c>
      <c r="R821" s="8" t="b">
        <v>0</v>
      </c>
      <c r="S821" s="8" t="b">
        <v>0</v>
      </c>
      <c r="T821" s="8" t="b">
        <v>1</v>
      </c>
      <c r="U821" s="8" t="b">
        <v>0</v>
      </c>
      <c r="V821" s="8" t="b">
        <v>0</v>
      </c>
      <c r="X821" s="8" t="b">
        <v>0</v>
      </c>
      <c r="Y821" s="8" t="b">
        <v>0</v>
      </c>
      <c r="Z821" s="8" t="b">
        <v>0</v>
      </c>
      <c r="AA821" s="8" t="b">
        <v>0</v>
      </c>
      <c r="AB821" s="8" t="b">
        <v>1</v>
      </c>
      <c r="AC821" s="8" t="b">
        <v>0</v>
      </c>
      <c r="AD821" s="8" t="b">
        <v>0</v>
      </c>
      <c r="AE821" s="8" t="b">
        <v>1</v>
      </c>
      <c r="AG821" s="11" t="b" cm="1">
        <f t="array" ref="AG821">IF(OR(Y821:AA821="TRUE", AE821="true"), "Threatened")</f>
        <v>0</v>
      </c>
      <c r="AH821" s="11" t="s">
        <v>2321</v>
      </c>
      <c r="AI821" s="8" t="b">
        <v>1</v>
      </c>
    </row>
    <row r="822" spans="1:35" ht="31.2">
      <c r="A822" s="8">
        <v>-73.959077669999999</v>
      </c>
      <c r="B822" s="8">
        <v>40.792604580000003</v>
      </c>
      <c r="C822" s="8" t="s">
        <v>2322</v>
      </c>
      <c r="D822" s="8" t="s">
        <v>1173</v>
      </c>
      <c r="E822" s="8" t="b">
        <f t="shared" si="12"/>
        <v>0</v>
      </c>
      <c r="F822" s="8" t="str" cm="1">
        <f t="array" ref="F822">_xlfn._xlws.FILTER(E822:E4020, C822:C4020= "6D-PM-1020-01", "No Squirrels Found")</f>
        <v>No Squirrels Found</v>
      </c>
      <c r="G822" s="8" t="s">
        <v>48</v>
      </c>
      <c r="H822" s="10">
        <v>10082018</v>
      </c>
      <c r="I822" s="10">
        <v>2</v>
      </c>
      <c r="J822" s="8" t="s">
        <v>39</v>
      </c>
      <c r="K822" s="8" t="s">
        <v>192</v>
      </c>
      <c r="M822" s="8" t="s">
        <v>193</v>
      </c>
      <c r="O822" s="8" t="s">
        <v>43</v>
      </c>
      <c r="P822" s="8" t="b">
        <v>0</v>
      </c>
      <c r="R822" s="8" t="b">
        <v>0</v>
      </c>
      <c r="S822" s="8" t="b">
        <v>0</v>
      </c>
      <c r="T822" s="8" t="b">
        <v>0</v>
      </c>
      <c r="U822" s="8" t="b">
        <v>0</v>
      </c>
      <c r="V822" s="8" t="b">
        <v>1</v>
      </c>
      <c r="X822" s="8" t="b">
        <v>0</v>
      </c>
      <c r="Y822" s="8" t="b">
        <v>0</v>
      </c>
      <c r="Z822" s="8" t="b">
        <v>0</v>
      </c>
      <c r="AA822" s="8" t="b">
        <v>0</v>
      </c>
      <c r="AB822" s="8" t="b">
        <v>0</v>
      </c>
      <c r="AC822" s="8" t="b">
        <v>0</v>
      </c>
      <c r="AD822" s="8" t="b">
        <v>1</v>
      </c>
      <c r="AE822" s="8" t="b">
        <v>0</v>
      </c>
      <c r="AG822" s="11" t="b" cm="1">
        <f t="array" ref="AG822">IF(OR(Y822:AA822="TRUE", AE822="true"), "Threatened")</f>
        <v>0</v>
      </c>
      <c r="AH822" s="11" t="s">
        <v>2323</v>
      </c>
      <c r="AI822" s="8" t="b">
        <v>1</v>
      </c>
    </row>
    <row r="823" spans="1:35" ht="31.2">
      <c r="A823" s="8">
        <v>-73.95765591</v>
      </c>
      <c r="B823" s="8">
        <v>40.799259859999999</v>
      </c>
      <c r="C823" s="8" t="s">
        <v>2324</v>
      </c>
      <c r="D823" s="8" t="s">
        <v>382</v>
      </c>
      <c r="E823" s="8" t="b">
        <f t="shared" si="12"/>
        <v>0</v>
      </c>
      <c r="F823" s="8" t="str" cm="1">
        <f t="array" ref="F823">_xlfn._xlws.FILTER(E823:E4021, C823:C4021= "6D-PM-1020-01", "No Squirrels Found")</f>
        <v>No Squirrels Found</v>
      </c>
      <c r="G823" s="8" t="s">
        <v>48</v>
      </c>
      <c r="H823" s="10">
        <v>10102018</v>
      </c>
      <c r="I823" s="10">
        <v>9</v>
      </c>
      <c r="J823" s="8" t="s">
        <v>39</v>
      </c>
      <c r="K823" s="8" t="s">
        <v>40</v>
      </c>
      <c r="M823" s="8" t="s">
        <v>55</v>
      </c>
      <c r="O823" s="8" t="s">
        <v>50</v>
      </c>
      <c r="P823" s="8">
        <v>3</v>
      </c>
      <c r="R823" s="8" t="b">
        <v>0</v>
      </c>
      <c r="S823" s="8" t="b">
        <v>1</v>
      </c>
      <c r="T823" s="8" t="b">
        <v>0</v>
      </c>
      <c r="U823" s="8" t="b">
        <v>0</v>
      </c>
      <c r="V823" s="8" t="b">
        <v>0</v>
      </c>
      <c r="X823" s="8" t="b">
        <v>0</v>
      </c>
      <c r="Y823" s="8" t="b">
        <v>0</v>
      </c>
      <c r="Z823" s="8" t="b">
        <v>0</v>
      </c>
      <c r="AA823" s="8" t="b">
        <v>0</v>
      </c>
      <c r="AB823" s="8" t="b">
        <v>0</v>
      </c>
      <c r="AC823" s="8" t="b">
        <v>0</v>
      </c>
      <c r="AD823" s="8" t="b">
        <v>1</v>
      </c>
      <c r="AE823" s="8" t="b">
        <v>0</v>
      </c>
      <c r="AG823" s="11" t="b" cm="1">
        <f t="array" ref="AG823">IF(OR(Y823:AA823="TRUE", AE823="true"), "Threatened")</f>
        <v>0</v>
      </c>
      <c r="AH823" s="11" t="s">
        <v>2325</v>
      </c>
      <c r="AI823" s="8" t="b">
        <v>1</v>
      </c>
    </row>
    <row r="824" spans="1:35" ht="31.2">
      <c r="A824" s="8">
        <v>-73.954595060000003</v>
      </c>
      <c r="B824" s="8">
        <v>40.795656790000002</v>
      </c>
      <c r="C824" s="8" t="s">
        <v>2326</v>
      </c>
      <c r="D824" s="8" t="s">
        <v>1066</v>
      </c>
      <c r="E824" s="8" t="b">
        <f t="shared" si="12"/>
        <v>0</v>
      </c>
      <c r="F824" s="8" t="str" cm="1">
        <f t="array" ref="F824">_xlfn._xlws.FILTER(E824:E4022, C824:C4022= "6D-PM-1020-01", "No Squirrels Found")</f>
        <v>No Squirrels Found</v>
      </c>
      <c r="G824" s="8" t="s">
        <v>48</v>
      </c>
      <c r="H824" s="10">
        <v>10142018</v>
      </c>
      <c r="I824" s="10">
        <v>4</v>
      </c>
      <c r="J824" s="8" t="s">
        <v>54</v>
      </c>
      <c r="K824" s="8" t="s">
        <v>40</v>
      </c>
      <c r="L824" s="8" t="s">
        <v>41</v>
      </c>
      <c r="M824" s="8" t="s">
        <v>42</v>
      </c>
      <c r="O824" s="8" t="s">
        <v>43</v>
      </c>
      <c r="P824" s="8" t="b">
        <v>0</v>
      </c>
      <c r="R824" s="8" t="b">
        <v>0</v>
      </c>
      <c r="S824" s="8" t="b">
        <v>0</v>
      </c>
      <c r="T824" s="8" t="b">
        <v>0</v>
      </c>
      <c r="U824" s="8" t="b">
        <v>0</v>
      </c>
      <c r="V824" s="8" t="b">
        <v>1</v>
      </c>
      <c r="X824" s="8" t="b">
        <v>0</v>
      </c>
      <c r="Y824" s="8" t="b">
        <v>0</v>
      </c>
      <c r="Z824" s="8" t="b">
        <v>0</v>
      </c>
      <c r="AA824" s="8" t="b">
        <v>0</v>
      </c>
      <c r="AB824" s="8" t="b">
        <v>0</v>
      </c>
      <c r="AC824" s="8" t="b">
        <v>0</v>
      </c>
      <c r="AD824" s="8" t="b">
        <v>1</v>
      </c>
      <c r="AE824" s="8" t="b">
        <v>0</v>
      </c>
      <c r="AG824" s="11" t="b" cm="1">
        <f t="array" ref="AG824">IF(OR(Y824:AA824="TRUE", AE824="true"), "Threatened")</f>
        <v>0</v>
      </c>
      <c r="AH824" s="11" t="s">
        <v>2327</v>
      </c>
      <c r="AI824" s="8" t="b">
        <v>1</v>
      </c>
    </row>
    <row r="825" spans="1:35" ht="31.2">
      <c r="A825" s="8">
        <v>-73.960634470000002</v>
      </c>
      <c r="B825" s="8">
        <v>40.795833780000002</v>
      </c>
      <c r="C825" s="8" t="s">
        <v>2328</v>
      </c>
      <c r="D825" s="8" t="s">
        <v>972</v>
      </c>
      <c r="E825" s="8" t="b">
        <f t="shared" si="12"/>
        <v>0</v>
      </c>
      <c r="F825" s="8" t="str" cm="1">
        <f t="array" ref="F825">_xlfn._xlws.FILTER(E825:E4023, C825:C4023= "6D-PM-1020-01", "No Squirrels Found")</f>
        <v>No Squirrels Found</v>
      </c>
      <c r="G825" s="8" t="s">
        <v>34</v>
      </c>
      <c r="H825" s="10">
        <v>10132018</v>
      </c>
      <c r="I825" s="10">
        <v>4</v>
      </c>
      <c r="J825" s="8" t="s">
        <v>39</v>
      </c>
      <c r="K825" s="8" t="s">
        <v>40</v>
      </c>
      <c r="M825" s="8" t="s">
        <v>55</v>
      </c>
      <c r="O825" s="8" t="s">
        <v>43</v>
      </c>
      <c r="P825" s="8" t="b">
        <v>0</v>
      </c>
      <c r="R825" s="8" t="b">
        <v>1</v>
      </c>
      <c r="S825" s="8" t="b">
        <v>0</v>
      </c>
      <c r="T825" s="8" t="b">
        <v>0</v>
      </c>
      <c r="U825" s="8" t="b">
        <v>0</v>
      </c>
      <c r="V825" s="8" t="b">
        <v>0</v>
      </c>
      <c r="X825" s="8" t="b">
        <v>0</v>
      </c>
      <c r="Y825" s="8" t="b">
        <v>0</v>
      </c>
      <c r="Z825" s="8" t="b">
        <v>0</v>
      </c>
      <c r="AA825" s="8" t="b">
        <v>0</v>
      </c>
      <c r="AB825" s="8" t="b">
        <v>0</v>
      </c>
      <c r="AC825" s="8" t="b">
        <v>0</v>
      </c>
      <c r="AD825" s="8" t="b">
        <v>0</v>
      </c>
      <c r="AE825" s="8" t="b">
        <v>1</v>
      </c>
      <c r="AG825" s="11" t="b" cm="1">
        <f t="array" ref="AG825">IF(OR(Y825:AA825="TRUE", AE825="true"), "Threatened")</f>
        <v>0</v>
      </c>
      <c r="AH825" s="11" t="s">
        <v>2329</v>
      </c>
      <c r="AI825" s="8" t="b">
        <v>1</v>
      </c>
    </row>
    <row r="826" spans="1:35" ht="31.2">
      <c r="A826" s="8">
        <v>-73.958010520000002</v>
      </c>
      <c r="B826" s="8">
        <v>40.797446829999998</v>
      </c>
      <c r="C826" s="8" t="s">
        <v>2330</v>
      </c>
      <c r="D826" s="8" t="s">
        <v>233</v>
      </c>
      <c r="E826" s="8" t="b">
        <f t="shared" si="12"/>
        <v>0</v>
      </c>
      <c r="F826" s="8" t="str" cm="1">
        <f t="array" ref="F826">_xlfn._xlws.FILTER(E826:E4024, C826:C4024= "6D-PM-1020-01", "No Squirrels Found")</f>
        <v>No Squirrels Found</v>
      </c>
      <c r="G826" s="8" t="s">
        <v>34</v>
      </c>
      <c r="H826" s="10">
        <v>10062018</v>
      </c>
      <c r="I826" s="10">
        <v>3</v>
      </c>
      <c r="J826" s="8" t="s">
        <v>39</v>
      </c>
      <c r="K826" s="8" t="s">
        <v>40</v>
      </c>
      <c r="M826" s="8" t="s">
        <v>55</v>
      </c>
      <c r="O826" s="8" t="s">
        <v>43</v>
      </c>
      <c r="P826" s="8" t="b">
        <v>0</v>
      </c>
      <c r="R826" s="8" t="b">
        <v>0</v>
      </c>
      <c r="S826" s="8" t="b">
        <v>0</v>
      </c>
      <c r="T826" s="8" t="b">
        <v>0</v>
      </c>
      <c r="U826" s="8" t="b">
        <v>0</v>
      </c>
      <c r="V826" s="8" t="b">
        <v>1</v>
      </c>
      <c r="X826" s="8" t="b">
        <v>0</v>
      </c>
      <c r="Y826" s="8" t="b">
        <v>0</v>
      </c>
      <c r="Z826" s="8" t="b">
        <v>0</v>
      </c>
      <c r="AA826" s="8" t="b">
        <v>0</v>
      </c>
      <c r="AB826" s="8" t="b">
        <v>0</v>
      </c>
      <c r="AC826" s="8" t="b">
        <v>0</v>
      </c>
      <c r="AD826" s="8" t="b">
        <v>0</v>
      </c>
      <c r="AE826" s="8" t="b">
        <v>1</v>
      </c>
      <c r="AG826" s="11" t="b" cm="1">
        <f t="array" ref="AG826">IF(OR(Y826:AA826="TRUE", AE826="true"), "Threatened")</f>
        <v>0</v>
      </c>
      <c r="AH826" s="11" t="s">
        <v>2331</v>
      </c>
      <c r="AI826" s="8" t="b">
        <v>1</v>
      </c>
    </row>
    <row r="827" spans="1:35" ht="31.2">
      <c r="A827" s="8">
        <v>-73.955726350000006</v>
      </c>
      <c r="B827" s="8">
        <v>40.793950580000001</v>
      </c>
      <c r="C827" s="8" t="s">
        <v>2332</v>
      </c>
      <c r="D827" s="8" t="s">
        <v>33</v>
      </c>
      <c r="E827" s="8" t="b">
        <f t="shared" si="12"/>
        <v>0</v>
      </c>
      <c r="F827" s="8" t="str" cm="1">
        <f t="array" ref="F827">_xlfn._xlws.FILTER(E827:E4025, C827:C4025= "6D-PM-1020-01", "No Squirrels Found")</f>
        <v>No Squirrels Found</v>
      </c>
      <c r="G827" s="8" t="s">
        <v>34</v>
      </c>
      <c r="H827" s="10">
        <v>10142018</v>
      </c>
      <c r="I827" s="10">
        <v>2</v>
      </c>
      <c r="J827" s="8" t="s">
        <v>54</v>
      </c>
      <c r="K827" s="8" t="s">
        <v>40</v>
      </c>
      <c r="L827" s="8" t="s">
        <v>117</v>
      </c>
      <c r="M827" s="8" t="s">
        <v>118</v>
      </c>
      <c r="O827" s="8" t="s">
        <v>43</v>
      </c>
      <c r="P827" s="8" t="b">
        <v>0</v>
      </c>
      <c r="Q827" s="8" t="s">
        <v>2333</v>
      </c>
      <c r="R827" s="8" t="b">
        <v>0</v>
      </c>
      <c r="S827" s="8" t="b">
        <v>0</v>
      </c>
      <c r="T827" s="8" t="b">
        <v>0</v>
      </c>
      <c r="U827" s="8" t="b">
        <v>1</v>
      </c>
      <c r="V827" s="8" t="b">
        <v>1</v>
      </c>
      <c r="X827" s="8" t="b">
        <v>0</v>
      </c>
      <c r="Y827" s="8" t="b">
        <v>0</v>
      </c>
      <c r="Z827" s="8" t="b">
        <v>0</v>
      </c>
      <c r="AA827" s="8" t="b">
        <v>0</v>
      </c>
      <c r="AB827" s="8" t="b">
        <v>0</v>
      </c>
      <c r="AC827" s="8" t="b">
        <v>0</v>
      </c>
      <c r="AD827" s="8" t="b">
        <v>1</v>
      </c>
      <c r="AE827" s="8" t="b">
        <v>0</v>
      </c>
      <c r="AG827" s="11" t="b" cm="1">
        <f t="array" ref="AG827">IF(OR(Y827:AA827="TRUE", AE827="true"), "Threatened")</f>
        <v>0</v>
      </c>
      <c r="AH827" s="11" t="s">
        <v>2334</v>
      </c>
      <c r="AI827" s="8" t="b">
        <v>1</v>
      </c>
    </row>
    <row r="828" spans="1:35" ht="31.2">
      <c r="A828" s="8">
        <v>-73.970024739999999</v>
      </c>
      <c r="B828" s="8">
        <v>40.783692899999998</v>
      </c>
      <c r="C828" s="8" t="s">
        <v>2335</v>
      </c>
      <c r="D828" s="8" t="s">
        <v>2014</v>
      </c>
      <c r="E828" s="8" t="b">
        <f t="shared" si="12"/>
        <v>0</v>
      </c>
      <c r="F828" s="8" t="str" cm="1">
        <f t="array" ref="F828">_xlfn._xlws.FILTER(E828:E4026, C828:C4026= "6D-PM-1020-01", "No Squirrels Found")</f>
        <v>No Squirrels Found</v>
      </c>
      <c r="G828" s="8" t="s">
        <v>48</v>
      </c>
      <c r="H828" s="10">
        <v>10192018</v>
      </c>
      <c r="I828" s="10">
        <v>8</v>
      </c>
      <c r="J828" s="8" t="s">
        <v>39</v>
      </c>
      <c r="K828" s="8" t="s">
        <v>40</v>
      </c>
      <c r="L828" s="8" t="s">
        <v>41</v>
      </c>
      <c r="M828" s="8" t="s">
        <v>42</v>
      </c>
      <c r="O828" s="8" t="s">
        <v>43</v>
      </c>
      <c r="P828" s="8" t="b">
        <v>0</v>
      </c>
      <c r="R828" s="8" t="b">
        <v>0</v>
      </c>
      <c r="S828" s="8" t="b">
        <v>0</v>
      </c>
      <c r="T828" s="8" t="b">
        <v>0</v>
      </c>
      <c r="U828" s="8" t="b">
        <v>1</v>
      </c>
      <c r="V828" s="8" t="b">
        <v>1</v>
      </c>
      <c r="X828" s="8" t="b">
        <v>0</v>
      </c>
      <c r="Y828" s="8" t="b">
        <v>0</v>
      </c>
      <c r="Z828" s="8" t="b">
        <v>0</v>
      </c>
      <c r="AA828" s="8" t="b">
        <v>0</v>
      </c>
      <c r="AB828" s="8" t="b">
        <v>0</v>
      </c>
      <c r="AC828" s="8" t="b">
        <v>0</v>
      </c>
      <c r="AD828" s="8" t="b">
        <v>1</v>
      </c>
      <c r="AE828" s="8" t="b">
        <v>0</v>
      </c>
      <c r="AG828" s="11" t="b" cm="1">
        <f t="array" ref="AG828">IF(OR(Y828:AA828="TRUE", AE828="true"), "Threatened")</f>
        <v>0</v>
      </c>
      <c r="AH828" s="11" t="s">
        <v>2336</v>
      </c>
      <c r="AI828" s="8" t="b">
        <v>1</v>
      </c>
    </row>
    <row r="829" spans="1:35" ht="31.2">
      <c r="A829" s="8">
        <v>-73.954510099999993</v>
      </c>
      <c r="B829" s="8">
        <v>40.790382360000002</v>
      </c>
      <c r="C829" s="8" t="s">
        <v>2337</v>
      </c>
      <c r="D829" s="8" t="s">
        <v>1028</v>
      </c>
      <c r="E829" s="8" t="b">
        <f t="shared" si="12"/>
        <v>0</v>
      </c>
      <c r="F829" s="8" t="str" cm="1">
        <f t="array" ref="F829">_xlfn._xlws.FILTER(E829:E4027, C829:C4027= "6D-PM-1020-01", "No Squirrels Found")</f>
        <v>No Squirrels Found</v>
      </c>
      <c r="G829" s="8" t="s">
        <v>34</v>
      </c>
      <c r="H829" s="10">
        <v>10102018</v>
      </c>
      <c r="I829" s="10">
        <v>3</v>
      </c>
      <c r="J829" s="8" t="s">
        <v>39</v>
      </c>
      <c r="K829" s="8" t="s">
        <v>40</v>
      </c>
      <c r="M829" s="8" t="s">
        <v>55</v>
      </c>
      <c r="O829" s="8" t="s">
        <v>43</v>
      </c>
      <c r="P829" s="8" t="b">
        <v>0</v>
      </c>
      <c r="Q829" s="8" t="s">
        <v>2338</v>
      </c>
      <c r="R829" s="8" t="b">
        <v>1</v>
      </c>
      <c r="S829" s="8" t="b">
        <v>0</v>
      </c>
      <c r="T829" s="8" t="b">
        <v>0</v>
      </c>
      <c r="U829" s="8" t="b">
        <v>0</v>
      </c>
      <c r="V829" s="8" t="b">
        <v>1</v>
      </c>
      <c r="W829" s="11" t="s">
        <v>2339</v>
      </c>
      <c r="X829" s="8" t="b">
        <v>0</v>
      </c>
      <c r="Y829" s="8" t="b">
        <v>0</v>
      </c>
      <c r="Z829" s="8" t="b">
        <v>0</v>
      </c>
      <c r="AA829" s="8" t="b">
        <v>0</v>
      </c>
      <c r="AB829" s="8" t="b">
        <v>0</v>
      </c>
      <c r="AC829" s="8" t="b">
        <v>0</v>
      </c>
      <c r="AD829" s="8" t="b">
        <v>0</v>
      </c>
      <c r="AE829" s="8" t="b">
        <v>0</v>
      </c>
      <c r="AG829" s="11" t="b" cm="1">
        <f t="array" ref="AG829">IF(OR(Y829:AA829="TRUE", AE829="true"), "Threatened")</f>
        <v>0</v>
      </c>
      <c r="AH829" s="11" t="s">
        <v>2340</v>
      </c>
      <c r="AI829" s="8" t="b">
        <v>0</v>
      </c>
    </row>
    <row r="830" spans="1:35" ht="31.2">
      <c r="A830" s="8">
        <v>-73.971180110000006</v>
      </c>
      <c r="B830" s="8">
        <v>40.778688889999998</v>
      </c>
      <c r="C830" s="8" t="s">
        <v>2341</v>
      </c>
      <c r="D830" s="8" t="s">
        <v>116</v>
      </c>
      <c r="E830" s="8" t="b">
        <f t="shared" si="12"/>
        <v>0</v>
      </c>
      <c r="F830" s="8" t="str" cm="1">
        <f t="array" ref="F830">_xlfn._xlws.FILTER(E830:E4028, C830:C4028= "6D-PM-1020-01", "No Squirrels Found")</f>
        <v>No Squirrels Found</v>
      </c>
      <c r="G830" s="8" t="s">
        <v>48</v>
      </c>
      <c r="H830" s="10">
        <v>10142018</v>
      </c>
      <c r="I830" s="10">
        <v>2</v>
      </c>
      <c r="J830" s="8" t="s">
        <v>39</v>
      </c>
      <c r="K830" s="8" t="s">
        <v>40</v>
      </c>
      <c r="L830" s="8" t="s">
        <v>168</v>
      </c>
      <c r="M830" s="8" t="s">
        <v>169</v>
      </c>
      <c r="O830" s="8" t="s">
        <v>43</v>
      </c>
      <c r="P830" s="8" t="b">
        <v>0</v>
      </c>
      <c r="R830" s="8" t="b">
        <v>0</v>
      </c>
      <c r="S830" s="8" t="b">
        <v>0</v>
      </c>
      <c r="T830" s="8" t="b">
        <v>0</v>
      </c>
      <c r="U830" s="8" t="b">
        <v>0</v>
      </c>
      <c r="V830" s="8" t="b">
        <v>1</v>
      </c>
      <c r="X830" s="8" t="b">
        <v>0</v>
      </c>
      <c r="Y830" s="8" t="b">
        <v>0</v>
      </c>
      <c r="Z830" s="8" t="b">
        <v>0</v>
      </c>
      <c r="AA830" s="8" t="b">
        <v>0</v>
      </c>
      <c r="AB830" s="8" t="b">
        <v>0</v>
      </c>
      <c r="AC830" s="8" t="b">
        <v>1</v>
      </c>
      <c r="AD830" s="8" t="b">
        <v>0</v>
      </c>
      <c r="AE830" s="8" t="b">
        <v>0</v>
      </c>
      <c r="AG830" s="11" t="b" cm="1">
        <f t="array" ref="AG830">IF(OR(Y830:AA830="TRUE", AE830="true"), "Threatened")</f>
        <v>0</v>
      </c>
      <c r="AH830" s="11" t="s">
        <v>2342</v>
      </c>
      <c r="AI830" s="8" t="b">
        <v>1</v>
      </c>
    </row>
    <row r="831" spans="1:35" ht="31.2">
      <c r="A831" s="8">
        <v>-73.959564599999993</v>
      </c>
      <c r="B831" s="8">
        <v>40.789959940000003</v>
      </c>
      <c r="C831" s="8" t="s">
        <v>2343</v>
      </c>
      <c r="D831" s="8" t="s">
        <v>1409</v>
      </c>
      <c r="E831" s="8" t="b">
        <f t="shared" si="12"/>
        <v>0</v>
      </c>
      <c r="F831" s="8" t="str" cm="1">
        <f t="array" ref="F831">_xlfn._xlws.FILTER(E831:E4029, C831:C4029= "6D-PM-1020-01", "No Squirrels Found")</f>
        <v>No Squirrels Found</v>
      </c>
      <c r="G831" s="8" t="s">
        <v>34</v>
      </c>
      <c r="H831" s="10">
        <v>10062018</v>
      </c>
      <c r="I831" s="10">
        <v>3</v>
      </c>
      <c r="J831" s="8" t="s">
        <v>39</v>
      </c>
      <c r="K831" s="8" t="s">
        <v>40</v>
      </c>
      <c r="L831" s="8" t="s">
        <v>41</v>
      </c>
      <c r="M831" s="8" t="s">
        <v>42</v>
      </c>
      <c r="O831" s="8" t="s">
        <v>43</v>
      </c>
      <c r="P831" s="8" t="b">
        <v>0</v>
      </c>
      <c r="Q831" s="8" t="s">
        <v>1410</v>
      </c>
      <c r="R831" s="8" t="b">
        <v>0</v>
      </c>
      <c r="S831" s="8" t="b">
        <v>0</v>
      </c>
      <c r="T831" s="8" t="b">
        <v>0</v>
      </c>
      <c r="U831" s="8" t="b">
        <v>1</v>
      </c>
      <c r="V831" s="8" t="b">
        <v>1</v>
      </c>
      <c r="W831" s="11" t="s">
        <v>521</v>
      </c>
      <c r="X831" s="8" t="b">
        <v>0</v>
      </c>
      <c r="Y831" s="8" t="b">
        <v>0</v>
      </c>
      <c r="Z831" s="8" t="b">
        <v>0</v>
      </c>
      <c r="AA831" s="8" t="b">
        <v>0</v>
      </c>
      <c r="AB831" s="8" t="b">
        <v>0</v>
      </c>
      <c r="AC831" s="8" t="b">
        <v>0</v>
      </c>
      <c r="AD831" s="8" t="b">
        <v>1</v>
      </c>
      <c r="AE831" s="8" t="b">
        <v>0</v>
      </c>
      <c r="AG831" s="11" t="b" cm="1">
        <f t="array" ref="AG831">IF(OR(Y831:AA831="TRUE", AE831="true"), "Threatened")</f>
        <v>0</v>
      </c>
      <c r="AH831" s="11" t="s">
        <v>2344</v>
      </c>
      <c r="AI831" s="8" t="b">
        <v>0</v>
      </c>
    </row>
    <row r="832" spans="1:35" ht="31.2">
      <c r="A832" s="8">
        <v>-73.95877127</v>
      </c>
      <c r="B832" s="8">
        <v>40.794450249999997</v>
      </c>
      <c r="C832" s="8" t="s">
        <v>2345</v>
      </c>
      <c r="D832" s="8" t="s">
        <v>1456</v>
      </c>
      <c r="E832" s="8" t="b">
        <f t="shared" si="12"/>
        <v>0</v>
      </c>
      <c r="F832" s="8" t="str" cm="1">
        <f t="array" ref="F832">_xlfn._xlws.FILTER(E832:E4030, C832:C4030= "6D-PM-1020-01", "No Squirrels Found")</f>
        <v>No Squirrels Found</v>
      </c>
      <c r="G832" s="8" t="s">
        <v>34</v>
      </c>
      <c r="H832" s="10">
        <v>10072018</v>
      </c>
      <c r="I832" s="10">
        <v>2</v>
      </c>
      <c r="J832" s="8" t="s">
        <v>39</v>
      </c>
      <c r="K832" s="8" t="s">
        <v>40</v>
      </c>
      <c r="L832" s="8" t="s">
        <v>41</v>
      </c>
      <c r="M832" s="8" t="s">
        <v>42</v>
      </c>
      <c r="O832" s="8" t="s">
        <v>43</v>
      </c>
      <c r="P832" s="8" t="b">
        <v>0</v>
      </c>
      <c r="R832" s="8" t="b">
        <v>0</v>
      </c>
      <c r="S832" s="8" t="b">
        <v>0</v>
      </c>
      <c r="T832" s="8" t="b">
        <v>0</v>
      </c>
      <c r="U832" s="8" t="b">
        <v>0</v>
      </c>
      <c r="V832" s="8" t="b">
        <v>1</v>
      </c>
      <c r="X832" s="8" t="b">
        <v>0</v>
      </c>
      <c r="Y832" s="8" t="b">
        <v>0</v>
      </c>
      <c r="Z832" s="8" t="b">
        <v>0</v>
      </c>
      <c r="AA832" s="8" t="b">
        <v>0</v>
      </c>
      <c r="AB832" s="8" t="b">
        <v>0</v>
      </c>
      <c r="AC832" s="8" t="b">
        <v>1</v>
      </c>
      <c r="AD832" s="8" t="b">
        <v>1</v>
      </c>
      <c r="AE832" s="8" t="b">
        <v>0</v>
      </c>
      <c r="AG832" s="11" t="b" cm="1">
        <f t="array" ref="AG832">IF(OR(Y832:AA832="TRUE", AE832="true"), "Threatened")</f>
        <v>0</v>
      </c>
      <c r="AH832" s="11" t="s">
        <v>2346</v>
      </c>
      <c r="AI832" s="8" t="b">
        <v>1</v>
      </c>
    </row>
    <row r="833" spans="1:35" ht="31.2">
      <c r="A833" s="8">
        <v>-73.967620600000004</v>
      </c>
      <c r="B833" s="8">
        <v>40.784594230000003</v>
      </c>
      <c r="C833" s="8" t="s">
        <v>2347</v>
      </c>
      <c r="D833" s="8" t="s">
        <v>2184</v>
      </c>
      <c r="E833" s="8" t="b">
        <f t="shared" si="12"/>
        <v>0</v>
      </c>
      <c r="F833" s="8" t="str" cm="1">
        <f t="array" ref="F833">_xlfn._xlws.FILTER(E833:E4031, C833:C4031= "6D-PM-1020-01", "No Squirrels Found")</f>
        <v>No Squirrels Found</v>
      </c>
      <c r="G833" s="8" t="s">
        <v>34</v>
      </c>
      <c r="H833" s="10">
        <v>10122018</v>
      </c>
      <c r="I833" s="10">
        <v>1</v>
      </c>
      <c r="J833" s="8" t="s">
        <v>39</v>
      </c>
      <c r="K833" s="8" t="s">
        <v>40</v>
      </c>
      <c r="L833" s="8" t="s">
        <v>41</v>
      </c>
      <c r="M833" s="8" t="s">
        <v>42</v>
      </c>
      <c r="O833" s="8" t="s">
        <v>43</v>
      </c>
      <c r="P833" s="8" t="b">
        <v>0</v>
      </c>
      <c r="R833" s="8" t="b">
        <v>0</v>
      </c>
      <c r="S833" s="8" t="b">
        <v>0</v>
      </c>
      <c r="T833" s="8" t="b">
        <v>0</v>
      </c>
      <c r="U833" s="8" t="b">
        <v>0</v>
      </c>
      <c r="V833" s="8" t="b">
        <v>1</v>
      </c>
      <c r="X833" s="8" t="b">
        <v>0</v>
      </c>
      <c r="Y833" s="8" t="b">
        <v>0</v>
      </c>
      <c r="Z833" s="8" t="b">
        <v>0</v>
      </c>
      <c r="AA833" s="8" t="b">
        <v>0</v>
      </c>
      <c r="AB833" s="8" t="b">
        <v>1</v>
      </c>
      <c r="AC833" s="8" t="b">
        <v>0</v>
      </c>
      <c r="AD833" s="8" t="b">
        <v>1</v>
      </c>
      <c r="AE833" s="8" t="b">
        <v>0</v>
      </c>
      <c r="AG833" s="11" t="b" cm="1">
        <f t="array" ref="AG833">IF(OR(Y833:AA833="TRUE", AE833="true"), "Threatened")</f>
        <v>0</v>
      </c>
      <c r="AH833" s="11" t="s">
        <v>2348</v>
      </c>
      <c r="AI833" s="8" t="b">
        <v>1</v>
      </c>
    </row>
    <row r="834" spans="1:35" ht="31.2">
      <c r="A834" s="8">
        <v>-73.974184640000004</v>
      </c>
      <c r="B834" s="8">
        <v>40.776251819999999</v>
      </c>
      <c r="C834" s="8" t="s">
        <v>2349</v>
      </c>
      <c r="D834" s="8" t="s">
        <v>180</v>
      </c>
      <c r="E834" s="8" t="b">
        <f t="shared" si="12"/>
        <v>0</v>
      </c>
      <c r="F834" s="8" t="str" cm="1">
        <f t="array" ref="F834">_xlfn._xlws.FILTER(E834:E4032, C834:C4032= "6D-PM-1020-01", "No Squirrels Found")</f>
        <v>No Squirrels Found</v>
      </c>
      <c r="G834" s="8" t="s">
        <v>34</v>
      </c>
      <c r="H834" s="10">
        <v>10182018</v>
      </c>
      <c r="I834" s="10">
        <v>1</v>
      </c>
      <c r="J834" s="8" t="s">
        <v>39</v>
      </c>
      <c r="K834" s="8" t="s">
        <v>40</v>
      </c>
      <c r="M834" s="8" t="s">
        <v>55</v>
      </c>
      <c r="O834" s="8" t="s">
        <v>43</v>
      </c>
      <c r="P834" s="8" t="b">
        <v>0</v>
      </c>
      <c r="Q834" s="8" t="s">
        <v>2350</v>
      </c>
      <c r="R834" s="8" t="b">
        <v>0</v>
      </c>
      <c r="S834" s="8" t="b">
        <v>0</v>
      </c>
      <c r="T834" s="8" t="b">
        <v>1</v>
      </c>
      <c r="U834" s="8" t="b">
        <v>0</v>
      </c>
      <c r="V834" s="8" t="b">
        <v>1</v>
      </c>
      <c r="W834" s="11" t="s">
        <v>2351</v>
      </c>
      <c r="X834" s="8" t="b">
        <v>0</v>
      </c>
      <c r="Y834" s="8" t="b">
        <v>0</v>
      </c>
      <c r="Z834" s="8" t="b">
        <v>0</v>
      </c>
      <c r="AA834" s="8" t="b">
        <v>0</v>
      </c>
      <c r="AB834" s="8" t="b">
        <v>0</v>
      </c>
      <c r="AC834" s="8" t="b">
        <v>0</v>
      </c>
      <c r="AD834" s="8" t="b">
        <v>0</v>
      </c>
      <c r="AE834" s="8" t="b">
        <v>1</v>
      </c>
      <c r="AG834" s="11" t="b" cm="1">
        <f t="array" ref="AG834">IF(OR(Y834:AA834="TRUE", AE834="true"), "Threatened")</f>
        <v>0</v>
      </c>
      <c r="AH834" s="11" t="s">
        <v>2352</v>
      </c>
      <c r="AI834" s="8" t="b">
        <v>0</v>
      </c>
    </row>
    <row r="835" spans="1:35" ht="31.2">
      <c r="A835" s="8">
        <v>-73.970391410000005</v>
      </c>
      <c r="B835" s="8">
        <v>40.7722458</v>
      </c>
      <c r="C835" s="8" t="s">
        <v>2353</v>
      </c>
      <c r="D835" s="8" t="s">
        <v>609</v>
      </c>
      <c r="E835" s="8" t="b">
        <f t="shared" ref="E835:E898" si="13">OR(D835 = "05D", D835 = "07D", D835 = "06C", D835 = "06E")</f>
        <v>0</v>
      </c>
      <c r="F835" s="8" t="str" cm="1">
        <f t="array" ref="F835">_xlfn._xlws.FILTER(E835:E4033, C835:C4033= "6D-PM-1020-01", "No Squirrels Found")</f>
        <v>No Squirrels Found</v>
      </c>
      <c r="G835" s="8" t="s">
        <v>34</v>
      </c>
      <c r="H835" s="10">
        <v>10172018</v>
      </c>
      <c r="I835" s="10">
        <v>1</v>
      </c>
      <c r="J835" s="8" t="s">
        <v>39</v>
      </c>
      <c r="K835" s="8" t="s">
        <v>40</v>
      </c>
      <c r="M835" s="8" t="s">
        <v>55</v>
      </c>
      <c r="O835" s="8" t="s">
        <v>43</v>
      </c>
      <c r="P835" s="8" t="b">
        <v>0</v>
      </c>
      <c r="R835" s="8" t="b">
        <v>0</v>
      </c>
      <c r="S835" s="8" t="b">
        <v>0</v>
      </c>
      <c r="T835" s="8" t="b">
        <v>0</v>
      </c>
      <c r="U835" s="8" t="b">
        <v>0</v>
      </c>
      <c r="V835" s="8" t="b">
        <v>0</v>
      </c>
      <c r="W835" s="11" t="s">
        <v>1665</v>
      </c>
      <c r="X835" s="8" t="b">
        <v>0</v>
      </c>
      <c r="Y835" s="8" t="b">
        <v>0</v>
      </c>
      <c r="Z835" s="8" t="b">
        <v>0</v>
      </c>
      <c r="AA835" s="8" t="b">
        <v>0</v>
      </c>
      <c r="AB835" s="8" t="b">
        <v>0</v>
      </c>
      <c r="AC835" s="8" t="b">
        <v>0</v>
      </c>
      <c r="AD835" s="8" t="b">
        <v>1</v>
      </c>
      <c r="AE835" s="8" t="b">
        <v>0</v>
      </c>
      <c r="AG835" s="11" t="b" cm="1">
        <f t="array" ref="AG835">IF(OR(Y835:AA835="TRUE", AE835="true"), "Threatened")</f>
        <v>0</v>
      </c>
      <c r="AH835" s="11" t="s">
        <v>2354</v>
      </c>
      <c r="AI835" s="8" t="b">
        <v>0</v>
      </c>
    </row>
    <row r="836" spans="1:35" ht="31.2">
      <c r="A836" s="8">
        <v>-73.970790059999999</v>
      </c>
      <c r="B836" s="8">
        <v>40.777167059999996</v>
      </c>
      <c r="C836" s="8" t="s">
        <v>2355</v>
      </c>
      <c r="D836" s="8" t="s">
        <v>741</v>
      </c>
      <c r="E836" s="8" t="b">
        <f t="shared" si="13"/>
        <v>0</v>
      </c>
      <c r="F836" s="8" t="str" cm="1">
        <f t="array" ref="F836">_xlfn._xlws.FILTER(E836:E4034, C836:C4034= "6D-PM-1020-01", "No Squirrels Found")</f>
        <v>No Squirrels Found</v>
      </c>
      <c r="G836" s="8" t="s">
        <v>48</v>
      </c>
      <c r="H836" s="10">
        <v>10142018</v>
      </c>
      <c r="I836" s="10">
        <v>9</v>
      </c>
      <c r="J836" s="8" t="s">
        <v>39</v>
      </c>
      <c r="K836" s="8" t="s">
        <v>40</v>
      </c>
      <c r="L836" s="8" t="s">
        <v>117</v>
      </c>
      <c r="M836" s="8" t="s">
        <v>118</v>
      </c>
      <c r="O836" s="8" t="s">
        <v>50</v>
      </c>
      <c r="P836" s="8">
        <v>30</v>
      </c>
      <c r="R836" s="8" t="b">
        <v>0</v>
      </c>
      <c r="S836" s="8" t="b">
        <v>0</v>
      </c>
      <c r="T836" s="8" t="b">
        <v>1</v>
      </c>
      <c r="U836" s="8" t="b">
        <v>0</v>
      </c>
      <c r="V836" s="8" t="b">
        <v>0</v>
      </c>
      <c r="X836" s="8" t="b">
        <v>0</v>
      </c>
      <c r="Y836" s="8" t="b">
        <v>0</v>
      </c>
      <c r="Z836" s="8" t="b">
        <v>0</v>
      </c>
      <c r="AA836" s="8" t="b">
        <v>0</v>
      </c>
      <c r="AB836" s="8" t="b">
        <v>0</v>
      </c>
      <c r="AC836" s="8" t="b">
        <v>0</v>
      </c>
      <c r="AD836" s="8" t="b">
        <v>1</v>
      </c>
      <c r="AE836" s="8" t="b">
        <v>0</v>
      </c>
      <c r="AG836" s="11" t="b" cm="1">
        <f t="array" ref="AG836">IF(OR(Y836:AA836="TRUE", AE836="true"), "Threatened")</f>
        <v>0</v>
      </c>
      <c r="AH836" s="11" t="s">
        <v>2356</v>
      </c>
      <c r="AI836" s="8" t="b">
        <v>1</v>
      </c>
    </row>
    <row r="837" spans="1:35" ht="31.2">
      <c r="A837" s="8">
        <v>-73.975086419999997</v>
      </c>
      <c r="B837" s="8">
        <v>40.767199009999999</v>
      </c>
      <c r="C837" s="8" t="s">
        <v>2357</v>
      </c>
      <c r="D837" s="8" t="s">
        <v>1706</v>
      </c>
      <c r="E837" s="8" t="b">
        <f t="shared" si="13"/>
        <v>0</v>
      </c>
      <c r="F837" s="8" t="str" cm="1">
        <f t="array" ref="F837">_xlfn._xlws.FILTER(E837:E4035, C837:C4035= "6D-PM-1020-01", "No Squirrels Found")</f>
        <v>No Squirrels Found</v>
      </c>
      <c r="G837" s="8" t="s">
        <v>48</v>
      </c>
      <c r="H837" s="10">
        <v>10062018</v>
      </c>
      <c r="I837" s="10">
        <v>1</v>
      </c>
      <c r="J837" s="8" t="s">
        <v>39</v>
      </c>
      <c r="K837" s="8" t="s">
        <v>40</v>
      </c>
      <c r="M837" s="8" t="s">
        <v>55</v>
      </c>
      <c r="O837" s="8" t="s">
        <v>43</v>
      </c>
      <c r="P837" s="8" t="b">
        <v>0</v>
      </c>
      <c r="Q837" s="8" t="s">
        <v>2358</v>
      </c>
      <c r="R837" s="8" t="b">
        <v>0</v>
      </c>
      <c r="S837" s="8" t="b">
        <v>0</v>
      </c>
      <c r="T837" s="8" t="b">
        <v>0</v>
      </c>
      <c r="U837" s="8" t="b">
        <v>0</v>
      </c>
      <c r="V837" s="8" t="b">
        <v>1</v>
      </c>
      <c r="X837" s="8" t="b">
        <v>0</v>
      </c>
      <c r="Y837" s="8" t="b">
        <v>0</v>
      </c>
      <c r="Z837" s="8" t="b">
        <v>0</v>
      </c>
      <c r="AA837" s="8" t="b">
        <v>0</v>
      </c>
      <c r="AB837" s="8" t="b">
        <v>0</v>
      </c>
      <c r="AC837" s="8" t="b">
        <v>0</v>
      </c>
      <c r="AD837" s="8" t="b">
        <v>1</v>
      </c>
      <c r="AE837" s="8" t="b">
        <v>0</v>
      </c>
      <c r="AG837" s="11" t="b" cm="1">
        <f t="array" ref="AG837">IF(OR(Y837:AA837="TRUE", AE837="true"), "Threatened")</f>
        <v>0</v>
      </c>
      <c r="AH837" s="11" t="s">
        <v>2359</v>
      </c>
      <c r="AI837" s="8" t="b">
        <v>1</v>
      </c>
    </row>
    <row r="838" spans="1:35" ht="31.2">
      <c r="A838" s="8">
        <v>-73.955717230000005</v>
      </c>
      <c r="B838" s="8">
        <v>40.79211257</v>
      </c>
      <c r="C838" s="8" t="s">
        <v>2360</v>
      </c>
      <c r="D838" s="8" t="s">
        <v>2230</v>
      </c>
      <c r="E838" s="8" t="b">
        <f t="shared" si="13"/>
        <v>0</v>
      </c>
      <c r="F838" s="8" t="str" cm="1">
        <f t="array" ref="F838">_xlfn._xlws.FILTER(E838:E4036, C838:C4036= "6D-PM-1020-01", "No Squirrels Found")</f>
        <v>No Squirrels Found</v>
      </c>
      <c r="G838" s="8" t="s">
        <v>34</v>
      </c>
      <c r="H838" s="10">
        <v>10062018</v>
      </c>
      <c r="I838" s="10">
        <v>1</v>
      </c>
      <c r="J838" s="8" t="s">
        <v>39</v>
      </c>
      <c r="K838" s="8" t="s">
        <v>192</v>
      </c>
      <c r="L838" s="8" t="s">
        <v>41</v>
      </c>
      <c r="M838" s="8" t="s">
        <v>717</v>
      </c>
      <c r="O838" s="8" t="s">
        <v>43</v>
      </c>
      <c r="P838" s="8" t="b">
        <v>0</v>
      </c>
      <c r="R838" s="8" t="b">
        <v>1</v>
      </c>
      <c r="S838" s="8" t="b">
        <v>0</v>
      </c>
      <c r="T838" s="8" t="b">
        <v>1</v>
      </c>
      <c r="U838" s="8" t="b">
        <v>0</v>
      </c>
      <c r="V838" s="8" t="b">
        <v>0</v>
      </c>
      <c r="X838" s="8" t="b">
        <v>0</v>
      </c>
      <c r="Y838" s="8" t="b">
        <v>0</v>
      </c>
      <c r="Z838" s="8" t="b">
        <v>0</v>
      </c>
      <c r="AA838" s="8" t="b">
        <v>0</v>
      </c>
      <c r="AB838" s="8" t="b">
        <v>1</v>
      </c>
      <c r="AC838" s="8" t="b">
        <v>0</v>
      </c>
      <c r="AD838" s="8" t="b">
        <v>0</v>
      </c>
      <c r="AE838" s="8" t="b">
        <v>1</v>
      </c>
      <c r="AG838" s="11" t="b" cm="1">
        <f t="array" ref="AG838">IF(OR(Y838:AA838="TRUE", AE838="true"), "Threatened")</f>
        <v>0</v>
      </c>
      <c r="AH838" s="11" t="s">
        <v>2361</v>
      </c>
      <c r="AI838" s="8" t="b">
        <v>1</v>
      </c>
    </row>
    <row r="839" spans="1:35" ht="31.2">
      <c r="A839" s="8">
        <v>-73.969103110000006</v>
      </c>
      <c r="B839" s="8">
        <v>40.770669380000001</v>
      </c>
      <c r="C839" s="8" t="s">
        <v>2362</v>
      </c>
      <c r="D839" s="8" t="s">
        <v>1785</v>
      </c>
      <c r="E839" s="8" t="b">
        <f t="shared" si="13"/>
        <v>0</v>
      </c>
      <c r="F839" s="8" t="str" cm="1">
        <f t="array" ref="F839">_xlfn._xlws.FILTER(E839:E4037, C839:C4037= "6D-PM-1020-01", "No Squirrels Found")</f>
        <v>No Squirrels Found</v>
      </c>
      <c r="G839" s="8" t="s">
        <v>48</v>
      </c>
      <c r="H839" s="10">
        <v>10142018</v>
      </c>
      <c r="I839" s="10">
        <v>2</v>
      </c>
      <c r="J839" s="8" t="s">
        <v>39</v>
      </c>
      <c r="K839" s="8" t="s">
        <v>40</v>
      </c>
      <c r="M839" s="8" t="s">
        <v>55</v>
      </c>
      <c r="N839" s="11" t="s">
        <v>2363</v>
      </c>
      <c r="O839" s="8" t="s">
        <v>50</v>
      </c>
      <c r="P839" s="8">
        <v>35</v>
      </c>
      <c r="R839" s="8" t="b">
        <v>0</v>
      </c>
      <c r="S839" s="8" t="b">
        <v>0</v>
      </c>
      <c r="T839" s="8" t="b">
        <v>1</v>
      </c>
      <c r="U839" s="8" t="b">
        <v>0</v>
      </c>
      <c r="V839" s="8" t="b">
        <v>0</v>
      </c>
      <c r="X839" s="8" t="b">
        <v>0</v>
      </c>
      <c r="Y839" s="8" t="b">
        <v>0</v>
      </c>
      <c r="Z839" s="8" t="b">
        <v>0</v>
      </c>
      <c r="AA839" s="8" t="b">
        <v>0</v>
      </c>
      <c r="AB839" s="8" t="b">
        <v>0</v>
      </c>
      <c r="AC839" s="8" t="b">
        <v>0</v>
      </c>
      <c r="AD839" s="8" t="b">
        <v>0</v>
      </c>
      <c r="AE839" s="8" t="b">
        <v>0</v>
      </c>
      <c r="AG839" s="11" t="b" cm="1">
        <f t="array" ref="AG839">IF(OR(Y839:AA839="TRUE", AE839="true"), "Threatened")</f>
        <v>0</v>
      </c>
      <c r="AH839" s="11" t="s">
        <v>2364</v>
      </c>
      <c r="AI839" s="8" t="b">
        <v>1</v>
      </c>
    </row>
    <row r="840" spans="1:35" ht="31.2">
      <c r="A840" s="8">
        <v>-73.96156028</v>
      </c>
      <c r="B840" s="8">
        <v>40.79456622</v>
      </c>
      <c r="C840" s="8" t="s">
        <v>2365</v>
      </c>
      <c r="D840" s="8" t="s">
        <v>301</v>
      </c>
      <c r="E840" s="8" t="b">
        <f t="shared" si="13"/>
        <v>0</v>
      </c>
      <c r="F840" s="8" t="str" cm="1">
        <f t="array" ref="F840">_xlfn._xlws.FILTER(E840:E4038, C840:C4038= "6D-PM-1020-01", "No Squirrels Found")</f>
        <v>No Squirrels Found</v>
      </c>
      <c r="G840" s="8" t="s">
        <v>34</v>
      </c>
      <c r="H840" s="10">
        <v>10132018</v>
      </c>
      <c r="I840" s="10">
        <v>8</v>
      </c>
      <c r="J840" s="8" t="s">
        <v>39</v>
      </c>
      <c r="K840" s="8" t="s">
        <v>40</v>
      </c>
      <c r="L840" s="8" t="s">
        <v>84</v>
      </c>
      <c r="M840" s="8" t="s">
        <v>103</v>
      </c>
      <c r="O840" s="8" t="s">
        <v>43</v>
      </c>
      <c r="P840" s="8" t="b">
        <v>0</v>
      </c>
      <c r="R840" s="8" t="b">
        <v>0</v>
      </c>
      <c r="S840" s="8" t="b">
        <v>0</v>
      </c>
      <c r="T840" s="8" t="b">
        <v>0</v>
      </c>
      <c r="U840" s="8" t="b">
        <v>0</v>
      </c>
      <c r="V840" s="8" t="b">
        <v>1</v>
      </c>
      <c r="X840" s="8" t="b">
        <v>0</v>
      </c>
      <c r="Y840" s="8" t="b">
        <v>0</v>
      </c>
      <c r="Z840" s="8" t="b">
        <v>0</v>
      </c>
      <c r="AA840" s="8" t="b">
        <v>0</v>
      </c>
      <c r="AB840" s="8" t="b">
        <v>1</v>
      </c>
      <c r="AC840" s="8" t="b">
        <v>0</v>
      </c>
      <c r="AD840" s="8" t="b">
        <v>0</v>
      </c>
      <c r="AE840" s="8" t="b">
        <v>1</v>
      </c>
      <c r="AG840" s="11" t="b" cm="1">
        <f t="array" ref="AG840">IF(OR(Y840:AA840="TRUE", AE840="true"), "Threatened")</f>
        <v>0</v>
      </c>
      <c r="AH840" s="11" t="s">
        <v>2366</v>
      </c>
      <c r="AI840" s="8" t="b">
        <v>1</v>
      </c>
    </row>
    <row r="841" spans="1:35" ht="31.2">
      <c r="A841" s="8">
        <v>-73.959808480000007</v>
      </c>
      <c r="B841" s="8">
        <v>40.79761654</v>
      </c>
      <c r="C841" s="8" t="s">
        <v>2367</v>
      </c>
      <c r="D841" s="8" t="s">
        <v>591</v>
      </c>
      <c r="E841" s="8" t="b">
        <f t="shared" si="13"/>
        <v>0</v>
      </c>
      <c r="F841" s="8" t="str" cm="1">
        <f t="array" ref="F841">_xlfn._xlws.FILTER(E841:E4039, C841:C4039= "6D-PM-1020-01", "No Squirrels Found")</f>
        <v>No Squirrels Found</v>
      </c>
      <c r="G841" s="8" t="s">
        <v>34</v>
      </c>
      <c r="H841" s="10">
        <v>10142018</v>
      </c>
      <c r="I841" s="10">
        <v>1</v>
      </c>
      <c r="J841" s="8" t="s">
        <v>39</v>
      </c>
      <c r="K841" s="8" t="s">
        <v>40</v>
      </c>
      <c r="L841" s="8" t="s">
        <v>84</v>
      </c>
      <c r="M841" s="8" t="s">
        <v>103</v>
      </c>
      <c r="O841" s="8" t="s">
        <v>43</v>
      </c>
      <c r="P841" s="8" t="b">
        <v>0</v>
      </c>
      <c r="R841" s="8" t="b">
        <v>0</v>
      </c>
      <c r="S841" s="8" t="b">
        <v>1</v>
      </c>
      <c r="T841" s="8" t="b">
        <v>0</v>
      </c>
      <c r="U841" s="8" t="b">
        <v>0</v>
      </c>
      <c r="V841" s="8" t="b">
        <v>0</v>
      </c>
      <c r="X841" s="8" t="b">
        <v>0</v>
      </c>
      <c r="Y841" s="8" t="b">
        <v>0</v>
      </c>
      <c r="Z841" s="8" t="b">
        <v>0</v>
      </c>
      <c r="AA841" s="8" t="b">
        <v>0</v>
      </c>
      <c r="AB841" s="8" t="b">
        <v>0</v>
      </c>
      <c r="AC841" s="8" t="b">
        <v>0</v>
      </c>
      <c r="AD841" s="8" t="b">
        <v>1</v>
      </c>
      <c r="AE841" s="8" t="b">
        <v>0</v>
      </c>
      <c r="AG841" s="11" t="b" cm="1">
        <f t="array" ref="AG841">IF(OR(Y841:AA841="TRUE", AE841="true"), "Threatened")</f>
        <v>0</v>
      </c>
      <c r="AH841" s="11" t="s">
        <v>2368</v>
      </c>
      <c r="AI841" s="8" t="b">
        <v>1</v>
      </c>
    </row>
    <row r="842" spans="1:35" ht="31.2">
      <c r="A842" s="8">
        <v>-73.974693389999999</v>
      </c>
      <c r="B842" s="8">
        <v>40.773313870000003</v>
      </c>
      <c r="C842" s="8" t="s">
        <v>2369</v>
      </c>
      <c r="D842" s="8" t="s">
        <v>1403</v>
      </c>
      <c r="E842" s="8" t="b">
        <f t="shared" si="13"/>
        <v>0</v>
      </c>
      <c r="F842" s="8" t="str" cm="1">
        <f t="array" ref="F842">_xlfn._xlws.FILTER(E842:E4040, C842:C4040= "6D-PM-1020-01", "No Squirrels Found")</f>
        <v>No Squirrels Found</v>
      </c>
      <c r="G842" s="8" t="s">
        <v>34</v>
      </c>
      <c r="H842" s="10">
        <v>10062018</v>
      </c>
      <c r="I842" s="10">
        <v>5</v>
      </c>
      <c r="J842" s="8" t="s">
        <v>39</v>
      </c>
      <c r="K842" s="8" t="s">
        <v>40</v>
      </c>
      <c r="L842" s="8" t="s">
        <v>84</v>
      </c>
      <c r="M842" s="8" t="s">
        <v>103</v>
      </c>
      <c r="O842" s="8" t="s">
        <v>43</v>
      </c>
      <c r="P842" s="8" t="b">
        <v>0</v>
      </c>
      <c r="R842" s="8" t="b">
        <v>0</v>
      </c>
      <c r="S842" s="8" t="b">
        <v>0</v>
      </c>
      <c r="T842" s="8" t="b">
        <v>0</v>
      </c>
      <c r="U842" s="8" t="b">
        <v>1</v>
      </c>
      <c r="V842" s="8" t="b">
        <v>0</v>
      </c>
      <c r="X842" s="8" t="b">
        <v>0</v>
      </c>
      <c r="Y842" s="8" t="b">
        <v>0</v>
      </c>
      <c r="Z842" s="8" t="b">
        <v>0</v>
      </c>
      <c r="AA842" s="8" t="b">
        <v>0</v>
      </c>
      <c r="AB842" s="8" t="b">
        <v>0</v>
      </c>
      <c r="AC842" s="8" t="b">
        <v>0</v>
      </c>
      <c r="AD842" s="8" t="b">
        <v>0</v>
      </c>
      <c r="AE842" s="8" t="b">
        <v>1</v>
      </c>
      <c r="AF842" s="11" t="s">
        <v>2370</v>
      </c>
      <c r="AG842" s="11" t="b" cm="1">
        <f t="array" ref="AG842">IF(OR(Y842:AA842="TRUE", AE842="true"), "Threatened")</f>
        <v>0</v>
      </c>
      <c r="AH842" s="11" t="s">
        <v>2371</v>
      </c>
      <c r="AI842" s="8" t="b">
        <v>1</v>
      </c>
    </row>
    <row r="843" spans="1:35" ht="31.2">
      <c r="A843" s="8">
        <v>-73.964514699999995</v>
      </c>
      <c r="B843" s="8">
        <v>40.777256680000001</v>
      </c>
      <c r="C843" s="8" t="s">
        <v>2372</v>
      </c>
      <c r="D843" s="8" t="s">
        <v>2373</v>
      </c>
      <c r="E843" s="8" t="b">
        <f t="shared" si="13"/>
        <v>0</v>
      </c>
      <c r="F843" s="8" t="str" cm="1">
        <f t="array" ref="F843">_xlfn._xlws.FILTER(E843:E4041, C843:C4041= "6D-PM-1020-01", "No Squirrels Found")</f>
        <v>No Squirrels Found</v>
      </c>
      <c r="G843" s="8" t="s">
        <v>48</v>
      </c>
      <c r="H843" s="10">
        <v>10142018</v>
      </c>
      <c r="I843" s="10">
        <v>4</v>
      </c>
      <c r="J843" s="8" t="s">
        <v>39</v>
      </c>
      <c r="K843" s="8" t="s">
        <v>40</v>
      </c>
      <c r="L843" s="8" t="s">
        <v>117</v>
      </c>
      <c r="M843" s="8" t="s">
        <v>118</v>
      </c>
      <c r="O843" s="8" t="s">
        <v>43</v>
      </c>
      <c r="P843" s="8" t="b">
        <v>0</v>
      </c>
      <c r="R843" s="8" t="b">
        <v>0</v>
      </c>
      <c r="S843" s="8" t="b">
        <v>0</v>
      </c>
      <c r="T843" s="8" t="b">
        <v>0</v>
      </c>
      <c r="U843" s="8" t="b">
        <v>1</v>
      </c>
      <c r="V843" s="8" t="b">
        <v>1</v>
      </c>
      <c r="X843" s="8" t="b">
        <v>0</v>
      </c>
      <c r="Y843" s="8" t="b">
        <v>0</v>
      </c>
      <c r="Z843" s="8" t="b">
        <v>0</v>
      </c>
      <c r="AA843" s="8" t="b">
        <v>0</v>
      </c>
      <c r="AB843" s="8" t="b">
        <v>0</v>
      </c>
      <c r="AC843" s="8" t="b">
        <v>1</v>
      </c>
      <c r="AD843" s="8" t="b">
        <v>1</v>
      </c>
      <c r="AE843" s="8" t="b">
        <v>0</v>
      </c>
      <c r="AG843" s="11" t="b" cm="1">
        <f t="array" ref="AG843">IF(OR(Y843:AA843="TRUE", AE843="true"), "Threatened")</f>
        <v>0</v>
      </c>
      <c r="AH843" s="11" t="s">
        <v>2374</v>
      </c>
      <c r="AI843" s="8" t="b">
        <v>1</v>
      </c>
    </row>
    <row r="844" spans="1:35" ht="31.2">
      <c r="A844" s="8">
        <v>-73.971408960000005</v>
      </c>
      <c r="B844" s="8">
        <v>40.776791660000001</v>
      </c>
      <c r="C844" s="8" t="s">
        <v>2375</v>
      </c>
      <c r="D844" s="8" t="s">
        <v>741</v>
      </c>
      <c r="E844" s="8" t="b">
        <f t="shared" si="13"/>
        <v>0</v>
      </c>
      <c r="F844" s="8" t="str" cm="1">
        <f t="array" ref="F844">_xlfn._xlws.FILTER(E844:E4042, C844:C4042= "6D-PM-1020-01", "No Squirrels Found")</f>
        <v>No Squirrels Found</v>
      </c>
      <c r="G844" s="8" t="s">
        <v>48</v>
      </c>
      <c r="H844" s="10">
        <v>10142018</v>
      </c>
      <c r="I844" s="10">
        <v>12</v>
      </c>
      <c r="J844" s="8" t="s">
        <v>39</v>
      </c>
      <c r="K844" s="8" t="s">
        <v>40</v>
      </c>
      <c r="L844" s="8" t="s">
        <v>117</v>
      </c>
      <c r="M844" s="8" t="s">
        <v>118</v>
      </c>
      <c r="O844" s="8" t="s">
        <v>43</v>
      </c>
      <c r="P844" s="8" t="b">
        <v>0</v>
      </c>
      <c r="R844" s="8" t="b">
        <v>0</v>
      </c>
      <c r="S844" s="8" t="b">
        <v>0</v>
      </c>
      <c r="T844" s="8" t="b">
        <v>0</v>
      </c>
      <c r="U844" s="8" t="b">
        <v>1</v>
      </c>
      <c r="V844" s="8" t="b">
        <v>1</v>
      </c>
      <c r="X844" s="8" t="b">
        <v>0</v>
      </c>
      <c r="Y844" s="8" t="b">
        <v>0</v>
      </c>
      <c r="Z844" s="8" t="b">
        <v>0</v>
      </c>
      <c r="AA844" s="8" t="b">
        <v>0</v>
      </c>
      <c r="AB844" s="8" t="b">
        <v>0</v>
      </c>
      <c r="AC844" s="8" t="b">
        <v>1</v>
      </c>
      <c r="AD844" s="8" t="b">
        <v>0</v>
      </c>
      <c r="AE844" s="8" t="b">
        <v>0</v>
      </c>
      <c r="AG844" s="11" t="b" cm="1">
        <f t="array" ref="AG844">IF(OR(Y844:AA844="TRUE", AE844="true"), "Threatened")</f>
        <v>0</v>
      </c>
      <c r="AH844" s="11" t="s">
        <v>2376</v>
      </c>
      <c r="AI844" s="8" t="b">
        <v>1</v>
      </c>
    </row>
    <row r="845" spans="1:35" ht="31.2">
      <c r="A845" s="8">
        <v>-73.964237990000001</v>
      </c>
      <c r="B845" s="8">
        <v>40.777479249999999</v>
      </c>
      <c r="C845" s="8" t="s">
        <v>2377</v>
      </c>
      <c r="D845" s="8" t="s">
        <v>2373</v>
      </c>
      <c r="E845" s="8" t="b">
        <f t="shared" si="13"/>
        <v>0</v>
      </c>
      <c r="F845" s="8" t="str" cm="1">
        <f t="array" ref="F845">_xlfn._xlws.FILTER(E845:E4043, C845:C4043= "6D-PM-1020-01", "No Squirrels Found")</f>
        <v>No Squirrels Found</v>
      </c>
      <c r="G845" s="8" t="s">
        <v>34</v>
      </c>
      <c r="H845" s="10">
        <v>10172018</v>
      </c>
      <c r="I845" s="10">
        <v>1</v>
      </c>
      <c r="J845" s="8" t="s">
        <v>54</v>
      </c>
      <c r="K845" s="8" t="s">
        <v>41</v>
      </c>
      <c r="L845" s="8" t="s">
        <v>84</v>
      </c>
      <c r="M845" s="8" t="s">
        <v>85</v>
      </c>
      <c r="O845" s="8" t="s">
        <v>50</v>
      </c>
      <c r="P845" s="8">
        <v>15</v>
      </c>
      <c r="R845" s="8" t="b">
        <v>0</v>
      </c>
      <c r="S845" s="8" t="b">
        <v>0</v>
      </c>
      <c r="T845" s="8" t="b">
        <v>1</v>
      </c>
      <c r="U845" s="8" t="b">
        <v>0</v>
      </c>
      <c r="V845" s="8" t="b">
        <v>0</v>
      </c>
      <c r="X845" s="8" t="b">
        <v>0</v>
      </c>
      <c r="Y845" s="8" t="b">
        <v>0</v>
      </c>
      <c r="Z845" s="8" t="b">
        <v>0</v>
      </c>
      <c r="AA845" s="8" t="b">
        <v>0</v>
      </c>
      <c r="AB845" s="8" t="b">
        <v>0</v>
      </c>
      <c r="AC845" s="8" t="b">
        <v>0</v>
      </c>
      <c r="AD845" s="8" t="b">
        <v>0</v>
      </c>
      <c r="AE845" s="8" t="b">
        <v>0</v>
      </c>
      <c r="AF845" s="11" t="s">
        <v>2378</v>
      </c>
      <c r="AG845" s="11" t="b" cm="1">
        <f t="array" ref="AG845">IF(OR(Y845:AA845="TRUE", AE845="true"), "Threatened")</f>
        <v>0</v>
      </c>
      <c r="AH845" s="11" t="s">
        <v>2379</v>
      </c>
      <c r="AI845" s="8" t="b">
        <v>1</v>
      </c>
    </row>
    <row r="846" spans="1:35" ht="31.2">
      <c r="A846" s="8">
        <v>-73.958285020000005</v>
      </c>
      <c r="B846" s="8">
        <v>40.797897589999998</v>
      </c>
      <c r="C846" s="8" t="s">
        <v>2380</v>
      </c>
      <c r="D846" s="8" t="s">
        <v>58</v>
      </c>
      <c r="E846" s="8" t="b">
        <f t="shared" si="13"/>
        <v>0</v>
      </c>
      <c r="F846" s="8" t="str" cm="1">
        <f t="array" ref="F846">_xlfn._xlws.FILTER(E846:E4044, C846:C4044= "6D-PM-1020-01", "No Squirrels Found")</f>
        <v>No Squirrels Found</v>
      </c>
      <c r="G846" s="8" t="s">
        <v>34</v>
      </c>
      <c r="H846" s="10">
        <v>10142018</v>
      </c>
      <c r="I846" s="10">
        <v>1</v>
      </c>
      <c r="J846" s="8" t="s">
        <v>39</v>
      </c>
      <c r="K846" s="8" t="s">
        <v>40</v>
      </c>
      <c r="L846" s="8" t="s">
        <v>84</v>
      </c>
      <c r="M846" s="8" t="s">
        <v>103</v>
      </c>
      <c r="N846" s="11" t="s">
        <v>2381</v>
      </c>
      <c r="O846" s="8" t="s">
        <v>43</v>
      </c>
      <c r="P846" s="8" t="b">
        <v>0</v>
      </c>
      <c r="R846" s="8" t="b">
        <v>0</v>
      </c>
      <c r="S846" s="8" t="b">
        <v>0</v>
      </c>
      <c r="T846" s="8" t="b">
        <v>0</v>
      </c>
      <c r="U846" s="8" t="b">
        <v>1</v>
      </c>
      <c r="V846" s="8" t="b">
        <v>1</v>
      </c>
      <c r="X846" s="8" t="b">
        <v>0</v>
      </c>
      <c r="Y846" s="8" t="b">
        <v>0</v>
      </c>
      <c r="Z846" s="8" t="b">
        <v>0</v>
      </c>
      <c r="AA846" s="8" t="b">
        <v>0</v>
      </c>
      <c r="AB846" s="8" t="b">
        <v>0</v>
      </c>
      <c r="AC846" s="8" t="b">
        <v>0</v>
      </c>
      <c r="AD846" s="8" t="b">
        <v>1</v>
      </c>
      <c r="AE846" s="8" t="b">
        <v>0</v>
      </c>
      <c r="AG846" s="11" t="b" cm="1">
        <f t="array" ref="AG846">IF(OR(Y846:AA846="TRUE", AE846="true"), "Threatened")</f>
        <v>0</v>
      </c>
      <c r="AH846" s="11" t="s">
        <v>2382</v>
      </c>
      <c r="AI846" s="8" t="b">
        <v>1</v>
      </c>
    </row>
    <row r="847" spans="1:35" ht="31.2">
      <c r="A847" s="8">
        <v>-73.958264400000004</v>
      </c>
      <c r="B847" s="8">
        <v>40.800046010000003</v>
      </c>
      <c r="C847" s="8" t="s">
        <v>2383</v>
      </c>
      <c r="D847" s="8" t="s">
        <v>2384</v>
      </c>
      <c r="E847" s="8" t="b">
        <f t="shared" si="13"/>
        <v>0</v>
      </c>
      <c r="F847" s="8" t="str" cm="1">
        <f t="array" ref="F847">_xlfn._xlws.FILTER(E847:E4045, C847:C4045= "6D-PM-1020-01", "No Squirrels Found")</f>
        <v>No Squirrels Found</v>
      </c>
      <c r="G847" s="8" t="s">
        <v>48</v>
      </c>
      <c r="H847" s="10">
        <v>10192018</v>
      </c>
      <c r="I847" s="10">
        <v>1</v>
      </c>
      <c r="J847" s="8" t="s">
        <v>54</v>
      </c>
      <c r="K847" s="8" t="s">
        <v>40</v>
      </c>
      <c r="L847" s="8" t="s">
        <v>84</v>
      </c>
      <c r="M847" s="8" t="s">
        <v>103</v>
      </c>
      <c r="O847" s="8" t="s">
        <v>43</v>
      </c>
      <c r="P847" s="8" t="b">
        <v>0</v>
      </c>
      <c r="R847" s="8" t="b">
        <v>0</v>
      </c>
      <c r="S847" s="8" t="b">
        <v>0</v>
      </c>
      <c r="T847" s="8" t="b">
        <v>0</v>
      </c>
      <c r="U847" s="8" t="b">
        <v>0</v>
      </c>
      <c r="V847" s="8" t="b">
        <v>1</v>
      </c>
      <c r="X847" s="8" t="b">
        <v>0</v>
      </c>
      <c r="Y847" s="8" t="b">
        <v>0</v>
      </c>
      <c r="Z847" s="8" t="b">
        <v>0</v>
      </c>
      <c r="AA847" s="8" t="b">
        <v>0</v>
      </c>
      <c r="AB847" s="8" t="b">
        <v>1</v>
      </c>
      <c r="AC847" s="8" t="b">
        <v>0</v>
      </c>
      <c r="AD847" s="8" t="b">
        <v>1</v>
      </c>
      <c r="AE847" s="8" t="b">
        <v>0</v>
      </c>
      <c r="AG847" s="11" t="b" cm="1">
        <f t="array" ref="AG847">IF(OR(Y847:AA847="TRUE", AE847="true"), "Threatened")</f>
        <v>0</v>
      </c>
      <c r="AH847" s="11" t="s">
        <v>2385</v>
      </c>
      <c r="AI847" s="8" t="b">
        <v>1</v>
      </c>
    </row>
    <row r="848" spans="1:35" ht="31.2">
      <c r="A848" s="8">
        <v>-73.977133539999997</v>
      </c>
      <c r="B848" s="8">
        <v>40.76684315</v>
      </c>
      <c r="C848" s="8" t="s">
        <v>2386</v>
      </c>
      <c r="D848" s="8" t="s">
        <v>47</v>
      </c>
      <c r="E848" s="8" t="b">
        <f t="shared" si="13"/>
        <v>0</v>
      </c>
      <c r="F848" s="8" t="str" cm="1">
        <f t="array" ref="F848">_xlfn._xlws.FILTER(E848:E4046, C848:C4046= "6D-PM-1020-01", "No Squirrels Found")</f>
        <v>No Squirrels Found</v>
      </c>
      <c r="G848" s="8" t="s">
        <v>48</v>
      </c>
      <c r="H848" s="10">
        <v>10102018</v>
      </c>
      <c r="I848" s="10">
        <v>1</v>
      </c>
      <c r="J848" s="8" t="s">
        <v>39</v>
      </c>
      <c r="K848" s="8" t="s">
        <v>40</v>
      </c>
      <c r="L848" s="8" t="s">
        <v>41</v>
      </c>
      <c r="M848" s="8" t="s">
        <v>42</v>
      </c>
      <c r="O848" s="8" t="s">
        <v>43</v>
      </c>
      <c r="P848" s="8" t="b">
        <v>0</v>
      </c>
      <c r="R848" s="8" t="b">
        <v>0</v>
      </c>
      <c r="S848" s="8" t="b">
        <v>0</v>
      </c>
      <c r="T848" s="8" t="b">
        <v>0</v>
      </c>
      <c r="U848" s="8" t="b">
        <v>0</v>
      </c>
      <c r="V848" s="8" t="b">
        <v>1</v>
      </c>
      <c r="X848" s="8" t="b">
        <v>0</v>
      </c>
      <c r="Y848" s="8" t="b">
        <v>0</v>
      </c>
      <c r="Z848" s="8" t="b">
        <v>0</v>
      </c>
      <c r="AA848" s="8" t="b">
        <v>0</v>
      </c>
      <c r="AB848" s="8" t="b">
        <v>1</v>
      </c>
      <c r="AC848" s="8" t="b">
        <v>0</v>
      </c>
      <c r="AD848" s="8" t="b">
        <v>1</v>
      </c>
      <c r="AE848" s="8" t="b">
        <v>0</v>
      </c>
      <c r="AG848" s="11" t="b" cm="1">
        <f t="array" ref="AG848">IF(OR(Y848:AA848="TRUE", AE848="true"), "Threatened")</f>
        <v>0</v>
      </c>
      <c r="AH848" s="11" t="s">
        <v>2387</v>
      </c>
      <c r="AI848" s="8" t="b">
        <v>1</v>
      </c>
    </row>
    <row r="849" spans="1:35" ht="31.2">
      <c r="A849" s="8">
        <v>-73.969219030000005</v>
      </c>
      <c r="B849" s="8">
        <v>40.776336630000003</v>
      </c>
      <c r="C849" s="8" t="s">
        <v>2388</v>
      </c>
      <c r="D849" s="8" t="s">
        <v>239</v>
      </c>
      <c r="E849" s="8" t="b">
        <f t="shared" si="13"/>
        <v>0</v>
      </c>
      <c r="F849" s="8" t="str" cm="1">
        <f t="array" ref="F849">_xlfn._xlws.FILTER(E849:E4047, C849:C4047= "6D-PM-1020-01", "No Squirrels Found")</f>
        <v>No Squirrels Found</v>
      </c>
      <c r="G849" s="8" t="s">
        <v>48</v>
      </c>
      <c r="H849" s="10">
        <v>10072018</v>
      </c>
      <c r="I849" s="10">
        <v>2</v>
      </c>
      <c r="J849" s="8" t="s">
        <v>39</v>
      </c>
      <c r="K849" s="8" t="s">
        <v>40</v>
      </c>
      <c r="L849" s="8" t="s">
        <v>117</v>
      </c>
      <c r="M849" s="8" t="s">
        <v>118</v>
      </c>
      <c r="O849" s="8" t="s">
        <v>43</v>
      </c>
      <c r="P849" s="8" t="b">
        <v>0</v>
      </c>
      <c r="R849" s="8" t="b">
        <v>0</v>
      </c>
      <c r="S849" s="8" t="b">
        <v>0</v>
      </c>
      <c r="T849" s="8" t="b">
        <v>0</v>
      </c>
      <c r="U849" s="8" t="b">
        <v>0</v>
      </c>
      <c r="V849" s="8" t="b">
        <v>1</v>
      </c>
      <c r="X849" s="8" t="b">
        <v>0</v>
      </c>
      <c r="Y849" s="8" t="b">
        <v>0</v>
      </c>
      <c r="Z849" s="8" t="b">
        <v>0</v>
      </c>
      <c r="AA849" s="8" t="b">
        <v>0</v>
      </c>
      <c r="AB849" s="8" t="b">
        <v>0</v>
      </c>
      <c r="AC849" s="8" t="b">
        <v>0</v>
      </c>
      <c r="AD849" s="8" t="b">
        <v>1</v>
      </c>
      <c r="AE849" s="8" t="b">
        <v>0</v>
      </c>
      <c r="AG849" s="11" t="b" cm="1">
        <f t="array" ref="AG849">IF(OR(Y849:AA849="TRUE", AE849="true"), "Threatened")</f>
        <v>0</v>
      </c>
      <c r="AH849" s="11" t="s">
        <v>2389</v>
      </c>
      <c r="AI849" s="8" t="b">
        <v>1</v>
      </c>
    </row>
    <row r="850" spans="1:35" ht="31.2">
      <c r="A850" s="8">
        <v>-73.973616590000006</v>
      </c>
      <c r="B850" s="8">
        <v>40.77245439</v>
      </c>
      <c r="C850" s="8" t="s">
        <v>2390</v>
      </c>
      <c r="D850" s="8" t="s">
        <v>2088</v>
      </c>
      <c r="E850" s="8" t="b">
        <f t="shared" si="13"/>
        <v>0</v>
      </c>
      <c r="F850" s="8" t="str" cm="1">
        <f t="array" ref="F850">_xlfn._xlws.FILTER(E850:E4048, C850:C4048= "6D-PM-1020-01", "No Squirrels Found")</f>
        <v>No Squirrels Found</v>
      </c>
      <c r="G850" s="8" t="s">
        <v>48</v>
      </c>
      <c r="H850" s="10">
        <v>10072018</v>
      </c>
      <c r="I850" s="10">
        <v>4</v>
      </c>
      <c r="J850" s="8" t="s">
        <v>39</v>
      </c>
      <c r="K850" s="8" t="s">
        <v>40</v>
      </c>
      <c r="M850" s="8" t="s">
        <v>55</v>
      </c>
      <c r="O850" s="8" t="s">
        <v>50</v>
      </c>
      <c r="P850" s="8">
        <v>3</v>
      </c>
      <c r="R850" s="8" t="b">
        <v>0</v>
      </c>
      <c r="S850" s="8" t="b">
        <v>1</v>
      </c>
      <c r="T850" s="8" t="b">
        <v>0</v>
      </c>
      <c r="U850" s="8" t="b">
        <v>0</v>
      </c>
      <c r="V850" s="8" t="b">
        <v>0</v>
      </c>
      <c r="W850" s="11" t="s">
        <v>2391</v>
      </c>
      <c r="X850" s="8" t="b">
        <v>0</v>
      </c>
      <c r="Y850" s="8" t="b">
        <v>0</v>
      </c>
      <c r="Z850" s="8" t="b">
        <v>0</v>
      </c>
      <c r="AA850" s="8" t="b">
        <v>0</v>
      </c>
      <c r="AB850" s="8" t="b">
        <v>0</v>
      </c>
      <c r="AC850" s="8" t="b">
        <v>0</v>
      </c>
      <c r="AD850" s="8" t="b">
        <v>0</v>
      </c>
      <c r="AE850" s="8" t="b">
        <v>0</v>
      </c>
      <c r="AG850" s="11" t="b" cm="1">
        <f t="array" ref="AG850">IF(OR(Y850:AA850="TRUE", AE850="true"), "Threatened")</f>
        <v>0</v>
      </c>
      <c r="AH850" s="11" t="s">
        <v>2392</v>
      </c>
      <c r="AI850" s="8" t="b">
        <v>0</v>
      </c>
    </row>
    <row r="851" spans="1:35" ht="31.2">
      <c r="A851" s="8">
        <v>-73.964228890000001</v>
      </c>
      <c r="B851" s="8">
        <v>40.782043999999999</v>
      </c>
      <c r="C851" s="8" t="s">
        <v>2393</v>
      </c>
      <c r="D851" s="8" t="s">
        <v>177</v>
      </c>
      <c r="E851" s="8" t="b">
        <f t="shared" si="13"/>
        <v>0</v>
      </c>
      <c r="F851" s="8" t="str" cm="1">
        <f t="array" ref="F851">_xlfn._xlws.FILTER(E851:E4049, C851:C4049= "6D-PM-1020-01", "No Squirrels Found")</f>
        <v>No Squirrels Found</v>
      </c>
      <c r="G851" s="8" t="s">
        <v>48</v>
      </c>
      <c r="H851" s="10">
        <v>10072018</v>
      </c>
      <c r="I851" s="10">
        <v>6</v>
      </c>
      <c r="J851" s="8" t="s">
        <v>39</v>
      </c>
      <c r="K851" s="8" t="s">
        <v>41</v>
      </c>
      <c r="M851" s="8" t="s">
        <v>49</v>
      </c>
      <c r="O851" s="8" t="s">
        <v>43</v>
      </c>
      <c r="P851" s="8" t="b">
        <v>0</v>
      </c>
      <c r="R851" s="8" t="b">
        <v>0</v>
      </c>
      <c r="S851" s="8" t="b">
        <v>0</v>
      </c>
      <c r="T851" s="8" t="b">
        <v>1</v>
      </c>
      <c r="U851" s="8" t="b">
        <v>1</v>
      </c>
      <c r="V851" s="8" t="b">
        <v>0</v>
      </c>
      <c r="X851" s="8" t="b">
        <v>0</v>
      </c>
      <c r="Y851" s="8" t="b">
        <v>0</v>
      </c>
      <c r="Z851" s="8" t="b">
        <v>0</v>
      </c>
      <c r="AA851" s="8" t="b">
        <v>0</v>
      </c>
      <c r="AB851" s="8" t="b">
        <v>0</v>
      </c>
      <c r="AC851" s="8" t="b">
        <v>1</v>
      </c>
      <c r="AD851" s="8" t="b">
        <v>0</v>
      </c>
      <c r="AE851" s="8" t="b">
        <v>0</v>
      </c>
      <c r="AG851" s="11" t="b" cm="1">
        <f t="array" ref="AG851">IF(OR(Y851:AA851="TRUE", AE851="true"), "Threatened")</f>
        <v>0</v>
      </c>
      <c r="AH851" s="11" t="s">
        <v>2394</v>
      </c>
      <c r="AI851" s="8" t="b">
        <v>1</v>
      </c>
    </row>
    <row r="852" spans="1:35" ht="31.2">
      <c r="A852" s="8">
        <v>-73.952846280000003</v>
      </c>
      <c r="B852" s="8">
        <v>40.792384300000002</v>
      </c>
      <c r="C852" s="8" t="s">
        <v>2395</v>
      </c>
      <c r="D852" s="8" t="s">
        <v>106</v>
      </c>
      <c r="E852" s="8" t="b">
        <f t="shared" si="13"/>
        <v>0</v>
      </c>
      <c r="F852" s="8" t="str" cm="1">
        <f t="array" ref="F852">_xlfn._xlws.FILTER(E852:E4050, C852:C4050= "6D-PM-1020-01", "No Squirrels Found")</f>
        <v>No Squirrels Found</v>
      </c>
      <c r="G852" s="8" t="s">
        <v>48</v>
      </c>
      <c r="H852" s="10">
        <v>10172018</v>
      </c>
      <c r="I852" s="10">
        <v>4</v>
      </c>
      <c r="J852" s="8" t="s">
        <v>39</v>
      </c>
      <c r="K852" s="8" t="s">
        <v>40</v>
      </c>
      <c r="L852" s="8" t="s">
        <v>41</v>
      </c>
      <c r="M852" s="8" t="s">
        <v>42</v>
      </c>
      <c r="O852" s="8" t="s">
        <v>43</v>
      </c>
      <c r="P852" s="8" t="b">
        <v>0</v>
      </c>
      <c r="R852" s="8" t="b">
        <v>0</v>
      </c>
      <c r="S852" s="8" t="b">
        <v>0</v>
      </c>
      <c r="T852" s="8" t="b">
        <v>0</v>
      </c>
      <c r="U852" s="8" t="b">
        <v>0</v>
      </c>
      <c r="V852" s="8" t="b">
        <v>1</v>
      </c>
      <c r="X852" s="8" t="b">
        <v>0</v>
      </c>
      <c r="Y852" s="8" t="b">
        <v>0</v>
      </c>
      <c r="Z852" s="8" t="b">
        <v>0</v>
      </c>
      <c r="AA852" s="8" t="b">
        <v>0</v>
      </c>
      <c r="AB852" s="8" t="b">
        <v>0</v>
      </c>
      <c r="AC852" s="8" t="b">
        <v>0</v>
      </c>
      <c r="AD852" s="8" t="b">
        <v>1</v>
      </c>
      <c r="AE852" s="8" t="b">
        <v>0</v>
      </c>
      <c r="AG852" s="11" t="b" cm="1">
        <f t="array" ref="AG852">IF(OR(Y852:AA852="TRUE", AE852="true"), "Threatened")</f>
        <v>0</v>
      </c>
      <c r="AH852" s="11" t="s">
        <v>2396</v>
      </c>
      <c r="AI852" s="8" t="b">
        <v>1</v>
      </c>
    </row>
    <row r="853" spans="1:35" ht="31.2">
      <c r="A853" s="8">
        <v>-73.960970470000007</v>
      </c>
      <c r="B853" s="8">
        <v>40.79387869</v>
      </c>
      <c r="C853" s="8" t="s">
        <v>2397</v>
      </c>
      <c r="D853" s="8" t="s">
        <v>2398</v>
      </c>
      <c r="E853" s="8" t="b">
        <f t="shared" si="13"/>
        <v>0</v>
      </c>
      <c r="F853" s="8" t="str" cm="1">
        <f t="array" ref="F853">_xlfn._xlws.FILTER(E853:E4051, C853:C4051= "6D-PM-1020-01", "No Squirrels Found")</f>
        <v>No Squirrels Found</v>
      </c>
      <c r="G853" s="8" t="s">
        <v>48</v>
      </c>
      <c r="H853" s="10">
        <v>10132018</v>
      </c>
      <c r="I853" s="10">
        <v>3</v>
      </c>
      <c r="J853" s="8" t="s">
        <v>39</v>
      </c>
      <c r="K853" s="8" t="s">
        <v>41</v>
      </c>
      <c r="L853" s="8" t="s">
        <v>40</v>
      </c>
      <c r="M853" s="8" t="s">
        <v>110</v>
      </c>
      <c r="O853" s="8" t="s">
        <v>50</v>
      </c>
      <c r="P853" s="8">
        <v>15</v>
      </c>
      <c r="R853" s="8" t="b">
        <v>1</v>
      </c>
      <c r="S853" s="8" t="b">
        <v>0</v>
      </c>
      <c r="T853" s="8" t="b">
        <v>1</v>
      </c>
      <c r="U853" s="8" t="b">
        <v>0</v>
      </c>
      <c r="V853" s="8" t="b">
        <v>0</v>
      </c>
      <c r="W853" s="11" t="s">
        <v>2134</v>
      </c>
      <c r="X853" s="8" t="b">
        <v>0</v>
      </c>
      <c r="Y853" s="8" t="b">
        <v>0</v>
      </c>
      <c r="Z853" s="8" t="b">
        <v>0</v>
      </c>
      <c r="AA853" s="8" t="b">
        <v>0</v>
      </c>
      <c r="AB853" s="8" t="b">
        <v>0</v>
      </c>
      <c r="AC853" s="8" t="b">
        <v>1</v>
      </c>
      <c r="AD853" s="8" t="b">
        <v>0</v>
      </c>
      <c r="AE853" s="8" t="b">
        <v>1</v>
      </c>
      <c r="AG853" s="11" t="b" cm="1">
        <f t="array" ref="AG853">IF(OR(Y853:AA853="TRUE", AE853="true"), "Threatened")</f>
        <v>0</v>
      </c>
      <c r="AH853" s="11" t="s">
        <v>2399</v>
      </c>
      <c r="AI853" s="8" t="b">
        <v>0</v>
      </c>
    </row>
    <row r="854" spans="1:35" ht="31.2">
      <c r="A854" s="8">
        <v>-73.953450959999998</v>
      </c>
      <c r="B854" s="8">
        <v>40.792108419999998</v>
      </c>
      <c r="C854" s="8" t="s">
        <v>2400</v>
      </c>
      <c r="D854" s="8" t="s">
        <v>106</v>
      </c>
      <c r="E854" s="8" t="b">
        <f t="shared" si="13"/>
        <v>0</v>
      </c>
      <c r="F854" s="8" t="str" cm="1">
        <f t="array" ref="F854">_xlfn._xlws.FILTER(E854:E4052, C854:C4052= "6D-PM-1020-01", "No Squirrels Found")</f>
        <v>No Squirrels Found</v>
      </c>
      <c r="G854" s="8" t="s">
        <v>48</v>
      </c>
      <c r="H854" s="10">
        <v>10172018</v>
      </c>
      <c r="I854" s="10">
        <v>7</v>
      </c>
      <c r="J854" s="8" t="s">
        <v>39</v>
      </c>
      <c r="K854" s="8" t="s">
        <v>40</v>
      </c>
      <c r="L854" s="8" t="s">
        <v>41</v>
      </c>
      <c r="M854" s="8" t="s">
        <v>42</v>
      </c>
      <c r="O854" s="8" t="s">
        <v>43</v>
      </c>
      <c r="P854" s="8" t="b">
        <v>0</v>
      </c>
      <c r="R854" s="8" t="b">
        <v>0</v>
      </c>
      <c r="S854" s="8" t="b">
        <v>1</v>
      </c>
      <c r="T854" s="8" t="b">
        <v>0</v>
      </c>
      <c r="U854" s="8" t="b">
        <v>0</v>
      </c>
      <c r="V854" s="8" t="b">
        <v>1</v>
      </c>
      <c r="W854" s="11" t="s">
        <v>2401</v>
      </c>
      <c r="X854" s="8" t="b">
        <v>1</v>
      </c>
      <c r="Y854" s="8" t="b">
        <v>0</v>
      </c>
      <c r="Z854" s="8" t="b">
        <v>0</v>
      </c>
      <c r="AA854" s="8" t="b">
        <v>0</v>
      </c>
      <c r="AB854" s="8" t="b">
        <v>1</v>
      </c>
      <c r="AC854" s="8" t="b">
        <v>0</v>
      </c>
      <c r="AD854" s="8" t="b">
        <v>1</v>
      </c>
      <c r="AE854" s="8" t="b">
        <v>0</v>
      </c>
      <c r="AG854" s="11" t="b" cm="1">
        <f t="array" ref="AG854">IF(OR(Y854:AA854="TRUE", AE854="true"), "Threatened")</f>
        <v>0</v>
      </c>
      <c r="AH854" s="11" t="s">
        <v>2402</v>
      </c>
      <c r="AI854" s="8" t="b">
        <v>0</v>
      </c>
    </row>
    <row r="855" spans="1:35" ht="31.2">
      <c r="A855" s="8">
        <v>-73.9577113</v>
      </c>
      <c r="B855" s="8">
        <v>40.79043325</v>
      </c>
      <c r="C855" s="8" t="s">
        <v>2403</v>
      </c>
      <c r="D855" s="8" t="s">
        <v>540</v>
      </c>
      <c r="E855" s="8" t="b">
        <f t="shared" si="13"/>
        <v>0</v>
      </c>
      <c r="F855" s="8" t="str" cm="1">
        <f t="array" ref="F855">_xlfn._xlws.FILTER(E855:E4053, C855:C4053= "6D-PM-1020-01", "No Squirrels Found")</f>
        <v>No Squirrels Found</v>
      </c>
      <c r="G855" s="8" t="s">
        <v>34</v>
      </c>
      <c r="H855" s="10">
        <v>10132018</v>
      </c>
      <c r="I855" s="10">
        <v>2</v>
      </c>
      <c r="J855" s="8" t="s">
        <v>54</v>
      </c>
      <c r="K855" s="8" t="s">
        <v>192</v>
      </c>
      <c r="M855" s="8" t="s">
        <v>193</v>
      </c>
      <c r="O855" s="8" t="s">
        <v>43</v>
      </c>
      <c r="P855" s="8" t="b">
        <v>0</v>
      </c>
      <c r="R855" s="8" t="b">
        <v>0</v>
      </c>
      <c r="S855" s="8" t="b">
        <v>0</v>
      </c>
      <c r="T855" s="8" t="b">
        <v>0</v>
      </c>
      <c r="U855" s="8" t="b">
        <v>0</v>
      </c>
      <c r="V855" s="8" t="b">
        <v>1</v>
      </c>
      <c r="X855" s="8" t="b">
        <v>0</v>
      </c>
      <c r="Y855" s="8" t="b">
        <v>0</v>
      </c>
      <c r="Z855" s="8" t="b">
        <v>0</v>
      </c>
      <c r="AA855" s="8" t="b">
        <v>0</v>
      </c>
      <c r="AB855" s="8" t="b">
        <v>0</v>
      </c>
      <c r="AC855" s="8" t="b">
        <v>0</v>
      </c>
      <c r="AD855" s="8" t="b">
        <v>1</v>
      </c>
      <c r="AE855" s="8" t="b">
        <v>0</v>
      </c>
      <c r="AG855" s="11" t="b" cm="1">
        <f t="array" ref="AG855">IF(OR(Y855:AA855="TRUE", AE855="true"), "Threatened")</f>
        <v>0</v>
      </c>
      <c r="AH855" s="11" t="s">
        <v>2404</v>
      </c>
      <c r="AI855" s="8" t="b">
        <v>1</v>
      </c>
    </row>
    <row r="856" spans="1:35" ht="31.2">
      <c r="A856" s="8">
        <v>-73.980824769999998</v>
      </c>
      <c r="B856" s="8">
        <v>40.768940880000002</v>
      </c>
      <c r="C856" s="8" t="s">
        <v>2405</v>
      </c>
      <c r="D856" s="8" t="s">
        <v>1909</v>
      </c>
      <c r="E856" s="8" t="b">
        <f t="shared" si="13"/>
        <v>0</v>
      </c>
      <c r="F856" s="8" t="str" cm="1">
        <f t="array" ref="F856">_xlfn._xlws.FILTER(E856:E4054, C856:C4054= "6D-PM-1020-01", "No Squirrels Found")</f>
        <v>No Squirrels Found</v>
      </c>
      <c r="G856" s="8" t="s">
        <v>34</v>
      </c>
      <c r="H856" s="10">
        <v>10192018</v>
      </c>
      <c r="I856" s="10">
        <v>1</v>
      </c>
      <c r="J856" s="8" t="s">
        <v>39</v>
      </c>
      <c r="K856" s="8" t="s">
        <v>40</v>
      </c>
      <c r="L856" s="8" t="s">
        <v>84</v>
      </c>
      <c r="M856" s="8" t="s">
        <v>103</v>
      </c>
      <c r="O856" s="8" t="s">
        <v>43</v>
      </c>
      <c r="P856" s="8" t="b">
        <v>0</v>
      </c>
      <c r="R856" s="8" t="b">
        <v>0</v>
      </c>
      <c r="S856" s="8" t="b">
        <v>0</v>
      </c>
      <c r="T856" s="8" t="b">
        <v>0</v>
      </c>
      <c r="U856" s="8" t="b">
        <v>0</v>
      </c>
      <c r="V856" s="8" t="b">
        <v>0</v>
      </c>
      <c r="W856" s="11" t="s">
        <v>2406</v>
      </c>
      <c r="X856" s="8" t="b">
        <v>0</v>
      </c>
      <c r="Y856" s="8" t="b">
        <v>0</v>
      </c>
      <c r="Z856" s="8" t="b">
        <v>0</v>
      </c>
      <c r="AA856" s="8" t="b">
        <v>1</v>
      </c>
      <c r="AB856" s="8" t="b">
        <v>0</v>
      </c>
      <c r="AC856" s="8" t="b">
        <v>0</v>
      </c>
      <c r="AD856" s="8" t="b">
        <v>0</v>
      </c>
      <c r="AE856" s="8" t="b">
        <v>1</v>
      </c>
      <c r="AG856" s="11" t="b" cm="1">
        <f t="array" ref="AG856">IF(OR(Y856:AA856="TRUE", AE856="true"), "Threatened")</f>
        <v>0</v>
      </c>
      <c r="AH856" s="11" t="s">
        <v>2407</v>
      </c>
      <c r="AI856" s="8" t="b">
        <v>0</v>
      </c>
    </row>
    <row r="857" spans="1:35" ht="31.2">
      <c r="A857" s="8">
        <v>-73.959166719999999</v>
      </c>
      <c r="B857" s="8">
        <v>40.793760210000002</v>
      </c>
      <c r="C857" s="8" t="s">
        <v>2408</v>
      </c>
      <c r="D857" s="8" t="s">
        <v>515</v>
      </c>
      <c r="E857" s="8" t="b">
        <f t="shared" si="13"/>
        <v>0</v>
      </c>
      <c r="F857" s="8" t="str" cm="1">
        <f t="array" ref="F857">_xlfn._xlws.FILTER(E857:E4055, C857:C4055= "6D-PM-1020-01", "No Squirrels Found")</f>
        <v>No Squirrels Found</v>
      </c>
      <c r="G857" s="8" t="s">
        <v>34</v>
      </c>
      <c r="H857" s="10">
        <v>10132018</v>
      </c>
      <c r="I857" s="10">
        <v>7</v>
      </c>
      <c r="J857" s="8" t="s">
        <v>54</v>
      </c>
      <c r="K857" s="8" t="s">
        <v>40</v>
      </c>
      <c r="L857" s="8" t="s">
        <v>84</v>
      </c>
      <c r="M857" s="8" t="s">
        <v>103</v>
      </c>
      <c r="O857" s="8" t="s">
        <v>50</v>
      </c>
      <c r="P857" s="8">
        <v>12</v>
      </c>
      <c r="Q857" s="8" t="s">
        <v>206</v>
      </c>
      <c r="R857" s="8" t="b">
        <v>0</v>
      </c>
      <c r="S857" s="8" t="b">
        <v>0</v>
      </c>
      <c r="T857" s="8" t="b">
        <v>1</v>
      </c>
      <c r="U857" s="8" t="b">
        <v>0</v>
      </c>
      <c r="V857" s="8" t="b">
        <v>0</v>
      </c>
      <c r="X857" s="8" t="b">
        <v>0</v>
      </c>
      <c r="Y857" s="8" t="b">
        <v>0</v>
      </c>
      <c r="Z857" s="8" t="b">
        <v>0</v>
      </c>
      <c r="AA857" s="8" t="b">
        <v>0</v>
      </c>
      <c r="AB857" s="8" t="b">
        <v>1</v>
      </c>
      <c r="AC857" s="8" t="b">
        <v>0</v>
      </c>
      <c r="AD857" s="8" t="b">
        <v>1</v>
      </c>
      <c r="AE857" s="8" t="b">
        <v>0</v>
      </c>
      <c r="AG857" s="11" t="b" cm="1">
        <f t="array" ref="AG857">IF(OR(Y857:AA857="TRUE", AE857="true"), "Threatened")</f>
        <v>0</v>
      </c>
      <c r="AH857" s="11" t="s">
        <v>2409</v>
      </c>
      <c r="AI857" s="8" t="b">
        <v>1</v>
      </c>
    </row>
    <row r="858" spans="1:35" ht="31.2">
      <c r="A858" s="8">
        <v>-73.971424350000007</v>
      </c>
      <c r="B858" s="8">
        <v>40.771397399999998</v>
      </c>
      <c r="C858" s="8" t="s">
        <v>2410</v>
      </c>
      <c r="D858" s="8" t="s">
        <v>1583</v>
      </c>
      <c r="E858" s="8" t="b">
        <f t="shared" si="13"/>
        <v>0</v>
      </c>
      <c r="F858" s="8" t="str" cm="1">
        <f t="array" ref="F858">_xlfn._xlws.FILTER(E858:E4056, C858:C4056= "6D-PM-1020-01", "No Squirrels Found")</f>
        <v>No Squirrels Found</v>
      </c>
      <c r="G858" s="8" t="s">
        <v>34</v>
      </c>
      <c r="H858" s="10">
        <v>10172018</v>
      </c>
      <c r="I858" s="10">
        <v>2</v>
      </c>
      <c r="J858" s="8" t="s">
        <v>39</v>
      </c>
      <c r="K858" s="8" t="s">
        <v>40</v>
      </c>
      <c r="M858" s="8" t="s">
        <v>55</v>
      </c>
      <c r="O858" s="8" t="s">
        <v>43</v>
      </c>
      <c r="P858" s="8" t="b">
        <v>0</v>
      </c>
      <c r="R858" s="8" t="b">
        <v>0</v>
      </c>
      <c r="S858" s="8" t="b">
        <v>0</v>
      </c>
      <c r="T858" s="8" t="b">
        <v>0</v>
      </c>
      <c r="U858" s="8" t="b">
        <v>0</v>
      </c>
      <c r="V858" s="8" t="b">
        <v>1</v>
      </c>
      <c r="X858" s="8" t="b">
        <v>0</v>
      </c>
      <c r="Y858" s="8" t="b">
        <v>0</v>
      </c>
      <c r="Z858" s="8" t="b">
        <v>0</v>
      </c>
      <c r="AA858" s="8" t="b">
        <v>0</v>
      </c>
      <c r="AB858" s="8" t="b">
        <v>0</v>
      </c>
      <c r="AC858" s="8" t="b">
        <v>0</v>
      </c>
      <c r="AD858" s="8" t="b">
        <v>1</v>
      </c>
      <c r="AE858" s="8" t="b">
        <v>0</v>
      </c>
      <c r="AG858" s="11" t="b" cm="1">
        <f t="array" ref="AG858">IF(OR(Y858:AA858="TRUE", AE858="true"), "Threatened")</f>
        <v>0</v>
      </c>
      <c r="AH858" s="11" t="s">
        <v>2411</v>
      </c>
      <c r="AI858" s="8" t="b">
        <v>1</v>
      </c>
    </row>
    <row r="859" spans="1:35" ht="31.2">
      <c r="A859" s="8">
        <v>-73.962938339999994</v>
      </c>
      <c r="B859" s="8">
        <v>40.788938369999997</v>
      </c>
      <c r="C859" s="8" t="s">
        <v>2412</v>
      </c>
      <c r="D859" s="8" t="s">
        <v>188</v>
      </c>
      <c r="E859" s="8" t="b">
        <f t="shared" si="13"/>
        <v>0</v>
      </c>
      <c r="F859" s="8" t="str" cm="1">
        <f t="array" ref="F859">_xlfn._xlws.FILTER(E859:E4057, C859:C4057= "6D-PM-1020-01", "No Squirrels Found")</f>
        <v>No Squirrels Found</v>
      </c>
      <c r="G859" s="8" t="s">
        <v>48</v>
      </c>
      <c r="H859" s="10">
        <v>10072018</v>
      </c>
      <c r="I859" s="10">
        <v>2</v>
      </c>
      <c r="J859" s="8" t="s">
        <v>39</v>
      </c>
      <c r="K859" s="8" t="s">
        <v>192</v>
      </c>
      <c r="L859" s="8" t="s">
        <v>40</v>
      </c>
      <c r="M859" s="8" t="s">
        <v>1236</v>
      </c>
      <c r="O859" s="8" t="s">
        <v>50</v>
      </c>
      <c r="P859" s="8">
        <v>10</v>
      </c>
      <c r="R859" s="8" t="b">
        <v>1</v>
      </c>
      <c r="S859" s="8" t="b">
        <v>0</v>
      </c>
      <c r="T859" s="8" t="b">
        <v>1</v>
      </c>
      <c r="U859" s="8" t="b">
        <v>0</v>
      </c>
      <c r="V859" s="8" t="b">
        <v>0</v>
      </c>
      <c r="X859" s="8" t="b">
        <v>0</v>
      </c>
      <c r="Y859" s="8" t="b">
        <v>1</v>
      </c>
      <c r="Z859" s="8" t="b">
        <v>0</v>
      </c>
      <c r="AA859" s="8" t="b">
        <v>0</v>
      </c>
      <c r="AB859" s="8" t="b">
        <v>0</v>
      </c>
      <c r="AC859" s="8" t="b">
        <v>0</v>
      </c>
      <c r="AD859" s="8" t="b">
        <v>0</v>
      </c>
      <c r="AE859" s="8" t="b">
        <v>1</v>
      </c>
      <c r="AG859" s="11" t="b" cm="1">
        <f t="array" ref="AG859">IF(OR(Y859:AA859="TRUE", AE859="true"), "Threatened")</f>
        <v>0</v>
      </c>
      <c r="AH859" s="11" t="s">
        <v>2413</v>
      </c>
      <c r="AI859" s="8" t="b">
        <v>1</v>
      </c>
    </row>
    <row r="860" spans="1:35" ht="31.2">
      <c r="A860" s="8">
        <v>-73.960096460000003</v>
      </c>
      <c r="B860" s="8">
        <v>40.795233949999997</v>
      </c>
      <c r="C860" s="8" t="s">
        <v>2414</v>
      </c>
      <c r="D860" s="8" t="s">
        <v>1406</v>
      </c>
      <c r="E860" s="8" t="b">
        <f t="shared" si="13"/>
        <v>0</v>
      </c>
      <c r="F860" s="8" t="str" cm="1">
        <f t="array" ref="F860">_xlfn._xlws.FILTER(E860:E4058, C860:C4058= "6D-PM-1020-01", "No Squirrels Found")</f>
        <v>No Squirrels Found</v>
      </c>
      <c r="G860" s="8" t="s">
        <v>34</v>
      </c>
      <c r="H860" s="10">
        <v>10132018</v>
      </c>
      <c r="I860" s="10">
        <v>2</v>
      </c>
      <c r="J860" s="8" t="s">
        <v>39</v>
      </c>
      <c r="K860" s="8" t="s">
        <v>40</v>
      </c>
      <c r="L860" s="8" t="s">
        <v>84</v>
      </c>
      <c r="M860" s="8" t="s">
        <v>103</v>
      </c>
      <c r="O860" s="8" t="s">
        <v>43</v>
      </c>
      <c r="P860" s="8" t="b">
        <v>0</v>
      </c>
      <c r="R860" s="8" t="b">
        <v>1</v>
      </c>
      <c r="S860" s="8" t="b">
        <v>0</v>
      </c>
      <c r="T860" s="8" t="b">
        <v>1</v>
      </c>
      <c r="U860" s="8" t="b">
        <v>0</v>
      </c>
      <c r="V860" s="8" t="b">
        <v>0</v>
      </c>
      <c r="X860" s="8" t="b">
        <v>0</v>
      </c>
      <c r="Y860" s="8" t="b">
        <v>0</v>
      </c>
      <c r="Z860" s="8" t="b">
        <v>0</v>
      </c>
      <c r="AA860" s="8" t="b">
        <v>0</v>
      </c>
      <c r="AB860" s="8" t="b">
        <v>1</v>
      </c>
      <c r="AC860" s="8" t="b">
        <v>1</v>
      </c>
      <c r="AD860" s="8" t="b">
        <v>0</v>
      </c>
      <c r="AE860" s="8" t="b">
        <v>1</v>
      </c>
      <c r="AG860" s="11" t="b" cm="1">
        <f t="array" ref="AG860">IF(OR(Y860:AA860="TRUE", AE860="true"), "Threatened")</f>
        <v>0</v>
      </c>
      <c r="AH860" s="11" t="s">
        <v>2415</v>
      </c>
      <c r="AI860" s="8" t="b">
        <v>1</v>
      </c>
    </row>
    <row r="861" spans="1:35" ht="31.2">
      <c r="A861" s="8">
        <v>-73.971351920000004</v>
      </c>
      <c r="B861" s="8">
        <v>40.779847009999997</v>
      </c>
      <c r="C861" s="8" t="s">
        <v>2416</v>
      </c>
      <c r="D861" s="8" t="s">
        <v>2417</v>
      </c>
      <c r="E861" s="8" t="b">
        <f t="shared" si="13"/>
        <v>0</v>
      </c>
      <c r="F861" s="8" t="str" cm="1">
        <f t="array" ref="F861">_xlfn._xlws.FILTER(E861:E4059, C861:C4059= "6D-PM-1020-01", "No Squirrels Found")</f>
        <v>No Squirrels Found</v>
      </c>
      <c r="G861" s="8" t="s">
        <v>48</v>
      </c>
      <c r="H861" s="10">
        <v>10102018</v>
      </c>
      <c r="I861" s="10">
        <v>1</v>
      </c>
      <c r="J861" s="8" t="s">
        <v>39</v>
      </c>
      <c r="K861" s="8" t="s">
        <v>40</v>
      </c>
      <c r="L861" s="8" t="s">
        <v>41</v>
      </c>
      <c r="M861" s="8" t="s">
        <v>42</v>
      </c>
      <c r="O861" s="8" t="s">
        <v>43</v>
      </c>
      <c r="P861" s="8" t="b">
        <v>0</v>
      </c>
      <c r="R861" s="8" t="b">
        <v>0</v>
      </c>
      <c r="S861" s="8" t="b">
        <v>0</v>
      </c>
      <c r="T861" s="8" t="b">
        <v>0</v>
      </c>
      <c r="U861" s="8" t="b">
        <v>1</v>
      </c>
      <c r="V861" s="8" t="b">
        <v>0</v>
      </c>
      <c r="X861" s="8" t="b">
        <v>0</v>
      </c>
      <c r="Y861" s="8" t="b">
        <v>0</v>
      </c>
      <c r="Z861" s="8" t="b">
        <v>0</v>
      </c>
      <c r="AA861" s="8" t="b">
        <v>0</v>
      </c>
      <c r="AB861" s="8" t="b">
        <v>1</v>
      </c>
      <c r="AC861" s="8" t="b">
        <v>0</v>
      </c>
      <c r="AD861" s="8" t="b">
        <v>1</v>
      </c>
      <c r="AE861" s="8" t="b">
        <v>0</v>
      </c>
      <c r="AG861" s="11" t="b" cm="1">
        <f t="array" ref="AG861">IF(OR(Y861:AA861="TRUE", AE861="true"), "Threatened")</f>
        <v>0</v>
      </c>
      <c r="AH861" s="11" t="s">
        <v>2418</v>
      </c>
      <c r="AI861" s="8" t="b">
        <v>1</v>
      </c>
    </row>
    <row r="862" spans="1:35" ht="31.2">
      <c r="A862" s="8">
        <v>-73.9532873</v>
      </c>
      <c r="B862" s="8">
        <v>40.79352033</v>
      </c>
      <c r="C862" s="8" t="s">
        <v>2419</v>
      </c>
      <c r="D862" s="8" t="s">
        <v>867</v>
      </c>
      <c r="E862" s="8" t="b">
        <f t="shared" si="13"/>
        <v>0</v>
      </c>
      <c r="F862" s="8" t="str" cm="1">
        <f t="array" ref="F862">_xlfn._xlws.FILTER(E862:E4060, C862:C4060= "6D-PM-1020-01", "No Squirrels Found")</f>
        <v>No Squirrels Found</v>
      </c>
      <c r="G862" s="8" t="s">
        <v>34</v>
      </c>
      <c r="H862" s="10">
        <v>10062018</v>
      </c>
      <c r="I862" s="10">
        <v>4</v>
      </c>
      <c r="M862" s="8" t="s">
        <v>35</v>
      </c>
      <c r="O862" s="8" t="s">
        <v>50</v>
      </c>
      <c r="P862" s="8">
        <v>43</v>
      </c>
      <c r="Q862" s="8" t="s">
        <v>206</v>
      </c>
      <c r="R862" s="8" t="b">
        <v>0</v>
      </c>
      <c r="S862" s="8" t="b">
        <v>0</v>
      </c>
      <c r="T862" s="8" t="b">
        <v>1</v>
      </c>
      <c r="U862" s="8" t="b">
        <v>0</v>
      </c>
      <c r="V862" s="8" t="b">
        <v>0</v>
      </c>
      <c r="X862" s="8" t="b">
        <v>0</v>
      </c>
      <c r="Y862" s="8" t="b">
        <v>0</v>
      </c>
      <c r="Z862" s="8" t="b">
        <v>0</v>
      </c>
      <c r="AA862" s="8" t="b">
        <v>0</v>
      </c>
      <c r="AB862" s="8" t="b">
        <v>0</v>
      </c>
      <c r="AC862" s="8" t="b">
        <v>0</v>
      </c>
      <c r="AD862" s="8" t="b">
        <v>0</v>
      </c>
      <c r="AE862" s="8" t="b">
        <v>0</v>
      </c>
      <c r="AG862" s="11" t="b" cm="1">
        <f t="array" ref="AG862">IF(OR(Y862:AA862="TRUE", AE862="true"), "Threatened")</f>
        <v>0</v>
      </c>
      <c r="AH862" s="11" t="s">
        <v>2420</v>
      </c>
      <c r="AI862" s="8" t="b">
        <v>1</v>
      </c>
    </row>
    <row r="863" spans="1:35" ht="31.2">
      <c r="A863" s="8">
        <v>-73.962612039999996</v>
      </c>
      <c r="B863" s="8">
        <v>40.790512640000003</v>
      </c>
      <c r="C863" s="8" t="s">
        <v>2421</v>
      </c>
      <c r="D863" s="8" t="s">
        <v>2080</v>
      </c>
      <c r="E863" s="8" t="b">
        <f t="shared" si="13"/>
        <v>0</v>
      </c>
      <c r="F863" s="8" t="str" cm="1">
        <f t="array" ref="F863">_xlfn._xlws.FILTER(E863:E4061, C863:C4061= "6D-PM-1020-01", "No Squirrels Found")</f>
        <v>No Squirrels Found</v>
      </c>
      <c r="G863" s="8" t="s">
        <v>48</v>
      </c>
      <c r="H863" s="10">
        <v>10142018</v>
      </c>
      <c r="I863" s="10">
        <v>2</v>
      </c>
      <c r="J863" s="8" t="s">
        <v>39</v>
      </c>
      <c r="K863" s="8" t="s">
        <v>40</v>
      </c>
      <c r="L863" s="8" t="s">
        <v>41</v>
      </c>
      <c r="M863" s="8" t="s">
        <v>42</v>
      </c>
      <c r="O863" s="8" t="s">
        <v>43</v>
      </c>
      <c r="P863" s="8" t="b">
        <v>0</v>
      </c>
      <c r="Q863" s="8" t="s">
        <v>2422</v>
      </c>
      <c r="R863" s="8" t="b">
        <v>1</v>
      </c>
      <c r="S863" s="8" t="b">
        <v>0</v>
      </c>
      <c r="T863" s="8" t="b">
        <v>0</v>
      </c>
      <c r="U863" s="8" t="b">
        <v>0</v>
      </c>
      <c r="V863" s="8" t="b">
        <v>1</v>
      </c>
      <c r="X863" s="8" t="b">
        <v>0</v>
      </c>
      <c r="Y863" s="8" t="b">
        <v>0</v>
      </c>
      <c r="Z863" s="8" t="b">
        <v>0</v>
      </c>
      <c r="AA863" s="8" t="b">
        <v>0</v>
      </c>
      <c r="AB863" s="8" t="b">
        <v>1</v>
      </c>
      <c r="AC863" s="8" t="b">
        <v>0</v>
      </c>
      <c r="AD863" s="8" t="b">
        <v>1</v>
      </c>
      <c r="AE863" s="8" t="b">
        <v>0</v>
      </c>
      <c r="AG863" s="11" t="b" cm="1">
        <f t="array" ref="AG863">IF(OR(Y863:AA863="TRUE", AE863="true"), "Threatened")</f>
        <v>0</v>
      </c>
      <c r="AH863" s="11" t="s">
        <v>2423</v>
      </c>
      <c r="AI863" s="8" t="b">
        <v>1</v>
      </c>
    </row>
    <row r="864" spans="1:35" ht="31.2">
      <c r="A864" s="8">
        <v>-73.976401600000003</v>
      </c>
      <c r="B864" s="8">
        <v>40.768989429999998</v>
      </c>
      <c r="C864" s="8" t="s">
        <v>2424</v>
      </c>
      <c r="D864" s="8" t="s">
        <v>544</v>
      </c>
      <c r="E864" s="8" t="b">
        <f t="shared" si="13"/>
        <v>0</v>
      </c>
      <c r="F864" s="8" t="str" cm="1">
        <f t="array" ref="F864">_xlfn._xlws.FILTER(E864:E4062, C864:C4062= "6D-PM-1020-01", "No Squirrels Found")</f>
        <v>No Squirrels Found</v>
      </c>
      <c r="G864" s="8" t="s">
        <v>34</v>
      </c>
      <c r="H864" s="10">
        <v>10082018</v>
      </c>
      <c r="I864" s="10">
        <v>5</v>
      </c>
      <c r="J864" s="8" t="s">
        <v>39</v>
      </c>
      <c r="K864" s="8" t="s">
        <v>41</v>
      </c>
      <c r="L864" s="8" t="s">
        <v>135</v>
      </c>
      <c r="M864" s="8" t="s">
        <v>136</v>
      </c>
      <c r="O864" s="8" t="s">
        <v>43</v>
      </c>
      <c r="P864" s="8" t="b">
        <v>0</v>
      </c>
      <c r="R864" s="8" t="b">
        <v>0</v>
      </c>
      <c r="S864" s="8" t="b">
        <v>0</v>
      </c>
      <c r="T864" s="8" t="b">
        <v>0</v>
      </c>
      <c r="U864" s="8" t="b">
        <v>0</v>
      </c>
      <c r="V864" s="8" t="b">
        <v>1</v>
      </c>
      <c r="X864" s="8" t="b">
        <v>0</v>
      </c>
      <c r="Y864" s="8" t="b">
        <v>0</v>
      </c>
      <c r="Z864" s="8" t="b">
        <v>0</v>
      </c>
      <c r="AA864" s="8" t="b">
        <v>0</v>
      </c>
      <c r="AB864" s="8" t="b">
        <v>0</v>
      </c>
      <c r="AC864" s="8" t="b">
        <v>0</v>
      </c>
      <c r="AD864" s="8" t="b">
        <v>1</v>
      </c>
      <c r="AE864" s="8" t="b">
        <v>0</v>
      </c>
      <c r="AG864" s="11" t="b" cm="1">
        <f t="array" ref="AG864">IF(OR(Y864:AA864="TRUE", AE864="true"), "Threatened")</f>
        <v>0</v>
      </c>
      <c r="AH864" s="11" t="s">
        <v>2425</v>
      </c>
      <c r="AI864" s="8" t="b">
        <v>1</v>
      </c>
    </row>
    <row r="865" spans="1:35" ht="31.2">
      <c r="A865" s="8">
        <v>-73.969485640000002</v>
      </c>
      <c r="B865" s="8">
        <v>40.780519159999997</v>
      </c>
      <c r="C865" s="8" t="s">
        <v>2426</v>
      </c>
      <c r="D865" s="8" t="s">
        <v>631</v>
      </c>
      <c r="E865" s="8" t="b">
        <f t="shared" si="13"/>
        <v>0</v>
      </c>
      <c r="F865" s="8" t="str" cm="1">
        <f t="array" ref="F865">_xlfn._xlws.FILTER(E865:E4063, C865:C4063= "6D-PM-1020-01", "No Squirrels Found")</f>
        <v>No Squirrels Found</v>
      </c>
      <c r="G865" s="8" t="s">
        <v>34</v>
      </c>
      <c r="H865" s="10">
        <v>10182018</v>
      </c>
      <c r="I865" s="10">
        <v>5</v>
      </c>
      <c r="J865" s="8" t="s">
        <v>39</v>
      </c>
      <c r="K865" s="8" t="s">
        <v>40</v>
      </c>
      <c r="L865" s="8" t="s">
        <v>117</v>
      </c>
      <c r="M865" s="8" t="s">
        <v>118</v>
      </c>
      <c r="O865" s="8" t="s">
        <v>43</v>
      </c>
      <c r="P865" s="8" t="b">
        <v>0</v>
      </c>
      <c r="R865" s="8" t="b">
        <v>0</v>
      </c>
      <c r="S865" s="8" t="b">
        <v>0</v>
      </c>
      <c r="T865" s="8" t="b">
        <v>0</v>
      </c>
      <c r="U865" s="8" t="b">
        <v>1</v>
      </c>
      <c r="V865" s="8" t="b">
        <v>1</v>
      </c>
      <c r="X865" s="8" t="b">
        <v>0</v>
      </c>
      <c r="Y865" s="8" t="b">
        <v>0</v>
      </c>
      <c r="Z865" s="8" t="b">
        <v>0</v>
      </c>
      <c r="AA865" s="8" t="b">
        <v>0</v>
      </c>
      <c r="AB865" s="8" t="b">
        <v>0</v>
      </c>
      <c r="AC865" s="8" t="b">
        <v>0</v>
      </c>
      <c r="AD865" s="8" t="b">
        <v>1</v>
      </c>
      <c r="AE865" s="8" t="b">
        <v>0</v>
      </c>
      <c r="AG865" s="11" t="b" cm="1">
        <f t="array" ref="AG865">IF(OR(Y865:AA865="TRUE", AE865="true"), "Threatened")</f>
        <v>0</v>
      </c>
      <c r="AH865" s="11" t="s">
        <v>2427</v>
      </c>
      <c r="AI865" s="8" t="b">
        <v>1</v>
      </c>
    </row>
    <row r="866" spans="1:35" ht="31.2">
      <c r="A866" s="8">
        <v>-73.974162190000001</v>
      </c>
      <c r="B866" s="8">
        <v>40.775248150000003</v>
      </c>
      <c r="C866" s="8" t="s">
        <v>2428</v>
      </c>
      <c r="D866" s="8" t="s">
        <v>2429</v>
      </c>
      <c r="E866" s="8" t="b">
        <f t="shared" si="13"/>
        <v>0</v>
      </c>
      <c r="F866" s="8" t="str" cm="1">
        <f t="array" ref="F866">_xlfn._xlws.FILTER(E866:E4064, C866:C4064= "6D-PM-1020-01", "No Squirrels Found")</f>
        <v>No Squirrels Found</v>
      </c>
      <c r="G866" s="8" t="s">
        <v>34</v>
      </c>
      <c r="H866" s="10">
        <v>10182018</v>
      </c>
      <c r="I866" s="10">
        <v>1</v>
      </c>
      <c r="J866" s="8" t="s">
        <v>39</v>
      </c>
      <c r="K866" s="8" t="s">
        <v>40</v>
      </c>
      <c r="L866" s="8" t="s">
        <v>84</v>
      </c>
      <c r="M866" s="8" t="s">
        <v>103</v>
      </c>
      <c r="O866" s="8" t="s">
        <v>50</v>
      </c>
      <c r="P866" s="8">
        <v>10</v>
      </c>
      <c r="R866" s="8" t="b">
        <v>0</v>
      </c>
      <c r="S866" s="8" t="b">
        <v>0</v>
      </c>
      <c r="T866" s="8" t="b">
        <v>1</v>
      </c>
      <c r="U866" s="8" t="b">
        <v>0</v>
      </c>
      <c r="V866" s="8" t="b">
        <v>0</v>
      </c>
      <c r="X866" s="8" t="b">
        <v>0</v>
      </c>
      <c r="Y866" s="8" t="b">
        <v>0</v>
      </c>
      <c r="Z866" s="8" t="b">
        <v>0</v>
      </c>
      <c r="AA866" s="8" t="b">
        <v>0</v>
      </c>
      <c r="AB866" s="8" t="b">
        <v>0</v>
      </c>
      <c r="AC866" s="8" t="b">
        <v>0</v>
      </c>
      <c r="AD866" s="8" t="b">
        <v>0</v>
      </c>
      <c r="AE866" s="8" t="b">
        <v>1</v>
      </c>
      <c r="AG866" s="11" t="b" cm="1">
        <f t="array" ref="AG866">IF(OR(Y866:AA866="TRUE", AE866="true"), "Threatened")</f>
        <v>0</v>
      </c>
      <c r="AH866" s="11" t="s">
        <v>2430</v>
      </c>
      <c r="AI866" s="8" t="b">
        <v>1</v>
      </c>
    </row>
    <row r="867" spans="1:35" ht="31.2">
      <c r="A867" s="8">
        <v>-73.979209119999993</v>
      </c>
      <c r="B867" s="8">
        <v>40.76858455</v>
      </c>
      <c r="C867" s="8" t="s">
        <v>2431</v>
      </c>
      <c r="D867" s="8" t="s">
        <v>219</v>
      </c>
      <c r="E867" s="8" t="b">
        <f t="shared" si="13"/>
        <v>0</v>
      </c>
      <c r="F867" s="8" t="str" cm="1">
        <f t="array" ref="F867">_xlfn._xlws.FILTER(E867:E4065, C867:C4065= "6D-PM-1020-01", "No Squirrels Found")</f>
        <v>No Squirrels Found</v>
      </c>
      <c r="G867" s="8" t="s">
        <v>34</v>
      </c>
      <c r="H867" s="10">
        <v>10132018</v>
      </c>
      <c r="I867" s="10">
        <v>6</v>
      </c>
      <c r="J867" s="8" t="s">
        <v>39</v>
      </c>
      <c r="K867" s="8" t="s">
        <v>40</v>
      </c>
      <c r="M867" s="8" t="s">
        <v>55</v>
      </c>
      <c r="O867" s="8" t="s">
        <v>43</v>
      </c>
      <c r="P867" s="8" t="b">
        <v>0</v>
      </c>
      <c r="R867" s="8" t="b">
        <v>0</v>
      </c>
      <c r="S867" s="8" t="b">
        <v>0</v>
      </c>
      <c r="T867" s="8" t="b">
        <v>0</v>
      </c>
      <c r="U867" s="8" t="b">
        <v>0</v>
      </c>
      <c r="V867" s="8" t="b">
        <v>0</v>
      </c>
      <c r="X867" s="8" t="b">
        <v>0</v>
      </c>
      <c r="Y867" s="8" t="b">
        <v>0</v>
      </c>
      <c r="Z867" s="8" t="b">
        <v>0</v>
      </c>
      <c r="AA867" s="8" t="b">
        <v>0</v>
      </c>
      <c r="AB867" s="8" t="b">
        <v>0</v>
      </c>
      <c r="AC867" s="8" t="b">
        <v>1</v>
      </c>
      <c r="AD867" s="8" t="b">
        <v>0</v>
      </c>
      <c r="AE867" s="8" t="b">
        <v>0</v>
      </c>
      <c r="AF867" s="11" t="s">
        <v>2432</v>
      </c>
      <c r="AG867" s="11" t="b" cm="1">
        <f t="array" ref="AG867">IF(OR(Y867:AA867="TRUE", AE867="true"), "Threatened")</f>
        <v>0</v>
      </c>
      <c r="AH867" s="11" t="s">
        <v>2433</v>
      </c>
      <c r="AI867" s="8" t="b">
        <v>1</v>
      </c>
    </row>
    <row r="868" spans="1:35" ht="31.2">
      <c r="A868" s="8">
        <v>-73.976225769999999</v>
      </c>
      <c r="B868" s="8">
        <v>40.774403280000001</v>
      </c>
      <c r="C868" s="8" t="s">
        <v>2434</v>
      </c>
      <c r="D868" s="8" t="s">
        <v>859</v>
      </c>
      <c r="E868" s="8" t="b">
        <f t="shared" si="13"/>
        <v>0</v>
      </c>
      <c r="F868" s="8" t="str" cm="1">
        <f t="array" ref="F868">_xlfn._xlws.FILTER(E868:E4066, C868:C4066= "6D-PM-1020-01", "No Squirrels Found")</f>
        <v>No Squirrels Found</v>
      </c>
      <c r="G868" s="8" t="s">
        <v>48</v>
      </c>
      <c r="H868" s="10">
        <v>10132018</v>
      </c>
      <c r="I868" s="10">
        <v>8</v>
      </c>
      <c r="J868" s="8" t="s">
        <v>39</v>
      </c>
      <c r="M868" s="8" t="s">
        <v>35</v>
      </c>
      <c r="R868" s="8" t="b">
        <v>0</v>
      </c>
      <c r="S868" s="8" t="b">
        <v>0</v>
      </c>
      <c r="T868" s="8" t="b">
        <v>0</v>
      </c>
      <c r="U868" s="8" t="b">
        <v>0</v>
      </c>
      <c r="V868" s="8" t="b">
        <v>0</v>
      </c>
      <c r="X868" s="8" t="b">
        <v>0</v>
      </c>
      <c r="Y868" s="8" t="b">
        <v>0</v>
      </c>
      <c r="Z868" s="8" t="b">
        <v>0</v>
      </c>
      <c r="AA868" s="8" t="b">
        <v>0</v>
      </c>
      <c r="AB868" s="8" t="b">
        <v>0</v>
      </c>
      <c r="AC868" s="8" t="b">
        <v>0</v>
      </c>
      <c r="AD868" s="8" t="b">
        <v>0</v>
      </c>
      <c r="AE868" s="8" t="b">
        <v>1</v>
      </c>
      <c r="AG868" s="11" t="b" cm="1">
        <f t="array" ref="AG868">IF(OR(Y868:AA868="TRUE", AE868="true"), "Threatened")</f>
        <v>0</v>
      </c>
      <c r="AH868" s="11" t="s">
        <v>2435</v>
      </c>
      <c r="AI868" s="8" t="b">
        <v>1</v>
      </c>
    </row>
    <row r="869" spans="1:35" ht="31.2">
      <c r="A869" s="8">
        <v>-73.973848180000005</v>
      </c>
      <c r="B869" s="8">
        <v>40.770654069999999</v>
      </c>
      <c r="C869" s="8" t="s">
        <v>2436</v>
      </c>
      <c r="D869" s="8" t="s">
        <v>159</v>
      </c>
      <c r="E869" s="8" t="b">
        <f t="shared" si="13"/>
        <v>0</v>
      </c>
      <c r="F869" s="8" t="str" cm="1">
        <f t="array" ref="F869">_xlfn._xlws.FILTER(E869:E4067, C869:C4067= "6D-PM-1020-01", "No Squirrels Found")</f>
        <v>No Squirrels Found</v>
      </c>
      <c r="G869" s="8" t="s">
        <v>34</v>
      </c>
      <c r="H869" s="10">
        <v>10132018</v>
      </c>
      <c r="I869" s="10">
        <v>4</v>
      </c>
      <c r="J869" s="8" t="s">
        <v>39</v>
      </c>
      <c r="K869" s="8" t="s">
        <v>40</v>
      </c>
      <c r="L869" s="8" t="s">
        <v>41</v>
      </c>
      <c r="M869" s="8" t="s">
        <v>42</v>
      </c>
      <c r="O869" s="8" t="s">
        <v>43</v>
      </c>
      <c r="P869" s="8" t="b">
        <v>0</v>
      </c>
      <c r="R869" s="8" t="b">
        <v>1</v>
      </c>
      <c r="S869" s="8" t="b">
        <v>0</v>
      </c>
      <c r="T869" s="8" t="b">
        <v>0</v>
      </c>
      <c r="U869" s="8" t="b">
        <v>1</v>
      </c>
      <c r="V869" s="8" t="b">
        <v>1</v>
      </c>
      <c r="X869" s="8" t="b">
        <v>0</v>
      </c>
      <c r="Y869" s="8" t="b">
        <v>0</v>
      </c>
      <c r="Z869" s="8" t="b">
        <v>0</v>
      </c>
      <c r="AA869" s="8" t="b">
        <v>0</v>
      </c>
      <c r="AB869" s="8" t="b">
        <v>1</v>
      </c>
      <c r="AC869" s="8" t="b">
        <v>0</v>
      </c>
      <c r="AD869" s="8" t="b">
        <v>0</v>
      </c>
      <c r="AE869" s="8" t="b">
        <v>0</v>
      </c>
      <c r="AG869" s="11" t="b" cm="1">
        <f t="array" ref="AG869">IF(OR(Y869:AA869="TRUE", AE869="true"), "Threatened")</f>
        <v>0</v>
      </c>
      <c r="AH869" s="11" t="s">
        <v>2437</v>
      </c>
      <c r="AI869" s="8" t="b">
        <v>1</v>
      </c>
    </row>
    <row r="870" spans="1:35" ht="31.2">
      <c r="A870" s="8">
        <v>-73.962948339999997</v>
      </c>
      <c r="B870" s="8">
        <v>40.793680989999999</v>
      </c>
      <c r="C870" s="8" t="s">
        <v>2438</v>
      </c>
      <c r="D870" s="8" t="s">
        <v>2439</v>
      </c>
      <c r="E870" s="8" t="b">
        <f t="shared" si="13"/>
        <v>0</v>
      </c>
      <c r="F870" s="8" t="str" cm="1">
        <f t="array" ref="F870">_xlfn._xlws.FILTER(E870:E4068, C870:C4068= "6D-PM-1020-01", "No Squirrels Found")</f>
        <v>No Squirrels Found</v>
      </c>
      <c r="G870" s="8" t="s">
        <v>34</v>
      </c>
      <c r="H870" s="10">
        <v>10182018</v>
      </c>
      <c r="I870" s="10">
        <v>3</v>
      </c>
      <c r="J870" s="8" t="s">
        <v>39</v>
      </c>
      <c r="K870" s="8" t="s">
        <v>40</v>
      </c>
      <c r="M870" s="8" t="s">
        <v>55</v>
      </c>
      <c r="O870" s="8" t="s">
        <v>50</v>
      </c>
      <c r="P870" s="8">
        <v>6</v>
      </c>
      <c r="R870" s="8" t="b">
        <v>1</v>
      </c>
      <c r="S870" s="8" t="b">
        <v>0</v>
      </c>
      <c r="T870" s="8" t="b">
        <v>1</v>
      </c>
      <c r="U870" s="8" t="b">
        <v>0</v>
      </c>
      <c r="V870" s="8" t="b">
        <v>0</v>
      </c>
      <c r="X870" s="8" t="b">
        <v>0</v>
      </c>
      <c r="Y870" s="8" t="b">
        <v>0</v>
      </c>
      <c r="Z870" s="8" t="b">
        <v>0</v>
      </c>
      <c r="AA870" s="8" t="b">
        <v>0</v>
      </c>
      <c r="AB870" s="8" t="b">
        <v>0</v>
      </c>
      <c r="AC870" s="8" t="b">
        <v>0</v>
      </c>
      <c r="AD870" s="8" t="b">
        <v>0</v>
      </c>
      <c r="AE870" s="8" t="b">
        <v>1</v>
      </c>
      <c r="AG870" s="11" t="b" cm="1">
        <f t="array" ref="AG870">IF(OR(Y870:AA870="TRUE", AE870="true"), "Threatened")</f>
        <v>0</v>
      </c>
      <c r="AH870" s="11" t="s">
        <v>2440</v>
      </c>
      <c r="AI870" s="8" t="b">
        <v>1</v>
      </c>
    </row>
    <row r="871" spans="1:35" ht="31.2">
      <c r="A871" s="8">
        <v>-73.971872039999994</v>
      </c>
      <c r="B871" s="8">
        <v>40.770233509999997</v>
      </c>
      <c r="C871" s="8" t="s">
        <v>2441</v>
      </c>
      <c r="D871" s="8" t="s">
        <v>413</v>
      </c>
      <c r="E871" s="8" t="b">
        <f t="shared" si="13"/>
        <v>0</v>
      </c>
      <c r="F871" s="8" t="str" cm="1">
        <f t="array" ref="F871">_xlfn._xlws.FILTER(E871:E4069, C871:C4069= "6D-PM-1020-01", "No Squirrels Found")</f>
        <v>No Squirrels Found</v>
      </c>
      <c r="G871" s="8" t="s">
        <v>34</v>
      </c>
      <c r="H871" s="10">
        <v>10182018</v>
      </c>
      <c r="I871" s="10">
        <v>4</v>
      </c>
      <c r="J871" s="8" t="s">
        <v>39</v>
      </c>
      <c r="K871" s="8" t="s">
        <v>40</v>
      </c>
      <c r="L871" s="8" t="s">
        <v>117</v>
      </c>
      <c r="M871" s="8" t="s">
        <v>118</v>
      </c>
      <c r="O871" s="8" t="s">
        <v>43</v>
      </c>
      <c r="P871" s="8" t="b">
        <v>0</v>
      </c>
      <c r="R871" s="8" t="b">
        <v>0</v>
      </c>
      <c r="S871" s="8" t="b">
        <v>0</v>
      </c>
      <c r="T871" s="8" t="b">
        <v>0</v>
      </c>
      <c r="U871" s="8" t="b">
        <v>0</v>
      </c>
      <c r="V871" s="8" t="b">
        <v>1</v>
      </c>
      <c r="X871" s="8" t="b">
        <v>0</v>
      </c>
      <c r="Y871" s="8" t="b">
        <v>0</v>
      </c>
      <c r="Z871" s="8" t="b">
        <v>0</v>
      </c>
      <c r="AA871" s="8" t="b">
        <v>0</v>
      </c>
      <c r="AB871" s="8" t="b">
        <v>0</v>
      </c>
      <c r="AC871" s="8" t="b">
        <v>0</v>
      </c>
      <c r="AD871" s="8" t="b">
        <v>0</v>
      </c>
      <c r="AE871" s="8" t="b">
        <v>0</v>
      </c>
      <c r="AG871" s="11" t="b" cm="1">
        <f t="array" ref="AG871">IF(OR(Y871:AA871="TRUE", AE871="true"), "Threatened")</f>
        <v>0</v>
      </c>
      <c r="AH871" s="11" t="s">
        <v>2442</v>
      </c>
      <c r="AI871" s="8" t="b">
        <v>1</v>
      </c>
    </row>
    <row r="872" spans="1:35" ht="31.2">
      <c r="A872" s="8">
        <v>-73.958373879999996</v>
      </c>
      <c r="B872" s="8">
        <v>40.797930280000003</v>
      </c>
      <c r="C872" s="8" t="s">
        <v>2443</v>
      </c>
      <c r="D872" s="8" t="s">
        <v>58</v>
      </c>
      <c r="E872" s="8" t="b">
        <f t="shared" si="13"/>
        <v>0</v>
      </c>
      <c r="F872" s="8" t="str" cm="1">
        <f t="array" ref="F872">_xlfn._xlws.FILTER(E872:E4070, C872:C4070= "6D-PM-1020-01", "No Squirrels Found")</f>
        <v>No Squirrels Found</v>
      </c>
      <c r="G872" s="8" t="s">
        <v>34</v>
      </c>
      <c r="H872" s="10">
        <v>10142018</v>
      </c>
      <c r="I872" s="10">
        <v>2</v>
      </c>
      <c r="J872" s="8" t="s">
        <v>54</v>
      </c>
      <c r="K872" s="8" t="s">
        <v>40</v>
      </c>
      <c r="L872" s="8" t="s">
        <v>41</v>
      </c>
      <c r="M872" s="8" t="s">
        <v>42</v>
      </c>
      <c r="O872" s="8" t="s">
        <v>43</v>
      </c>
      <c r="P872" s="8" t="b">
        <v>0</v>
      </c>
      <c r="R872" s="8" t="b">
        <v>0</v>
      </c>
      <c r="S872" s="8" t="b">
        <v>0</v>
      </c>
      <c r="T872" s="8" t="b">
        <v>0</v>
      </c>
      <c r="U872" s="8" t="b">
        <v>0</v>
      </c>
      <c r="V872" s="8" t="b">
        <v>1</v>
      </c>
      <c r="X872" s="8" t="b">
        <v>0</v>
      </c>
      <c r="Y872" s="8" t="b">
        <v>0</v>
      </c>
      <c r="Z872" s="8" t="b">
        <v>0</v>
      </c>
      <c r="AA872" s="8" t="b">
        <v>0</v>
      </c>
      <c r="AB872" s="8" t="b">
        <v>0</v>
      </c>
      <c r="AC872" s="8" t="b">
        <v>0</v>
      </c>
      <c r="AD872" s="8" t="b">
        <v>1</v>
      </c>
      <c r="AE872" s="8" t="b">
        <v>0</v>
      </c>
      <c r="AG872" s="11" t="b" cm="1">
        <f t="array" ref="AG872">IF(OR(Y872:AA872="TRUE", AE872="true"), "Threatened")</f>
        <v>0</v>
      </c>
      <c r="AH872" s="11" t="s">
        <v>2444</v>
      </c>
      <c r="AI872" s="8" t="b">
        <v>1</v>
      </c>
    </row>
    <row r="873" spans="1:35" ht="31.2">
      <c r="A873" s="8">
        <v>-73.955152440000006</v>
      </c>
      <c r="B873" s="8">
        <v>40.791053560000002</v>
      </c>
      <c r="C873" s="8" t="s">
        <v>2445</v>
      </c>
      <c r="D873" s="8" t="s">
        <v>1354</v>
      </c>
      <c r="E873" s="8" t="b">
        <f t="shared" si="13"/>
        <v>0</v>
      </c>
      <c r="F873" s="8" t="str" cm="1">
        <f t="array" ref="F873">_xlfn._xlws.FILTER(E873:E4071, C873:C4071= "6D-PM-1020-01", "No Squirrels Found")</f>
        <v>No Squirrels Found</v>
      </c>
      <c r="G873" s="8" t="s">
        <v>34</v>
      </c>
      <c r="H873" s="10">
        <v>10062018</v>
      </c>
      <c r="I873" s="10">
        <v>1</v>
      </c>
      <c r="J873" s="8" t="s">
        <v>39</v>
      </c>
      <c r="K873" s="8" t="s">
        <v>192</v>
      </c>
      <c r="M873" s="8" t="s">
        <v>193</v>
      </c>
      <c r="O873" s="8" t="s">
        <v>43</v>
      </c>
      <c r="P873" s="8" t="b">
        <v>0</v>
      </c>
      <c r="R873" s="8" t="b">
        <v>0</v>
      </c>
      <c r="S873" s="8" t="b">
        <v>0</v>
      </c>
      <c r="T873" s="8" t="b">
        <v>0</v>
      </c>
      <c r="U873" s="8" t="b">
        <v>0</v>
      </c>
      <c r="V873" s="8" t="b">
        <v>1</v>
      </c>
      <c r="X873" s="8" t="b">
        <v>0</v>
      </c>
      <c r="Y873" s="8" t="b">
        <v>0</v>
      </c>
      <c r="Z873" s="8" t="b">
        <v>0</v>
      </c>
      <c r="AA873" s="8" t="b">
        <v>0</v>
      </c>
      <c r="AB873" s="8" t="b">
        <v>0</v>
      </c>
      <c r="AC873" s="8" t="b">
        <v>0</v>
      </c>
      <c r="AD873" s="8" t="b">
        <v>0</v>
      </c>
      <c r="AE873" s="8" t="b">
        <v>0</v>
      </c>
      <c r="AG873" s="11" t="b" cm="1">
        <f t="array" ref="AG873">IF(OR(Y873:AA873="TRUE", AE873="true"), "Threatened")</f>
        <v>0</v>
      </c>
      <c r="AH873" s="11" t="s">
        <v>2446</v>
      </c>
      <c r="AI873" s="8" t="b">
        <v>1</v>
      </c>
    </row>
    <row r="874" spans="1:35" ht="31.2">
      <c r="A874" s="8">
        <v>-73.977094859999994</v>
      </c>
      <c r="B874" s="8">
        <v>40.772406349999997</v>
      </c>
      <c r="C874" s="8" t="s">
        <v>2447</v>
      </c>
      <c r="D874" s="8" t="s">
        <v>72</v>
      </c>
      <c r="E874" s="8" t="b">
        <f t="shared" si="13"/>
        <v>0</v>
      </c>
      <c r="F874" s="8" t="str" cm="1">
        <f t="array" ref="F874">_xlfn._xlws.FILTER(E874:E4072, C874:C4072= "6D-PM-1020-01", "No Squirrels Found")</f>
        <v>No Squirrels Found</v>
      </c>
      <c r="G874" s="8" t="s">
        <v>48</v>
      </c>
      <c r="H874" s="10">
        <v>10082018</v>
      </c>
      <c r="I874" s="10">
        <v>4</v>
      </c>
      <c r="J874" s="8" t="s">
        <v>39</v>
      </c>
      <c r="K874" s="8" t="s">
        <v>40</v>
      </c>
      <c r="M874" s="8" t="s">
        <v>55</v>
      </c>
      <c r="O874" s="8" t="s">
        <v>43</v>
      </c>
      <c r="P874" s="8" t="b">
        <v>0</v>
      </c>
      <c r="R874" s="8" t="b">
        <v>0</v>
      </c>
      <c r="S874" s="8" t="b">
        <v>1</v>
      </c>
      <c r="T874" s="8" t="b">
        <v>0</v>
      </c>
      <c r="U874" s="8" t="b">
        <v>0</v>
      </c>
      <c r="V874" s="8" t="b">
        <v>0</v>
      </c>
      <c r="X874" s="8" t="b">
        <v>0</v>
      </c>
      <c r="Y874" s="8" t="b">
        <v>0</v>
      </c>
      <c r="Z874" s="8" t="b">
        <v>0</v>
      </c>
      <c r="AA874" s="8" t="b">
        <v>0</v>
      </c>
      <c r="AB874" s="8" t="b">
        <v>0</v>
      </c>
      <c r="AC874" s="8" t="b">
        <v>0</v>
      </c>
      <c r="AD874" s="8" t="b">
        <v>1</v>
      </c>
      <c r="AE874" s="8" t="b">
        <v>0</v>
      </c>
      <c r="AG874" s="11" t="b" cm="1">
        <f t="array" ref="AG874">IF(OR(Y874:AA874="TRUE", AE874="true"), "Threatened")</f>
        <v>0</v>
      </c>
      <c r="AH874" s="11" t="s">
        <v>2448</v>
      </c>
      <c r="AI874" s="8" t="b">
        <v>1</v>
      </c>
    </row>
    <row r="875" spans="1:35" ht="31.2">
      <c r="A875" s="8">
        <v>-73.959195780000002</v>
      </c>
      <c r="B875" s="8">
        <v>40.794956890000002</v>
      </c>
      <c r="C875" s="8" t="s">
        <v>2449</v>
      </c>
      <c r="D875" s="8" t="s">
        <v>1262</v>
      </c>
      <c r="E875" s="8" t="b">
        <f t="shared" si="13"/>
        <v>0</v>
      </c>
      <c r="F875" s="8" t="str" cm="1">
        <f t="array" ref="F875">_xlfn._xlws.FILTER(E875:E4073, C875:C4073= "6D-PM-1020-01", "No Squirrels Found")</f>
        <v>No Squirrels Found</v>
      </c>
      <c r="G875" s="8" t="s">
        <v>34</v>
      </c>
      <c r="H875" s="10">
        <v>10132018</v>
      </c>
      <c r="I875" s="10">
        <v>1</v>
      </c>
      <c r="J875" s="8" t="s">
        <v>39</v>
      </c>
      <c r="K875" s="8" t="s">
        <v>40</v>
      </c>
      <c r="M875" s="8" t="s">
        <v>55</v>
      </c>
      <c r="O875" s="8" t="s">
        <v>43</v>
      </c>
      <c r="P875" s="8" t="b">
        <v>0</v>
      </c>
      <c r="Q875" s="8" t="s">
        <v>2450</v>
      </c>
      <c r="R875" s="8" t="b">
        <v>0</v>
      </c>
      <c r="S875" s="8" t="b">
        <v>1</v>
      </c>
      <c r="T875" s="8" t="b">
        <v>0</v>
      </c>
      <c r="U875" s="8" t="b">
        <v>1</v>
      </c>
      <c r="V875" s="8" t="b">
        <v>1</v>
      </c>
      <c r="X875" s="8" t="b">
        <v>0</v>
      </c>
      <c r="Y875" s="8" t="b">
        <v>0</v>
      </c>
      <c r="Z875" s="8" t="b">
        <v>0</v>
      </c>
      <c r="AA875" s="8" t="b">
        <v>0</v>
      </c>
      <c r="AB875" s="8" t="b">
        <v>1</v>
      </c>
      <c r="AC875" s="8" t="b">
        <v>0</v>
      </c>
      <c r="AD875" s="8" t="b">
        <v>1</v>
      </c>
      <c r="AE875" s="8" t="b">
        <v>0</v>
      </c>
      <c r="AG875" s="11" t="b" cm="1">
        <f t="array" ref="AG875">IF(OR(Y875:AA875="TRUE", AE875="true"), "Threatened")</f>
        <v>0</v>
      </c>
      <c r="AH875" s="11" t="s">
        <v>2451</v>
      </c>
      <c r="AI875" s="8" t="b">
        <v>1</v>
      </c>
    </row>
    <row r="876" spans="1:35" ht="31.2">
      <c r="A876" s="8">
        <v>-73.970086190000004</v>
      </c>
      <c r="B876" s="8">
        <v>40.777063929999997</v>
      </c>
      <c r="C876" s="8" t="s">
        <v>2452</v>
      </c>
      <c r="D876" s="8" t="s">
        <v>121</v>
      </c>
      <c r="E876" s="8" t="b">
        <f t="shared" si="13"/>
        <v>0</v>
      </c>
      <c r="F876" s="8" t="str" cm="1">
        <f t="array" ref="F876">_xlfn._xlws.FILTER(E876:E4074, C876:C4074= "6D-PM-1020-01", "No Squirrels Found")</f>
        <v>No Squirrels Found</v>
      </c>
      <c r="G876" s="8" t="s">
        <v>34</v>
      </c>
      <c r="H876" s="10">
        <v>10172018</v>
      </c>
      <c r="I876" s="10">
        <v>4</v>
      </c>
      <c r="J876" s="8" t="s">
        <v>39</v>
      </c>
      <c r="K876" s="8" t="s">
        <v>40</v>
      </c>
      <c r="L876" s="8" t="s">
        <v>41</v>
      </c>
      <c r="M876" s="8" t="s">
        <v>42</v>
      </c>
      <c r="O876" s="8" t="s">
        <v>43</v>
      </c>
      <c r="P876" s="8" t="b">
        <v>0</v>
      </c>
      <c r="R876" s="8" t="b">
        <v>0</v>
      </c>
      <c r="S876" s="8" t="b">
        <v>0</v>
      </c>
      <c r="T876" s="8" t="b">
        <v>0</v>
      </c>
      <c r="U876" s="8" t="b">
        <v>1</v>
      </c>
      <c r="V876" s="8" t="b">
        <v>1</v>
      </c>
      <c r="X876" s="8" t="b">
        <v>0</v>
      </c>
      <c r="Y876" s="8" t="b">
        <v>0</v>
      </c>
      <c r="Z876" s="8" t="b">
        <v>0</v>
      </c>
      <c r="AA876" s="8" t="b">
        <v>0</v>
      </c>
      <c r="AB876" s="8" t="b">
        <v>0</v>
      </c>
      <c r="AC876" s="8" t="b">
        <v>0</v>
      </c>
      <c r="AD876" s="8" t="b">
        <v>0</v>
      </c>
      <c r="AE876" s="8" t="b">
        <v>0</v>
      </c>
      <c r="AG876" s="11" t="b" cm="1">
        <f t="array" ref="AG876">IF(OR(Y876:AA876="TRUE", AE876="true"), "Threatened")</f>
        <v>0</v>
      </c>
      <c r="AH876" s="11" t="s">
        <v>2453</v>
      </c>
      <c r="AI876" s="8" t="b">
        <v>1</v>
      </c>
    </row>
    <row r="877" spans="1:35" ht="31.2">
      <c r="A877" s="8">
        <v>-73.967278960000002</v>
      </c>
      <c r="B877" s="8">
        <v>40.787477869999996</v>
      </c>
      <c r="C877" s="8" t="s">
        <v>2454</v>
      </c>
      <c r="D877" s="8" t="s">
        <v>488</v>
      </c>
      <c r="E877" s="8" t="b">
        <f t="shared" si="13"/>
        <v>0</v>
      </c>
      <c r="F877" s="8" t="str" cm="1">
        <f t="array" ref="F877">_xlfn._xlws.FILTER(E877:E4075, C877:C4075= "6D-PM-1020-01", "No Squirrels Found")</f>
        <v>No Squirrels Found</v>
      </c>
      <c r="G877" s="8" t="s">
        <v>34</v>
      </c>
      <c r="H877" s="10">
        <v>10062018</v>
      </c>
      <c r="I877" s="10">
        <v>2</v>
      </c>
      <c r="J877" s="8" t="s">
        <v>54</v>
      </c>
      <c r="K877" s="8" t="s">
        <v>40</v>
      </c>
      <c r="M877" s="8" t="s">
        <v>55</v>
      </c>
      <c r="N877" s="11" t="s">
        <v>2455</v>
      </c>
      <c r="O877" s="8" t="s">
        <v>43</v>
      </c>
      <c r="P877" s="8" t="b">
        <v>0</v>
      </c>
      <c r="R877" s="8" t="b">
        <v>0</v>
      </c>
      <c r="S877" s="8" t="b">
        <v>0</v>
      </c>
      <c r="T877" s="8" t="b">
        <v>0</v>
      </c>
      <c r="U877" s="8" t="b">
        <v>0</v>
      </c>
      <c r="V877" s="8" t="b">
        <v>0</v>
      </c>
      <c r="W877" s="11" t="s">
        <v>2456</v>
      </c>
      <c r="X877" s="8" t="b">
        <v>0</v>
      </c>
      <c r="Y877" s="8" t="b">
        <v>0</v>
      </c>
      <c r="Z877" s="8" t="b">
        <v>0</v>
      </c>
      <c r="AA877" s="8" t="b">
        <v>0</v>
      </c>
      <c r="AB877" s="8" t="b">
        <v>0</v>
      </c>
      <c r="AC877" s="8" t="b">
        <v>0</v>
      </c>
      <c r="AD877" s="8" t="b">
        <v>0</v>
      </c>
      <c r="AE877" s="8" t="b">
        <v>0</v>
      </c>
      <c r="AG877" s="11" t="b" cm="1">
        <f t="array" ref="AG877">IF(OR(Y877:AA877="TRUE", AE877="true"), "Threatened")</f>
        <v>0</v>
      </c>
      <c r="AH877" s="11" t="s">
        <v>2457</v>
      </c>
      <c r="AI877" s="8" t="b">
        <v>0</v>
      </c>
    </row>
    <row r="878" spans="1:35" ht="31.2">
      <c r="A878" s="8">
        <v>-73.971054749999993</v>
      </c>
      <c r="B878" s="8">
        <v>40.77235898</v>
      </c>
      <c r="C878" s="8" t="s">
        <v>2458</v>
      </c>
      <c r="D878" s="8" t="s">
        <v>527</v>
      </c>
      <c r="E878" s="8" t="b">
        <f t="shared" si="13"/>
        <v>0</v>
      </c>
      <c r="F878" s="8" t="str" cm="1">
        <f t="array" ref="F878">_xlfn._xlws.FILTER(E878:E4076, C878:C4076= "6D-PM-1020-01", "No Squirrels Found")</f>
        <v>No Squirrels Found</v>
      </c>
      <c r="G878" s="8" t="s">
        <v>34</v>
      </c>
      <c r="H878" s="10">
        <v>10142018</v>
      </c>
      <c r="I878" s="10">
        <v>3</v>
      </c>
      <c r="J878" s="8" t="s">
        <v>39</v>
      </c>
      <c r="K878" s="8" t="s">
        <v>40</v>
      </c>
      <c r="L878" s="8" t="s">
        <v>41</v>
      </c>
      <c r="M878" s="8" t="s">
        <v>42</v>
      </c>
      <c r="O878" s="8" t="s">
        <v>43</v>
      </c>
      <c r="P878" s="8" t="b">
        <v>0</v>
      </c>
      <c r="R878" s="8" t="b">
        <v>0</v>
      </c>
      <c r="S878" s="8" t="b">
        <v>0</v>
      </c>
      <c r="T878" s="8" t="b">
        <v>0</v>
      </c>
      <c r="U878" s="8" t="b">
        <v>0</v>
      </c>
      <c r="V878" s="8" t="b">
        <v>1</v>
      </c>
      <c r="X878" s="8" t="b">
        <v>0</v>
      </c>
      <c r="Y878" s="8" t="b">
        <v>0</v>
      </c>
      <c r="Z878" s="8" t="b">
        <v>0</v>
      </c>
      <c r="AA878" s="8" t="b">
        <v>0</v>
      </c>
      <c r="AB878" s="8" t="b">
        <v>0</v>
      </c>
      <c r="AC878" s="8" t="b">
        <v>0</v>
      </c>
      <c r="AD878" s="8" t="b">
        <v>1</v>
      </c>
      <c r="AE878" s="8" t="b">
        <v>0</v>
      </c>
      <c r="AG878" s="11" t="b" cm="1">
        <f t="array" ref="AG878">IF(OR(Y878:AA878="TRUE", AE878="true"), "Threatened")</f>
        <v>0</v>
      </c>
      <c r="AH878" s="11" t="s">
        <v>2459</v>
      </c>
      <c r="AI878" s="8" t="b">
        <v>1</v>
      </c>
    </row>
    <row r="879" spans="1:35" ht="31.2">
      <c r="A879" s="8">
        <v>-73.975721539999995</v>
      </c>
      <c r="B879" s="8">
        <v>40.766820600000003</v>
      </c>
      <c r="C879" s="8" t="s">
        <v>2460</v>
      </c>
      <c r="D879" s="8" t="s">
        <v>481</v>
      </c>
      <c r="E879" s="8" t="b">
        <f t="shared" si="13"/>
        <v>0</v>
      </c>
      <c r="F879" s="8" t="str" cm="1">
        <f t="array" ref="F879">_xlfn._xlws.FILTER(E879:E4077, C879:C4077= "6D-PM-1020-01", "No Squirrels Found")</f>
        <v>No Squirrels Found</v>
      </c>
      <c r="G879" s="8" t="s">
        <v>34</v>
      </c>
      <c r="H879" s="10">
        <v>10142018</v>
      </c>
      <c r="I879" s="10">
        <v>3</v>
      </c>
      <c r="J879" s="8" t="s">
        <v>39</v>
      </c>
      <c r="K879" s="8" t="s">
        <v>40</v>
      </c>
      <c r="L879" s="8" t="s">
        <v>41</v>
      </c>
      <c r="M879" s="8" t="s">
        <v>42</v>
      </c>
      <c r="O879" s="8" t="s">
        <v>43</v>
      </c>
      <c r="P879" s="8" t="b">
        <v>0</v>
      </c>
      <c r="R879" s="8" t="b">
        <v>0</v>
      </c>
      <c r="S879" s="8" t="b">
        <v>0</v>
      </c>
      <c r="T879" s="8" t="b">
        <v>0</v>
      </c>
      <c r="U879" s="8" t="b">
        <v>1</v>
      </c>
      <c r="V879" s="8" t="b">
        <v>0</v>
      </c>
      <c r="X879" s="8" t="b">
        <v>0</v>
      </c>
      <c r="Y879" s="8" t="b">
        <v>0</v>
      </c>
      <c r="Z879" s="8" t="b">
        <v>0</v>
      </c>
      <c r="AA879" s="8" t="b">
        <v>0</v>
      </c>
      <c r="AB879" s="8" t="b">
        <v>0</v>
      </c>
      <c r="AC879" s="8" t="b">
        <v>0</v>
      </c>
      <c r="AD879" s="8" t="b">
        <v>1</v>
      </c>
      <c r="AE879" s="8" t="b">
        <v>0</v>
      </c>
      <c r="AG879" s="11" t="b" cm="1">
        <f t="array" ref="AG879">IF(OR(Y879:AA879="TRUE", AE879="true"), "Threatened")</f>
        <v>0</v>
      </c>
      <c r="AH879" s="11" t="s">
        <v>2461</v>
      </c>
      <c r="AI879" s="8" t="b">
        <v>1</v>
      </c>
    </row>
    <row r="880" spans="1:35" ht="31.2">
      <c r="A880" s="8">
        <v>-73.97351209</v>
      </c>
      <c r="B880" s="8">
        <v>40.771591540000003</v>
      </c>
      <c r="C880" s="8" t="s">
        <v>2462</v>
      </c>
      <c r="D880" s="8" t="s">
        <v>1209</v>
      </c>
      <c r="E880" s="8" t="b">
        <f t="shared" si="13"/>
        <v>0</v>
      </c>
      <c r="F880" s="8" t="str" cm="1">
        <f t="array" ref="F880">_xlfn._xlws.FILTER(E880:E4078, C880:C4078= "6D-PM-1020-01", "No Squirrels Found")</f>
        <v>No Squirrels Found</v>
      </c>
      <c r="G880" s="8" t="s">
        <v>34</v>
      </c>
      <c r="H880" s="10">
        <v>10082018</v>
      </c>
      <c r="I880" s="10">
        <v>7</v>
      </c>
      <c r="J880" s="8" t="s">
        <v>39</v>
      </c>
      <c r="K880" s="8" t="s">
        <v>40</v>
      </c>
      <c r="L880" s="8" t="s">
        <v>84</v>
      </c>
      <c r="M880" s="8" t="s">
        <v>103</v>
      </c>
      <c r="O880" s="8" t="s">
        <v>43</v>
      </c>
      <c r="P880" s="8" t="b">
        <v>0</v>
      </c>
      <c r="Q880" s="8" t="s">
        <v>1361</v>
      </c>
      <c r="R880" s="8" t="b">
        <v>0</v>
      </c>
      <c r="S880" s="8" t="b">
        <v>1</v>
      </c>
      <c r="T880" s="8" t="b">
        <v>1</v>
      </c>
      <c r="U880" s="8" t="b">
        <v>0</v>
      </c>
      <c r="V880" s="8" t="b">
        <v>0</v>
      </c>
      <c r="X880" s="8" t="b">
        <v>0</v>
      </c>
      <c r="Y880" s="8" t="b">
        <v>0</v>
      </c>
      <c r="Z880" s="8" t="b">
        <v>0</v>
      </c>
      <c r="AA880" s="8" t="b">
        <v>0</v>
      </c>
      <c r="AB880" s="8" t="b">
        <v>0</v>
      </c>
      <c r="AC880" s="8" t="b">
        <v>0</v>
      </c>
      <c r="AD880" s="8" t="b">
        <v>0</v>
      </c>
      <c r="AE880" s="8" t="b">
        <v>0</v>
      </c>
      <c r="AG880" s="11" t="b" cm="1">
        <f t="array" ref="AG880">IF(OR(Y880:AA880="TRUE", AE880="true"), "Threatened")</f>
        <v>0</v>
      </c>
      <c r="AH880" s="11" t="s">
        <v>2463</v>
      </c>
      <c r="AI880" s="8" t="b">
        <v>1</v>
      </c>
    </row>
    <row r="881" spans="1:35" ht="31.2">
      <c r="A881" s="8">
        <v>-73.95656846</v>
      </c>
      <c r="B881" s="8">
        <v>40.793600390000002</v>
      </c>
      <c r="C881" s="8" t="s">
        <v>2464</v>
      </c>
      <c r="D881" s="8" t="s">
        <v>702</v>
      </c>
      <c r="E881" s="8" t="b">
        <f t="shared" si="13"/>
        <v>0</v>
      </c>
      <c r="F881" s="8" t="str" cm="1">
        <f t="array" ref="F881">_xlfn._xlws.FILTER(E881:E4079, C881:C4079= "6D-PM-1020-01", "No Squirrels Found")</f>
        <v>No Squirrels Found</v>
      </c>
      <c r="G881" s="8" t="s">
        <v>34</v>
      </c>
      <c r="H881" s="10">
        <v>10122018</v>
      </c>
      <c r="I881" s="10">
        <v>2</v>
      </c>
      <c r="J881" s="8" t="s">
        <v>54</v>
      </c>
      <c r="K881" s="8" t="s">
        <v>40</v>
      </c>
      <c r="L881" s="8" t="s">
        <v>41</v>
      </c>
      <c r="M881" s="8" t="s">
        <v>42</v>
      </c>
      <c r="O881" s="8" t="s">
        <v>43</v>
      </c>
      <c r="P881" s="8" t="b">
        <v>0</v>
      </c>
      <c r="R881" s="8" t="b">
        <v>0</v>
      </c>
      <c r="S881" s="8" t="b">
        <v>0</v>
      </c>
      <c r="T881" s="8" t="b">
        <v>0</v>
      </c>
      <c r="U881" s="8" t="b">
        <v>0</v>
      </c>
      <c r="V881" s="8" t="b">
        <v>1</v>
      </c>
      <c r="X881" s="8" t="b">
        <v>0</v>
      </c>
      <c r="Y881" s="8" t="b">
        <v>0</v>
      </c>
      <c r="Z881" s="8" t="b">
        <v>0</v>
      </c>
      <c r="AA881" s="8" t="b">
        <v>0</v>
      </c>
      <c r="AB881" s="8" t="b">
        <v>0</v>
      </c>
      <c r="AC881" s="8" t="b">
        <v>0</v>
      </c>
      <c r="AD881" s="8" t="b">
        <v>1</v>
      </c>
      <c r="AE881" s="8" t="b">
        <v>0</v>
      </c>
      <c r="AG881" s="11" t="b" cm="1">
        <f t="array" ref="AG881">IF(OR(Y881:AA881="TRUE", AE881="true"), "Threatened")</f>
        <v>0</v>
      </c>
      <c r="AH881" s="11" t="s">
        <v>2465</v>
      </c>
      <c r="AI881" s="8" t="b">
        <v>1</v>
      </c>
    </row>
    <row r="882" spans="1:35" ht="31.2">
      <c r="A882" s="8">
        <v>-73.973787229999999</v>
      </c>
      <c r="B882" s="8">
        <v>40.772658679999999</v>
      </c>
      <c r="C882" s="8" t="s">
        <v>2466</v>
      </c>
      <c r="D882" s="8" t="s">
        <v>2088</v>
      </c>
      <c r="E882" s="8" t="b">
        <f t="shared" si="13"/>
        <v>0</v>
      </c>
      <c r="F882" s="8" t="str" cm="1">
        <f t="array" ref="F882">_xlfn._xlws.FILTER(E882:E4080, C882:C4080= "6D-PM-1020-01", "No Squirrels Found")</f>
        <v>No Squirrels Found</v>
      </c>
      <c r="G882" s="8" t="s">
        <v>34</v>
      </c>
      <c r="H882" s="10">
        <v>10072018</v>
      </c>
      <c r="I882" s="10">
        <v>1</v>
      </c>
      <c r="J882" s="8" t="s">
        <v>39</v>
      </c>
      <c r="K882" s="8" t="s">
        <v>40</v>
      </c>
      <c r="L882" s="8" t="s">
        <v>41</v>
      </c>
      <c r="M882" s="8" t="s">
        <v>42</v>
      </c>
      <c r="O882" s="8" t="s">
        <v>43</v>
      </c>
      <c r="P882" s="8" t="b">
        <v>0</v>
      </c>
      <c r="R882" s="8" t="b">
        <v>0</v>
      </c>
      <c r="S882" s="8" t="b">
        <v>0</v>
      </c>
      <c r="T882" s="8" t="b">
        <v>0</v>
      </c>
      <c r="U882" s="8" t="b">
        <v>0</v>
      </c>
      <c r="V882" s="8" t="b">
        <v>1</v>
      </c>
      <c r="X882" s="8" t="b">
        <v>0</v>
      </c>
      <c r="Y882" s="8" t="b">
        <v>0</v>
      </c>
      <c r="Z882" s="8" t="b">
        <v>0</v>
      </c>
      <c r="AA882" s="8" t="b">
        <v>0</v>
      </c>
      <c r="AB882" s="8" t="b">
        <v>0</v>
      </c>
      <c r="AC882" s="8" t="b">
        <v>0</v>
      </c>
      <c r="AD882" s="8" t="b">
        <v>0</v>
      </c>
      <c r="AE882" s="8" t="b">
        <v>0</v>
      </c>
      <c r="AG882" s="11" t="b" cm="1">
        <f t="array" ref="AG882">IF(OR(Y882:AA882="TRUE", AE882="true"), "Threatened")</f>
        <v>0</v>
      </c>
      <c r="AH882" s="11" t="s">
        <v>2467</v>
      </c>
      <c r="AI882" s="8" t="b">
        <v>1</v>
      </c>
    </row>
    <row r="883" spans="1:35" ht="31.2">
      <c r="A883" s="8">
        <v>-73.978680589999996</v>
      </c>
      <c r="B883" s="8">
        <v>40.769755920000001</v>
      </c>
      <c r="C883" s="8" t="s">
        <v>2468</v>
      </c>
      <c r="D883" s="8" t="s">
        <v>889</v>
      </c>
      <c r="E883" s="8" t="b">
        <f t="shared" si="13"/>
        <v>0</v>
      </c>
      <c r="F883" s="8" t="str" cm="1">
        <f t="array" ref="F883">_xlfn._xlws.FILTER(E883:E4081, C883:C4081= "6D-PM-1020-01", "No Squirrels Found")</f>
        <v>No Squirrels Found</v>
      </c>
      <c r="G883" s="8" t="s">
        <v>34</v>
      </c>
      <c r="H883" s="10">
        <v>10182018</v>
      </c>
      <c r="I883" s="10">
        <v>2</v>
      </c>
      <c r="J883" s="8" t="s">
        <v>39</v>
      </c>
      <c r="K883" s="8" t="s">
        <v>40</v>
      </c>
      <c r="M883" s="8" t="s">
        <v>55</v>
      </c>
      <c r="O883" s="8" t="s">
        <v>43</v>
      </c>
      <c r="P883" s="8" t="b">
        <v>0</v>
      </c>
      <c r="R883" s="8" t="b">
        <v>0</v>
      </c>
      <c r="S883" s="8" t="b">
        <v>0</v>
      </c>
      <c r="T883" s="8" t="b">
        <v>0</v>
      </c>
      <c r="U883" s="8" t="b">
        <v>1</v>
      </c>
      <c r="V883" s="8" t="b">
        <v>0</v>
      </c>
      <c r="X883" s="8" t="b">
        <v>0</v>
      </c>
      <c r="Y883" s="8" t="b">
        <v>0</v>
      </c>
      <c r="Z883" s="8" t="b">
        <v>0</v>
      </c>
      <c r="AA883" s="8" t="b">
        <v>0</v>
      </c>
      <c r="AB883" s="8" t="b">
        <v>0</v>
      </c>
      <c r="AC883" s="8" t="b">
        <v>1</v>
      </c>
      <c r="AD883" s="8" t="b">
        <v>0</v>
      </c>
      <c r="AE883" s="8" t="b">
        <v>0</v>
      </c>
      <c r="AG883" s="11" t="b" cm="1">
        <f t="array" ref="AG883">IF(OR(Y883:AA883="TRUE", AE883="true"), "Threatened")</f>
        <v>0</v>
      </c>
      <c r="AH883" s="11" t="s">
        <v>2469</v>
      </c>
      <c r="AI883" s="8" t="b">
        <v>1</v>
      </c>
    </row>
    <row r="884" spans="1:35" ht="31.2">
      <c r="A884" s="8">
        <v>-73.956553380000003</v>
      </c>
      <c r="B884" s="8">
        <v>40.797436849999997</v>
      </c>
      <c r="C884" s="8" t="s">
        <v>2470</v>
      </c>
      <c r="D884" s="8" t="s">
        <v>439</v>
      </c>
      <c r="E884" s="8" t="b">
        <f t="shared" si="13"/>
        <v>0</v>
      </c>
      <c r="F884" s="8" t="str" cm="1">
        <f t="array" ref="F884">_xlfn._xlws.FILTER(E884:E4082, C884:C4082= "6D-PM-1020-01", "No Squirrels Found")</f>
        <v>No Squirrels Found</v>
      </c>
      <c r="G884" s="8" t="s">
        <v>34</v>
      </c>
      <c r="H884" s="10">
        <v>10132018</v>
      </c>
      <c r="I884" s="10">
        <v>2</v>
      </c>
      <c r="J884" s="8" t="s">
        <v>39</v>
      </c>
      <c r="K884" s="8" t="s">
        <v>40</v>
      </c>
      <c r="L884" s="8" t="s">
        <v>41</v>
      </c>
      <c r="M884" s="8" t="s">
        <v>42</v>
      </c>
      <c r="O884" s="8" t="s">
        <v>43</v>
      </c>
      <c r="P884" s="8" t="b">
        <v>0</v>
      </c>
      <c r="R884" s="8" t="b">
        <v>1</v>
      </c>
      <c r="S884" s="8" t="b">
        <v>0</v>
      </c>
      <c r="T884" s="8" t="b">
        <v>0</v>
      </c>
      <c r="U884" s="8" t="b">
        <v>0</v>
      </c>
      <c r="V884" s="8" t="b">
        <v>0</v>
      </c>
      <c r="X884" s="8" t="b">
        <v>0</v>
      </c>
      <c r="Y884" s="8" t="b">
        <v>0</v>
      </c>
      <c r="Z884" s="8" t="b">
        <v>0</v>
      </c>
      <c r="AA884" s="8" t="b">
        <v>0</v>
      </c>
      <c r="AB884" s="8" t="b">
        <v>0</v>
      </c>
      <c r="AC884" s="8" t="b">
        <v>0</v>
      </c>
      <c r="AD884" s="8" t="b">
        <v>0</v>
      </c>
      <c r="AE884" s="8" t="b">
        <v>0</v>
      </c>
      <c r="AG884" s="11" t="b" cm="1">
        <f t="array" ref="AG884">IF(OR(Y884:AA884="TRUE", AE884="true"), "Threatened")</f>
        <v>0</v>
      </c>
      <c r="AH884" s="11" t="s">
        <v>2471</v>
      </c>
      <c r="AI884" s="8" t="b">
        <v>1</v>
      </c>
    </row>
    <row r="885" spans="1:35" ht="31.2">
      <c r="A885" s="8">
        <v>-73.96789373</v>
      </c>
      <c r="B885" s="8">
        <v>40.778280840000001</v>
      </c>
      <c r="C885" s="8" t="s">
        <v>2472</v>
      </c>
      <c r="D885" s="8" t="s">
        <v>271</v>
      </c>
      <c r="E885" s="8" t="b">
        <f t="shared" si="13"/>
        <v>0</v>
      </c>
      <c r="F885" s="8" t="str" cm="1">
        <f t="array" ref="F885">_xlfn._xlws.FILTER(E885:E4083, C885:C4083= "6D-PM-1020-01", "No Squirrels Found")</f>
        <v>No Squirrels Found</v>
      </c>
      <c r="G885" s="8" t="s">
        <v>34</v>
      </c>
      <c r="H885" s="10">
        <v>10182018</v>
      </c>
      <c r="I885" s="10">
        <v>1</v>
      </c>
      <c r="J885" s="8" t="s">
        <v>54</v>
      </c>
      <c r="K885" s="8" t="s">
        <v>40</v>
      </c>
      <c r="L885" s="8" t="s">
        <v>41</v>
      </c>
      <c r="M885" s="8" t="s">
        <v>42</v>
      </c>
      <c r="O885" s="8" t="s">
        <v>43</v>
      </c>
      <c r="P885" s="8" t="b">
        <v>0</v>
      </c>
      <c r="R885" s="8" t="b">
        <v>1</v>
      </c>
      <c r="S885" s="8" t="b">
        <v>0</v>
      </c>
      <c r="T885" s="8" t="b">
        <v>0</v>
      </c>
      <c r="U885" s="8" t="b">
        <v>0</v>
      </c>
      <c r="V885" s="8" t="b">
        <v>0</v>
      </c>
      <c r="X885" s="8" t="b">
        <v>0</v>
      </c>
      <c r="Y885" s="8" t="b">
        <v>0</v>
      </c>
      <c r="Z885" s="8" t="b">
        <v>0</v>
      </c>
      <c r="AA885" s="8" t="b">
        <v>0</v>
      </c>
      <c r="AB885" s="8" t="b">
        <v>1</v>
      </c>
      <c r="AC885" s="8" t="b">
        <v>0</v>
      </c>
      <c r="AD885" s="8" t="b">
        <v>1</v>
      </c>
      <c r="AE885" s="8" t="b">
        <v>0</v>
      </c>
      <c r="AG885" s="11" t="b" cm="1">
        <f t="array" ref="AG885">IF(OR(Y885:AA885="TRUE", AE885="true"), "Threatened")</f>
        <v>0</v>
      </c>
      <c r="AH885" s="11" t="s">
        <v>2473</v>
      </c>
      <c r="AI885" s="8" t="b">
        <v>1</v>
      </c>
    </row>
    <row r="886" spans="1:35" ht="31.2">
      <c r="A886" s="8">
        <v>-73.975046379999995</v>
      </c>
      <c r="B886" s="8">
        <v>40.766687169999997</v>
      </c>
      <c r="C886" s="8" t="s">
        <v>2474</v>
      </c>
      <c r="D886" s="8" t="s">
        <v>481</v>
      </c>
      <c r="E886" s="8" t="b">
        <f t="shared" si="13"/>
        <v>0</v>
      </c>
      <c r="F886" s="8" t="str" cm="1">
        <f t="array" ref="F886">_xlfn._xlws.FILTER(E886:E4084, C886:C4084= "6D-PM-1020-01", "No Squirrels Found")</f>
        <v>No Squirrels Found</v>
      </c>
      <c r="G886" s="8" t="s">
        <v>34</v>
      </c>
      <c r="H886" s="10">
        <v>10142018</v>
      </c>
      <c r="I886" s="10">
        <v>8</v>
      </c>
      <c r="J886" s="8" t="s">
        <v>39</v>
      </c>
      <c r="K886" s="8" t="s">
        <v>40</v>
      </c>
      <c r="L886" s="8" t="s">
        <v>192</v>
      </c>
      <c r="M886" s="8" t="s">
        <v>354</v>
      </c>
      <c r="O886" s="8" t="s">
        <v>43</v>
      </c>
      <c r="P886" s="8" t="b">
        <v>0</v>
      </c>
      <c r="R886" s="8" t="b">
        <v>1</v>
      </c>
      <c r="S886" s="8" t="b">
        <v>0</v>
      </c>
      <c r="T886" s="8" t="b">
        <v>0</v>
      </c>
      <c r="U886" s="8" t="b">
        <v>0</v>
      </c>
      <c r="V886" s="8" t="b">
        <v>0</v>
      </c>
      <c r="X886" s="8" t="b">
        <v>0</v>
      </c>
      <c r="Y886" s="8" t="b">
        <v>0</v>
      </c>
      <c r="Z886" s="8" t="b">
        <v>0</v>
      </c>
      <c r="AA886" s="8" t="b">
        <v>0</v>
      </c>
      <c r="AB886" s="8" t="b">
        <v>0</v>
      </c>
      <c r="AC886" s="8" t="b">
        <v>0</v>
      </c>
      <c r="AD886" s="8" t="b">
        <v>1</v>
      </c>
      <c r="AE886" s="8" t="b">
        <v>0</v>
      </c>
      <c r="AG886" s="11" t="b" cm="1">
        <f t="array" ref="AG886">IF(OR(Y886:AA886="TRUE", AE886="true"), "Threatened")</f>
        <v>0</v>
      </c>
      <c r="AH886" s="11" t="s">
        <v>2475</v>
      </c>
      <c r="AI886" s="8" t="b">
        <v>1</v>
      </c>
    </row>
    <row r="887" spans="1:35" ht="31.2">
      <c r="A887" s="8">
        <v>-73.969651780000007</v>
      </c>
      <c r="B887" s="8">
        <v>40.776965830000002</v>
      </c>
      <c r="C887" s="8" t="s">
        <v>2476</v>
      </c>
      <c r="D887" s="8" t="s">
        <v>121</v>
      </c>
      <c r="E887" s="8" t="b">
        <f t="shared" si="13"/>
        <v>0</v>
      </c>
      <c r="F887" s="8" t="str" cm="1">
        <f t="array" ref="F887">_xlfn._xlws.FILTER(E887:E4085, C887:C4085= "6D-PM-1020-01", "No Squirrels Found")</f>
        <v>No Squirrels Found</v>
      </c>
      <c r="G887" s="8" t="s">
        <v>48</v>
      </c>
      <c r="H887" s="10">
        <v>10082018</v>
      </c>
      <c r="I887" s="10">
        <v>4</v>
      </c>
      <c r="J887" s="8" t="s">
        <v>39</v>
      </c>
      <c r="K887" s="8" t="s">
        <v>40</v>
      </c>
      <c r="M887" s="8" t="s">
        <v>55</v>
      </c>
      <c r="O887" s="8" t="s">
        <v>43</v>
      </c>
      <c r="P887" s="8" t="b">
        <v>0</v>
      </c>
      <c r="R887" s="8" t="b">
        <v>0</v>
      </c>
      <c r="S887" s="8" t="b">
        <v>0</v>
      </c>
      <c r="T887" s="8" t="b">
        <v>0</v>
      </c>
      <c r="U887" s="8" t="b">
        <v>0</v>
      </c>
      <c r="V887" s="8" t="b">
        <v>1</v>
      </c>
      <c r="X887" s="8" t="b">
        <v>0</v>
      </c>
      <c r="Y887" s="8" t="b">
        <v>0</v>
      </c>
      <c r="Z887" s="8" t="b">
        <v>0</v>
      </c>
      <c r="AA887" s="8" t="b">
        <v>0</v>
      </c>
      <c r="AB887" s="8" t="b">
        <v>0</v>
      </c>
      <c r="AC887" s="8" t="b">
        <v>0</v>
      </c>
      <c r="AD887" s="8" t="b">
        <v>1</v>
      </c>
      <c r="AE887" s="8" t="b">
        <v>0</v>
      </c>
      <c r="AG887" s="11" t="b" cm="1">
        <f t="array" ref="AG887">IF(OR(Y887:AA887="TRUE", AE887="true"), "Threatened")</f>
        <v>0</v>
      </c>
      <c r="AH887" s="11" t="s">
        <v>2477</v>
      </c>
      <c r="AI887" s="8" t="b">
        <v>1</v>
      </c>
    </row>
    <row r="888" spans="1:35" ht="31.2">
      <c r="A888" s="8">
        <v>-73.963502849999998</v>
      </c>
      <c r="B888" s="8">
        <v>40.792820759999998</v>
      </c>
      <c r="C888" s="8" t="s">
        <v>2478</v>
      </c>
      <c r="D888" s="8" t="s">
        <v>125</v>
      </c>
      <c r="E888" s="8" t="b">
        <f t="shared" si="13"/>
        <v>0</v>
      </c>
      <c r="F888" s="8" t="str" cm="1">
        <f t="array" ref="F888">_xlfn._xlws.FILTER(E888:E4086, C888:C4086= "6D-PM-1020-01", "No Squirrels Found")</f>
        <v>No Squirrels Found</v>
      </c>
      <c r="G888" s="8" t="s">
        <v>34</v>
      </c>
      <c r="H888" s="10">
        <v>10132018</v>
      </c>
      <c r="I888" s="10">
        <v>5</v>
      </c>
      <c r="J888" s="8" t="s">
        <v>54</v>
      </c>
      <c r="K888" s="8" t="s">
        <v>40</v>
      </c>
      <c r="L888" s="8" t="s">
        <v>84</v>
      </c>
      <c r="M888" s="8" t="s">
        <v>103</v>
      </c>
      <c r="O888" s="8" t="s">
        <v>43</v>
      </c>
      <c r="P888" s="8" t="b">
        <v>0</v>
      </c>
      <c r="R888" s="8" t="b">
        <v>0</v>
      </c>
      <c r="S888" s="8" t="b">
        <v>0</v>
      </c>
      <c r="T888" s="8" t="b">
        <v>0</v>
      </c>
      <c r="U888" s="8" t="b">
        <v>0</v>
      </c>
      <c r="V888" s="8" t="b">
        <v>1</v>
      </c>
      <c r="X888" s="8" t="b">
        <v>0</v>
      </c>
      <c r="Y888" s="8" t="b">
        <v>0</v>
      </c>
      <c r="Z888" s="8" t="b">
        <v>0</v>
      </c>
      <c r="AA888" s="8" t="b">
        <v>1</v>
      </c>
      <c r="AB888" s="8" t="b">
        <v>0</v>
      </c>
      <c r="AC888" s="8" t="b">
        <v>0</v>
      </c>
      <c r="AD888" s="8" t="b">
        <v>0</v>
      </c>
      <c r="AE888" s="8" t="b">
        <v>1</v>
      </c>
      <c r="AG888" s="11" t="b" cm="1">
        <f t="array" ref="AG888">IF(OR(Y888:AA888="TRUE", AE888="true"), "Threatened")</f>
        <v>0</v>
      </c>
      <c r="AH888" s="11" t="s">
        <v>2479</v>
      </c>
      <c r="AI888" s="8" t="b">
        <v>1</v>
      </c>
    </row>
    <row r="889" spans="1:35" ht="31.2">
      <c r="A889" s="8">
        <v>-73.967417749999996</v>
      </c>
      <c r="B889" s="8">
        <v>40.776956970000001</v>
      </c>
      <c r="C889" s="8" t="s">
        <v>2480</v>
      </c>
      <c r="D889" s="8" t="s">
        <v>326</v>
      </c>
      <c r="E889" s="8" t="b">
        <f t="shared" si="13"/>
        <v>0</v>
      </c>
      <c r="F889" s="8" t="str" cm="1">
        <f t="array" ref="F889">_xlfn._xlws.FILTER(E889:E4087, C889:C4087= "6D-PM-1020-01", "No Squirrels Found")</f>
        <v>No Squirrels Found</v>
      </c>
      <c r="G889" s="8" t="s">
        <v>34</v>
      </c>
      <c r="H889" s="10">
        <v>10192018</v>
      </c>
      <c r="I889" s="10">
        <v>3</v>
      </c>
      <c r="J889" s="8" t="s">
        <v>54</v>
      </c>
      <c r="K889" s="8" t="s">
        <v>40</v>
      </c>
      <c r="M889" s="8" t="s">
        <v>55</v>
      </c>
      <c r="O889" s="8" t="s">
        <v>43</v>
      </c>
      <c r="P889" s="8" t="b">
        <v>0</v>
      </c>
      <c r="R889" s="8" t="b">
        <v>1</v>
      </c>
      <c r="S889" s="8" t="b">
        <v>0</v>
      </c>
      <c r="T889" s="8" t="b">
        <v>0</v>
      </c>
      <c r="U889" s="8" t="b">
        <v>0</v>
      </c>
      <c r="V889" s="8" t="b">
        <v>0</v>
      </c>
      <c r="X889" s="8" t="b">
        <v>0</v>
      </c>
      <c r="Y889" s="8" t="b">
        <v>0</v>
      </c>
      <c r="Z889" s="8" t="b">
        <v>0</v>
      </c>
      <c r="AA889" s="8" t="b">
        <v>0</v>
      </c>
      <c r="AB889" s="8" t="b">
        <v>0</v>
      </c>
      <c r="AC889" s="8" t="b">
        <v>0</v>
      </c>
      <c r="AD889" s="8" t="b">
        <v>0</v>
      </c>
      <c r="AE889" s="8" t="b">
        <v>1</v>
      </c>
      <c r="AG889" s="11" t="b" cm="1">
        <f t="array" ref="AG889">IF(OR(Y889:AA889="TRUE", AE889="true"), "Threatened")</f>
        <v>0</v>
      </c>
      <c r="AH889" s="11" t="s">
        <v>2481</v>
      </c>
      <c r="AI889" s="8" t="b">
        <v>1</v>
      </c>
    </row>
    <row r="890" spans="1:35" ht="31.2">
      <c r="A890" s="8">
        <v>-73.968104260000004</v>
      </c>
      <c r="B890" s="8">
        <v>40.772331430000001</v>
      </c>
      <c r="C890" s="8" t="s">
        <v>2482</v>
      </c>
      <c r="D890" s="8" t="s">
        <v>1270</v>
      </c>
      <c r="E890" s="8" t="b">
        <f t="shared" si="13"/>
        <v>0</v>
      </c>
      <c r="F890" s="8" t="str" cm="1">
        <f t="array" ref="F890">_xlfn._xlws.FILTER(E890:E4088, C890:C4088= "6D-PM-1020-01", "No Squirrels Found")</f>
        <v>No Squirrels Found</v>
      </c>
      <c r="G890" s="8" t="s">
        <v>34</v>
      </c>
      <c r="H890" s="10">
        <v>10122018</v>
      </c>
      <c r="I890" s="10">
        <v>4</v>
      </c>
      <c r="J890" s="8" t="s">
        <v>39</v>
      </c>
      <c r="K890" s="8" t="s">
        <v>40</v>
      </c>
      <c r="M890" s="8" t="s">
        <v>55</v>
      </c>
      <c r="O890" s="8" t="s">
        <v>50</v>
      </c>
      <c r="P890" s="8">
        <v>2</v>
      </c>
      <c r="R890" s="8" t="b">
        <v>1</v>
      </c>
      <c r="S890" s="8" t="b">
        <v>0</v>
      </c>
      <c r="T890" s="8" t="b">
        <v>1</v>
      </c>
      <c r="U890" s="8" t="b">
        <v>0</v>
      </c>
      <c r="V890" s="8" t="b">
        <v>1</v>
      </c>
      <c r="X890" s="8" t="b">
        <v>0</v>
      </c>
      <c r="Y890" s="8" t="b">
        <v>0</v>
      </c>
      <c r="Z890" s="8" t="b">
        <v>0</v>
      </c>
      <c r="AA890" s="8" t="b">
        <v>0</v>
      </c>
      <c r="AB890" s="8" t="b">
        <v>0</v>
      </c>
      <c r="AC890" s="8" t="b">
        <v>0</v>
      </c>
      <c r="AD890" s="8" t="b">
        <v>0</v>
      </c>
      <c r="AE890" s="8" t="b">
        <v>0</v>
      </c>
      <c r="AG890" s="11" t="b" cm="1">
        <f t="array" ref="AG890">IF(OR(Y890:AA890="TRUE", AE890="true"), "Threatened")</f>
        <v>0</v>
      </c>
      <c r="AH890" s="11" t="s">
        <v>2483</v>
      </c>
      <c r="AI890" s="8" t="b">
        <v>1</v>
      </c>
    </row>
    <row r="891" spans="1:35" ht="31.2">
      <c r="A891" s="8">
        <v>-73.966775569999996</v>
      </c>
      <c r="B891" s="8">
        <v>40.776025679999996</v>
      </c>
      <c r="C891" s="8" t="s">
        <v>2484</v>
      </c>
      <c r="D891" s="8" t="s">
        <v>672</v>
      </c>
      <c r="E891" s="8" t="b">
        <f t="shared" si="13"/>
        <v>0</v>
      </c>
      <c r="F891" s="8" t="str" cm="1">
        <f t="array" ref="F891">_xlfn._xlws.FILTER(E891:E4089, C891:C4089= "6D-PM-1020-01", "No Squirrels Found")</f>
        <v>No Squirrels Found</v>
      </c>
      <c r="G891" s="8" t="s">
        <v>34</v>
      </c>
      <c r="H891" s="10">
        <v>10082018</v>
      </c>
      <c r="I891" s="10">
        <v>2</v>
      </c>
      <c r="J891" s="8" t="s">
        <v>39</v>
      </c>
      <c r="K891" s="8" t="s">
        <v>40</v>
      </c>
      <c r="M891" s="8" t="s">
        <v>55</v>
      </c>
      <c r="O891" s="8" t="s">
        <v>50</v>
      </c>
      <c r="P891" s="8">
        <v>10</v>
      </c>
      <c r="Q891" s="8" t="s">
        <v>2485</v>
      </c>
      <c r="R891" s="8" t="b">
        <v>0</v>
      </c>
      <c r="S891" s="8" t="b">
        <v>1</v>
      </c>
      <c r="T891" s="8" t="b">
        <v>1</v>
      </c>
      <c r="U891" s="8" t="b">
        <v>0</v>
      </c>
      <c r="V891" s="8" t="b">
        <v>0</v>
      </c>
      <c r="X891" s="8" t="b">
        <v>0</v>
      </c>
      <c r="Y891" s="8" t="b">
        <v>0</v>
      </c>
      <c r="Z891" s="8" t="b">
        <v>0</v>
      </c>
      <c r="AA891" s="8" t="b">
        <v>0</v>
      </c>
      <c r="AB891" s="8" t="b">
        <v>0</v>
      </c>
      <c r="AC891" s="8" t="b">
        <v>0</v>
      </c>
      <c r="AD891" s="8" t="b">
        <v>0</v>
      </c>
      <c r="AE891" s="8" t="b">
        <v>1</v>
      </c>
      <c r="AG891" s="11" t="b" cm="1">
        <f t="array" ref="AG891">IF(OR(Y891:AA891="TRUE", AE891="true"), "Threatened")</f>
        <v>0</v>
      </c>
      <c r="AH891" s="11" t="s">
        <v>2486</v>
      </c>
      <c r="AI891" s="8" t="b">
        <v>1</v>
      </c>
    </row>
    <row r="892" spans="1:35" ht="31.2">
      <c r="A892" s="8">
        <v>-73.961335160000004</v>
      </c>
      <c r="B892" s="8">
        <v>40.790986689999997</v>
      </c>
      <c r="C892" s="8" t="s">
        <v>2487</v>
      </c>
      <c r="D892" s="8" t="s">
        <v>621</v>
      </c>
      <c r="E892" s="8" t="b">
        <f t="shared" si="13"/>
        <v>0</v>
      </c>
      <c r="F892" s="8" t="str" cm="1">
        <f t="array" ref="F892">_xlfn._xlws.FILTER(E892:E4090, C892:C4090= "6D-PM-1020-01", "No Squirrels Found")</f>
        <v>No Squirrels Found</v>
      </c>
      <c r="G892" s="8" t="s">
        <v>48</v>
      </c>
      <c r="H892" s="10">
        <v>10142018</v>
      </c>
      <c r="I892" s="10">
        <v>3</v>
      </c>
      <c r="K892" s="8" t="s">
        <v>40</v>
      </c>
      <c r="L892" s="8" t="s">
        <v>84</v>
      </c>
      <c r="M892" s="8" t="s">
        <v>103</v>
      </c>
      <c r="O892" s="8" t="s">
        <v>43</v>
      </c>
      <c r="P892" s="8" t="b">
        <v>0</v>
      </c>
      <c r="Q892" s="8" t="s">
        <v>1839</v>
      </c>
      <c r="R892" s="8" t="b">
        <v>0</v>
      </c>
      <c r="S892" s="8" t="b">
        <v>0</v>
      </c>
      <c r="T892" s="8" t="b">
        <v>0</v>
      </c>
      <c r="U892" s="8" t="b">
        <v>0</v>
      </c>
      <c r="V892" s="8" t="b">
        <v>1</v>
      </c>
      <c r="X892" s="8" t="b">
        <v>0</v>
      </c>
      <c r="Y892" s="8" t="b">
        <v>0</v>
      </c>
      <c r="Z892" s="8" t="b">
        <v>0</v>
      </c>
      <c r="AA892" s="8" t="b">
        <v>0</v>
      </c>
      <c r="AB892" s="8" t="b">
        <v>0</v>
      </c>
      <c r="AC892" s="8" t="b">
        <v>0</v>
      </c>
      <c r="AD892" s="8" t="b">
        <v>0</v>
      </c>
      <c r="AE892" s="8" t="b">
        <v>1</v>
      </c>
      <c r="AG892" s="11" t="b" cm="1">
        <f t="array" ref="AG892">IF(OR(Y892:AA892="TRUE", AE892="true"), "Threatened")</f>
        <v>0</v>
      </c>
      <c r="AH892" s="11" t="s">
        <v>2488</v>
      </c>
      <c r="AI892" s="8" t="b">
        <v>1</v>
      </c>
    </row>
    <row r="893" spans="1:35" ht="31.2">
      <c r="A893" s="8">
        <v>-73.961136839999995</v>
      </c>
      <c r="B893" s="8">
        <v>40.781561910000001</v>
      </c>
      <c r="C893" s="8" t="s">
        <v>2489</v>
      </c>
      <c r="D893" s="8" t="s">
        <v>1118</v>
      </c>
      <c r="E893" s="8" t="b">
        <f t="shared" si="13"/>
        <v>0</v>
      </c>
      <c r="F893" s="8" t="str" cm="1">
        <f t="array" ref="F893">_xlfn._xlws.FILTER(E893:E4091, C893:C4091= "6D-PM-1020-01", "No Squirrels Found")</f>
        <v>No Squirrels Found</v>
      </c>
      <c r="G893" s="8" t="s">
        <v>48</v>
      </c>
      <c r="H893" s="10">
        <v>10072018</v>
      </c>
      <c r="I893" s="10">
        <v>2</v>
      </c>
      <c r="J893" s="8" t="s">
        <v>39</v>
      </c>
      <c r="K893" s="8" t="s">
        <v>40</v>
      </c>
      <c r="M893" s="8" t="s">
        <v>55</v>
      </c>
      <c r="O893" s="8" t="s">
        <v>43</v>
      </c>
      <c r="P893" s="8" t="b">
        <v>0</v>
      </c>
      <c r="R893" s="8" t="b">
        <v>1</v>
      </c>
      <c r="S893" s="8" t="b">
        <v>0</v>
      </c>
      <c r="T893" s="8" t="b">
        <v>0</v>
      </c>
      <c r="U893" s="8" t="b">
        <v>0</v>
      </c>
      <c r="V893" s="8" t="b">
        <v>1</v>
      </c>
      <c r="X893" s="8" t="b">
        <v>0</v>
      </c>
      <c r="Y893" s="8" t="b">
        <v>0</v>
      </c>
      <c r="Z893" s="8" t="b">
        <v>0</v>
      </c>
      <c r="AA893" s="8" t="b">
        <v>0</v>
      </c>
      <c r="AB893" s="8" t="b">
        <v>0</v>
      </c>
      <c r="AC893" s="8" t="b">
        <v>0</v>
      </c>
      <c r="AD893" s="8" t="b">
        <v>1</v>
      </c>
      <c r="AE893" s="8" t="b">
        <v>0</v>
      </c>
      <c r="AG893" s="11" t="b" cm="1">
        <f t="array" ref="AG893">IF(OR(Y893:AA893="TRUE", AE893="true"), "Threatened")</f>
        <v>0</v>
      </c>
      <c r="AH893" s="11" t="s">
        <v>2490</v>
      </c>
      <c r="AI893" s="8" t="b">
        <v>1</v>
      </c>
    </row>
    <row r="894" spans="1:35" ht="31.2">
      <c r="A894" s="8">
        <v>-73.979931120000003</v>
      </c>
      <c r="B894" s="8">
        <v>40.768557700000002</v>
      </c>
      <c r="C894" s="8" t="s">
        <v>2491</v>
      </c>
      <c r="D894" s="8" t="s">
        <v>219</v>
      </c>
      <c r="E894" s="8" t="b">
        <f t="shared" si="13"/>
        <v>0</v>
      </c>
      <c r="F894" s="8" t="str" cm="1">
        <f t="array" ref="F894">_xlfn._xlws.FILTER(E894:E4092, C894:C4092= "6D-PM-1020-01", "No Squirrels Found")</f>
        <v>No Squirrels Found</v>
      </c>
      <c r="G894" s="8" t="s">
        <v>48</v>
      </c>
      <c r="H894" s="10">
        <v>10102018</v>
      </c>
      <c r="I894" s="10">
        <v>3</v>
      </c>
      <c r="J894" s="8" t="s">
        <v>39</v>
      </c>
      <c r="K894" s="8" t="s">
        <v>41</v>
      </c>
      <c r="M894" s="8" t="s">
        <v>49</v>
      </c>
      <c r="O894" s="8" t="s">
        <v>43</v>
      </c>
      <c r="P894" s="8" t="b">
        <v>0</v>
      </c>
      <c r="R894" s="8" t="b">
        <v>0</v>
      </c>
      <c r="S894" s="8" t="b">
        <v>0</v>
      </c>
      <c r="T894" s="8" t="b">
        <v>0</v>
      </c>
      <c r="U894" s="8" t="b">
        <v>0</v>
      </c>
      <c r="V894" s="8" t="b">
        <v>1</v>
      </c>
      <c r="X894" s="8" t="b">
        <v>0</v>
      </c>
      <c r="Y894" s="8" t="b">
        <v>0</v>
      </c>
      <c r="Z894" s="8" t="b">
        <v>0</v>
      </c>
      <c r="AA894" s="8" t="b">
        <v>0</v>
      </c>
      <c r="AB894" s="8" t="b">
        <v>0</v>
      </c>
      <c r="AC894" s="8" t="b">
        <v>0</v>
      </c>
      <c r="AD894" s="8" t="b">
        <v>1</v>
      </c>
      <c r="AE894" s="8" t="b">
        <v>0</v>
      </c>
      <c r="AG894" s="11" t="b" cm="1">
        <f t="array" ref="AG894">IF(OR(Y894:AA894="TRUE", AE894="true"), "Threatened")</f>
        <v>0</v>
      </c>
      <c r="AH894" s="11" t="s">
        <v>2492</v>
      </c>
      <c r="AI894" s="8" t="b">
        <v>1</v>
      </c>
    </row>
    <row r="895" spans="1:35" ht="31.2">
      <c r="A895" s="8">
        <v>-73.967519820000007</v>
      </c>
      <c r="B895" s="8">
        <v>40.778631089999998</v>
      </c>
      <c r="C895" s="8" t="s">
        <v>2493</v>
      </c>
      <c r="D895" s="8" t="s">
        <v>131</v>
      </c>
      <c r="E895" s="8" t="b">
        <f t="shared" si="13"/>
        <v>0</v>
      </c>
      <c r="F895" s="8" t="str" cm="1">
        <f t="array" ref="F895">_xlfn._xlws.FILTER(E895:E4093, C895:C4093= "6D-PM-1020-01", "No Squirrels Found")</f>
        <v>No Squirrels Found</v>
      </c>
      <c r="G895" s="8" t="s">
        <v>48</v>
      </c>
      <c r="H895" s="10">
        <v>10072018</v>
      </c>
      <c r="I895" s="10">
        <v>2</v>
      </c>
      <c r="J895" s="8" t="s">
        <v>39</v>
      </c>
      <c r="K895" s="8" t="s">
        <v>41</v>
      </c>
      <c r="L895" s="8" t="s">
        <v>40</v>
      </c>
      <c r="M895" s="8" t="s">
        <v>110</v>
      </c>
      <c r="O895" s="8" t="s">
        <v>50</v>
      </c>
      <c r="P895" s="8">
        <v>4</v>
      </c>
      <c r="R895" s="8" t="b">
        <v>0</v>
      </c>
      <c r="S895" s="8" t="b">
        <v>0</v>
      </c>
      <c r="T895" s="8" t="b">
        <v>1</v>
      </c>
      <c r="U895" s="8" t="b">
        <v>0</v>
      </c>
      <c r="V895" s="8" t="b">
        <v>0</v>
      </c>
      <c r="X895" s="8" t="b">
        <v>0</v>
      </c>
      <c r="Y895" s="8" t="b">
        <v>0</v>
      </c>
      <c r="Z895" s="8" t="b">
        <v>0</v>
      </c>
      <c r="AA895" s="8" t="b">
        <v>0</v>
      </c>
      <c r="AB895" s="8" t="b">
        <v>0</v>
      </c>
      <c r="AC895" s="8" t="b">
        <v>0</v>
      </c>
      <c r="AD895" s="8" t="b">
        <v>1</v>
      </c>
      <c r="AE895" s="8" t="b">
        <v>0</v>
      </c>
      <c r="AG895" s="11" t="b" cm="1">
        <f t="array" ref="AG895">IF(OR(Y895:AA895="TRUE", AE895="true"), "Threatened")</f>
        <v>0</v>
      </c>
      <c r="AH895" s="11" t="s">
        <v>2494</v>
      </c>
      <c r="AI895" s="8" t="b">
        <v>1</v>
      </c>
    </row>
    <row r="896" spans="1:35" ht="31.2">
      <c r="A896" s="8">
        <v>-73.978689869999997</v>
      </c>
      <c r="B896" s="8">
        <v>40.772083309999999</v>
      </c>
      <c r="C896" s="8" t="s">
        <v>2495</v>
      </c>
      <c r="D896" s="8" t="s">
        <v>874</v>
      </c>
      <c r="E896" s="8" t="b">
        <f t="shared" si="13"/>
        <v>0</v>
      </c>
      <c r="F896" s="8" t="str" cm="1">
        <f t="array" ref="F896">_xlfn._xlws.FILTER(E896:E4094, C896:C4094= "6D-PM-1020-01", "No Squirrels Found")</f>
        <v>No Squirrels Found</v>
      </c>
      <c r="G896" s="8" t="s">
        <v>48</v>
      </c>
      <c r="H896" s="10">
        <v>10062018</v>
      </c>
      <c r="I896" s="10">
        <v>8</v>
      </c>
      <c r="J896" s="8" t="s">
        <v>39</v>
      </c>
      <c r="K896" s="8" t="s">
        <v>40</v>
      </c>
      <c r="L896" s="8" t="s">
        <v>84</v>
      </c>
      <c r="M896" s="8" t="s">
        <v>103</v>
      </c>
      <c r="O896" s="8" t="s">
        <v>43</v>
      </c>
      <c r="P896" s="8" t="b">
        <v>0</v>
      </c>
      <c r="R896" s="8" t="b">
        <v>1</v>
      </c>
      <c r="S896" s="8" t="b">
        <v>0</v>
      </c>
      <c r="T896" s="8" t="b">
        <v>0</v>
      </c>
      <c r="U896" s="8" t="b">
        <v>1</v>
      </c>
      <c r="V896" s="8" t="b">
        <v>1</v>
      </c>
      <c r="X896" s="8" t="b">
        <v>0</v>
      </c>
      <c r="Y896" s="8" t="b">
        <v>0</v>
      </c>
      <c r="Z896" s="8" t="b">
        <v>0</v>
      </c>
      <c r="AA896" s="8" t="b">
        <v>0</v>
      </c>
      <c r="AB896" s="8" t="b">
        <v>1</v>
      </c>
      <c r="AC896" s="8" t="b">
        <v>0</v>
      </c>
      <c r="AD896" s="8" t="b">
        <v>1</v>
      </c>
      <c r="AE896" s="8" t="b">
        <v>0</v>
      </c>
      <c r="AG896" s="11" t="b" cm="1">
        <f t="array" ref="AG896">IF(OR(Y896:AA896="TRUE", AE896="true"), "Threatened")</f>
        <v>0</v>
      </c>
      <c r="AH896" s="11" t="s">
        <v>2496</v>
      </c>
      <c r="AI896" s="8" t="b">
        <v>1</v>
      </c>
    </row>
    <row r="897" spans="1:35" ht="31.2">
      <c r="A897" s="8">
        <v>-73.975505600000005</v>
      </c>
      <c r="B897" s="8">
        <v>40.770743869999997</v>
      </c>
      <c r="C897" s="8" t="s">
        <v>2497</v>
      </c>
      <c r="D897" s="8" t="s">
        <v>734</v>
      </c>
      <c r="E897" s="8" t="b">
        <f t="shared" si="13"/>
        <v>0</v>
      </c>
      <c r="F897" s="8" t="str" cm="1">
        <f t="array" ref="F897">_xlfn._xlws.FILTER(E897:E4095, C897:C4095= "6D-PM-1020-01", "No Squirrels Found")</f>
        <v>No Squirrels Found</v>
      </c>
      <c r="G897" s="8" t="s">
        <v>48</v>
      </c>
      <c r="H897" s="10">
        <v>10082018</v>
      </c>
      <c r="I897" s="10">
        <v>2</v>
      </c>
      <c r="J897" s="8" t="s">
        <v>54</v>
      </c>
      <c r="K897" s="8" t="s">
        <v>40</v>
      </c>
      <c r="M897" s="8" t="s">
        <v>55</v>
      </c>
      <c r="O897" s="8" t="s">
        <v>50</v>
      </c>
      <c r="P897" s="8">
        <v>10</v>
      </c>
      <c r="R897" s="8" t="b">
        <v>0</v>
      </c>
      <c r="S897" s="8" t="b">
        <v>0</v>
      </c>
      <c r="T897" s="8" t="b">
        <v>0</v>
      </c>
      <c r="U897" s="8" t="b">
        <v>0</v>
      </c>
      <c r="V897" s="8" t="b">
        <v>0</v>
      </c>
      <c r="X897" s="8" t="b">
        <v>0</v>
      </c>
      <c r="Y897" s="8" t="b">
        <v>0</v>
      </c>
      <c r="Z897" s="8" t="b">
        <v>0</v>
      </c>
      <c r="AA897" s="8" t="b">
        <v>0</v>
      </c>
      <c r="AB897" s="8" t="b">
        <v>0</v>
      </c>
      <c r="AC897" s="8" t="b">
        <v>0</v>
      </c>
      <c r="AD897" s="8" t="b">
        <v>0</v>
      </c>
      <c r="AE897" s="8" t="b">
        <v>0</v>
      </c>
      <c r="AG897" s="11" t="b" cm="1">
        <f t="array" ref="AG897">IF(OR(Y897:AA897="TRUE", AE897="true"), "Threatened")</f>
        <v>0</v>
      </c>
      <c r="AH897" s="11" t="s">
        <v>2498</v>
      </c>
      <c r="AI897" s="8" t="b">
        <v>1</v>
      </c>
    </row>
    <row r="898" spans="1:35" ht="31.2">
      <c r="A898" s="8">
        <v>-73.973468749999995</v>
      </c>
      <c r="B898" s="8">
        <v>40.769430900000003</v>
      </c>
      <c r="C898" s="8" t="s">
        <v>2499</v>
      </c>
      <c r="D898" s="8" t="s">
        <v>524</v>
      </c>
      <c r="E898" s="8" t="b">
        <f t="shared" si="13"/>
        <v>0</v>
      </c>
      <c r="F898" s="8" t="str" cm="1">
        <f t="array" ref="F898">_xlfn._xlws.FILTER(E898:E4096, C898:C4096= "6D-PM-1020-01", "No Squirrels Found")</f>
        <v>No Squirrels Found</v>
      </c>
      <c r="G898" s="8" t="s">
        <v>34</v>
      </c>
      <c r="H898" s="10">
        <v>10082018</v>
      </c>
      <c r="I898" s="10">
        <v>4</v>
      </c>
      <c r="J898" s="8" t="s">
        <v>39</v>
      </c>
      <c r="K898" s="8" t="s">
        <v>41</v>
      </c>
      <c r="L898" s="8" t="s">
        <v>84</v>
      </c>
      <c r="M898" s="8" t="s">
        <v>85</v>
      </c>
      <c r="N898" s="11" t="s">
        <v>2500</v>
      </c>
      <c r="O898" s="8" t="s">
        <v>43</v>
      </c>
      <c r="P898" s="8" t="b">
        <v>0</v>
      </c>
      <c r="R898" s="8" t="b">
        <v>0</v>
      </c>
      <c r="S898" s="8" t="b">
        <v>0</v>
      </c>
      <c r="T898" s="8" t="b">
        <v>0</v>
      </c>
      <c r="U898" s="8" t="b">
        <v>0</v>
      </c>
      <c r="V898" s="8" t="b">
        <v>1</v>
      </c>
      <c r="X898" s="8" t="b">
        <v>0</v>
      </c>
      <c r="Y898" s="8" t="b">
        <v>0</v>
      </c>
      <c r="Z898" s="8" t="b">
        <v>0</v>
      </c>
      <c r="AA898" s="8" t="b">
        <v>0</v>
      </c>
      <c r="AB898" s="8" t="b">
        <v>0</v>
      </c>
      <c r="AC898" s="8" t="b">
        <v>0</v>
      </c>
      <c r="AD898" s="8" t="b">
        <v>0</v>
      </c>
      <c r="AE898" s="8" t="b">
        <v>0</v>
      </c>
      <c r="AG898" s="11" t="b" cm="1">
        <f t="array" ref="AG898">IF(OR(Y898:AA898="TRUE", AE898="true"), "Threatened")</f>
        <v>0</v>
      </c>
      <c r="AH898" s="11" t="s">
        <v>2501</v>
      </c>
      <c r="AI898" s="8" t="b">
        <v>1</v>
      </c>
    </row>
    <row r="899" spans="1:35" ht="31.2">
      <c r="A899" s="8">
        <v>-73.954282809999995</v>
      </c>
      <c r="B899" s="8">
        <v>40.794179730000003</v>
      </c>
      <c r="C899" s="8" t="s">
        <v>2502</v>
      </c>
      <c r="D899" s="8" t="s">
        <v>939</v>
      </c>
      <c r="E899" s="8" t="b">
        <f t="shared" ref="E899:E962" si="14">OR(D899 = "05D", D899 = "07D", D899 = "06C", D899 = "06E")</f>
        <v>0</v>
      </c>
      <c r="F899" s="8" t="str" cm="1">
        <f t="array" ref="F899">_xlfn._xlws.FILTER(E899:E4097, C899:C4097= "6D-PM-1020-01", "No Squirrels Found")</f>
        <v>No Squirrels Found</v>
      </c>
      <c r="G899" s="8" t="s">
        <v>48</v>
      </c>
      <c r="H899" s="10">
        <v>10142018</v>
      </c>
      <c r="I899" s="10">
        <v>3</v>
      </c>
      <c r="J899" s="8" t="s">
        <v>39</v>
      </c>
      <c r="K899" s="8" t="s">
        <v>40</v>
      </c>
      <c r="M899" s="8" t="s">
        <v>55</v>
      </c>
      <c r="O899" s="8" t="s">
        <v>43</v>
      </c>
      <c r="P899" s="8" t="b">
        <v>0</v>
      </c>
      <c r="R899" s="8" t="b">
        <v>1</v>
      </c>
      <c r="S899" s="8" t="b">
        <v>0</v>
      </c>
      <c r="T899" s="8" t="b">
        <v>0</v>
      </c>
      <c r="U899" s="8" t="b">
        <v>0</v>
      </c>
      <c r="V899" s="8" t="b">
        <v>0</v>
      </c>
      <c r="X899" s="8" t="b">
        <v>0</v>
      </c>
      <c r="Y899" s="8" t="b">
        <v>0</v>
      </c>
      <c r="Z899" s="8" t="b">
        <v>0</v>
      </c>
      <c r="AA899" s="8" t="b">
        <v>0</v>
      </c>
      <c r="AB899" s="8" t="b">
        <v>0</v>
      </c>
      <c r="AC899" s="8" t="b">
        <v>0</v>
      </c>
      <c r="AD899" s="8" t="b">
        <v>0</v>
      </c>
      <c r="AE899" s="8" t="b">
        <v>1</v>
      </c>
      <c r="AG899" s="11" t="b" cm="1">
        <f t="array" ref="AG899">IF(OR(Y899:AA899="TRUE", AE899="true"), "Threatened")</f>
        <v>0</v>
      </c>
      <c r="AH899" s="11" t="s">
        <v>2503</v>
      </c>
      <c r="AI899" s="8" t="b">
        <v>1</v>
      </c>
    </row>
    <row r="900" spans="1:35" ht="31.2">
      <c r="A900" s="8">
        <v>-73.979275400000006</v>
      </c>
      <c r="B900" s="8">
        <v>40.767969069999999</v>
      </c>
      <c r="C900" s="8" t="s">
        <v>2504</v>
      </c>
      <c r="D900" s="8" t="s">
        <v>1235</v>
      </c>
      <c r="E900" s="8" t="b">
        <f t="shared" si="14"/>
        <v>0</v>
      </c>
      <c r="F900" s="8" t="str" cm="1">
        <f t="array" ref="F900">_xlfn._xlws.FILTER(E900:E4098, C900:C4098= "6D-PM-1020-01", "No Squirrels Found")</f>
        <v>No Squirrels Found</v>
      </c>
      <c r="G900" s="8" t="s">
        <v>48</v>
      </c>
      <c r="H900" s="10">
        <v>10102018</v>
      </c>
      <c r="I900" s="10">
        <v>8</v>
      </c>
      <c r="J900" s="8" t="s">
        <v>39</v>
      </c>
      <c r="K900" s="8" t="s">
        <v>40</v>
      </c>
      <c r="L900" s="8" t="s">
        <v>41</v>
      </c>
      <c r="M900" s="8" t="s">
        <v>42</v>
      </c>
      <c r="O900" s="8" t="s">
        <v>50</v>
      </c>
      <c r="P900" s="8">
        <v>3</v>
      </c>
      <c r="Q900" s="8" t="s">
        <v>2505</v>
      </c>
      <c r="R900" s="8" t="b">
        <v>0</v>
      </c>
      <c r="S900" s="8" t="b">
        <v>0</v>
      </c>
      <c r="T900" s="8" t="b">
        <v>1</v>
      </c>
      <c r="U900" s="8" t="b">
        <v>0</v>
      </c>
      <c r="V900" s="8" t="b">
        <v>0</v>
      </c>
      <c r="X900" s="8" t="b">
        <v>0</v>
      </c>
      <c r="Y900" s="8" t="b">
        <v>0</v>
      </c>
      <c r="Z900" s="8" t="b">
        <v>0</v>
      </c>
      <c r="AA900" s="8" t="b">
        <v>0</v>
      </c>
      <c r="AB900" s="8" t="b">
        <v>0</v>
      </c>
      <c r="AC900" s="8" t="b">
        <v>0</v>
      </c>
      <c r="AD900" s="8" t="b">
        <v>0</v>
      </c>
      <c r="AE900" s="8" t="b">
        <v>0</v>
      </c>
      <c r="AG900" s="11" t="b" cm="1">
        <f t="array" ref="AG900">IF(OR(Y900:AA900="TRUE", AE900="true"), "Threatened")</f>
        <v>0</v>
      </c>
      <c r="AH900" s="11" t="s">
        <v>2506</v>
      </c>
      <c r="AI900" s="8" t="b">
        <v>1</v>
      </c>
    </row>
    <row r="901" spans="1:35" ht="31.2">
      <c r="A901" s="8">
        <v>-73.962652790000007</v>
      </c>
      <c r="B901" s="8">
        <v>40.791247239999997</v>
      </c>
      <c r="C901" s="8" t="s">
        <v>2507</v>
      </c>
      <c r="D901" s="8" t="s">
        <v>2508</v>
      </c>
      <c r="E901" s="8" t="b">
        <f t="shared" si="14"/>
        <v>0</v>
      </c>
      <c r="F901" s="8" t="str" cm="1">
        <f t="array" ref="F901">_xlfn._xlws.FILTER(E901:E4099, C901:C4099= "6D-PM-1020-01", "No Squirrels Found")</f>
        <v>No Squirrels Found</v>
      </c>
      <c r="G901" s="8" t="s">
        <v>48</v>
      </c>
      <c r="H901" s="10">
        <v>10172018</v>
      </c>
      <c r="I901" s="10">
        <v>3</v>
      </c>
      <c r="J901" s="8" t="s">
        <v>39</v>
      </c>
      <c r="K901" s="8" t="s">
        <v>40</v>
      </c>
      <c r="M901" s="8" t="s">
        <v>55</v>
      </c>
      <c r="O901" s="8" t="s">
        <v>43</v>
      </c>
      <c r="P901" s="8" t="b">
        <v>0</v>
      </c>
      <c r="R901" s="8" t="b">
        <v>0</v>
      </c>
      <c r="S901" s="8" t="b">
        <v>0</v>
      </c>
      <c r="T901" s="8" t="b">
        <v>0</v>
      </c>
      <c r="U901" s="8" t="b">
        <v>1</v>
      </c>
      <c r="V901" s="8" t="b">
        <v>0</v>
      </c>
      <c r="X901" s="8" t="b">
        <v>0</v>
      </c>
      <c r="Y901" s="8" t="b">
        <v>0</v>
      </c>
      <c r="Z901" s="8" t="b">
        <v>0</v>
      </c>
      <c r="AA901" s="8" t="b">
        <v>0</v>
      </c>
      <c r="AB901" s="8" t="b">
        <v>0</v>
      </c>
      <c r="AC901" s="8" t="b">
        <v>0</v>
      </c>
      <c r="AD901" s="8" t="b">
        <v>1</v>
      </c>
      <c r="AE901" s="8" t="b">
        <v>0</v>
      </c>
      <c r="AG901" s="11" t="b" cm="1">
        <f t="array" ref="AG901">IF(OR(Y901:AA901="TRUE", AE901="true"), "Threatened")</f>
        <v>0</v>
      </c>
      <c r="AH901" s="11" t="s">
        <v>2509</v>
      </c>
      <c r="AI901" s="8" t="b">
        <v>1</v>
      </c>
    </row>
    <row r="902" spans="1:35" ht="31.2">
      <c r="A902" s="8">
        <v>-73.970222809999996</v>
      </c>
      <c r="B902" s="8">
        <v>40.774213160000002</v>
      </c>
      <c r="C902" s="8" t="s">
        <v>2510</v>
      </c>
      <c r="D902" s="8" t="s">
        <v>655</v>
      </c>
      <c r="E902" s="8" t="b">
        <f t="shared" si="14"/>
        <v>0</v>
      </c>
      <c r="F902" s="8" t="str" cm="1">
        <f t="array" ref="F902">_xlfn._xlws.FILTER(E902:E4100, C902:C4100= "6D-PM-1020-01", "No Squirrels Found")</f>
        <v>No Squirrels Found</v>
      </c>
      <c r="G902" s="8" t="s">
        <v>34</v>
      </c>
      <c r="H902" s="10">
        <v>10072018</v>
      </c>
      <c r="I902" s="10">
        <v>12</v>
      </c>
      <c r="J902" s="8" t="s">
        <v>39</v>
      </c>
      <c r="K902" s="8" t="s">
        <v>40</v>
      </c>
      <c r="L902" s="8" t="s">
        <v>117</v>
      </c>
      <c r="M902" s="8" t="s">
        <v>118</v>
      </c>
      <c r="O902" s="8" t="s">
        <v>50</v>
      </c>
      <c r="P902" s="8">
        <v>5</v>
      </c>
      <c r="R902" s="8" t="b">
        <v>0</v>
      </c>
      <c r="S902" s="8" t="b">
        <v>0</v>
      </c>
      <c r="T902" s="8" t="b">
        <v>0</v>
      </c>
      <c r="U902" s="8" t="b">
        <v>0</v>
      </c>
      <c r="V902" s="8" t="b">
        <v>1</v>
      </c>
      <c r="W902" s="11" t="s">
        <v>2511</v>
      </c>
      <c r="X902" s="8" t="b">
        <v>0</v>
      </c>
      <c r="Y902" s="8" t="b">
        <v>0</v>
      </c>
      <c r="Z902" s="8" t="b">
        <v>0</v>
      </c>
      <c r="AA902" s="8" t="b">
        <v>0</v>
      </c>
      <c r="AB902" s="8" t="b">
        <v>0</v>
      </c>
      <c r="AC902" s="8" t="b">
        <v>0</v>
      </c>
      <c r="AD902" s="8" t="b">
        <v>1</v>
      </c>
      <c r="AE902" s="8" t="b">
        <v>0</v>
      </c>
      <c r="AG902" s="11" t="b" cm="1">
        <f t="array" ref="AG902">IF(OR(Y902:AA902="TRUE", AE902="true"), "Threatened")</f>
        <v>0</v>
      </c>
      <c r="AH902" s="11" t="s">
        <v>2512</v>
      </c>
      <c r="AI902" s="8" t="b">
        <v>0</v>
      </c>
    </row>
    <row r="903" spans="1:35" ht="31.2">
      <c r="A903" s="8">
        <v>-73.969105909999996</v>
      </c>
      <c r="B903" s="8">
        <v>40.782047489999997</v>
      </c>
      <c r="C903" s="8" t="s">
        <v>2513</v>
      </c>
      <c r="D903" s="8" t="s">
        <v>102</v>
      </c>
      <c r="E903" s="8" t="b">
        <f t="shared" si="14"/>
        <v>0</v>
      </c>
      <c r="F903" s="8" t="str" cm="1">
        <f t="array" ref="F903">_xlfn._xlws.FILTER(E903:E4101, C903:C4101= "6D-PM-1020-01", "No Squirrels Found")</f>
        <v>No Squirrels Found</v>
      </c>
      <c r="G903" s="8" t="s">
        <v>34</v>
      </c>
      <c r="H903" s="10">
        <v>10132018</v>
      </c>
      <c r="I903" s="10">
        <v>8</v>
      </c>
      <c r="J903" s="8" t="s">
        <v>39</v>
      </c>
      <c r="K903" s="8" t="s">
        <v>40</v>
      </c>
      <c r="L903" s="8" t="s">
        <v>84</v>
      </c>
      <c r="M903" s="8" t="s">
        <v>103</v>
      </c>
      <c r="N903" s="11" t="s">
        <v>2514</v>
      </c>
      <c r="O903" s="8" t="s">
        <v>43</v>
      </c>
      <c r="P903" s="8" t="b">
        <v>0</v>
      </c>
      <c r="R903" s="8" t="b">
        <v>1</v>
      </c>
      <c r="S903" s="8" t="b">
        <v>0</v>
      </c>
      <c r="T903" s="8" t="b">
        <v>0</v>
      </c>
      <c r="U903" s="8" t="b">
        <v>0</v>
      </c>
      <c r="V903" s="8" t="b">
        <v>0</v>
      </c>
      <c r="W903" s="11" t="s">
        <v>2515</v>
      </c>
      <c r="X903" s="8" t="b">
        <v>0</v>
      </c>
      <c r="Y903" s="8" t="b">
        <v>0</v>
      </c>
      <c r="Z903" s="8" t="b">
        <v>0</v>
      </c>
      <c r="AA903" s="8" t="b">
        <v>0</v>
      </c>
      <c r="AB903" s="8" t="b">
        <v>0</v>
      </c>
      <c r="AC903" s="8" t="b">
        <v>0</v>
      </c>
      <c r="AD903" s="8" t="b">
        <v>0</v>
      </c>
      <c r="AE903" s="8" t="b">
        <v>1</v>
      </c>
      <c r="AG903" s="11" t="b" cm="1">
        <f t="array" ref="AG903">IF(OR(Y903:AA903="TRUE", AE903="true"), "Threatened")</f>
        <v>0</v>
      </c>
      <c r="AH903" s="11" t="s">
        <v>2516</v>
      </c>
      <c r="AI903" s="8" t="b">
        <v>0</v>
      </c>
    </row>
    <row r="904" spans="1:35" ht="31.2">
      <c r="A904" s="8">
        <v>-73.971994159999994</v>
      </c>
      <c r="B904" s="8">
        <v>40.77037129</v>
      </c>
      <c r="C904" s="8" t="s">
        <v>2517</v>
      </c>
      <c r="D904" s="8" t="s">
        <v>413</v>
      </c>
      <c r="E904" s="8" t="b">
        <f t="shared" si="14"/>
        <v>0</v>
      </c>
      <c r="F904" s="8" t="str" cm="1">
        <f t="array" ref="F904">_xlfn._xlws.FILTER(E904:E4102, C904:C4102= "6D-PM-1020-01", "No Squirrels Found")</f>
        <v>No Squirrels Found</v>
      </c>
      <c r="G904" s="8" t="s">
        <v>48</v>
      </c>
      <c r="H904" s="10">
        <v>10102018</v>
      </c>
      <c r="I904" s="10">
        <v>4</v>
      </c>
      <c r="J904" s="8" t="s">
        <v>39</v>
      </c>
      <c r="K904" s="8" t="s">
        <v>40</v>
      </c>
      <c r="M904" s="8" t="s">
        <v>55</v>
      </c>
      <c r="O904" s="8" t="s">
        <v>43</v>
      </c>
      <c r="P904" s="8" t="b">
        <v>0</v>
      </c>
      <c r="R904" s="8" t="b">
        <v>1</v>
      </c>
      <c r="S904" s="8" t="b">
        <v>0</v>
      </c>
      <c r="T904" s="8" t="b">
        <v>0</v>
      </c>
      <c r="U904" s="8" t="b">
        <v>0</v>
      </c>
      <c r="V904" s="8" t="b">
        <v>1</v>
      </c>
      <c r="X904" s="8" t="b">
        <v>0</v>
      </c>
      <c r="Y904" s="8" t="b">
        <v>0</v>
      </c>
      <c r="Z904" s="8" t="b">
        <v>0</v>
      </c>
      <c r="AA904" s="8" t="b">
        <v>0</v>
      </c>
      <c r="AB904" s="8" t="b">
        <v>0</v>
      </c>
      <c r="AC904" s="8" t="b">
        <v>0</v>
      </c>
      <c r="AD904" s="8" t="b">
        <v>0</v>
      </c>
      <c r="AE904" s="8" t="b">
        <v>0</v>
      </c>
      <c r="AG904" s="11" t="b" cm="1">
        <f t="array" ref="AG904">IF(OR(Y904:AA904="TRUE", AE904="true"), "Threatened")</f>
        <v>0</v>
      </c>
      <c r="AH904" s="11" t="s">
        <v>2518</v>
      </c>
      <c r="AI904" s="8" t="b">
        <v>1</v>
      </c>
    </row>
    <row r="905" spans="1:35" ht="31.2">
      <c r="A905" s="8">
        <v>-73.953101340000003</v>
      </c>
      <c r="B905" s="8">
        <v>40.79212236</v>
      </c>
      <c r="C905" s="8" t="s">
        <v>2519</v>
      </c>
      <c r="D905" s="8" t="s">
        <v>106</v>
      </c>
      <c r="E905" s="8" t="b">
        <f t="shared" si="14"/>
        <v>0</v>
      </c>
      <c r="F905" s="8" t="str" cm="1">
        <f t="array" ref="F905">_xlfn._xlws.FILTER(E905:E4103, C905:C4103= "6D-PM-1020-01", "No Squirrels Found")</f>
        <v>No Squirrels Found</v>
      </c>
      <c r="G905" s="8" t="s">
        <v>34</v>
      </c>
      <c r="H905" s="10">
        <v>10072018</v>
      </c>
      <c r="I905" s="10">
        <v>4</v>
      </c>
      <c r="J905" s="8" t="s">
        <v>39</v>
      </c>
      <c r="K905" s="8" t="s">
        <v>40</v>
      </c>
      <c r="M905" s="8" t="s">
        <v>55</v>
      </c>
      <c r="O905" s="8" t="s">
        <v>43</v>
      </c>
      <c r="P905" s="8" t="b">
        <v>0</v>
      </c>
      <c r="R905" s="8" t="b">
        <v>0</v>
      </c>
      <c r="S905" s="8" t="b">
        <v>1</v>
      </c>
      <c r="T905" s="8" t="b">
        <v>0</v>
      </c>
      <c r="U905" s="8" t="b">
        <v>0</v>
      </c>
      <c r="V905" s="8" t="b">
        <v>1</v>
      </c>
      <c r="X905" s="8" t="b">
        <v>0</v>
      </c>
      <c r="Y905" s="8" t="b">
        <v>0</v>
      </c>
      <c r="Z905" s="8" t="b">
        <v>0</v>
      </c>
      <c r="AA905" s="8" t="b">
        <v>0</v>
      </c>
      <c r="AB905" s="8" t="b">
        <v>0</v>
      </c>
      <c r="AC905" s="8" t="b">
        <v>0</v>
      </c>
      <c r="AD905" s="8" t="b">
        <v>0</v>
      </c>
      <c r="AE905" s="8" t="b">
        <v>0</v>
      </c>
      <c r="AG905" s="11" t="b" cm="1">
        <f t="array" ref="AG905">IF(OR(Y905:AA905="TRUE", AE905="true"), "Threatened")</f>
        <v>0</v>
      </c>
      <c r="AH905" s="11" t="s">
        <v>2520</v>
      </c>
      <c r="AI905" s="8" t="b">
        <v>1</v>
      </c>
    </row>
    <row r="906" spans="1:35" ht="31.2">
      <c r="A906" s="8">
        <v>-73.975721609999994</v>
      </c>
      <c r="B906" s="8">
        <v>40.775431019999999</v>
      </c>
      <c r="C906" s="8" t="s">
        <v>2521</v>
      </c>
      <c r="D906" s="8" t="s">
        <v>1640</v>
      </c>
      <c r="E906" s="8" t="b">
        <f t="shared" si="14"/>
        <v>0</v>
      </c>
      <c r="F906" s="8" t="str" cm="1">
        <f t="array" ref="F906">_xlfn._xlws.FILTER(E906:E4104, C906:C4104= "6D-PM-1020-01", "No Squirrels Found")</f>
        <v>No Squirrels Found</v>
      </c>
      <c r="G906" s="8" t="s">
        <v>34</v>
      </c>
      <c r="H906" s="10">
        <v>10132018</v>
      </c>
      <c r="I906" s="10">
        <v>5</v>
      </c>
      <c r="J906" s="8" t="s">
        <v>39</v>
      </c>
      <c r="K906" s="8" t="s">
        <v>41</v>
      </c>
      <c r="L906" s="8" t="s">
        <v>40</v>
      </c>
      <c r="M906" s="8" t="s">
        <v>110</v>
      </c>
      <c r="O906" s="8" t="s">
        <v>43</v>
      </c>
      <c r="P906" s="8" t="b">
        <v>0</v>
      </c>
      <c r="R906" s="8" t="b">
        <v>1</v>
      </c>
      <c r="S906" s="8" t="b">
        <v>0</v>
      </c>
      <c r="T906" s="8" t="b">
        <v>0</v>
      </c>
      <c r="U906" s="8" t="b">
        <v>0</v>
      </c>
      <c r="V906" s="8" t="b">
        <v>1</v>
      </c>
      <c r="W906" s="11" t="s">
        <v>355</v>
      </c>
      <c r="X906" s="8" t="b">
        <v>0</v>
      </c>
      <c r="Y906" s="8" t="b">
        <v>0</v>
      </c>
      <c r="Z906" s="8" t="b">
        <v>0</v>
      </c>
      <c r="AA906" s="8" t="b">
        <v>0</v>
      </c>
      <c r="AB906" s="8" t="b">
        <v>1</v>
      </c>
      <c r="AC906" s="8" t="b">
        <v>0</v>
      </c>
      <c r="AD906" s="8" t="b">
        <v>0</v>
      </c>
      <c r="AE906" s="8" t="b">
        <v>0</v>
      </c>
      <c r="AG906" s="11" t="b" cm="1">
        <f t="array" ref="AG906">IF(OR(Y906:AA906="TRUE", AE906="true"), "Threatened")</f>
        <v>0</v>
      </c>
      <c r="AH906" s="11" t="s">
        <v>2522</v>
      </c>
      <c r="AI906" s="8" t="b">
        <v>0</v>
      </c>
    </row>
    <row r="907" spans="1:35" ht="31.2">
      <c r="A907" s="8">
        <v>-73.966412079999998</v>
      </c>
      <c r="B907" s="8">
        <v>40.788802269999998</v>
      </c>
      <c r="C907" s="8" t="s">
        <v>2523</v>
      </c>
      <c r="D907" s="8" t="s">
        <v>1074</v>
      </c>
      <c r="E907" s="8" t="b">
        <f t="shared" si="14"/>
        <v>0</v>
      </c>
      <c r="F907" s="8" t="str" cm="1">
        <f t="array" ref="F907">_xlfn._xlws.FILTER(E907:E4105, C907:C4105= "6D-PM-1020-01", "No Squirrels Found")</f>
        <v>No Squirrels Found</v>
      </c>
      <c r="G907" s="8" t="s">
        <v>48</v>
      </c>
      <c r="H907" s="10">
        <v>10082018</v>
      </c>
      <c r="I907" s="10">
        <v>1</v>
      </c>
      <c r="J907" s="8" t="s">
        <v>39</v>
      </c>
      <c r="K907" s="8" t="s">
        <v>40</v>
      </c>
      <c r="M907" s="8" t="s">
        <v>55</v>
      </c>
      <c r="O907" s="8" t="s">
        <v>50</v>
      </c>
      <c r="P907" s="8">
        <v>3</v>
      </c>
      <c r="R907" s="8" t="b">
        <v>0</v>
      </c>
      <c r="S907" s="8" t="b">
        <v>1</v>
      </c>
      <c r="T907" s="8" t="b">
        <v>0</v>
      </c>
      <c r="U907" s="8" t="b">
        <v>0</v>
      </c>
      <c r="V907" s="8" t="b">
        <v>0</v>
      </c>
      <c r="X907" s="8" t="b">
        <v>0</v>
      </c>
      <c r="Y907" s="8" t="b">
        <v>0</v>
      </c>
      <c r="Z907" s="8" t="b">
        <v>0</v>
      </c>
      <c r="AA907" s="8" t="b">
        <v>0</v>
      </c>
      <c r="AB907" s="8" t="b">
        <v>0</v>
      </c>
      <c r="AC907" s="8" t="b">
        <v>0</v>
      </c>
      <c r="AD907" s="8" t="b">
        <v>0</v>
      </c>
      <c r="AE907" s="8" t="b">
        <v>1</v>
      </c>
      <c r="AG907" s="11" t="b" cm="1">
        <f t="array" ref="AG907">IF(OR(Y907:AA907="TRUE", AE907="true"), "Threatened")</f>
        <v>0</v>
      </c>
      <c r="AH907" s="11" t="s">
        <v>2524</v>
      </c>
      <c r="AI907" s="8" t="b">
        <v>1</v>
      </c>
    </row>
    <row r="908" spans="1:35" ht="31.2">
      <c r="A908" s="8">
        <v>-73.958060990000007</v>
      </c>
      <c r="B908" s="8">
        <v>40.790715890000001</v>
      </c>
      <c r="C908" s="8" t="s">
        <v>2525</v>
      </c>
      <c r="D908" s="8" t="s">
        <v>144</v>
      </c>
      <c r="E908" s="8" t="b">
        <f t="shared" si="14"/>
        <v>0</v>
      </c>
      <c r="F908" s="8" t="str" cm="1">
        <f t="array" ref="F908">_xlfn._xlws.FILTER(E908:E4106, C908:C4106= "6D-PM-1020-01", "No Squirrels Found")</f>
        <v>No Squirrels Found</v>
      </c>
      <c r="G908" s="8" t="s">
        <v>48</v>
      </c>
      <c r="H908" s="10">
        <v>10122018</v>
      </c>
      <c r="I908" s="10">
        <v>6</v>
      </c>
      <c r="J908" s="8" t="s">
        <v>39</v>
      </c>
      <c r="K908" s="8" t="s">
        <v>40</v>
      </c>
      <c r="L908" s="8" t="s">
        <v>84</v>
      </c>
      <c r="M908" s="8" t="s">
        <v>103</v>
      </c>
      <c r="O908" s="8" t="s">
        <v>43</v>
      </c>
      <c r="P908" s="8" t="b">
        <v>0</v>
      </c>
      <c r="R908" s="8" t="b">
        <v>1</v>
      </c>
      <c r="S908" s="8" t="b">
        <v>0</v>
      </c>
      <c r="T908" s="8" t="b">
        <v>0</v>
      </c>
      <c r="U908" s="8" t="b">
        <v>0</v>
      </c>
      <c r="V908" s="8" t="b">
        <v>0</v>
      </c>
      <c r="X908" s="8" t="b">
        <v>0</v>
      </c>
      <c r="Y908" s="8" t="b">
        <v>0</v>
      </c>
      <c r="Z908" s="8" t="b">
        <v>0</v>
      </c>
      <c r="AA908" s="8" t="b">
        <v>0</v>
      </c>
      <c r="AB908" s="8" t="b">
        <v>0</v>
      </c>
      <c r="AC908" s="8" t="b">
        <v>0</v>
      </c>
      <c r="AD908" s="8" t="b">
        <v>0</v>
      </c>
      <c r="AE908" s="8" t="b">
        <v>0</v>
      </c>
      <c r="AG908" s="11" t="b" cm="1">
        <f t="array" ref="AG908">IF(OR(Y908:AA908="TRUE", AE908="true"), "Threatened")</f>
        <v>0</v>
      </c>
      <c r="AH908" s="11" t="s">
        <v>2526</v>
      </c>
      <c r="AI908" s="8" t="b">
        <v>1</v>
      </c>
    </row>
    <row r="909" spans="1:35" ht="31.2">
      <c r="A909" s="8">
        <v>-73.959412060000005</v>
      </c>
      <c r="B909" s="8">
        <v>40.784194579999998</v>
      </c>
      <c r="C909" s="8" t="s">
        <v>2527</v>
      </c>
      <c r="D909" s="8" t="s">
        <v>848</v>
      </c>
      <c r="E909" s="8" t="b">
        <f t="shared" si="14"/>
        <v>0</v>
      </c>
      <c r="F909" s="8" t="str" cm="1">
        <f t="array" ref="F909">_xlfn._xlws.FILTER(E909:E4107, C909:C4107= "6D-PM-1020-01", "No Squirrels Found")</f>
        <v>No Squirrels Found</v>
      </c>
      <c r="G909" s="8" t="s">
        <v>34</v>
      </c>
      <c r="H909" s="10">
        <v>10102018</v>
      </c>
      <c r="I909" s="10">
        <v>5</v>
      </c>
      <c r="J909" s="8" t="s">
        <v>39</v>
      </c>
      <c r="K909" s="8" t="s">
        <v>40</v>
      </c>
      <c r="L909" s="8" t="s">
        <v>117</v>
      </c>
      <c r="M909" s="8" t="s">
        <v>118</v>
      </c>
      <c r="O909" s="8" t="s">
        <v>50</v>
      </c>
      <c r="P909" s="8">
        <v>10</v>
      </c>
      <c r="Q909" s="8" t="s">
        <v>206</v>
      </c>
      <c r="R909" s="8" t="b">
        <v>0</v>
      </c>
      <c r="S909" s="8" t="b">
        <v>0</v>
      </c>
      <c r="T909" s="8" t="b">
        <v>1</v>
      </c>
      <c r="U909" s="8" t="b">
        <v>0</v>
      </c>
      <c r="V909" s="8" t="b">
        <v>1</v>
      </c>
      <c r="X909" s="8" t="b">
        <v>0</v>
      </c>
      <c r="Y909" s="8" t="b">
        <v>0</v>
      </c>
      <c r="Z909" s="8" t="b">
        <v>0</v>
      </c>
      <c r="AA909" s="8" t="b">
        <v>0</v>
      </c>
      <c r="AB909" s="8" t="b">
        <v>0</v>
      </c>
      <c r="AC909" s="8" t="b">
        <v>0</v>
      </c>
      <c r="AD909" s="8" t="b">
        <v>1</v>
      </c>
      <c r="AE909" s="8" t="b">
        <v>0</v>
      </c>
      <c r="AG909" s="11" t="b" cm="1">
        <f t="array" ref="AG909">IF(OR(Y909:AA909="TRUE", AE909="true"), "Threatened")</f>
        <v>0</v>
      </c>
      <c r="AH909" s="11" t="s">
        <v>2528</v>
      </c>
      <c r="AI909" s="8" t="b">
        <v>1</v>
      </c>
    </row>
    <row r="910" spans="1:35" ht="31.2">
      <c r="A910" s="8">
        <v>-73.96657055</v>
      </c>
      <c r="B910" s="8">
        <v>40.782355289999998</v>
      </c>
      <c r="C910" s="8" t="s">
        <v>2529</v>
      </c>
      <c r="D910" s="8" t="s">
        <v>469</v>
      </c>
      <c r="E910" s="8" t="b">
        <f t="shared" si="14"/>
        <v>0</v>
      </c>
      <c r="F910" s="8" t="str" cm="1">
        <f t="array" ref="F910">_xlfn._xlws.FILTER(E910:E4108, C910:C4108= "6D-PM-1020-01", "No Squirrels Found")</f>
        <v>No Squirrels Found</v>
      </c>
      <c r="G910" s="8" t="s">
        <v>34</v>
      </c>
      <c r="H910" s="10">
        <v>10082018</v>
      </c>
      <c r="I910" s="10">
        <v>5</v>
      </c>
      <c r="J910" s="8" t="s">
        <v>39</v>
      </c>
      <c r="K910" s="8" t="s">
        <v>40</v>
      </c>
      <c r="L910" s="8" t="s">
        <v>41</v>
      </c>
      <c r="M910" s="8" t="s">
        <v>42</v>
      </c>
      <c r="O910" s="8" t="s">
        <v>43</v>
      </c>
      <c r="P910" s="8" t="b">
        <v>0</v>
      </c>
      <c r="R910" s="8" t="b">
        <v>0</v>
      </c>
      <c r="S910" s="8" t="b">
        <v>0</v>
      </c>
      <c r="T910" s="8" t="b">
        <v>0</v>
      </c>
      <c r="U910" s="8" t="b">
        <v>0</v>
      </c>
      <c r="V910" s="8" t="b">
        <v>1</v>
      </c>
      <c r="X910" s="8" t="b">
        <v>0</v>
      </c>
      <c r="Y910" s="8" t="b">
        <v>0</v>
      </c>
      <c r="Z910" s="8" t="b">
        <v>0</v>
      </c>
      <c r="AA910" s="8" t="b">
        <v>0</v>
      </c>
      <c r="AB910" s="8" t="b">
        <v>0</v>
      </c>
      <c r="AC910" s="8" t="b">
        <v>0</v>
      </c>
      <c r="AD910" s="8" t="b">
        <v>0</v>
      </c>
      <c r="AE910" s="8" t="b">
        <v>0</v>
      </c>
      <c r="AG910" s="11" t="b" cm="1">
        <f t="array" ref="AG910">IF(OR(Y910:AA910="TRUE", AE910="true"), "Threatened")</f>
        <v>0</v>
      </c>
      <c r="AH910" s="11" t="s">
        <v>2530</v>
      </c>
      <c r="AI910" s="8" t="b">
        <v>1</v>
      </c>
    </row>
    <row r="911" spans="1:35" ht="31.2">
      <c r="A911" s="8">
        <v>-73.979638370000004</v>
      </c>
      <c r="B911" s="8">
        <v>40.768247770000002</v>
      </c>
      <c r="C911" s="8" t="s">
        <v>2531</v>
      </c>
      <c r="D911" s="8" t="s">
        <v>219</v>
      </c>
      <c r="E911" s="8" t="b">
        <f t="shared" si="14"/>
        <v>0</v>
      </c>
      <c r="F911" s="8" t="str" cm="1">
        <f t="array" ref="F911">_xlfn._xlws.FILTER(E911:E4109, C911:C4109= "6D-PM-1020-01", "No Squirrels Found")</f>
        <v>No Squirrels Found</v>
      </c>
      <c r="G911" s="8" t="s">
        <v>48</v>
      </c>
      <c r="H911" s="10">
        <v>10102018</v>
      </c>
      <c r="I911" s="10">
        <v>7</v>
      </c>
      <c r="J911" s="8" t="s">
        <v>39</v>
      </c>
      <c r="K911" s="8" t="s">
        <v>40</v>
      </c>
      <c r="M911" s="8" t="s">
        <v>55</v>
      </c>
      <c r="O911" s="8" t="s">
        <v>43</v>
      </c>
      <c r="P911" s="8" t="b">
        <v>0</v>
      </c>
      <c r="R911" s="8" t="b">
        <v>0</v>
      </c>
      <c r="S911" s="8" t="b">
        <v>0</v>
      </c>
      <c r="T911" s="8" t="b">
        <v>0</v>
      </c>
      <c r="U911" s="8" t="b">
        <v>0</v>
      </c>
      <c r="V911" s="8" t="b">
        <v>1</v>
      </c>
      <c r="X911" s="8" t="b">
        <v>0</v>
      </c>
      <c r="Y911" s="8" t="b">
        <v>0</v>
      </c>
      <c r="Z911" s="8" t="b">
        <v>0</v>
      </c>
      <c r="AA911" s="8" t="b">
        <v>0</v>
      </c>
      <c r="AB911" s="8" t="b">
        <v>0</v>
      </c>
      <c r="AC911" s="8" t="b">
        <v>0</v>
      </c>
      <c r="AD911" s="8" t="b">
        <v>1</v>
      </c>
      <c r="AE911" s="8" t="b">
        <v>0</v>
      </c>
      <c r="AG911" s="11" t="b" cm="1">
        <f t="array" ref="AG911">IF(OR(Y911:AA911="TRUE", AE911="true"), "Threatened")</f>
        <v>0</v>
      </c>
      <c r="AH911" s="11" t="s">
        <v>2532</v>
      </c>
      <c r="AI911" s="8" t="b">
        <v>1</v>
      </c>
    </row>
    <row r="912" spans="1:35" ht="31.2">
      <c r="A912" s="8">
        <v>-73.969727800000001</v>
      </c>
      <c r="B912" s="8">
        <v>40.770519870000001</v>
      </c>
      <c r="C912" s="8" t="s">
        <v>2533</v>
      </c>
      <c r="D912" s="8" t="s">
        <v>199</v>
      </c>
      <c r="E912" s="8" t="b">
        <f t="shared" si="14"/>
        <v>0</v>
      </c>
      <c r="F912" s="8" t="str" cm="1">
        <f t="array" ref="F912">_xlfn._xlws.FILTER(E912:E4110, C912:C4110= "6D-PM-1020-01", "No Squirrels Found")</f>
        <v>No Squirrels Found</v>
      </c>
      <c r="G912" s="8" t="s">
        <v>48</v>
      </c>
      <c r="H912" s="10">
        <v>10172018</v>
      </c>
      <c r="I912" s="10">
        <v>1</v>
      </c>
      <c r="J912" s="8" t="s">
        <v>39</v>
      </c>
      <c r="K912" s="8" t="s">
        <v>40</v>
      </c>
      <c r="L912" s="8" t="s">
        <v>41</v>
      </c>
      <c r="M912" s="8" t="s">
        <v>42</v>
      </c>
      <c r="O912" s="8" t="s">
        <v>43</v>
      </c>
      <c r="P912" s="8" t="b">
        <v>0</v>
      </c>
      <c r="R912" s="8" t="b">
        <v>0</v>
      </c>
      <c r="S912" s="8" t="b">
        <v>1</v>
      </c>
      <c r="T912" s="8" t="b">
        <v>0</v>
      </c>
      <c r="U912" s="8" t="b">
        <v>1</v>
      </c>
      <c r="V912" s="8" t="b">
        <v>1</v>
      </c>
      <c r="X912" s="8" t="b">
        <v>0</v>
      </c>
      <c r="Y912" s="8" t="b">
        <v>0</v>
      </c>
      <c r="Z912" s="8" t="b">
        <v>0</v>
      </c>
      <c r="AA912" s="8" t="b">
        <v>0</v>
      </c>
      <c r="AB912" s="8" t="b">
        <v>0</v>
      </c>
      <c r="AC912" s="8" t="b">
        <v>0</v>
      </c>
      <c r="AD912" s="8" t="b">
        <v>1</v>
      </c>
      <c r="AE912" s="8" t="b">
        <v>0</v>
      </c>
      <c r="AG912" s="11" t="b" cm="1">
        <f t="array" ref="AG912">IF(OR(Y912:AA912="TRUE", AE912="true"), "Threatened")</f>
        <v>0</v>
      </c>
      <c r="AH912" s="11" t="s">
        <v>2534</v>
      </c>
      <c r="AI912" s="8" t="b">
        <v>1</v>
      </c>
    </row>
    <row r="913" spans="1:35" ht="31.2">
      <c r="A913" s="8">
        <v>-73.958024710000004</v>
      </c>
      <c r="B913" s="8">
        <v>40.79387243</v>
      </c>
      <c r="C913" s="8" t="s">
        <v>2535</v>
      </c>
      <c r="D913" s="8" t="s">
        <v>1456</v>
      </c>
      <c r="E913" s="8" t="b">
        <f t="shared" si="14"/>
        <v>0</v>
      </c>
      <c r="F913" s="8" t="str" cm="1">
        <f t="array" ref="F913">_xlfn._xlws.FILTER(E913:E4111, C913:C4111= "6D-PM-1020-01", "No Squirrels Found")</f>
        <v>No Squirrels Found</v>
      </c>
      <c r="G913" s="8" t="s">
        <v>34</v>
      </c>
      <c r="H913" s="10">
        <v>10072018</v>
      </c>
      <c r="I913" s="10">
        <v>1</v>
      </c>
      <c r="J913" s="8" t="s">
        <v>39</v>
      </c>
      <c r="K913" s="8" t="s">
        <v>40</v>
      </c>
      <c r="M913" s="8" t="s">
        <v>55</v>
      </c>
      <c r="O913" s="8" t="s">
        <v>43</v>
      </c>
      <c r="P913" s="8" t="b">
        <v>0</v>
      </c>
      <c r="R913" s="8" t="b">
        <v>0</v>
      </c>
      <c r="S913" s="8" t="b">
        <v>0</v>
      </c>
      <c r="T913" s="8" t="b">
        <v>0</v>
      </c>
      <c r="U913" s="8" t="b">
        <v>1</v>
      </c>
      <c r="V913" s="8" t="b">
        <v>1</v>
      </c>
      <c r="X913" s="8" t="b">
        <v>0</v>
      </c>
      <c r="Y913" s="8" t="b">
        <v>0</v>
      </c>
      <c r="Z913" s="8" t="b">
        <v>0</v>
      </c>
      <c r="AA913" s="8" t="b">
        <v>0</v>
      </c>
      <c r="AB913" s="8" t="b">
        <v>0</v>
      </c>
      <c r="AC913" s="8" t="b">
        <v>0</v>
      </c>
      <c r="AD913" s="8" t="b">
        <v>1</v>
      </c>
      <c r="AE913" s="8" t="b">
        <v>0</v>
      </c>
      <c r="AG913" s="11" t="b" cm="1">
        <f t="array" ref="AG913">IF(OR(Y913:AA913="TRUE", AE913="true"), "Threatened")</f>
        <v>0</v>
      </c>
      <c r="AH913" s="11" t="s">
        <v>2536</v>
      </c>
      <c r="AI913" s="8" t="b">
        <v>1</v>
      </c>
    </row>
    <row r="914" spans="1:35" ht="31.2">
      <c r="A914" s="8">
        <v>-73.951411129999997</v>
      </c>
      <c r="B914" s="8">
        <v>40.79750859</v>
      </c>
      <c r="C914" s="8" t="s">
        <v>2537</v>
      </c>
      <c r="D914" s="8" t="s">
        <v>401</v>
      </c>
      <c r="E914" s="8" t="b">
        <f t="shared" si="14"/>
        <v>0</v>
      </c>
      <c r="F914" s="8" t="str" cm="1">
        <f t="array" ref="F914">_xlfn._xlws.FILTER(E914:E4112, C914:C4112= "6D-PM-1020-01", "No Squirrels Found")</f>
        <v>No Squirrels Found</v>
      </c>
      <c r="G914" s="8" t="s">
        <v>48</v>
      </c>
      <c r="H914" s="10">
        <v>10182018</v>
      </c>
      <c r="I914" s="10">
        <v>1</v>
      </c>
      <c r="J914" s="8" t="s">
        <v>39</v>
      </c>
      <c r="K914" s="8" t="s">
        <v>40</v>
      </c>
      <c r="L914" s="8" t="s">
        <v>41</v>
      </c>
      <c r="M914" s="8" t="s">
        <v>42</v>
      </c>
      <c r="O914" s="8" t="s">
        <v>43</v>
      </c>
      <c r="P914" s="8" t="b">
        <v>0</v>
      </c>
      <c r="R914" s="8" t="b">
        <v>0</v>
      </c>
      <c r="S914" s="8" t="b">
        <v>0</v>
      </c>
      <c r="T914" s="8" t="b">
        <v>0</v>
      </c>
      <c r="U914" s="8" t="b">
        <v>0</v>
      </c>
      <c r="V914" s="8" t="b">
        <v>1</v>
      </c>
      <c r="X914" s="8" t="b">
        <v>0</v>
      </c>
      <c r="Y914" s="8" t="b">
        <v>0</v>
      </c>
      <c r="Z914" s="8" t="b">
        <v>0</v>
      </c>
      <c r="AA914" s="8" t="b">
        <v>0</v>
      </c>
      <c r="AB914" s="8" t="b">
        <v>0</v>
      </c>
      <c r="AC914" s="8" t="b">
        <v>1</v>
      </c>
      <c r="AD914" s="8" t="b">
        <v>0</v>
      </c>
      <c r="AE914" s="8" t="b">
        <v>1</v>
      </c>
      <c r="AG914" s="11" t="b" cm="1">
        <f t="array" ref="AG914">IF(OR(Y914:AA914="TRUE", AE914="true"), "Threatened")</f>
        <v>0</v>
      </c>
      <c r="AH914" s="11" t="s">
        <v>2538</v>
      </c>
      <c r="AI914" s="8" t="b">
        <v>1</v>
      </c>
    </row>
    <row r="915" spans="1:35" ht="31.2">
      <c r="A915" s="8">
        <v>-73.976080170000003</v>
      </c>
      <c r="B915" s="8">
        <v>40.767421900000002</v>
      </c>
      <c r="C915" s="8" t="s">
        <v>2539</v>
      </c>
      <c r="D915" s="8" t="s">
        <v>230</v>
      </c>
      <c r="E915" s="8" t="b">
        <f t="shared" si="14"/>
        <v>0</v>
      </c>
      <c r="F915" s="8" t="str" cm="1">
        <f t="array" ref="F915">_xlfn._xlws.FILTER(E915:E4113, C915:C4113= "6D-PM-1020-01", "No Squirrels Found")</f>
        <v>No Squirrels Found</v>
      </c>
      <c r="G915" s="8" t="s">
        <v>48</v>
      </c>
      <c r="H915" s="10">
        <v>10062018</v>
      </c>
      <c r="I915" s="10">
        <v>4</v>
      </c>
      <c r="J915" s="8" t="s">
        <v>54</v>
      </c>
      <c r="K915" s="8" t="s">
        <v>40</v>
      </c>
      <c r="M915" s="8" t="s">
        <v>55</v>
      </c>
      <c r="O915" s="8" t="s">
        <v>43</v>
      </c>
      <c r="P915" s="8" t="b">
        <v>0</v>
      </c>
      <c r="R915" s="8" t="b">
        <v>0</v>
      </c>
      <c r="S915" s="8" t="b">
        <v>0</v>
      </c>
      <c r="T915" s="8" t="b">
        <v>0</v>
      </c>
      <c r="U915" s="8" t="b">
        <v>0</v>
      </c>
      <c r="V915" s="8" t="b">
        <v>1</v>
      </c>
      <c r="X915" s="8" t="b">
        <v>0</v>
      </c>
      <c r="Y915" s="8" t="b">
        <v>0</v>
      </c>
      <c r="Z915" s="8" t="b">
        <v>0</v>
      </c>
      <c r="AA915" s="8" t="b">
        <v>0</v>
      </c>
      <c r="AB915" s="8" t="b">
        <v>0</v>
      </c>
      <c r="AC915" s="8" t="b">
        <v>0</v>
      </c>
      <c r="AD915" s="8" t="b">
        <v>0</v>
      </c>
      <c r="AE915" s="8" t="b">
        <v>1</v>
      </c>
      <c r="AG915" s="11" t="b" cm="1">
        <f t="array" ref="AG915">IF(OR(Y915:AA915="TRUE", AE915="true"), "Threatened")</f>
        <v>0</v>
      </c>
      <c r="AH915" s="11" t="s">
        <v>2540</v>
      </c>
      <c r="AI915" s="8" t="b">
        <v>1</v>
      </c>
    </row>
    <row r="916" spans="1:35" ht="31.2">
      <c r="A916" s="8">
        <v>-73.977023509999995</v>
      </c>
      <c r="B916" s="8">
        <v>40.774135209999997</v>
      </c>
      <c r="C916" s="8" t="s">
        <v>2541</v>
      </c>
      <c r="D916" s="8" t="s">
        <v>859</v>
      </c>
      <c r="E916" s="8" t="b">
        <f t="shared" si="14"/>
        <v>0</v>
      </c>
      <c r="F916" s="8" t="str" cm="1">
        <f t="array" ref="F916">_xlfn._xlws.FILTER(E916:E4114, C916:C4114= "6D-PM-1020-01", "No Squirrels Found")</f>
        <v>No Squirrels Found</v>
      </c>
      <c r="G916" s="8" t="s">
        <v>48</v>
      </c>
      <c r="H916" s="10">
        <v>10132018</v>
      </c>
      <c r="I916" s="10">
        <v>2</v>
      </c>
      <c r="J916" s="8" t="s">
        <v>39</v>
      </c>
      <c r="K916" s="8" t="s">
        <v>40</v>
      </c>
      <c r="L916" s="8" t="s">
        <v>41</v>
      </c>
      <c r="M916" s="8" t="s">
        <v>42</v>
      </c>
      <c r="O916" s="8" t="s">
        <v>43</v>
      </c>
      <c r="P916" s="8" t="b">
        <v>0</v>
      </c>
      <c r="R916" s="8" t="b">
        <v>0</v>
      </c>
      <c r="S916" s="8" t="b">
        <v>0</v>
      </c>
      <c r="T916" s="8" t="b">
        <v>0</v>
      </c>
      <c r="U916" s="8" t="b">
        <v>0</v>
      </c>
      <c r="V916" s="8" t="b">
        <v>1</v>
      </c>
      <c r="X916" s="8" t="b">
        <v>0</v>
      </c>
      <c r="Y916" s="8" t="b">
        <v>0</v>
      </c>
      <c r="Z916" s="8" t="b">
        <v>0</v>
      </c>
      <c r="AA916" s="8" t="b">
        <v>0</v>
      </c>
      <c r="AB916" s="8" t="b">
        <v>0</v>
      </c>
      <c r="AC916" s="8" t="b">
        <v>0</v>
      </c>
      <c r="AD916" s="8" t="b">
        <v>1</v>
      </c>
      <c r="AE916" s="8" t="b">
        <v>0</v>
      </c>
      <c r="AG916" s="11" t="b" cm="1">
        <f t="array" ref="AG916">IF(OR(Y916:AA916="TRUE", AE916="true"), "Threatened")</f>
        <v>0</v>
      </c>
      <c r="AH916" s="11" t="s">
        <v>2542</v>
      </c>
      <c r="AI916" s="8" t="b">
        <v>1</v>
      </c>
    </row>
    <row r="917" spans="1:35" ht="31.2">
      <c r="A917" s="8">
        <v>-73.956188760000003</v>
      </c>
      <c r="B917" s="8">
        <v>40.795818750000002</v>
      </c>
      <c r="C917" s="8" t="s">
        <v>2543</v>
      </c>
      <c r="D917" s="8" t="s">
        <v>530</v>
      </c>
      <c r="E917" s="8" t="b">
        <f t="shared" si="14"/>
        <v>0</v>
      </c>
      <c r="F917" s="8" t="str" cm="1">
        <f t="array" ref="F917">_xlfn._xlws.FILTER(E917:E4115, C917:C4115= "6D-PM-1020-01", "No Squirrels Found")</f>
        <v>No Squirrels Found</v>
      </c>
      <c r="G917" s="8" t="s">
        <v>48</v>
      </c>
      <c r="H917" s="10">
        <v>10102018</v>
      </c>
      <c r="I917" s="10">
        <v>4</v>
      </c>
      <c r="J917" s="8" t="s">
        <v>39</v>
      </c>
      <c r="K917" s="8" t="s">
        <v>40</v>
      </c>
      <c r="L917" s="8" t="s">
        <v>41</v>
      </c>
      <c r="M917" s="8" t="s">
        <v>42</v>
      </c>
      <c r="O917" s="8" t="s">
        <v>43</v>
      </c>
      <c r="P917" s="8" t="b">
        <v>0</v>
      </c>
      <c r="R917" s="8" t="b">
        <v>1</v>
      </c>
      <c r="S917" s="8" t="b">
        <v>0</v>
      </c>
      <c r="T917" s="8" t="b">
        <v>1</v>
      </c>
      <c r="U917" s="8" t="b">
        <v>0</v>
      </c>
      <c r="V917" s="8" t="b">
        <v>0</v>
      </c>
      <c r="X917" s="8" t="b">
        <v>0</v>
      </c>
      <c r="Y917" s="8" t="b">
        <v>0</v>
      </c>
      <c r="Z917" s="8" t="b">
        <v>0</v>
      </c>
      <c r="AA917" s="8" t="b">
        <v>1</v>
      </c>
      <c r="AB917" s="8" t="b">
        <v>0</v>
      </c>
      <c r="AC917" s="8" t="b">
        <v>0</v>
      </c>
      <c r="AD917" s="8" t="b">
        <v>0</v>
      </c>
      <c r="AE917" s="8" t="b">
        <v>1</v>
      </c>
      <c r="AF917" s="11" t="s">
        <v>44</v>
      </c>
      <c r="AG917" s="11" t="b" cm="1">
        <f t="array" ref="AG917">IF(OR(Y917:AA917="TRUE", AE917="true"), "Threatened")</f>
        <v>0</v>
      </c>
      <c r="AH917" s="11" t="s">
        <v>2544</v>
      </c>
      <c r="AI917" s="8" t="b">
        <v>1</v>
      </c>
    </row>
    <row r="918" spans="1:35" ht="31.2">
      <c r="A918" s="8">
        <v>-73.967651410000002</v>
      </c>
      <c r="B918" s="8">
        <v>40.773085369999997</v>
      </c>
      <c r="C918" s="8" t="s">
        <v>2545</v>
      </c>
      <c r="D918" s="8" t="s">
        <v>83</v>
      </c>
      <c r="E918" s="8" t="b">
        <f t="shared" si="14"/>
        <v>0</v>
      </c>
      <c r="F918" s="8" t="str" cm="1">
        <f t="array" ref="F918">_xlfn._xlws.FILTER(E918:E4116, C918:C4116= "6D-PM-1020-01", "No Squirrels Found")</f>
        <v>No Squirrels Found</v>
      </c>
      <c r="G918" s="8" t="s">
        <v>48</v>
      </c>
      <c r="H918" s="10">
        <v>10102018</v>
      </c>
      <c r="I918" s="10">
        <v>1</v>
      </c>
      <c r="J918" s="8" t="s">
        <v>39</v>
      </c>
      <c r="K918" s="8" t="s">
        <v>40</v>
      </c>
      <c r="L918" s="8" t="s">
        <v>84</v>
      </c>
      <c r="M918" s="8" t="s">
        <v>103</v>
      </c>
      <c r="O918" s="8" t="s">
        <v>50</v>
      </c>
      <c r="P918" s="8">
        <v>20</v>
      </c>
      <c r="R918" s="8" t="b">
        <v>0</v>
      </c>
      <c r="S918" s="8" t="b">
        <v>0</v>
      </c>
      <c r="T918" s="8" t="b">
        <v>1</v>
      </c>
      <c r="U918" s="8" t="b">
        <v>0</v>
      </c>
      <c r="V918" s="8" t="b">
        <v>0</v>
      </c>
      <c r="X918" s="8" t="b">
        <v>0</v>
      </c>
      <c r="Y918" s="8" t="b">
        <v>0</v>
      </c>
      <c r="Z918" s="8" t="b">
        <v>0</v>
      </c>
      <c r="AA918" s="8" t="b">
        <v>0</v>
      </c>
      <c r="AB918" s="8" t="b">
        <v>0</v>
      </c>
      <c r="AC918" s="8" t="b">
        <v>1</v>
      </c>
      <c r="AD918" s="8" t="b">
        <v>0</v>
      </c>
      <c r="AE918" s="8" t="b">
        <v>0</v>
      </c>
      <c r="AF918" s="11" t="s">
        <v>2546</v>
      </c>
      <c r="AG918" s="11" t="b" cm="1">
        <f t="array" ref="AG918">IF(OR(Y918:AA918="TRUE", AE918="true"), "Threatened")</f>
        <v>0</v>
      </c>
      <c r="AH918" s="11" t="s">
        <v>2547</v>
      </c>
      <c r="AI918" s="8" t="b">
        <v>1</v>
      </c>
    </row>
    <row r="919" spans="1:35" ht="31.2">
      <c r="A919" s="8">
        <v>-73.968109310000003</v>
      </c>
      <c r="B919" s="8">
        <v>40.773175389999999</v>
      </c>
      <c r="C919" s="8" t="s">
        <v>2548</v>
      </c>
      <c r="D919" s="8" t="s">
        <v>83</v>
      </c>
      <c r="E919" s="8" t="b">
        <f t="shared" si="14"/>
        <v>0</v>
      </c>
      <c r="F919" s="8" t="str" cm="1">
        <f t="array" ref="F919">_xlfn._xlws.FILTER(E919:E4117, C919:C4117= "6D-PM-1020-01", "No Squirrels Found")</f>
        <v>No Squirrels Found</v>
      </c>
      <c r="G919" s="8" t="s">
        <v>34</v>
      </c>
      <c r="H919" s="10">
        <v>10132018</v>
      </c>
      <c r="I919" s="10">
        <v>1</v>
      </c>
      <c r="J919" s="8" t="s">
        <v>39</v>
      </c>
      <c r="K919" s="8" t="s">
        <v>40</v>
      </c>
      <c r="L919" s="8" t="s">
        <v>117</v>
      </c>
      <c r="M919" s="8" t="s">
        <v>118</v>
      </c>
      <c r="O919" s="8" t="s">
        <v>43</v>
      </c>
      <c r="P919" s="8" t="b">
        <v>0</v>
      </c>
      <c r="R919" s="8" t="b">
        <v>0</v>
      </c>
      <c r="S919" s="8" t="b">
        <v>0</v>
      </c>
      <c r="T919" s="8" t="b">
        <v>0</v>
      </c>
      <c r="U919" s="8" t="b">
        <v>0</v>
      </c>
      <c r="V919" s="8" t="b">
        <v>0</v>
      </c>
      <c r="W919" s="11" t="s">
        <v>2549</v>
      </c>
      <c r="X919" s="8" t="b">
        <v>0</v>
      </c>
      <c r="Y919" s="8" t="b">
        <v>0</v>
      </c>
      <c r="Z919" s="8" t="b">
        <v>0</v>
      </c>
      <c r="AA919" s="8" t="b">
        <v>0</v>
      </c>
      <c r="AB919" s="8" t="b">
        <v>0</v>
      </c>
      <c r="AC919" s="8" t="b">
        <v>0</v>
      </c>
      <c r="AD919" s="8" t="b">
        <v>1</v>
      </c>
      <c r="AE919" s="8" t="b">
        <v>0</v>
      </c>
      <c r="AG919" s="11" t="b" cm="1">
        <f t="array" ref="AG919">IF(OR(Y919:AA919="TRUE", AE919="true"), "Threatened")</f>
        <v>0</v>
      </c>
      <c r="AH919" s="11" t="s">
        <v>2550</v>
      </c>
      <c r="AI919" s="8" t="b">
        <v>0</v>
      </c>
    </row>
    <row r="920" spans="1:35" ht="31.2">
      <c r="A920" s="8">
        <v>-73.963727969999994</v>
      </c>
      <c r="B920" s="8">
        <v>40.790519850000003</v>
      </c>
      <c r="C920" s="8" t="s">
        <v>2551</v>
      </c>
      <c r="D920" s="8" t="s">
        <v>911</v>
      </c>
      <c r="E920" s="8" t="b">
        <f t="shared" si="14"/>
        <v>0</v>
      </c>
      <c r="F920" s="8" t="str" cm="1">
        <f t="array" ref="F920">_xlfn._xlws.FILTER(E920:E4118, C920:C4118= "6D-PM-1020-01", "No Squirrels Found")</f>
        <v>No Squirrels Found</v>
      </c>
      <c r="G920" s="8" t="s">
        <v>48</v>
      </c>
      <c r="H920" s="10">
        <v>10072018</v>
      </c>
      <c r="I920" s="10">
        <v>9</v>
      </c>
      <c r="J920" s="8" t="s">
        <v>39</v>
      </c>
      <c r="K920" s="8" t="s">
        <v>40</v>
      </c>
      <c r="M920" s="8" t="s">
        <v>55</v>
      </c>
      <c r="O920" s="8" t="s">
        <v>50</v>
      </c>
      <c r="P920" s="8">
        <v>50</v>
      </c>
      <c r="R920" s="8" t="b">
        <v>0</v>
      </c>
      <c r="S920" s="8" t="b">
        <v>0</v>
      </c>
      <c r="T920" s="8" t="b">
        <v>1</v>
      </c>
      <c r="U920" s="8" t="b">
        <v>0</v>
      </c>
      <c r="V920" s="8" t="b">
        <v>0</v>
      </c>
      <c r="W920" s="11" t="s">
        <v>2552</v>
      </c>
      <c r="X920" s="8" t="b">
        <v>0</v>
      </c>
      <c r="Y920" s="8" t="b">
        <v>0</v>
      </c>
      <c r="Z920" s="8" t="b">
        <v>0</v>
      </c>
      <c r="AA920" s="8" t="b">
        <v>0</v>
      </c>
      <c r="AB920" s="8" t="b">
        <v>0</v>
      </c>
      <c r="AC920" s="8" t="b">
        <v>0</v>
      </c>
      <c r="AD920" s="8" t="b">
        <v>0</v>
      </c>
      <c r="AE920" s="8" t="b">
        <v>0</v>
      </c>
      <c r="AG920" s="11" t="b" cm="1">
        <f t="array" ref="AG920">IF(OR(Y920:AA920="TRUE", AE920="true"), "Threatened")</f>
        <v>0</v>
      </c>
      <c r="AH920" s="11" t="s">
        <v>2553</v>
      </c>
      <c r="AI920" s="8" t="b">
        <v>0</v>
      </c>
    </row>
    <row r="921" spans="1:35" ht="31.2">
      <c r="A921" s="8">
        <v>-73.957123359999997</v>
      </c>
      <c r="B921" s="8">
        <v>40.799245900000003</v>
      </c>
      <c r="C921" s="8" t="s">
        <v>2554</v>
      </c>
      <c r="D921" s="8" t="s">
        <v>382</v>
      </c>
      <c r="E921" s="8" t="b">
        <f t="shared" si="14"/>
        <v>0</v>
      </c>
      <c r="F921" s="8" t="str" cm="1">
        <f t="array" ref="F921">_xlfn._xlws.FILTER(E921:E4119, C921:C4119= "6D-PM-1020-01", "No Squirrels Found")</f>
        <v>No Squirrels Found</v>
      </c>
      <c r="G921" s="8" t="s">
        <v>34</v>
      </c>
      <c r="H921" s="10">
        <v>10142018</v>
      </c>
      <c r="I921" s="10">
        <v>4</v>
      </c>
      <c r="J921" s="8" t="s">
        <v>39</v>
      </c>
      <c r="K921" s="8" t="s">
        <v>40</v>
      </c>
      <c r="L921" s="8" t="s">
        <v>41</v>
      </c>
      <c r="M921" s="8" t="s">
        <v>42</v>
      </c>
      <c r="O921" s="8" t="s">
        <v>50</v>
      </c>
      <c r="P921" s="8">
        <v>40</v>
      </c>
      <c r="R921" s="8" t="b">
        <v>0</v>
      </c>
      <c r="S921" s="8" t="b">
        <v>0</v>
      </c>
      <c r="T921" s="8" t="b">
        <v>1</v>
      </c>
      <c r="U921" s="8" t="b">
        <v>0</v>
      </c>
      <c r="V921" s="8" t="b">
        <v>0</v>
      </c>
      <c r="X921" s="8" t="b">
        <v>0</v>
      </c>
      <c r="Y921" s="8" t="b">
        <v>0</v>
      </c>
      <c r="Z921" s="8" t="b">
        <v>0</v>
      </c>
      <c r="AA921" s="8" t="b">
        <v>0</v>
      </c>
      <c r="AB921" s="8" t="b">
        <v>0</v>
      </c>
      <c r="AC921" s="8" t="b">
        <v>0</v>
      </c>
      <c r="AD921" s="8" t="b">
        <v>0</v>
      </c>
      <c r="AE921" s="8" t="b">
        <v>0</v>
      </c>
      <c r="AF921" s="11" t="s">
        <v>2555</v>
      </c>
      <c r="AG921" s="11" t="b" cm="1">
        <f t="array" ref="AG921">IF(OR(Y921:AA921="TRUE", AE921="true"), "Threatened")</f>
        <v>0</v>
      </c>
      <c r="AH921" s="11" t="s">
        <v>2556</v>
      </c>
      <c r="AI921" s="8" t="b">
        <v>1</v>
      </c>
    </row>
    <row r="922" spans="1:35" ht="31.2">
      <c r="A922" s="8">
        <v>-73.969895910000005</v>
      </c>
      <c r="B922" s="8">
        <v>40.771676380000002</v>
      </c>
      <c r="C922" s="8" t="s">
        <v>2557</v>
      </c>
      <c r="D922" s="8" t="s">
        <v>2059</v>
      </c>
      <c r="E922" s="8" t="b">
        <f t="shared" si="14"/>
        <v>0</v>
      </c>
      <c r="F922" s="8" t="str" cm="1">
        <f t="array" ref="F922">_xlfn._xlws.FILTER(E922:E4120, C922:C4120= "6D-PM-1020-01", "No Squirrels Found")</f>
        <v>No Squirrels Found</v>
      </c>
      <c r="G922" s="8" t="s">
        <v>48</v>
      </c>
      <c r="H922" s="10">
        <v>10062018</v>
      </c>
      <c r="I922" s="10">
        <v>5</v>
      </c>
      <c r="J922" s="8" t="s">
        <v>39</v>
      </c>
      <c r="K922" s="8" t="s">
        <v>40</v>
      </c>
      <c r="L922" s="8" t="s">
        <v>84</v>
      </c>
      <c r="M922" s="8" t="s">
        <v>103</v>
      </c>
      <c r="O922" s="8" t="s">
        <v>43</v>
      </c>
      <c r="P922" s="8" t="b">
        <v>0</v>
      </c>
      <c r="R922" s="8" t="b">
        <v>0</v>
      </c>
      <c r="S922" s="8" t="b">
        <v>0</v>
      </c>
      <c r="T922" s="8" t="b">
        <v>0</v>
      </c>
      <c r="U922" s="8" t="b">
        <v>1</v>
      </c>
      <c r="V922" s="8" t="b">
        <v>1</v>
      </c>
      <c r="X922" s="8" t="b">
        <v>0</v>
      </c>
      <c r="Y922" s="8" t="b">
        <v>0</v>
      </c>
      <c r="Z922" s="8" t="b">
        <v>0</v>
      </c>
      <c r="AA922" s="8" t="b">
        <v>0</v>
      </c>
      <c r="AB922" s="8" t="b">
        <v>0</v>
      </c>
      <c r="AC922" s="8" t="b">
        <v>0</v>
      </c>
      <c r="AD922" s="8" t="b">
        <v>1</v>
      </c>
      <c r="AE922" s="8" t="b">
        <v>0</v>
      </c>
      <c r="AG922" s="11" t="b" cm="1">
        <f t="array" ref="AG922">IF(OR(Y922:AA922="TRUE", AE922="true"), "Threatened")</f>
        <v>0</v>
      </c>
      <c r="AH922" s="11" t="s">
        <v>2558</v>
      </c>
      <c r="AI922" s="8" t="b">
        <v>1</v>
      </c>
    </row>
    <row r="923" spans="1:35" ht="31.2">
      <c r="A923" s="8">
        <v>-73.970800249999996</v>
      </c>
      <c r="B923" s="8">
        <v>40.772668529999997</v>
      </c>
      <c r="C923" s="8" t="s">
        <v>2559</v>
      </c>
      <c r="D923" s="8" t="s">
        <v>329</v>
      </c>
      <c r="E923" s="8" t="b">
        <f t="shared" si="14"/>
        <v>0</v>
      </c>
      <c r="F923" s="8" t="str" cm="1">
        <f t="array" ref="F923">_xlfn._xlws.FILTER(E923:E4121, C923:C4121= "6D-PM-1020-01", "No Squirrels Found")</f>
        <v>No Squirrels Found</v>
      </c>
      <c r="G923" s="8" t="s">
        <v>34</v>
      </c>
      <c r="H923" s="10">
        <v>10192018</v>
      </c>
      <c r="I923" s="10">
        <v>10</v>
      </c>
      <c r="J923" s="8" t="s">
        <v>39</v>
      </c>
      <c r="K923" s="8" t="s">
        <v>40</v>
      </c>
      <c r="L923" s="8" t="s">
        <v>41</v>
      </c>
      <c r="M923" s="8" t="s">
        <v>42</v>
      </c>
      <c r="O923" s="8" t="s">
        <v>43</v>
      </c>
      <c r="P923" s="8" t="b">
        <v>0</v>
      </c>
      <c r="Q923" s="8" t="s">
        <v>2560</v>
      </c>
      <c r="R923" s="8" t="b">
        <v>1</v>
      </c>
      <c r="S923" s="8" t="b">
        <v>0</v>
      </c>
      <c r="T923" s="8" t="b">
        <v>0</v>
      </c>
      <c r="U923" s="8" t="b">
        <v>1</v>
      </c>
      <c r="V923" s="8" t="b">
        <v>1</v>
      </c>
      <c r="X923" s="8" t="b">
        <v>0</v>
      </c>
      <c r="Y923" s="8" t="b">
        <v>0</v>
      </c>
      <c r="Z923" s="8" t="b">
        <v>0</v>
      </c>
      <c r="AA923" s="8" t="b">
        <v>0</v>
      </c>
      <c r="AB923" s="8" t="b">
        <v>1</v>
      </c>
      <c r="AC923" s="8" t="b">
        <v>0</v>
      </c>
      <c r="AD923" s="8" t="b">
        <v>1</v>
      </c>
      <c r="AE923" s="8" t="b">
        <v>0</v>
      </c>
      <c r="AG923" s="11" t="b" cm="1">
        <f t="array" ref="AG923">IF(OR(Y923:AA923="TRUE", AE923="true"), "Threatened")</f>
        <v>0</v>
      </c>
      <c r="AH923" s="11" t="s">
        <v>2561</v>
      </c>
      <c r="AI923" s="8" t="b">
        <v>1</v>
      </c>
    </row>
    <row r="924" spans="1:35" ht="31.2">
      <c r="A924" s="8">
        <v>-73.957892490000006</v>
      </c>
      <c r="B924" s="8">
        <v>40.789806300000002</v>
      </c>
      <c r="C924" s="8" t="s">
        <v>2562</v>
      </c>
      <c r="D924" s="8" t="s">
        <v>540</v>
      </c>
      <c r="E924" s="8" t="b">
        <f t="shared" si="14"/>
        <v>0</v>
      </c>
      <c r="F924" s="8" t="str" cm="1">
        <f t="array" ref="F924">_xlfn._xlws.FILTER(E924:E4122, C924:C4122= "6D-PM-1020-01", "No Squirrels Found")</f>
        <v>No Squirrels Found</v>
      </c>
      <c r="G924" s="8" t="s">
        <v>48</v>
      </c>
      <c r="H924" s="10">
        <v>10102018</v>
      </c>
      <c r="I924" s="10">
        <v>2</v>
      </c>
      <c r="J924" s="8" t="s">
        <v>39</v>
      </c>
      <c r="K924" s="8" t="s">
        <v>40</v>
      </c>
      <c r="M924" s="8" t="s">
        <v>55</v>
      </c>
      <c r="O924" s="8" t="s">
        <v>50</v>
      </c>
      <c r="P924" s="8">
        <v>13</v>
      </c>
      <c r="R924" s="8" t="b">
        <v>0</v>
      </c>
      <c r="S924" s="8" t="b">
        <v>0</v>
      </c>
      <c r="T924" s="8" t="b">
        <v>1</v>
      </c>
      <c r="U924" s="8" t="b">
        <v>1</v>
      </c>
      <c r="V924" s="8" t="b">
        <v>0</v>
      </c>
      <c r="X924" s="8" t="b">
        <v>0</v>
      </c>
      <c r="Y924" s="8" t="b">
        <v>0</v>
      </c>
      <c r="Z924" s="8" t="b">
        <v>0</v>
      </c>
      <c r="AA924" s="8" t="b">
        <v>0</v>
      </c>
      <c r="AB924" s="8" t="b">
        <v>1</v>
      </c>
      <c r="AC924" s="8" t="b">
        <v>0</v>
      </c>
      <c r="AD924" s="8" t="b">
        <v>0</v>
      </c>
      <c r="AE924" s="8" t="b">
        <v>1</v>
      </c>
      <c r="AG924" s="11" t="b" cm="1">
        <f t="array" ref="AG924">IF(OR(Y924:AA924="TRUE", AE924="true"), "Threatened")</f>
        <v>0</v>
      </c>
      <c r="AH924" s="11" t="s">
        <v>2563</v>
      </c>
      <c r="AI924" s="8" t="b">
        <v>1</v>
      </c>
    </row>
    <row r="925" spans="1:35" ht="31.2">
      <c r="A925" s="8">
        <v>-73.959169549999999</v>
      </c>
      <c r="B925" s="8">
        <v>40.793811640000001</v>
      </c>
      <c r="C925" s="8" t="s">
        <v>2564</v>
      </c>
      <c r="D925" s="8" t="s">
        <v>515</v>
      </c>
      <c r="E925" s="8" t="b">
        <f t="shared" si="14"/>
        <v>0</v>
      </c>
      <c r="F925" s="8" t="str" cm="1">
        <f t="array" ref="F925">_xlfn._xlws.FILTER(E925:E4123, C925:C4123= "6D-PM-1020-01", "No Squirrels Found")</f>
        <v>No Squirrels Found</v>
      </c>
      <c r="G925" s="8" t="s">
        <v>34</v>
      </c>
      <c r="H925" s="10">
        <v>10132018</v>
      </c>
      <c r="I925" s="10">
        <v>8</v>
      </c>
      <c r="J925" s="8" t="s">
        <v>39</v>
      </c>
      <c r="K925" s="8" t="s">
        <v>40</v>
      </c>
      <c r="L925" s="8" t="s">
        <v>84</v>
      </c>
      <c r="M925" s="8" t="s">
        <v>103</v>
      </c>
      <c r="O925" s="8" t="s">
        <v>43</v>
      </c>
      <c r="P925" s="8" t="b">
        <v>0</v>
      </c>
      <c r="R925" s="8" t="b">
        <v>0</v>
      </c>
      <c r="S925" s="8" t="b">
        <v>0</v>
      </c>
      <c r="T925" s="8" t="b">
        <v>0</v>
      </c>
      <c r="U925" s="8" t="b">
        <v>0</v>
      </c>
      <c r="V925" s="8" t="b">
        <v>1</v>
      </c>
      <c r="X925" s="8" t="b">
        <v>0</v>
      </c>
      <c r="Y925" s="8" t="b">
        <v>0</v>
      </c>
      <c r="Z925" s="8" t="b">
        <v>0</v>
      </c>
      <c r="AA925" s="8" t="b">
        <v>0</v>
      </c>
      <c r="AB925" s="8" t="b">
        <v>0</v>
      </c>
      <c r="AC925" s="8" t="b">
        <v>0</v>
      </c>
      <c r="AD925" s="8" t="b">
        <v>1</v>
      </c>
      <c r="AE925" s="8" t="b">
        <v>0</v>
      </c>
      <c r="AG925" s="11" t="b" cm="1">
        <f t="array" ref="AG925">IF(OR(Y925:AA925="TRUE", AE925="true"), "Threatened")</f>
        <v>0</v>
      </c>
      <c r="AH925" s="11" t="s">
        <v>2565</v>
      </c>
      <c r="AI925" s="8" t="b">
        <v>1</v>
      </c>
    </row>
    <row r="926" spans="1:35" ht="31.2">
      <c r="A926" s="8">
        <v>-73.976311640000006</v>
      </c>
      <c r="B926" s="8">
        <v>40.768883959999997</v>
      </c>
      <c r="C926" s="8" t="s">
        <v>2566</v>
      </c>
      <c r="D926" s="8" t="s">
        <v>544</v>
      </c>
      <c r="E926" s="8" t="b">
        <f t="shared" si="14"/>
        <v>0</v>
      </c>
      <c r="F926" s="8" t="str" cm="1">
        <f t="array" ref="F926">_xlfn._xlws.FILTER(E926:E4124, C926:C4124= "6D-PM-1020-01", "No Squirrels Found")</f>
        <v>No Squirrels Found</v>
      </c>
      <c r="G926" s="8" t="s">
        <v>34</v>
      </c>
      <c r="H926" s="10">
        <v>10082018</v>
      </c>
      <c r="I926" s="10">
        <v>3</v>
      </c>
      <c r="J926" s="8" t="s">
        <v>39</v>
      </c>
      <c r="K926" s="8" t="s">
        <v>41</v>
      </c>
      <c r="L926" s="8" t="s">
        <v>135</v>
      </c>
      <c r="M926" s="8" t="s">
        <v>136</v>
      </c>
      <c r="O926" s="8" t="s">
        <v>43</v>
      </c>
      <c r="P926" s="8" t="b">
        <v>0</v>
      </c>
      <c r="R926" s="8" t="b">
        <v>0</v>
      </c>
      <c r="S926" s="8" t="b">
        <v>0</v>
      </c>
      <c r="T926" s="8" t="b">
        <v>0</v>
      </c>
      <c r="U926" s="8" t="b">
        <v>1</v>
      </c>
      <c r="V926" s="8" t="b">
        <v>0</v>
      </c>
      <c r="X926" s="8" t="b">
        <v>0</v>
      </c>
      <c r="Y926" s="8" t="b">
        <v>0</v>
      </c>
      <c r="Z926" s="8" t="b">
        <v>0</v>
      </c>
      <c r="AA926" s="8" t="b">
        <v>0</v>
      </c>
      <c r="AB926" s="8" t="b">
        <v>0</v>
      </c>
      <c r="AC926" s="8" t="b">
        <v>0</v>
      </c>
      <c r="AD926" s="8" t="b">
        <v>0</v>
      </c>
      <c r="AE926" s="8" t="b">
        <v>1</v>
      </c>
      <c r="AF926" s="11" t="s">
        <v>2567</v>
      </c>
      <c r="AG926" s="11" t="b" cm="1">
        <f t="array" ref="AG926">IF(OR(Y926:AA926="TRUE", AE926="true"), "Threatened")</f>
        <v>0</v>
      </c>
      <c r="AH926" s="11" t="s">
        <v>2568</v>
      </c>
      <c r="AI926" s="8" t="b">
        <v>1</v>
      </c>
    </row>
    <row r="927" spans="1:35" ht="31.2">
      <c r="A927" s="8">
        <v>-73.959600690000002</v>
      </c>
      <c r="B927" s="8">
        <v>40.783470639999997</v>
      </c>
      <c r="C927" s="8" t="s">
        <v>2569</v>
      </c>
      <c r="D927" s="8" t="s">
        <v>2570</v>
      </c>
      <c r="E927" s="8" t="b">
        <f t="shared" si="14"/>
        <v>0</v>
      </c>
      <c r="F927" s="8" t="str" cm="1">
        <f t="array" ref="F927">_xlfn._xlws.FILTER(E927:E4125, C927:C4125= "6D-PM-1020-01", "No Squirrels Found")</f>
        <v>No Squirrels Found</v>
      </c>
      <c r="G927" s="8" t="s">
        <v>34</v>
      </c>
      <c r="H927" s="10">
        <v>10072018</v>
      </c>
      <c r="I927" s="10">
        <v>7</v>
      </c>
      <c r="J927" s="8" t="s">
        <v>39</v>
      </c>
      <c r="K927" s="8" t="s">
        <v>40</v>
      </c>
      <c r="M927" s="8" t="s">
        <v>55</v>
      </c>
      <c r="O927" s="8" t="s">
        <v>50</v>
      </c>
      <c r="Q927" s="8" t="s">
        <v>2571</v>
      </c>
      <c r="R927" s="8" t="b">
        <v>0</v>
      </c>
      <c r="S927" s="8" t="b">
        <v>0</v>
      </c>
      <c r="T927" s="8" t="b">
        <v>0</v>
      </c>
      <c r="U927" s="8" t="b">
        <v>0</v>
      </c>
      <c r="V927" s="8" t="b">
        <v>0</v>
      </c>
      <c r="X927" s="8" t="b">
        <v>0</v>
      </c>
      <c r="Y927" s="8" t="b">
        <v>0</v>
      </c>
      <c r="Z927" s="8" t="b">
        <v>0</v>
      </c>
      <c r="AA927" s="8" t="b">
        <v>0</v>
      </c>
      <c r="AB927" s="8" t="b">
        <v>0</v>
      </c>
      <c r="AC927" s="8" t="b">
        <v>0</v>
      </c>
      <c r="AD927" s="8" t="b">
        <v>0</v>
      </c>
      <c r="AE927" s="8" t="b">
        <v>0</v>
      </c>
      <c r="AG927" s="11" t="b" cm="1">
        <f t="array" ref="AG927">IF(OR(Y927:AA927="TRUE", AE927="true"), "Threatened")</f>
        <v>0</v>
      </c>
      <c r="AH927" s="11" t="s">
        <v>2572</v>
      </c>
      <c r="AI927" s="8" t="b">
        <v>1</v>
      </c>
    </row>
    <row r="928" spans="1:35" ht="31.2">
      <c r="A928" s="8">
        <v>-73.960988569999998</v>
      </c>
      <c r="B928" s="8">
        <v>40.796110859999999</v>
      </c>
      <c r="C928" s="8" t="s">
        <v>2573</v>
      </c>
      <c r="D928" s="8" t="s">
        <v>2574</v>
      </c>
      <c r="E928" s="8" t="b">
        <f t="shared" si="14"/>
        <v>0</v>
      </c>
      <c r="F928" s="8" t="str" cm="1">
        <f t="array" ref="F928">_xlfn._xlws.FILTER(E928:E4126, C928:C4126= "6D-PM-1020-01", "No Squirrels Found")</f>
        <v>No Squirrels Found</v>
      </c>
      <c r="G928" s="8" t="s">
        <v>34</v>
      </c>
      <c r="H928" s="10">
        <v>10132018</v>
      </c>
      <c r="I928" s="10">
        <v>1</v>
      </c>
      <c r="J928" s="8" t="s">
        <v>39</v>
      </c>
      <c r="K928" s="8" t="s">
        <v>40</v>
      </c>
      <c r="L928" s="8" t="s">
        <v>84</v>
      </c>
      <c r="M928" s="8" t="s">
        <v>103</v>
      </c>
      <c r="O928" s="8" t="s">
        <v>43</v>
      </c>
      <c r="P928" s="8" t="b">
        <v>0</v>
      </c>
      <c r="R928" s="8" t="b">
        <v>0</v>
      </c>
      <c r="S928" s="8" t="b">
        <v>0</v>
      </c>
      <c r="T928" s="8" t="b">
        <v>0</v>
      </c>
      <c r="U928" s="8" t="b">
        <v>0</v>
      </c>
      <c r="V928" s="8" t="b">
        <v>1</v>
      </c>
      <c r="X928" s="8" t="b">
        <v>0</v>
      </c>
      <c r="Y928" s="8" t="b">
        <v>0</v>
      </c>
      <c r="Z928" s="8" t="b">
        <v>0</v>
      </c>
      <c r="AA928" s="8" t="b">
        <v>0</v>
      </c>
      <c r="AB928" s="8" t="b">
        <v>0</v>
      </c>
      <c r="AC928" s="8" t="b">
        <v>0</v>
      </c>
      <c r="AD928" s="8" t="b">
        <v>0</v>
      </c>
      <c r="AE928" s="8" t="b">
        <v>0</v>
      </c>
      <c r="AG928" s="11" t="b" cm="1">
        <f t="array" ref="AG928">IF(OR(Y928:AA928="TRUE", AE928="true"), "Threatened")</f>
        <v>0</v>
      </c>
      <c r="AH928" s="11" t="s">
        <v>2575</v>
      </c>
      <c r="AI928" s="8" t="b">
        <v>1</v>
      </c>
    </row>
    <row r="929" spans="1:35" ht="31.2">
      <c r="A929" s="8">
        <v>-73.967042960000001</v>
      </c>
      <c r="B929" s="8">
        <v>40.778437070000003</v>
      </c>
      <c r="C929" s="8" t="s">
        <v>2576</v>
      </c>
      <c r="D929" s="8" t="s">
        <v>131</v>
      </c>
      <c r="E929" s="8" t="b">
        <f t="shared" si="14"/>
        <v>0</v>
      </c>
      <c r="F929" s="8" t="str" cm="1">
        <f t="array" ref="F929">_xlfn._xlws.FILTER(E929:E4127, C929:C4127= "6D-PM-1020-01", "No Squirrels Found")</f>
        <v>No Squirrels Found</v>
      </c>
      <c r="G929" s="8" t="s">
        <v>48</v>
      </c>
      <c r="H929" s="10">
        <v>10072018</v>
      </c>
      <c r="I929" s="10">
        <v>5</v>
      </c>
      <c r="J929" s="8" t="s">
        <v>54</v>
      </c>
      <c r="K929" s="8" t="s">
        <v>41</v>
      </c>
      <c r="L929" s="8" t="s">
        <v>40</v>
      </c>
      <c r="M929" s="8" t="s">
        <v>110</v>
      </c>
      <c r="O929" s="8" t="s">
        <v>43</v>
      </c>
      <c r="P929" s="8" t="b">
        <v>0</v>
      </c>
      <c r="R929" s="8" t="b">
        <v>1</v>
      </c>
      <c r="S929" s="8" t="b">
        <v>0</v>
      </c>
      <c r="T929" s="8" t="b">
        <v>0</v>
      </c>
      <c r="U929" s="8" t="b">
        <v>1</v>
      </c>
      <c r="V929" s="8" t="b">
        <v>0</v>
      </c>
      <c r="X929" s="8" t="b">
        <v>0</v>
      </c>
      <c r="Y929" s="8" t="b">
        <v>0</v>
      </c>
      <c r="Z929" s="8" t="b">
        <v>0</v>
      </c>
      <c r="AA929" s="8" t="b">
        <v>1</v>
      </c>
      <c r="AB929" s="8" t="b">
        <v>0</v>
      </c>
      <c r="AC929" s="8" t="b">
        <v>0</v>
      </c>
      <c r="AD929" s="8" t="b">
        <v>1</v>
      </c>
      <c r="AE929" s="8" t="b">
        <v>0</v>
      </c>
      <c r="AG929" s="11" t="b" cm="1">
        <f t="array" ref="AG929">IF(OR(Y929:AA929="TRUE", AE929="true"), "Threatened")</f>
        <v>0</v>
      </c>
      <c r="AH929" s="11" t="s">
        <v>2577</v>
      </c>
      <c r="AI929" s="8" t="b">
        <v>1</v>
      </c>
    </row>
    <row r="930" spans="1:35" ht="31.2">
      <c r="A930" s="8">
        <v>-73.973861130000003</v>
      </c>
      <c r="B930" s="8">
        <v>40.773724680000001</v>
      </c>
      <c r="C930" s="8" t="s">
        <v>2578</v>
      </c>
      <c r="D930" s="8" t="s">
        <v>2256</v>
      </c>
      <c r="E930" s="8" t="b">
        <f t="shared" si="14"/>
        <v>0</v>
      </c>
      <c r="F930" s="8" t="str" cm="1">
        <f t="array" ref="F930">_xlfn._xlws.FILTER(E930:E4128, C930:C4128= "6D-PM-1020-01", "No Squirrels Found")</f>
        <v>No Squirrels Found</v>
      </c>
      <c r="G930" s="8" t="s">
        <v>48</v>
      </c>
      <c r="H930" s="10">
        <v>10082018</v>
      </c>
      <c r="I930" s="10">
        <v>1</v>
      </c>
      <c r="J930" s="8" t="s">
        <v>39</v>
      </c>
      <c r="K930" s="8" t="s">
        <v>40</v>
      </c>
      <c r="L930" s="8" t="s">
        <v>84</v>
      </c>
      <c r="M930" s="8" t="s">
        <v>103</v>
      </c>
      <c r="O930" s="8" t="s">
        <v>43</v>
      </c>
      <c r="P930" s="8" t="b">
        <v>0</v>
      </c>
      <c r="R930" s="8" t="b">
        <v>0</v>
      </c>
      <c r="S930" s="8" t="b">
        <v>0</v>
      </c>
      <c r="T930" s="8" t="b">
        <v>0</v>
      </c>
      <c r="U930" s="8" t="b">
        <v>0</v>
      </c>
      <c r="V930" s="8" t="b">
        <v>1</v>
      </c>
      <c r="X930" s="8" t="b">
        <v>1</v>
      </c>
      <c r="Y930" s="8" t="b">
        <v>0</v>
      </c>
      <c r="Z930" s="8" t="b">
        <v>0</v>
      </c>
      <c r="AA930" s="8" t="b">
        <v>0</v>
      </c>
      <c r="AB930" s="8" t="b">
        <v>1</v>
      </c>
      <c r="AC930" s="8" t="b">
        <v>0</v>
      </c>
      <c r="AD930" s="8" t="b">
        <v>0</v>
      </c>
      <c r="AE930" s="8" t="b">
        <v>1</v>
      </c>
      <c r="AG930" s="11" t="b" cm="1">
        <f t="array" ref="AG930">IF(OR(Y930:AA930="TRUE", AE930="true"), "Threatened")</f>
        <v>0</v>
      </c>
      <c r="AH930" s="11" t="s">
        <v>2579</v>
      </c>
      <c r="AI930" s="8" t="b">
        <v>1</v>
      </c>
    </row>
    <row r="931" spans="1:35" ht="31.2">
      <c r="A931" s="8">
        <v>-73.962203009999996</v>
      </c>
      <c r="B931" s="8">
        <v>40.79177232</v>
      </c>
      <c r="C931" s="8" t="s">
        <v>2580</v>
      </c>
      <c r="D931" s="8" t="s">
        <v>785</v>
      </c>
      <c r="E931" s="8" t="b">
        <f t="shared" si="14"/>
        <v>0</v>
      </c>
      <c r="F931" s="8" t="str" cm="1">
        <f t="array" ref="F931">_xlfn._xlws.FILTER(E931:E4129, C931:C4129= "6D-PM-1020-01", "No Squirrels Found")</f>
        <v>No Squirrels Found</v>
      </c>
      <c r="G931" s="8" t="s">
        <v>48</v>
      </c>
      <c r="H931" s="10">
        <v>10172018</v>
      </c>
      <c r="I931" s="10">
        <v>1</v>
      </c>
      <c r="J931" s="8" t="s">
        <v>39</v>
      </c>
      <c r="K931" s="8" t="s">
        <v>40</v>
      </c>
      <c r="L931" s="8" t="s">
        <v>41</v>
      </c>
      <c r="M931" s="8" t="s">
        <v>42</v>
      </c>
      <c r="O931" s="8" t="s">
        <v>50</v>
      </c>
      <c r="P931" s="8">
        <v>10</v>
      </c>
      <c r="Q931" s="8" t="s">
        <v>2581</v>
      </c>
      <c r="R931" s="8" t="b">
        <v>1</v>
      </c>
      <c r="S931" s="8" t="b">
        <v>0</v>
      </c>
      <c r="T931" s="8" t="b">
        <v>0</v>
      </c>
      <c r="U931" s="8" t="b">
        <v>0</v>
      </c>
      <c r="V931" s="8" t="b">
        <v>1</v>
      </c>
      <c r="X931" s="8" t="b">
        <v>0</v>
      </c>
      <c r="Y931" s="8" t="b">
        <v>0</v>
      </c>
      <c r="Z931" s="8" t="b">
        <v>0</v>
      </c>
      <c r="AA931" s="8" t="b">
        <v>0</v>
      </c>
      <c r="AB931" s="8" t="b">
        <v>0</v>
      </c>
      <c r="AC931" s="8" t="b">
        <v>0</v>
      </c>
      <c r="AD931" s="8" t="b">
        <v>0</v>
      </c>
      <c r="AE931" s="8" t="b">
        <v>1</v>
      </c>
      <c r="AG931" s="11" t="b" cm="1">
        <f t="array" ref="AG931">IF(OR(Y931:AA931="TRUE", AE931="true"), "Threatened")</f>
        <v>0</v>
      </c>
      <c r="AH931" s="11" t="s">
        <v>2582</v>
      </c>
      <c r="AI931" s="8" t="b">
        <v>1</v>
      </c>
    </row>
    <row r="932" spans="1:35" ht="31.2">
      <c r="A932" s="8">
        <v>-73.97859484</v>
      </c>
      <c r="B932" s="8">
        <v>40.771890800000001</v>
      </c>
      <c r="C932" s="8" t="s">
        <v>2583</v>
      </c>
      <c r="D932" s="8" t="s">
        <v>874</v>
      </c>
      <c r="E932" s="8" t="b">
        <f t="shared" si="14"/>
        <v>0</v>
      </c>
      <c r="F932" s="8" t="str" cm="1">
        <f t="array" ref="F932">_xlfn._xlws.FILTER(E932:E4130, C932:C4130= "6D-PM-1020-01", "No Squirrels Found")</f>
        <v>No Squirrels Found</v>
      </c>
      <c r="G932" s="8" t="s">
        <v>34</v>
      </c>
      <c r="H932" s="10">
        <v>10122018</v>
      </c>
      <c r="I932" s="10">
        <v>1</v>
      </c>
      <c r="J932" s="8" t="s">
        <v>39</v>
      </c>
      <c r="K932" s="8" t="s">
        <v>41</v>
      </c>
      <c r="L932" s="8" t="s">
        <v>84</v>
      </c>
      <c r="M932" s="8" t="s">
        <v>85</v>
      </c>
      <c r="O932" s="8" t="s">
        <v>43</v>
      </c>
      <c r="P932" s="8" t="b">
        <v>0</v>
      </c>
      <c r="R932" s="8" t="b">
        <v>0</v>
      </c>
      <c r="S932" s="8" t="b">
        <v>0</v>
      </c>
      <c r="T932" s="8" t="b">
        <v>1</v>
      </c>
      <c r="U932" s="8" t="b">
        <v>0</v>
      </c>
      <c r="V932" s="8" t="b">
        <v>1</v>
      </c>
      <c r="X932" s="8" t="b">
        <v>0</v>
      </c>
      <c r="Y932" s="8" t="b">
        <v>0</v>
      </c>
      <c r="Z932" s="8" t="b">
        <v>0</v>
      </c>
      <c r="AA932" s="8" t="b">
        <v>0</v>
      </c>
      <c r="AB932" s="8" t="b">
        <v>0</v>
      </c>
      <c r="AC932" s="8" t="b">
        <v>0</v>
      </c>
      <c r="AD932" s="8" t="b">
        <v>0</v>
      </c>
      <c r="AE932" s="8" t="b">
        <v>0</v>
      </c>
      <c r="AG932" s="11" t="b" cm="1">
        <f t="array" ref="AG932">IF(OR(Y932:AA932="TRUE", AE932="true"), "Threatened")</f>
        <v>0</v>
      </c>
      <c r="AH932" s="11" t="s">
        <v>2584</v>
      </c>
      <c r="AI932" s="8" t="b">
        <v>1</v>
      </c>
    </row>
    <row r="933" spans="1:35" ht="31.2">
      <c r="A933" s="8">
        <v>-73.971859719999998</v>
      </c>
      <c r="B933" s="8">
        <v>40.776585879999999</v>
      </c>
      <c r="C933" s="8" t="s">
        <v>2585</v>
      </c>
      <c r="D933" s="8" t="s">
        <v>613</v>
      </c>
      <c r="E933" s="8" t="b">
        <f t="shared" si="14"/>
        <v>0</v>
      </c>
      <c r="F933" s="8" t="str" cm="1">
        <f t="array" ref="F933">_xlfn._xlws.FILTER(E933:E4131, C933:C4131= "6D-PM-1020-01", "No Squirrels Found")</f>
        <v>No Squirrels Found</v>
      </c>
      <c r="G933" s="8" t="s">
        <v>34</v>
      </c>
      <c r="H933" s="10">
        <v>10192018</v>
      </c>
      <c r="I933" s="10">
        <v>4</v>
      </c>
      <c r="J933" s="8" t="s">
        <v>39</v>
      </c>
      <c r="K933" s="8" t="s">
        <v>40</v>
      </c>
      <c r="M933" s="8" t="s">
        <v>55</v>
      </c>
      <c r="O933" s="8" t="s">
        <v>43</v>
      </c>
      <c r="P933" s="8" t="b">
        <v>0</v>
      </c>
      <c r="R933" s="8" t="b">
        <v>1</v>
      </c>
      <c r="S933" s="8" t="b">
        <v>0</v>
      </c>
      <c r="T933" s="8" t="b">
        <v>0</v>
      </c>
      <c r="U933" s="8" t="b">
        <v>0</v>
      </c>
      <c r="V933" s="8" t="b">
        <v>0</v>
      </c>
      <c r="X933" s="8" t="b">
        <v>0</v>
      </c>
      <c r="Y933" s="8" t="b">
        <v>0</v>
      </c>
      <c r="Z933" s="8" t="b">
        <v>0</v>
      </c>
      <c r="AA933" s="8" t="b">
        <v>0</v>
      </c>
      <c r="AB933" s="8" t="b">
        <v>0</v>
      </c>
      <c r="AC933" s="8" t="b">
        <v>0</v>
      </c>
      <c r="AD933" s="8" t="b">
        <v>0</v>
      </c>
      <c r="AE933" s="8" t="b">
        <v>1</v>
      </c>
      <c r="AG933" s="11" t="b" cm="1">
        <f t="array" ref="AG933">IF(OR(Y933:AA933="TRUE", AE933="true"), "Threatened")</f>
        <v>0</v>
      </c>
      <c r="AH933" s="11" t="s">
        <v>2586</v>
      </c>
      <c r="AI933" s="8" t="b">
        <v>1</v>
      </c>
    </row>
    <row r="934" spans="1:35" ht="31.2">
      <c r="A934" s="8">
        <v>-73.961620460000006</v>
      </c>
      <c r="B934" s="8">
        <v>40.792618859999997</v>
      </c>
      <c r="C934" s="8" t="s">
        <v>2587</v>
      </c>
      <c r="D934" s="8" t="s">
        <v>931</v>
      </c>
      <c r="E934" s="8" t="b">
        <f t="shared" si="14"/>
        <v>0</v>
      </c>
      <c r="F934" s="8" t="str" cm="1">
        <f t="array" ref="F934">_xlfn._xlws.FILTER(E934:E4132, C934:C4132= "6D-PM-1020-01", "No Squirrels Found")</f>
        <v>No Squirrels Found</v>
      </c>
      <c r="G934" s="8" t="s">
        <v>34</v>
      </c>
      <c r="H934" s="10">
        <v>10102018</v>
      </c>
      <c r="I934" s="10">
        <v>1</v>
      </c>
      <c r="J934" s="8" t="s">
        <v>39</v>
      </c>
      <c r="K934" s="8" t="s">
        <v>40</v>
      </c>
      <c r="M934" s="8" t="s">
        <v>55</v>
      </c>
      <c r="O934" s="8" t="s">
        <v>43</v>
      </c>
      <c r="P934" s="8" t="b">
        <v>0</v>
      </c>
      <c r="R934" s="8" t="b">
        <v>0</v>
      </c>
      <c r="S934" s="8" t="b">
        <v>0</v>
      </c>
      <c r="T934" s="8" t="b">
        <v>0</v>
      </c>
      <c r="U934" s="8" t="b">
        <v>0</v>
      </c>
      <c r="V934" s="8" t="b">
        <v>1</v>
      </c>
      <c r="X934" s="8" t="b">
        <v>0</v>
      </c>
      <c r="Y934" s="8" t="b">
        <v>0</v>
      </c>
      <c r="Z934" s="8" t="b">
        <v>0</v>
      </c>
      <c r="AA934" s="8" t="b">
        <v>0</v>
      </c>
      <c r="AB934" s="8" t="b">
        <v>0</v>
      </c>
      <c r="AC934" s="8" t="b">
        <v>0</v>
      </c>
      <c r="AD934" s="8" t="b">
        <v>1</v>
      </c>
      <c r="AE934" s="8" t="b">
        <v>0</v>
      </c>
      <c r="AG934" s="11" t="b" cm="1">
        <f t="array" ref="AG934">IF(OR(Y934:AA934="TRUE", AE934="true"), "Threatened")</f>
        <v>0</v>
      </c>
      <c r="AH934" s="11" t="s">
        <v>2588</v>
      </c>
      <c r="AI934" s="8" t="b">
        <v>1</v>
      </c>
    </row>
    <row r="935" spans="1:35" ht="31.2">
      <c r="A935" s="8">
        <v>-73.977205380000001</v>
      </c>
      <c r="B935" s="8">
        <v>40.766390659999999</v>
      </c>
      <c r="C935" s="8" t="s">
        <v>2589</v>
      </c>
      <c r="D935" s="8" t="s">
        <v>2590</v>
      </c>
      <c r="E935" s="8" t="b">
        <f t="shared" si="14"/>
        <v>0</v>
      </c>
      <c r="F935" s="8" t="str" cm="1">
        <f t="array" ref="F935">_xlfn._xlws.FILTER(E935:E4133, C935:C4133= "6D-PM-1020-01", "No Squirrels Found")</f>
        <v>No Squirrels Found</v>
      </c>
      <c r="G935" s="8" t="s">
        <v>34</v>
      </c>
      <c r="H935" s="10">
        <v>10072018</v>
      </c>
      <c r="I935" s="10">
        <v>2</v>
      </c>
      <c r="J935" s="8" t="s">
        <v>39</v>
      </c>
      <c r="K935" s="8" t="s">
        <v>40</v>
      </c>
      <c r="M935" s="8" t="s">
        <v>55</v>
      </c>
      <c r="O935" s="8" t="s">
        <v>43</v>
      </c>
      <c r="P935" s="8" t="b">
        <v>0</v>
      </c>
      <c r="R935" s="8" t="b">
        <v>0</v>
      </c>
      <c r="S935" s="8" t="b">
        <v>0</v>
      </c>
      <c r="T935" s="8" t="b">
        <v>0</v>
      </c>
      <c r="U935" s="8" t="b">
        <v>0</v>
      </c>
      <c r="V935" s="8" t="b">
        <v>1</v>
      </c>
      <c r="X935" s="8" t="b">
        <v>0</v>
      </c>
      <c r="Y935" s="8" t="b">
        <v>0</v>
      </c>
      <c r="Z935" s="8" t="b">
        <v>0</v>
      </c>
      <c r="AA935" s="8" t="b">
        <v>0</v>
      </c>
      <c r="AB935" s="8" t="b">
        <v>0</v>
      </c>
      <c r="AC935" s="8" t="b">
        <v>0</v>
      </c>
      <c r="AD935" s="8" t="b">
        <v>0</v>
      </c>
      <c r="AE935" s="8" t="b">
        <v>0</v>
      </c>
      <c r="AG935" s="11" t="b" cm="1">
        <f t="array" ref="AG935">IF(OR(Y935:AA935="TRUE", AE935="true"), "Threatened")</f>
        <v>0</v>
      </c>
      <c r="AH935" s="11" t="s">
        <v>2591</v>
      </c>
      <c r="AI935" s="8" t="b">
        <v>1</v>
      </c>
    </row>
    <row r="936" spans="1:35" ht="31.2">
      <c r="A936" s="8">
        <v>-73.966619510000001</v>
      </c>
      <c r="B936" s="8">
        <v>40.783921669999998</v>
      </c>
      <c r="C936" s="8" t="s">
        <v>2592</v>
      </c>
      <c r="D936" s="8" t="s">
        <v>698</v>
      </c>
      <c r="E936" s="8" t="b">
        <f t="shared" si="14"/>
        <v>0</v>
      </c>
      <c r="F936" s="8" t="str" cm="1">
        <f t="array" ref="F936">_xlfn._xlws.FILTER(E936:E4134, C936:C4134= "6D-PM-1020-01", "No Squirrels Found")</f>
        <v>No Squirrels Found</v>
      </c>
      <c r="G936" s="8" t="s">
        <v>34</v>
      </c>
      <c r="H936" s="10">
        <v>10062018</v>
      </c>
      <c r="I936" s="10">
        <v>10</v>
      </c>
      <c r="J936" s="8" t="s">
        <v>39</v>
      </c>
      <c r="K936" s="8" t="s">
        <v>40</v>
      </c>
      <c r="M936" s="8" t="s">
        <v>55</v>
      </c>
      <c r="O936" s="8" t="s">
        <v>50</v>
      </c>
      <c r="P936" s="8">
        <v>13</v>
      </c>
      <c r="R936" s="8" t="b">
        <v>0</v>
      </c>
      <c r="S936" s="8" t="b">
        <v>0</v>
      </c>
      <c r="T936" s="8" t="b">
        <v>1</v>
      </c>
      <c r="U936" s="8" t="b">
        <v>0</v>
      </c>
      <c r="V936" s="8" t="b">
        <v>0</v>
      </c>
      <c r="X936" s="8" t="b">
        <v>1</v>
      </c>
      <c r="Y936" s="8" t="b">
        <v>0</v>
      </c>
      <c r="Z936" s="8" t="b">
        <v>0</v>
      </c>
      <c r="AA936" s="8" t="b">
        <v>0</v>
      </c>
      <c r="AB936" s="8" t="b">
        <v>0</v>
      </c>
      <c r="AC936" s="8" t="b">
        <v>0</v>
      </c>
      <c r="AD936" s="8" t="b">
        <v>0</v>
      </c>
      <c r="AE936" s="8" t="b">
        <v>0</v>
      </c>
      <c r="AG936" s="11" t="b" cm="1">
        <f t="array" ref="AG936">IF(OR(Y936:AA936="TRUE", AE936="true"), "Threatened")</f>
        <v>0</v>
      </c>
      <c r="AH936" s="11" t="s">
        <v>2593</v>
      </c>
      <c r="AI936" s="8" t="b">
        <v>1</v>
      </c>
    </row>
    <row r="937" spans="1:35" ht="31.2">
      <c r="A937" s="8">
        <v>-73.968475819999995</v>
      </c>
      <c r="B937" s="8">
        <v>40.785853160000002</v>
      </c>
      <c r="C937" s="8" t="s">
        <v>2594</v>
      </c>
      <c r="D937" s="8" t="s">
        <v>1444</v>
      </c>
      <c r="E937" s="8" t="b">
        <f t="shared" si="14"/>
        <v>0</v>
      </c>
      <c r="F937" s="8" t="str" cm="1">
        <f t="array" ref="F937">_xlfn._xlws.FILTER(E937:E4135, C937:C4135= "6D-PM-1020-01", "No Squirrels Found")</f>
        <v>No Squirrels Found</v>
      </c>
      <c r="G937" s="8" t="s">
        <v>34</v>
      </c>
      <c r="H937" s="10">
        <v>10072018</v>
      </c>
      <c r="I937" s="10">
        <v>2</v>
      </c>
      <c r="J937" s="8" t="s">
        <v>39</v>
      </c>
      <c r="K937" s="8" t="s">
        <v>40</v>
      </c>
      <c r="M937" s="8" t="s">
        <v>55</v>
      </c>
      <c r="O937" s="8" t="s">
        <v>43</v>
      </c>
      <c r="P937" s="8" t="b">
        <v>0</v>
      </c>
      <c r="R937" s="8" t="b">
        <v>1</v>
      </c>
      <c r="S937" s="8" t="b">
        <v>0</v>
      </c>
      <c r="T937" s="8" t="b">
        <v>0</v>
      </c>
      <c r="U937" s="8" t="b">
        <v>0</v>
      </c>
      <c r="V937" s="8" t="b">
        <v>0</v>
      </c>
      <c r="X937" s="8" t="b">
        <v>0</v>
      </c>
      <c r="Y937" s="8" t="b">
        <v>0</v>
      </c>
      <c r="Z937" s="8" t="b">
        <v>0</v>
      </c>
      <c r="AA937" s="8" t="b">
        <v>0</v>
      </c>
      <c r="AB937" s="8" t="b">
        <v>0</v>
      </c>
      <c r="AC937" s="8" t="b">
        <v>0</v>
      </c>
      <c r="AD937" s="8" t="b">
        <v>1</v>
      </c>
      <c r="AE937" s="8" t="b">
        <v>0</v>
      </c>
      <c r="AG937" s="11" t="b" cm="1">
        <f t="array" ref="AG937">IF(OR(Y937:AA937="TRUE", AE937="true"), "Threatened")</f>
        <v>0</v>
      </c>
      <c r="AH937" s="11" t="s">
        <v>2595</v>
      </c>
      <c r="AI937" s="8" t="b">
        <v>1</v>
      </c>
    </row>
    <row r="938" spans="1:35" ht="31.2">
      <c r="A938" s="8">
        <v>-73.970632350000002</v>
      </c>
      <c r="B938" s="8">
        <v>40.771319599999998</v>
      </c>
      <c r="C938" s="8" t="s">
        <v>2596</v>
      </c>
      <c r="D938" s="8" t="s">
        <v>581</v>
      </c>
      <c r="E938" s="8" t="b">
        <f t="shared" si="14"/>
        <v>0</v>
      </c>
      <c r="F938" s="8" t="str" cm="1">
        <f t="array" ref="F938">_xlfn._xlws.FILTER(E938:E4136, C938:C4136= "6D-PM-1020-01", "No Squirrels Found")</f>
        <v>No Squirrels Found</v>
      </c>
      <c r="G938" s="8" t="s">
        <v>34</v>
      </c>
      <c r="H938" s="10">
        <v>10072018</v>
      </c>
      <c r="I938" s="10">
        <v>3</v>
      </c>
      <c r="J938" s="8" t="s">
        <v>39</v>
      </c>
      <c r="K938" s="8" t="s">
        <v>41</v>
      </c>
      <c r="L938" s="8" t="s">
        <v>40</v>
      </c>
      <c r="M938" s="8" t="s">
        <v>110</v>
      </c>
      <c r="O938" s="8" t="s">
        <v>43</v>
      </c>
      <c r="P938" s="8" t="b">
        <v>0</v>
      </c>
      <c r="R938" s="8" t="b">
        <v>1</v>
      </c>
      <c r="S938" s="8" t="b">
        <v>0</v>
      </c>
      <c r="T938" s="8" t="b">
        <v>1</v>
      </c>
      <c r="U938" s="8" t="b">
        <v>0</v>
      </c>
      <c r="V938" s="8" t="b">
        <v>0</v>
      </c>
      <c r="X938" s="8" t="b">
        <v>0</v>
      </c>
      <c r="Y938" s="8" t="b">
        <v>0</v>
      </c>
      <c r="Z938" s="8" t="b">
        <v>0</v>
      </c>
      <c r="AA938" s="8" t="b">
        <v>0</v>
      </c>
      <c r="AB938" s="8" t="b">
        <v>0</v>
      </c>
      <c r="AC938" s="8" t="b">
        <v>0</v>
      </c>
      <c r="AD938" s="8" t="b">
        <v>1</v>
      </c>
      <c r="AE938" s="8" t="b">
        <v>0</v>
      </c>
      <c r="AG938" s="11" t="b" cm="1">
        <f t="array" ref="AG938">IF(OR(Y938:AA938="TRUE", AE938="true"), "Threatened")</f>
        <v>0</v>
      </c>
      <c r="AH938" s="11" t="s">
        <v>2597</v>
      </c>
      <c r="AI938" s="8" t="b">
        <v>1</v>
      </c>
    </row>
    <row r="939" spans="1:35" ht="31.2">
      <c r="A939" s="8">
        <v>-73.969945120000006</v>
      </c>
      <c r="B939" s="8">
        <v>40.771040999999997</v>
      </c>
      <c r="C939" s="8" t="s">
        <v>2598</v>
      </c>
      <c r="D939" s="8" t="s">
        <v>2059</v>
      </c>
      <c r="E939" s="8" t="b">
        <f t="shared" si="14"/>
        <v>0</v>
      </c>
      <c r="F939" s="8" t="str" cm="1">
        <f t="array" ref="F939">_xlfn._xlws.FILTER(E939:E4137, C939:C4137= "6D-PM-1020-01", "No Squirrels Found")</f>
        <v>No Squirrels Found</v>
      </c>
      <c r="G939" s="8" t="s">
        <v>34</v>
      </c>
      <c r="H939" s="10">
        <v>10182018</v>
      </c>
      <c r="I939" s="10">
        <v>2</v>
      </c>
      <c r="J939" s="8" t="s">
        <v>39</v>
      </c>
      <c r="K939" s="8" t="s">
        <v>40</v>
      </c>
      <c r="L939" s="8" t="s">
        <v>117</v>
      </c>
      <c r="M939" s="8" t="s">
        <v>118</v>
      </c>
      <c r="O939" s="8" t="s">
        <v>43</v>
      </c>
      <c r="P939" s="8" t="b">
        <v>0</v>
      </c>
      <c r="R939" s="8" t="b">
        <v>0</v>
      </c>
      <c r="S939" s="8" t="b">
        <v>0</v>
      </c>
      <c r="T939" s="8" t="b">
        <v>0</v>
      </c>
      <c r="U939" s="8" t="b">
        <v>0</v>
      </c>
      <c r="V939" s="8" t="b">
        <v>1</v>
      </c>
      <c r="X939" s="8" t="b">
        <v>0</v>
      </c>
      <c r="Y939" s="8" t="b">
        <v>0</v>
      </c>
      <c r="Z939" s="8" t="b">
        <v>0</v>
      </c>
      <c r="AA939" s="8" t="b">
        <v>0</v>
      </c>
      <c r="AB939" s="8" t="b">
        <v>0</v>
      </c>
      <c r="AC939" s="8" t="b">
        <v>0</v>
      </c>
      <c r="AD939" s="8" t="b">
        <v>1</v>
      </c>
      <c r="AE939" s="8" t="b">
        <v>0</v>
      </c>
      <c r="AG939" s="11" t="b" cm="1">
        <f t="array" ref="AG939">IF(OR(Y939:AA939="TRUE", AE939="true"), "Threatened")</f>
        <v>0</v>
      </c>
      <c r="AH939" s="11" t="s">
        <v>2599</v>
      </c>
      <c r="AI939" s="8" t="b">
        <v>1</v>
      </c>
    </row>
    <row r="940" spans="1:35" ht="31.2">
      <c r="A940" s="8">
        <v>-73.976144779999998</v>
      </c>
      <c r="B940" s="8">
        <v>40.76901479</v>
      </c>
      <c r="C940" s="8" t="s">
        <v>2600</v>
      </c>
      <c r="D940" s="8" t="s">
        <v>544</v>
      </c>
      <c r="E940" s="8" t="b">
        <f t="shared" si="14"/>
        <v>0</v>
      </c>
      <c r="F940" s="8" t="str" cm="1">
        <f t="array" ref="F940">_xlfn._xlws.FILTER(E940:E4138, C940:C4138= "6D-PM-1020-01", "No Squirrels Found")</f>
        <v>No Squirrels Found</v>
      </c>
      <c r="G940" s="8" t="s">
        <v>34</v>
      </c>
      <c r="H940" s="10">
        <v>10082018</v>
      </c>
      <c r="I940" s="10">
        <v>2</v>
      </c>
      <c r="J940" s="8" t="s">
        <v>39</v>
      </c>
      <c r="K940" s="8" t="s">
        <v>41</v>
      </c>
      <c r="L940" s="8" t="s">
        <v>135</v>
      </c>
      <c r="M940" s="8" t="s">
        <v>136</v>
      </c>
      <c r="O940" s="8" t="s">
        <v>43</v>
      </c>
      <c r="P940" s="8" t="b">
        <v>0</v>
      </c>
      <c r="R940" s="8" t="b">
        <v>0</v>
      </c>
      <c r="S940" s="8" t="b">
        <v>0</v>
      </c>
      <c r="T940" s="8" t="b">
        <v>0</v>
      </c>
      <c r="U940" s="8" t="b">
        <v>1</v>
      </c>
      <c r="V940" s="8" t="b">
        <v>0</v>
      </c>
      <c r="X940" s="8" t="b">
        <v>0</v>
      </c>
      <c r="Y940" s="8" t="b">
        <v>0</v>
      </c>
      <c r="Z940" s="8" t="b">
        <v>0</v>
      </c>
      <c r="AA940" s="8" t="b">
        <v>0</v>
      </c>
      <c r="AB940" s="8" t="b">
        <v>0</v>
      </c>
      <c r="AC940" s="8" t="b">
        <v>0</v>
      </c>
      <c r="AD940" s="8" t="b">
        <v>1</v>
      </c>
      <c r="AE940" s="8" t="b">
        <v>0</v>
      </c>
      <c r="AG940" s="11" t="b" cm="1">
        <f t="array" ref="AG940">IF(OR(Y940:AA940="TRUE", AE940="true"), "Threatened")</f>
        <v>0</v>
      </c>
      <c r="AH940" s="11" t="s">
        <v>2601</v>
      </c>
      <c r="AI940" s="8" t="b">
        <v>1</v>
      </c>
    </row>
    <row r="941" spans="1:35" ht="31.2">
      <c r="A941" s="8">
        <v>-73.970087910000004</v>
      </c>
      <c r="B941" s="8">
        <v>40.776589970000003</v>
      </c>
      <c r="C941" s="8" t="s">
        <v>2602</v>
      </c>
      <c r="D941" s="8" t="s">
        <v>121</v>
      </c>
      <c r="E941" s="8" t="b">
        <f t="shared" si="14"/>
        <v>0</v>
      </c>
      <c r="F941" s="8" t="str" cm="1">
        <f t="array" ref="F941">_xlfn._xlws.FILTER(E941:E4139, C941:C4139= "6D-PM-1020-01", "No Squirrels Found")</f>
        <v>No Squirrels Found</v>
      </c>
      <c r="G941" s="8" t="s">
        <v>34</v>
      </c>
      <c r="H941" s="10">
        <v>10172018</v>
      </c>
      <c r="I941" s="10">
        <v>5</v>
      </c>
      <c r="J941" s="8" t="s">
        <v>39</v>
      </c>
      <c r="K941" s="8" t="s">
        <v>40</v>
      </c>
      <c r="L941" s="8" t="s">
        <v>84</v>
      </c>
      <c r="M941" s="8" t="s">
        <v>103</v>
      </c>
      <c r="O941" s="8" t="s">
        <v>43</v>
      </c>
      <c r="P941" s="8" t="b">
        <v>0</v>
      </c>
      <c r="R941" s="8" t="b">
        <v>0</v>
      </c>
      <c r="S941" s="8" t="b">
        <v>0</v>
      </c>
      <c r="T941" s="8" t="b">
        <v>0</v>
      </c>
      <c r="U941" s="8" t="b">
        <v>1</v>
      </c>
      <c r="V941" s="8" t="b">
        <v>0</v>
      </c>
      <c r="X941" s="8" t="b">
        <v>0</v>
      </c>
      <c r="Y941" s="8" t="b">
        <v>0</v>
      </c>
      <c r="Z941" s="8" t="b">
        <v>0</v>
      </c>
      <c r="AA941" s="8" t="b">
        <v>0</v>
      </c>
      <c r="AB941" s="8" t="b">
        <v>0</v>
      </c>
      <c r="AC941" s="8" t="b">
        <v>0</v>
      </c>
      <c r="AD941" s="8" t="b">
        <v>0</v>
      </c>
      <c r="AE941" s="8" t="b">
        <v>1</v>
      </c>
      <c r="AG941" s="11" t="b" cm="1">
        <f t="array" ref="AG941">IF(OR(Y941:AA941="TRUE", AE941="true"), "Threatened")</f>
        <v>0</v>
      </c>
      <c r="AH941" s="11" t="s">
        <v>2603</v>
      </c>
      <c r="AI941" s="8" t="b">
        <v>1</v>
      </c>
    </row>
    <row r="942" spans="1:35" ht="31.2">
      <c r="A942" s="8">
        <v>-73.971792030000003</v>
      </c>
      <c r="B942" s="8">
        <v>40.77630954</v>
      </c>
      <c r="C942" s="8" t="s">
        <v>2604</v>
      </c>
      <c r="D942" s="8" t="s">
        <v>426</v>
      </c>
      <c r="E942" s="8" t="b">
        <f t="shared" si="14"/>
        <v>0</v>
      </c>
      <c r="F942" s="8" t="str" cm="1">
        <f t="array" ref="F942">_xlfn._xlws.FILTER(E942:E4140, C942:C4140= "6D-PM-1020-01", "No Squirrels Found")</f>
        <v>No Squirrels Found</v>
      </c>
      <c r="G942" s="8" t="s">
        <v>48</v>
      </c>
      <c r="H942" s="10">
        <v>10142018</v>
      </c>
      <c r="I942" s="10">
        <v>10</v>
      </c>
      <c r="J942" s="8" t="s">
        <v>39</v>
      </c>
      <c r="K942" s="8" t="s">
        <v>40</v>
      </c>
      <c r="L942" s="8" t="s">
        <v>41</v>
      </c>
      <c r="M942" s="8" t="s">
        <v>42</v>
      </c>
      <c r="O942" s="8" t="s">
        <v>43</v>
      </c>
      <c r="P942" s="8" t="b">
        <v>0</v>
      </c>
      <c r="R942" s="8" t="b">
        <v>0</v>
      </c>
      <c r="S942" s="8" t="b">
        <v>0</v>
      </c>
      <c r="T942" s="8" t="b">
        <v>0</v>
      </c>
      <c r="U942" s="8" t="b">
        <v>0</v>
      </c>
      <c r="V942" s="8" t="b">
        <v>1</v>
      </c>
      <c r="X942" s="8" t="b">
        <v>0</v>
      </c>
      <c r="Y942" s="8" t="b">
        <v>0</v>
      </c>
      <c r="Z942" s="8" t="b">
        <v>0</v>
      </c>
      <c r="AA942" s="8" t="b">
        <v>0</v>
      </c>
      <c r="AB942" s="8" t="b">
        <v>0</v>
      </c>
      <c r="AC942" s="8" t="b">
        <v>1</v>
      </c>
      <c r="AD942" s="8" t="b">
        <v>0</v>
      </c>
      <c r="AE942" s="8" t="b">
        <v>0</v>
      </c>
      <c r="AG942" s="11" t="b" cm="1">
        <f t="array" ref="AG942">IF(OR(Y942:AA942="TRUE", AE942="true"), "Threatened")</f>
        <v>0</v>
      </c>
      <c r="AH942" s="11" t="s">
        <v>2605</v>
      </c>
      <c r="AI942" s="8" t="b">
        <v>1</v>
      </c>
    </row>
    <row r="943" spans="1:35" ht="31.2">
      <c r="A943" s="8">
        <v>-73.953392390000005</v>
      </c>
      <c r="B943" s="8">
        <v>40.796170189999998</v>
      </c>
      <c r="C943" s="8" t="s">
        <v>2606</v>
      </c>
      <c r="D943" s="8" t="s">
        <v>1292</v>
      </c>
      <c r="E943" s="8" t="b">
        <f t="shared" si="14"/>
        <v>0</v>
      </c>
      <c r="F943" s="8" t="str" cm="1">
        <f t="array" ref="F943">_xlfn._xlws.FILTER(E943:E4141, C943:C4141= "6D-PM-1020-01", "No Squirrels Found")</f>
        <v>No Squirrels Found</v>
      </c>
      <c r="G943" s="8" t="s">
        <v>48</v>
      </c>
      <c r="H943" s="10">
        <v>10072018</v>
      </c>
      <c r="I943" s="10">
        <v>1</v>
      </c>
      <c r="J943" s="8" t="s">
        <v>39</v>
      </c>
      <c r="K943" s="8" t="s">
        <v>40</v>
      </c>
      <c r="L943" s="8" t="s">
        <v>41</v>
      </c>
      <c r="M943" s="8" t="s">
        <v>42</v>
      </c>
      <c r="O943" s="8" t="s">
        <v>50</v>
      </c>
      <c r="P943" s="8">
        <v>25</v>
      </c>
      <c r="Q943" s="8" t="s">
        <v>2607</v>
      </c>
      <c r="R943" s="8" t="b">
        <v>0</v>
      </c>
      <c r="S943" s="8" t="b">
        <v>0</v>
      </c>
      <c r="T943" s="8" t="b">
        <v>1</v>
      </c>
      <c r="U943" s="8" t="b">
        <v>1</v>
      </c>
      <c r="V943" s="8" t="b">
        <v>0</v>
      </c>
      <c r="X943" s="8" t="b">
        <v>0</v>
      </c>
      <c r="Y943" s="8" t="b">
        <v>0</v>
      </c>
      <c r="Z943" s="8" t="b">
        <v>0</v>
      </c>
      <c r="AA943" s="8" t="b">
        <v>0</v>
      </c>
      <c r="AB943" s="8" t="b">
        <v>0</v>
      </c>
      <c r="AC943" s="8" t="b">
        <v>0</v>
      </c>
      <c r="AD943" s="8" t="b">
        <v>1</v>
      </c>
      <c r="AE943" s="8" t="b">
        <v>0</v>
      </c>
      <c r="AG943" s="11" t="b" cm="1">
        <f t="array" ref="AG943">IF(OR(Y943:AA943="TRUE", AE943="true"), "Threatened")</f>
        <v>0</v>
      </c>
      <c r="AH943" s="11" t="s">
        <v>2608</v>
      </c>
      <c r="AI943" s="8" t="b">
        <v>1</v>
      </c>
    </row>
    <row r="944" spans="1:35" ht="31.2">
      <c r="A944" s="8">
        <v>-73.977309669999997</v>
      </c>
      <c r="B944" s="8">
        <v>40.77380539</v>
      </c>
      <c r="C944" s="8" t="s">
        <v>2609</v>
      </c>
      <c r="D944" s="8" t="s">
        <v>753</v>
      </c>
      <c r="E944" s="8" t="b">
        <f t="shared" si="14"/>
        <v>0</v>
      </c>
      <c r="F944" s="8" t="str" cm="1">
        <f t="array" ref="F944">_xlfn._xlws.FILTER(E944:E4142, C944:C4142= "6D-PM-1020-01", "No Squirrels Found")</f>
        <v>No Squirrels Found</v>
      </c>
      <c r="G944" s="8" t="s">
        <v>48</v>
      </c>
      <c r="H944" s="10">
        <v>10132018</v>
      </c>
      <c r="I944" s="10">
        <v>6</v>
      </c>
      <c r="J944" s="8" t="s">
        <v>54</v>
      </c>
      <c r="K944" s="8" t="s">
        <v>40</v>
      </c>
      <c r="L944" s="8" t="s">
        <v>41</v>
      </c>
      <c r="M944" s="8" t="s">
        <v>42</v>
      </c>
      <c r="O944" s="8" t="s">
        <v>43</v>
      </c>
      <c r="P944" s="8" t="b">
        <v>0</v>
      </c>
      <c r="R944" s="8" t="b">
        <v>1</v>
      </c>
      <c r="S944" s="8" t="b">
        <v>0</v>
      </c>
      <c r="T944" s="8" t="b">
        <v>0</v>
      </c>
      <c r="U944" s="8" t="b">
        <v>0</v>
      </c>
      <c r="V944" s="8" t="b">
        <v>0</v>
      </c>
      <c r="X944" s="8" t="b">
        <v>0</v>
      </c>
      <c r="Y944" s="8" t="b">
        <v>0</v>
      </c>
      <c r="Z944" s="8" t="b">
        <v>0</v>
      </c>
      <c r="AA944" s="8" t="b">
        <v>0</v>
      </c>
      <c r="AB944" s="8" t="b">
        <v>0</v>
      </c>
      <c r="AC944" s="8" t="b">
        <v>0</v>
      </c>
      <c r="AD944" s="8" t="b">
        <v>0</v>
      </c>
      <c r="AE944" s="8" t="b">
        <v>1</v>
      </c>
      <c r="AG944" s="11" t="b" cm="1">
        <f t="array" ref="AG944">IF(OR(Y944:AA944="TRUE", AE944="true"), "Threatened")</f>
        <v>0</v>
      </c>
      <c r="AH944" s="11" t="s">
        <v>2610</v>
      </c>
      <c r="AI944" s="8" t="b">
        <v>1</v>
      </c>
    </row>
    <row r="945" spans="1:35" ht="31.2">
      <c r="A945" s="8">
        <v>-73.973881739999996</v>
      </c>
      <c r="B945" s="8">
        <v>40.771270940000001</v>
      </c>
      <c r="C945" s="8" t="s">
        <v>2611</v>
      </c>
      <c r="D945" s="8" t="s">
        <v>159</v>
      </c>
      <c r="E945" s="8" t="b">
        <f t="shared" si="14"/>
        <v>0</v>
      </c>
      <c r="F945" s="8" t="str" cm="1">
        <f t="array" ref="F945">_xlfn._xlws.FILTER(E945:E4143, C945:C4143= "6D-PM-1020-01", "No Squirrels Found")</f>
        <v>No Squirrels Found</v>
      </c>
      <c r="G945" s="8" t="s">
        <v>48</v>
      </c>
      <c r="H945" s="10">
        <v>10062018</v>
      </c>
      <c r="I945" s="10">
        <v>1</v>
      </c>
      <c r="J945" s="8" t="s">
        <v>39</v>
      </c>
      <c r="K945" s="8" t="s">
        <v>40</v>
      </c>
      <c r="M945" s="8" t="s">
        <v>55</v>
      </c>
      <c r="O945" s="8" t="s">
        <v>43</v>
      </c>
      <c r="P945" s="8" t="b">
        <v>0</v>
      </c>
      <c r="Q945" s="8" t="s">
        <v>160</v>
      </c>
      <c r="R945" s="8" t="b">
        <v>0</v>
      </c>
      <c r="S945" s="8" t="b">
        <v>0</v>
      </c>
      <c r="T945" s="8" t="b">
        <v>0</v>
      </c>
      <c r="U945" s="8" t="b">
        <v>1</v>
      </c>
      <c r="V945" s="8" t="b">
        <v>0</v>
      </c>
      <c r="X945" s="8" t="b">
        <v>0</v>
      </c>
      <c r="Y945" s="8" t="b">
        <v>0</v>
      </c>
      <c r="Z945" s="8" t="b">
        <v>0</v>
      </c>
      <c r="AA945" s="8" t="b">
        <v>0</v>
      </c>
      <c r="AB945" s="8" t="b">
        <v>0</v>
      </c>
      <c r="AC945" s="8" t="b">
        <v>0</v>
      </c>
      <c r="AD945" s="8" t="b">
        <v>0</v>
      </c>
      <c r="AE945" s="8" t="b">
        <v>0</v>
      </c>
      <c r="AG945" s="11" t="b" cm="1">
        <f t="array" ref="AG945">IF(OR(Y945:AA945="TRUE", AE945="true"), "Threatened")</f>
        <v>0</v>
      </c>
      <c r="AH945" s="11" t="s">
        <v>2612</v>
      </c>
      <c r="AI945" s="8" t="b">
        <v>1</v>
      </c>
    </row>
    <row r="946" spans="1:35" ht="31.2">
      <c r="A946" s="8">
        <v>-73.953283830000004</v>
      </c>
      <c r="B946" s="8">
        <v>40.793111269999997</v>
      </c>
      <c r="C946" s="8" t="s">
        <v>2613</v>
      </c>
      <c r="D946" s="8" t="s">
        <v>867</v>
      </c>
      <c r="E946" s="8" t="b">
        <f t="shared" si="14"/>
        <v>0</v>
      </c>
      <c r="F946" s="8" t="str" cm="1">
        <f t="array" ref="F946">_xlfn._xlws.FILTER(E946:E4144, C946:C4144= "6D-PM-1020-01", "No Squirrels Found")</f>
        <v>No Squirrels Found</v>
      </c>
      <c r="G946" s="8" t="s">
        <v>48</v>
      </c>
      <c r="H946" s="10">
        <v>10182018</v>
      </c>
      <c r="I946" s="10">
        <v>1</v>
      </c>
      <c r="J946" s="8" t="s">
        <v>39</v>
      </c>
      <c r="K946" s="8" t="s">
        <v>40</v>
      </c>
      <c r="M946" s="8" t="s">
        <v>55</v>
      </c>
      <c r="O946" s="8" t="s">
        <v>43</v>
      </c>
      <c r="P946" s="8" t="b">
        <v>0</v>
      </c>
      <c r="Q946" s="8" t="s">
        <v>2614</v>
      </c>
      <c r="R946" s="8" t="b">
        <v>0</v>
      </c>
      <c r="S946" s="8" t="b">
        <v>0</v>
      </c>
      <c r="T946" s="8" t="b">
        <v>0</v>
      </c>
      <c r="U946" s="8" t="b">
        <v>0</v>
      </c>
      <c r="V946" s="8" t="b">
        <v>1</v>
      </c>
      <c r="X946" s="8" t="b">
        <v>0</v>
      </c>
      <c r="Y946" s="8" t="b">
        <v>0</v>
      </c>
      <c r="Z946" s="8" t="b">
        <v>0</v>
      </c>
      <c r="AA946" s="8" t="b">
        <v>0</v>
      </c>
      <c r="AB946" s="8" t="b">
        <v>0</v>
      </c>
      <c r="AC946" s="8" t="b">
        <v>0</v>
      </c>
      <c r="AD946" s="8" t="b">
        <v>1</v>
      </c>
      <c r="AE946" s="8" t="b">
        <v>0</v>
      </c>
      <c r="AG946" s="11" t="b" cm="1">
        <f t="array" ref="AG946">IF(OR(Y946:AA946="TRUE", AE946="true"), "Threatened")</f>
        <v>0</v>
      </c>
      <c r="AH946" s="11" t="s">
        <v>2615</v>
      </c>
      <c r="AI946" s="8" t="b">
        <v>1</v>
      </c>
    </row>
    <row r="947" spans="1:35" ht="31.2">
      <c r="A947" s="8">
        <v>-73.965409379999997</v>
      </c>
      <c r="B947" s="8">
        <v>40.780689639999999</v>
      </c>
      <c r="C947" s="8" t="s">
        <v>2616</v>
      </c>
      <c r="D947" s="8" t="s">
        <v>574</v>
      </c>
      <c r="E947" s="8" t="b">
        <f t="shared" si="14"/>
        <v>0</v>
      </c>
      <c r="F947" s="8" t="str" cm="1">
        <f t="array" ref="F947">_xlfn._xlws.FILTER(E947:E4145, C947:C4145= "6D-PM-1020-01", "No Squirrels Found")</f>
        <v>No Squirrels Found</v>
      </c>
      <c r="G947" s="8" t="s">
        <v>34</v>
      </c>
      <c r="H947" s="10">
        <v>10072018</v>
      </c>
      <c r="I947" s="10">
        <v>9</v>
      </c>
      <c r="J947" s="8" t="s">
        <v>39</v>
      </c>
      <c r="K947" s="8" t="s">
        <v>41</v>
      </c>
      <c r="L947" s="8" t="s">
        <v>40</v>
      </c>
      <c r="M947" s="8" t="s">
        <v>110</v>
      </c>
      <c r="O947" s="8" t="s">
        <v>43</v>
      </c>
      <c r="P947" s="8" t="b">
        <v>0</v>
      </c>
      <c r="R947" s="8" t="b">
        <v>1</v>
      </c>
      <c r="S947" s="8" t="b">
        <v>0</v>
      </c>
      <c r="T947" s="8" t="b">
        <v>0</v>
      </c>
      <c r="U947" s="8" t="b">
        <v>0</v>
      </c>
      <c r="V947" s="8" t="b">
        <v>0</v>
      </c>
      <c r="X947" s="8" t="b">
        <v>0</v>
      </c>
      <c r="Y947" s="8" t="b">
        <v>0</v>
      </c>
      <c r="Z947" s="8" t="b">
        <v>0</v>
      </c>
      <c r="AA947" s="8" t="b">
        <v>0</v>
      </c>
      <c r="AB947" s="8" t="b">
        <v>0</v>
      </c>
      <c r="AC947" s="8" t="b">
        <v>1</v>
      </c>
      <c r="AD947" s="8" t="b">
        <v>0</v>
      </c>
      <c r="AE947" s="8" t="b">
        <v>0</v>
      </c>
      <c r="AG947" s="11" t="b" cm="1">
        <f t="array" ref="AG947">IF(OR(Y947:AA947="TRUE", AE947="true"), "Threatened")</f>
        <v>0</v>
      </c>
      <c r="AH947" s="11" t="s">
        <v>2617</v>
      </c>
      <c r="AI947" s="8" t="b">
        <v>1</v>
      </c>
    </row>
    <row r="948" spans="1:35" ht="31.2">
      <c r="A948" s="8">
        <v>-73.973654379999999</v>
      </c>
      <c r="B948" s="8">
        <v>40.765144419999999</v>
      </c>
      <c r="C948" s="8" t="s">
        <v>2618</v>
      </c>
      <c r="D948" s="8" t="s">
        <v>1096</v>
      </c>
      <c r="E948" s="8" t="b">
        <f t="shared" si="14"/>
        <v>0</v>
      </c>
      <c r="F948" s="8" t="str" cm="1">
        <f t="array" ref="F948">_xlfn._xlws.FILTER(E948:E4146, C948:C4146= "6D-PM-1020-01", "No Squirrels Found")</f>
        <v>No Squirrels Found</v>
      </c>
      <c r="G948" s="8" t="s">
        <v>48</v>
      </c>
      <c r="H948" s="10">
        <v>10122018</v>
      </c>
      <c r="I948" s="10">
        <v>2</v>
      </c>
      <c r="J948" s="8" t="s">
        <v>39</v>
      </c>
      <c r="K948" s="8" t="s">
        <v>40</v>
      </c>
      <c r="L948" s="8" t="s">
        <v>117</v>
      </c>
      <c r="M948" s="8" t="s">
        <v>118</v>
      </c>
      <c r="O948" s="8" t="s">
        <v>43</v>
      </c>
      <c r="P948" s="8" t="b">
        <v>0</v>
      </c>
      <c r="R948" s="8" t="b">
        <v>1</v>
      </c>
      <c r="S948" s="8" t="b">
        <v>0</v>
      </c>
      <c r="T948" s="8" t="b">
        <v>0</v>
      </c>
      <c r="U948" s="8" t="b">
        <v>0</v>
      </c>
      <c r="V948" s="8" t="b">
        <v>0</v>
      </c>
      <c r="X948" s="8" t="b">
        <v>0</v>
      </c>
      <c r="Y948" s="8" t="b">
        <v>0</v>
      </c>
      <c r="Z948" s="8" t="b">
        <v>0</v>
      </c>
      <c r="AA948" s="8" t="b">
        <v>0</v>
      </c>
      <c r="AB948" s="8" t="b">
        <v>0</v>
      </c>
      <c r="AC948" s="8" t="b">
        <v>0</v>
      </c>
      <c r="AD948" s="8" t="b">
        <v>0</v>
      </c>
      <c r="AE948" s="8" t="b">
        <v>0</v>
      </c>
      <c r="AG948" s="11" t="b" cm="1">
        <f t="array" ref="AG948">IF(OR(Y948:AA948="TRUE", AE948="true"), "Threatened")</f>
        <v>0</v>
      </c>
      <c r="AH948" s="11" t="s">
        <v>2619</v>
      </c>
      <c r="AI948" s="8" t="b">
        <v>1</v>
      </c>
    </row>
    <row r="949" spans="1:35" ht="31.2">
      <c r="A949" s="8">
        <v>-73.956814390000005</v>
      </c>
      <c r="B949" s="8">
        <v>40.789900170000003</v>
      </c>
      <c r="C949" s="8" t="s">
        <v>2620</v>
      </c>
      <c r="D949" s="8" t="s">
        <v>540</v>
      </c>
      <c r="E949" s="8" t="b">
        <f t="shared" si="14"/>
        <v>0</v>
      </c>
      <c r="F949" s="8" t="str" cm="1">
        <f t="array" ref="F949">_xlfn._xlws.FILTER(E949:E4147, C949:C4147= "6D-PM-1020-01", "No Squirrels Found")</f>
        <v>No Squirrels Found</v>
      </c>
      <c r="G949" s="8" t="s">
        <v>48</v>
      </c>
      <c r="H949" s="10">
        <v>10102018</v>
      </c>
      <c r="I949" s="10">
        <v>1</v>
      </c>
      <c r="J949" s="8" t="s">
        <v>39</v>
      </c>
      <c r="K949" s="8" t="s">
        <v>40</v>
      </c>
      <c r="M949" s="8" t="s">
        <v>55</v>
      </c>
      <c r="O949" s="8" t="s">
        <v>43</v>
      </c>
      <c r="P949" s="8" t="b">
        <v>0</v>
      </c>
      <c r="R949" s="8" t="b">
        <v>0</v>
      </c>
      <c r="S949" s="8" t="b">
        <v>0</v>
      </c>
      <c r="T949" s="8" t="b">
        <v>0</v>
      </c>
      <c r="U949" s="8" t="b">
        <v>0</v>
      </c>
      <c r="V949" s="8" t="b">
        <v>1</v>
      </c>
      <c r="X949" s="8" t="b">
        <v>0</v>
      </c>
      <c r="Y949" s="8" t="b">
        <v>0</v>
      </c>
      <c r="Z949" s="8" t="b">
        <v>0</v>
      </c>
      <c r="AA949" s="8" t="b">
        <v>0</v>
      </c>
      <c r="AB949" s="8" t="b">
        <v>0</v>
      </c>
      <c r="AC949" s="8" t="b">
        <v>0</v>
      </c>
      <c r="AD949" s="8" t="b">
        <v>1</v>
      </c>
      <c r="AE949" s="8" t="b">
        <v>0</v>
      </c>
      <c r="AG949" s="11" t="b" cm="1">
        <f t="array" ref="AG949">IF(OR(Y949:AA949="TRUE", AE949="true"), "Threatened")</f>
        <v>0</v>
      </c>
      <c r="AH949" s="11" t="s">
        <v>2621</v>
      </c>
      <c r="AI949" s="8" t="b">
        <v>1</v>
      </c>
    </row>
    <row r="950" spans="1:35" ht="31.2">
      <c r="A950" s="8">
        <v>-73.970159629999998</v>
      </c>
      <c r="B950" s="8">
        <v>40.770210659999996</v>
      </c>
      <c r="C950" s="8" t="s">
        <v>2622</v>
      </c>
      <c r="D950" s="8" t="s">
        <v>199</v>
      </c>
      <c r="E950" s="8" t="b">
        <f t="shared" si="14"/>
        <v>0</v>
      </c>
      <c r="F950" s="8" t="str" cm="1">
        <f t="array" ref="F950">_xlfn._xlws.FILTER(E950:E4148, C950:C4148= "6D-PM-1020-01", "No Squirrels Found")</f>
        <v>No Squirrels Found</v>
      </c>
      <c r="G950" s="8" t="s">
        <v>34</v>
      </c>
      <c r="H950" s="10">
        <v>10142018</v>
      </c>
      <c r="I950" s="10">
        <v>9</v>
      </c>
      <c r="J950" s="8" t="s">
        <v>39</v>
      </c>
      <c r="K950" s="8" t="s">
        <v>40</v>
      </c>
      <c r="L950" s="8" t="s">
        <v>41</v>
      </c>
      <c r="M950" s="8" t="s">
        <v>42</v>
      </c>
      <c r="O950" s="8" t="s">
        <v>43</v>
      </c>
      <c r="P950" s="8" t="b">
        <v>0</v>
      </c>
      <c r="R950" s="8" t="b">
        <v>0</v>
      </c>
      <c r="S950" s="8" t="b">
        <v>0</v>
      </c>
      <c r="T950" s="8" t="b">
        <v>0</v>
      </c>
      <c r="U950" s="8" t="b">
        <v>0</v>
      </c>
      <c r="V950" s="8" t="b">
        <v>1</v>
      </c>
      <c r="X950" s="8" t="b">
        <v>0</v>
      </c>
      <c r="Y950" s="8" t="b">
        <v>0</v>
      </c>
      <c r="Z950" s="8" t="b">
        <v>0</v>
      </c>
      <c r="AA950" s="8" t="b">
        <v>0</v>
      </c>
      <c r="AB950" s="8" t="b">
        <v>0</v>
      </c>
      <c r="AC950" s="8" t="b">
        <v>0</v>
      </c>
      <c r="AD950" s="8" t="b">
        <v>1</v>
      </c>
      <c r="AE950" s="8" t="b">
        <v>0</v>
      </c>
      <c r="AG950" s="11" t="b" cm="1">
        <f t="array" ref="AG950">IF(OR(Y950:AA950="TRUE", AE950="true"), "Threatened")</f>
        <v>0</v>
      </c>
      <c r="AH950" s="11" t="s">
        <v>2623</v>
      </c>
      <c r="AI950" s="8" t="b">
        <v>1</v>
      </c>
    </row>
    <row r="951" spans="1:35" ht="31.2">
      <c r="A951" s="8">
        <v>-73.963741589999998</v>
      </c>
      <c r="B951" s="8">
        <v>40.789814040000003</v>
      </c>
      <c r="C951" s="8" t="s">
        <v>2624</v>
      </c>
      <c r="D951" s="8" t="s">
        <v>1136</v>
      </c>
      <c r="E951" s="8" t="b">
        <f t="shared" si="14"/>
        <v>0</v>
      </c>
      <c r="F951" s="8" t="str" cm="1">
        <f t="array" ref="F951">_xlfn._xlws.FILTER(E951:E4149, C951:C4149= "6D-PM-1020-01", "No Squirrels Found")</f>
        <v>No Squirrels Found</v>
      </c>
      <c r="G951" s="8" t="s">
        <v>48</v>
      </c>
      <c r="H951" s="10">
        <v>10072018</v>
      </c>
      <c r="I951" s="10">
        <v>1</v>
      </c>
      <c r="J951" s="8" t="s">
        <v>39</v>
      </c>
      <c r="K951" s="8" t="s">
        <v>40</v>
      </c>
      <c r="M951" s="8" t="s">
        <v>55</v>
      </c>
      <c r="O951" s="8" t="s">
        <v>43</v>
      </c>
      <c r="P951" s="8" t="b">
        <v>0</v>
      </c>
      <c r="R951" s="8" t="b">
        <v>1</v>
      </c>
      <c r="S951" s="8" t="b">
        <v>0</v>
      </c>
      <c r="T951" s="8" t="b">
        <v>0</v>
      </c>
      <c r="U951" s="8" t="b">
        <v>0</v>
      </c>
      <c r="V951" s="8" t="b">
        <v>0</v>
      </c>
      <c r="X951" s="8" t="b">
        <v>0</v>
      </c>
      <c r="Y951" s="8" t="b">
        <v>0</v>
      </c>
      <c r="Z951" s="8" t="b">
        <v>0</v>
      </c>
      <c r="AA951" s="8" t="b">
        <v>0</v>
      </c>
      <c r="AB951" s="8" t="b">
        <v>0</v>
      </c>
      <c r="AC951" s="8" t="b">
        <v>0</v>
      </c>
      <c r="AD951" s="8" t="b">
        <v>0</v>
      </c>
      <c r="AE951" s="8" t="b">
        <v>0</v>
      </c>
      <c r="AG951" s="11" t="b" cm="1">
        <f t="array" ref="AG951">IF(OR(Y951:AA951="TRUE", AE951="true"), "Threatened")</f>
        <v>0</v>
      </c>
      <c r="AH951" s="11" t="s">
        <v>2625</v>
      </c>
      <c r="AI951" s="8" t="b">
        <v>1</v>
      </c>
    </row>
    <row r="952" spans="1:35" ht="31.2">
      <c r="A952" s="8">
        <v>-73.971791850000002</v>
      </c>
      <c r="B952" s="8">
        <v>40.780297169999997</v>
      </c>
      <c r="C952" s="8" t="s">
        <v>2626</v>
      </c>
      <c r="D952" s="8" t="s">
        <v>2417</v>
      </c>
      <c r="E952" s="8" t="b">
        <f t="shared" si="14"/>
        <v>0</v>
      </c>
      <c r="F952" s="8" t="str" cm="1">
        <f t="array" ref="F952">_xlfn._xlws.FILTER(E952:E4150, C952:C4150= "6D-PM-1020-01", "No Squirrels Found")</f>
        <v>No Squirrels Found</v>
      </c>
      <c r="G952" s="8" t="s">
        <v>34</v>
      </c>
      <c r="H952" s="10">
        <v>10122018</v>
      </c>
      <c r="I952" s="10">
        <v>1</v>
      </c>
      <c r="J952" s="8" t="s">
        <v>39</v>
      </c>
      <c r="K952" s="8" t="s">
        <v>40</v>
      </c>
      <c r="M952" s="8" t="s">
        <v>55</v>
      </c>
      <c r="O952" s="8" t="s">
        <v>50</v>
      </c>
      <c r="P952" s="8">
        <v>2</v>
      </c>
      <c r="Q952" s="8" t="s">
        <v>2627</v>
      </c>
      <c r="R952" s="8" t="b">
        <v>1</v>
      </c>
      <c r="S952" s="8" t="b">
        <v>0</v>
      </c>
      <c r="T952" s="8" t="b">
        <v>0</v>
      </c>
      <c r="U952" s="8" t="b">
        <v>0</v>
      </c>
      <c r="V952" s="8" t="b">
        <v>1</v>
      </c>
      <c r="X952" s="8" t="b">
        <v>0</v>
      </c>
      <c r="Y952" s="8" t="b">
        <v>0</v>
      </c>
      <c r="Z952" s="8" t="b">
        <v>0</v>
      </c>
      <c r="AA952" s="8" t="b">
        <v>0</v>
      </c>
      <c r="AB952" s="8" t="b">
        <v>0</v>
      </c>
      <c r="AC952" s="8" t="b">
        <v>0</v>
      </c>
      <c r="AD952" s="8" t="b">
        <v>0</v>
      </c>
      <c r="AE952" s="8" t="b">
        <v>1</v>
      </c>
      <c r="AG952" s="11" t="b" cm="1">
        <f t="array" ref="AG952">IF(OR(Y952:AA952="TRUE", AE952="true"), "Threatened")</f>
        <v>0</v>
      </c>
      <c r="AH952" s="11" t="s">
        <v>2628</v>
      </c>
      <c r="AI952" s="8" t="b">
        <v>1</v>
      </c>
    </row>
    <row r="953" spans="1:35" ht="31.2">
      <c r="A953" s="8">
        <v>-73.969976369999998</v>
      </c>
      <c r="B953" s="8">
        <v>40.775706069999998</v>
      </c>
      <c r="C953" s="8" t="s">
        <v>2629</v>
      </c>
      <c r="D953" s="8" t="s">
        <v>79</v>
      </c>
      <c r="E953" s="8" t="b">
        <f t="shared" si="14"/>
        <v>0</v>
      </c>
      <c r="F953" s="8" t="str" cm="1">
        <f t="array" ref="F953">_xlfn._xlws.FILTER(E953:E4151, C953:C4151= "6D-PM-1020-01", "No Squirrels Found")</f>
        <v>No Squirrels Found</v>
      </c>
      <c r="G953" s="8" t="s">
        <v>34</v>
      </c>
      <c r="H953" s="10">
        <v>10082018</v>
      </c>
      <c r="I953" s="10">
        <v>11</v>
      </c>
      <c r="J953" s="8" t="s">
        <v>39</v>
      </c>
      <c r="K953" s="8" t="s">
        <v>40</v>
      </c>
      <c r="L953" s="8" t="s">
        <v>84</v>
      </c>
      <c r="M953" s="8" t="s">
        <v>103</v>
      </c>
      <c r="O953" s="8" t="s">
        <v>43</v>
      </c>
      <c r="P953" s="8" t="b">
        <v>0</v>
      </c>
      <c r="R953" s="8" t="b">
        <v>0</v>
      </c>
      <c r="S953" s="8" t="b">
        <v>0</v>
      </c>
      <c r="T953" s="8" t="b">
        <v>0</v>
      </c>
      <c r="U953" s="8" t="b">
        <v>1</v>
      </c>
      <c r="V953" s="8" t="b">
        <v>1</v>
      </c>
      <c r="X953" s="8" t="b">
        <v>0</v>
      </c>
      <c r="Y953" s="8" t="b">
        <v>0</v>
      </c>
      <c r="Z953" s="8" t="b">
        <v>0</v>
      </c>
      <c r="AA953" s="8" t="b">
        <v>0</v>
      </c>
      <c r="AB953" s="8" t="b">
        <v>0</v>
      </c>
      <c r="AC953" s="8" t="b">
        <v>0</v>
      </c>
      <c r="AD953" s="8" t="b">
        <v>1</v>
      </c>
      <c r="AE953" s="8" t="b">
        <v>0</v>
      </c>
      <c r="AG953" s="11" t="b" cm="1">
        <f t="array" ref="AG953">IF(OR(Y953:AA953="TRUE", AE953="true"), "Threatened")</f>
        <v>0</v>
      </c>
      <c r="AH953" s="11" t="s">
        <v>2630</v>
      </c>
      <c r="AI953" s="8" t="b">
        <v>1</v>
      </c>
    </row>
    <row r="954" spans="1:35" ht="31.2">
      <c r="A954" s="8">
        <v>-73.954795930000003</v>
      </c>
      <c r="B954" s="8">
        <v>40.792516290000002</v>
      </c>
      <c r="C954" s="8" t="s">
        <v>2631</v>
      </c>
      <c r="D954" s="8" t="s">
        <v>88</v>
      </c>
      <c r="E954" s="8" t="b">
        <f t="shared" si="14"/>
        <v>0</v>
      </c>
      <c r="F954" s="8" t="str" cm="1">
        <f t="array" ref="F954">_xlfn._xlws.FILTER(E954:E4152, C954:C4152= "6D-PM-1020-01", "No Squirrels Found")</f>
        <v>No Squirrels Found</v>
      </c>
      <c r="G954" s="8" t="s">
        <v>34</v>
      </c>
      <c r="H954" s="10">
        <v>10082018</v>
      </c>
      <c r="I954" s="10">
        <v>1</v>
      </c>
      <c r="J954" s="8" t="s">
        <v>39</v>
      </c>
      <c r="K954" s="8" t="s">
        <v>40</v>
      </c>
      <c r="L954" s="8" t="s">
        <v>84</v>
      </c>
      <c r="M954" s="8" t="s">
        <v>103</v>
      </c>
      <c r="N954" s="11" t="s">
        <v>2632</v>
      </c>
      <c r="O954" s="8" t="s">
        <v>50</v>
      </c>
      <c r="P954" s="8">
        <v>20</v>
      </c>
      <c r="R954" s="8" t="b">
        <v>1</v>
      </c>
      <c r="S954" s="8" t="b">
        <v>0</v>
      </c>
      <c r="T954" s="8" t="b">
        <v>1</v>
      </c>
      <c r="U954" s="8" t="b">
        <v>0</v>
      </c>
      <c r="V954" s="8" t="b">
        <v>1</v>
      </c>
      <c r="X954" s="8" t="b">
        <v>1</v>
      </c>
      <c r="Y954" s="8" t="b">
        <v>1</v>
      </c>
      <c r="Z954" s="8" t="b">
        <v>0</v>
      </c>
      <c r="AA954" s="8" t="b">
        <v>0</v>
      </c>
      <c r="AB954" s="8" t="b">
        <v>0</v>
      </c>
      <c r="AC954" s="8" t="b">
        <v>0</v>
      </c>
      <c r="AD954" s="8" t="b">
        <v>1</v>
      </c>
      <c r="AE954" s="8" t="b">
        <v>0</v>
      </c>
      <c r="AG954" s="11" t="b" cm="1">
        <f t="array" ref="AG954">IF(OR(Y954:AA954="TRUE", AE954="true"), "Threatened")</f>
        <v>0</v>
      </c>
      <c r="AH954" s="11" t="s">
        <v>2633</v>
      </c>
      <c r="AI954" s="8" t="b">
        <v>1</v>
      </c>
    </row>
    <row r="955" spans="1:35" ht="31.2">
      <c r="A955" s="8">
        <v>-73.965844349999998</v>
      </c>
      <c r="B955" s="8">
        <v>40.779670490000001</v>
      </c>
      <c r="C955" s="8" t="s">
        <v>2634</v>
      </c>
      <c r="D955" s="8" t="s">
        <v>1035</v>
      </c>
      <c r="E955" s="8" t="b">
        <f t="shared" si="14"/>
        <v>0</v>
      </c>
      <c r="F955" s="8" t="str" cm="1">
        <f t="array" ref="F955">_xlfn._xlws.FILTER(E955:E4153, C955:C4153= "6D-PM-1020-01", "No Squirrels Found")</f>
        <v>No Squirrels Found</v>
      </c>
      <c r="G955" s="8" t="s">
        <v>48</v>
      </c>
      <c r="H955" s="10">
        <v>10072018</v>
      </c>
      <c r="I955" s="10">
        <v>3</v>
      </c>
      <c r="J955" s="8" t="s">
        <v>54</v>
      </c>
      <c r="K955" s="8" t="s">
        <v>41</v>
      </c>
      <c r="M955" s="8" t="s">
        <v>49</v>
      </c>
      <c r="O955" s="8" t="s">
        <v>43</v>
      </c>
      <c r="P955" s="8" t="b">
        <v>0</v>
      </c>
      <c r="R955" s="8" t="b">
        <v>0</v>
      </c>
      <c r="S955" s="8" t="b">
        <v>0</v>
      </c>
      <c r="T955" s="8" t="b">
        <v>0</v>
      </c>
      <c r="U955" s="8" t="b">
        <v>1</v>
      </c>
      <c r="V955" s="8" t="b">
        <v>1</v>
      </c>
      <c r="X955" s="8" t="b">
        <v>0</v>
      </c>
      <c r="Y955" s="8" t="b">
        <v>0</v>
      </c>
      <c r="Z955" s="8" t="b">
        <v>0</v>
      </c>
      <c r="AA955" s="8" t="b">
        <v>0</v>
      </c>
      <c r="AB955" s="8" t="b">
        <v>0</v>
      </c>
      <c r="AC955" s="8" t="b">
        <v>0</v>
      </c>
      <c r="AD955" s="8" t="b">
        <v>0</v>
      </c>
      <c r="AE955" s="8" t="b">
        <v>0</v>
      </c>
      <c r="AF955" s="11" t="s">
        <v>2635</v>
      </c>
      <c r="AG955" s="11" t="b" cm="1">
        <f t="array" ref="AG955">IF(OR(Y955:AA955="TRUE", AE955="true"), "Threatened")</f>
        <v>0</v>
      </c>
      <c r="AH955" s="11" t="s">
        <v>2636</v>
      </c>
      <c r="AI955" s="8" t="b">
        <v>1</v>
      </c>
    </row>
    <row r="956" spans="1:35" ht="31.2">
      <c r="A956" s="8">
        <v>-73.960657060000003</v>
      </c>
      <c r="B956" s="8">
        <v>40.795615069999997</v>
      </c>
      <c r="C956" s="8" t="s">
        <v>2637</v>
      </c>
      <c r="D956" s="8" t="s">
        <v>387</v>
      </c>
      <c r="E956" s="8" t="b">
        <f t="shared" si="14"/>
        <v>0</v>
      </c>
      <c r="F956" s="8" t="str" cm="1">
        <f t="array" ref="F956">_xlfn._xlws.FILTER(E956:E4154, C956:C4154= "6D-PM-1020-01", "No Squirrels Found")</f>
        <v>No Squirrels Found</v>
      </c>
      <c r="G956" s="8" t="s">
        <v>34</v>
      </c>
      <c r="H956" s="10">
        <v>10132018</v>
      </c>
      <c r="I956" s="10">
        <v>8</v>
      </c>
      <c r="K956" s="8" t="s">
        <v>40</v>
      </c>
      <c r="M956" s="8" t="s">
        <v>55</v>
      </c>
      <c r="O956" s="8" t="s">
        <v>43</v>
      </c>
      <c r="P956" s="8" t="b">
        <v>0</v>
      </c>
      <c r="Q956" s="8" t="s">
        <v>388</v>
      </c>
      <c r="R956" s="8" t="b">
        <v>1</v>
      </c>
      <c r="S956" s="8" t="b">
        <v>0</v>
      </c>
      <c r="T956" s="8" t="b">
        <v>0</v>
      </c>
      <c r="U956" s="8" t="b">
        <v>0</v>
      </c>
      <c r="V956" s="8" t="b">
        <v>0</v>
      </c>
      <c r="W956" s="11" t="s">
        <v>2638</v>
      </c>
      <c r="X956" s="8" t="b">
        <v>0</v>
      </c>
      <c r="Y956" s="8" t="b">
        <v>0</v>
      </c>
      <c r="Z956" s="8" t="b">
        <v>0</v>
      </c>
      <c r="AA956" s="8" t="b">
        <v>0</v>
      </c>
      <c r="AB956" s="8" t="b">
        <v>0</v>
      </c>
      <c r="AC956" s="8" t="b">
        <v>0</v>
      </c>
      <c r="AD956" s="8" t="b">
        <v>0</v>
      </c>
      <c r="AE956" s="8" t="b">
        <v>1</v>
      </c>
      <c r="AG956" s="11" t="b" cm="1">
        <f t="array" ref="AG956">IF(OR(Y956:AA956="TRUE", AE956="true"), "Threatened")</f>
        <v>0</v>
      </c>
      <c r="AH956" s="11" t="s">
        <v>2639</v>
      </c>
      <c r="AI956" s="8" t="b">
        <v>0</v>
      </c>
    </row>
    <row r="957" spans="1:35" ht="31.2">
      <c r="A957" s="8">
        <v>-73.958117369999997</v>
      </c>
      <c r="B957" s="8">
        <v>40.795477220000002</v>
      </c>
      <c r="C957" s="8" t="s">
        <v>2640</v>
      </c>
      <c r="D957" s="8" t="s">
        <v>405</v>
      </c>
      <c r="E957" s="8" t="b">
        <f t="shared" si="14"/>
        <v>0</v>
      </c>
      <c r="F957" s="8" t="str" cm="1">
        <f t="array" ref="F957">_xlfn._xlws.FILTER(E957:E4155, C957:C4155= "6D-PM-1020-01", "No Squirrels Found")</f>
        <v>No Squirrels Found</v>
      </c>
      <c r="G957" s="8" t="s">
        <v>34</v>
      </c>
      <c r="H957" s="10">
        <v>10142018</v>
      </c>
      <c r="I957" s="10">
        <v>8</v>
      </c>
      <c r="J957" s="8" t="s">
        <v>39</v>
      </c>
      <c r="K957" s="8" t="s">
        <v>40</v>
      </c>
      <c r="L957" s="8" t="s">
        <v>41</v>
      </c>
      <c r="M957" s="8" t="s">
        <v>42</v>
      </c>
      <c r="O957" s="8" t="s">
        <v>43</v>
      </c>
      <c r="P957" s="8" t="b">
        <v>0</v>
      </c>
      <c r="R957" s="8" t="b">
        <v>0</v>
      </c>
      <c r="S957" s="8" t="b">
        <v>0</v>
      </c>
      <c r="T957" s="8" t="b">
        <v>0</v>
      </c>
      <c r="U957" s="8" t="b">
        <v>0</v>
      </c>
      <c r="V957" s="8" t="b">
        <v>1</v>
      </c>
      <c r="X957" s="8" t="b">
        <v>0</v>
      </c>
      <c r="Y957" s="8" t="b">
        <v>0</v>
      </c>
      <c r="Z957" s="8" t="b">
        <v>0</v>
      </c>
      <c r="AA957" s="8" t="b">
        <v>0</v>
      </c>
      <c r="AB957" s="8" t="b">
        <v>0</v>
      </c>
      <c r="AC957" s="8" t="b">
        <v>0</v>
      </c>
      <c r="AD957" s="8" t="b">
        <v>0</v>
      </c>
      <c r="AE957" s="8" t="b">
        <v>1</v>
      </c>
      <c r="AG957" s="11" t="b" cm="1">
        <f t="array" ref="AG957">IF(OR(Y957:AA957="TRUE", AE957="true"), "Threatened")</f>
        <v>0</v>
      </c>
      <c r="AH957" s="11" t="s">
        <v>2641</v>
      </c>
      <c r="AI957" s="8" t="b">
        <v>1</v>
      </c>
    </row>
    <row r="958" spans="1:35" ht="31.2">
      <c r="A958" s="8">
        <v>-73.95865277</v>
      </c>
      <c r="B958" s="8">
        <v>40.790883110000003</v>
      </c>
      <c r="C958" s="8" t="s">
        <v>2642</v>
      </c>
      <c r="D958" s="8" t="s">
        <v>144</v>
      </c>
      <c r="E958" s="8" t="b">
        <f t="shared" si="14"/>
        <v>0</v>
      </c>
      <c r="F958" s="8" t="str" cm="1">
        <f t="array" ref="F958">_xlfn._xlws.FILTER(E958:E4156, C958:C4156= "6D-PM-1020-01", "No Squirrels Found")</f>
        <v>No Squirrels Found</v>
      </c>
      <c r="G958" s="8" t="s">
        <v>34</v>
      </c>
      <c r="H958" s="10">
        <v>10082018</v>
      </c>
      <c r="I958" s="10">
        <v>8</v>
      </c>
      <c r="J958" s="8" t="s">
        <v>39</v>
      </c>
      <c r="K958" s="8" t="s">
        <v>40</v>
      </c>
      <c r="L958" s="8" t="s">
        <v>84</v>
      </c>
      <c r="M958" s="8" t="s">
        <v>103</v>
      </c>
      <c r="O958" s="8" t="s">
        <v>43</v>
      </c>
      <c r="P958" s="8" t="b">
        <v>0</v>
      </c>
      <c r="R958" s="8" t="b">
        <v>1</v>
      </c>
      <c r="S958" s="8" t="b">
        <v>1</v>
      </c>
      <c r="T958" s="8" t="b">
        <v>0</v>
      </c>
      <c r="U958" s="8" t="b">
        <v>0</v>
      </c>
      <c r="V958" s="8" t="b">
        <v>1</v>
      </c>
      <c r="X958" s="8" t="b">
        <v>0</v>
      </c>
      <c r="Y958" s="8" t="b">
        <v>0</v>
      </c>
      <c r="Z958" s="8" t="b">
        <v>0</v>
      </c>
      <c r="AA958" s="8" t="b">
        <v>0</v>
      </c>
      <c r="AB958" s="8" t="b">
        <v>0</v>
      </c>
      <c r="AC958" s="8" t="b">
        <v>0</v>
      </c>
      <c r="AD958" s="8" t="b">
        <v>1</v>
      </c>
      <c r="AE958" s="8" t="b">
        <v>0</v>
      </c>
      <c r="AG958" s="11" t="b" cm="1">
        <f t="array" ref="AG958">IF(OR(Y958:AA958="TRUE", AE958="true"), "Threatened")</f>
        <v>0</v>
      </c>
      <c r="AH958" s="11" t="s">
        <v>2643</v>
      </c>
      <c r="AI958" s="8" t="b">
        <v>1</v>
      </c>
    </row>
    <row r="959" spans="1:35" ht="31.2">
      <c r="A959" s="8">
        <v>-73.961386230000002</v>
      </c>
      <c r="B959" s="8">
        <v>40.791282170000002</v>
      </c>
      <c r="C959" s="8" t="s">
        <v>2644</v>
      </c>
      <c r="D959" s="8" t="s">
        <v>616</v>
      </c>
      <c r="E959" s="8" t="b">
        <f t="shared" si="14"/>
        <v>0</v>
      </c>
      <c r="F959" s="8" t="str" cm="1">
        <f t="array" ref="F959">_xlfn._xlws.FILTER(E959:E4157, C959:C4157= "6D-PM-1020-01", "No Squirrels Found")</f>
        <v>No Squirrels Found</v>
      </c>
      <c r="G959" s="8" t="s">
        <v>48</v>
      </c>
      <c r="H959" s="10">
        <v>10142018</v>
      </c>
      <c r="I959" s="10">
        <v>3</v>
      </c>
      <c r="J959" s="8" t="s">
        <v>39</v>
      </c>
      <c r="K959" s="8" t="s">
        <v>40</v>
      </c>
      <c r="M959" s="8" t="s">
        <v>55</v>
      </c>
      <c r="O959" s="8" t="s">
        <v>50</v>
      </c>
      <c r="P959" s="8">
        <v>3</v>
      </c>
      <c r="R959" s="8" t="b">
        <v>0</v>
      </c>
      <c r="S959" s="8" t="b">
        <v>1</v>
      </c>
      <c r="T959" s="8" t="b">
        <v>1</v>
      </c>
      <c r="U959" s="8" t="b">
        <v>0</v>
      </c>
      <c r="V959" s="8" t="b">
        <v>0</v>
      </c>
      <c r="X959" s="8" t="b">
        <v>0</v>
      </c>
      <c r="Y959" s="8" t="b">
        <v>0</v>
      </c>
      <c r="Z959" s="8" t="b">
        <v>0</v>
      </c>
      <c r="AA959" s="8" t="b">
        <v>0</v>
      </c>
      <c r="AB959" s="8" t="b">
        <v>0</v>
      </c>
      <c r="AC959" s="8" t="b">
        <v>0</v>
      </c>
      <c r="AD959" s="8" t="b">
        <v>0</v>
      </c>
      <c r="AE959" s="8" t="b">
        <v>0</v>
      </c>
      <c r="AG959" s="11" t="b" cm="1">
        <f t="array" ref="AG959">IF(OR(Y959:AA959="TRUE", AE959="true"), "Threatened")</f>
        <v>0</v>
      </c>
      <c r="AH959" s="11" t="s">
        <v>2645</v>
      </c>
      <c r="AI959" s="8" t="b">
        <v>1</v>
      </c>
    </row>
    <row r="960" spans="1:35" ht="31.2">
      <c r="A960" s="8">
        <v>-73.974613309999995</v>
      </c>
      <c r="B960" s="8">
        <v>40.776064660000003</v>
      </c>
      <c r="C960" s="8" t="s">
        <v>2646</v>
      </c>
      <c r="D960" s="8" t="s">
        <v>268</v>
      </c>
      <c r="E960" s="8" t="b">
        <f t="shared" si="14"/>
        <v>0</v>
      </c>
      <c r="F960" s="8" t="str" cm="1">
        <f t="array" ref="F960">_xlfn._xlws.FILTER(E960:E4158, C960:C4158= "6D-PM-1020-01", "No Squirrels Found")</f>
        <v>No Squirrels Found</v>
      </c>
      <c r="G960" s="8" t="s">
        <v>34</v>
      </c>
      <c r="H960" s="10">
        <v>10142018</v>
      </c>
      <c r="I960" s="10">
        <v>4</v>
      </c>
      <c r="K960" s="8" t="s">
        <v>40</v>
      </c>
      <c r="M960" s="8" t="s">
        <v>55</v>
      </c>
      <c r="O960" s="8" t="s">
        <v>43</v>
      </c>
      <c r="P960" s="8" t="b">
        <v>0</v>
      </c>
      <c r="R960" s="8" t="b">
        <v>0</v>
      </c>
      <c r="S960" s="8" t="b">
        <v>0</v>
      </c>
      <c r="T960" s="8" t="b">
        <v>0</v>
      </c>
      <c r="U960" s="8" t="b">
        <v>0</v>
      </c>
      <c r="V960" s="8" t="b">
        <v>1</v>
      </c>
      <c r="W960" s="11" t="s">
        <v>694</v>
      </c>
      <c r="X960" s="8" t="b">
        <v>0</v>
      </c>
      <c r="Y960" s="8" t="b">
        <v>0</v>
      </c>
      <c r="Z960" s="8" t="b">
        <v>0</v>
      </c>
      <c r="AA960" s="8" t="b">
        <v>0</v>
      </c>
      <c r="AB960" s="8" t="b">
        <v>0</v>
      </c>
      <c r="AC960" s="8" t="b">
        <v>0</v>
      </c>
      <c r="AD960" s="8" t="b">
        <v>0</v>
      </c>
      <c r="AE960" s="8" t="b">
        <v>0</v>
      </c>
      <c r="AG960" s="11" t="b" cm="1">
        <f t="array" ref="AG960">IF(OR(Y960:AA960="TRUE", AE960="true"), "Threatened")</f>
        <v>0</v>
      </c>
      <c r="AH960" s="11" t="s">
        <v>2647</v>
      </c>
      <c r="AI960" s="8" t="b">
        <v>0</v>
      </c>
    </row>
    <row r="961" spans="1:35" ht="31.2">
      <c r="A961" s="8">
        <v>-73.962392280000003</v>
      </c>
      <c r="B961" s="8">
        <v>40.781494440000003</v>
      </c>
      <c r="C961" s="8" t="s">
        <v>2648</v>
      </c>
      <c r="D961" s="8" t="s">
        <v>2649</v>
      </c>
      <c r="E961" s="8" t="b">
        <f t="shared" si="14"/>
        <v>0</v>
      </c>
      <c r="F961" s="8" t="str" cm="1">
        <f t="array" ref="F961">_xlfn._xlws.FILTER(E961:E4159, C961:C4159= "6D-PM-1020-01", "No Squirrels Found")</f>
        <v>No Squirrels Found</v>
      </c>
      <c r="G961" s="8" t="s">
        <v>34</v>
      </c>
      <c r="H961" s="10">
        <v>10072018</v>
      </c>
      <c r="I961" s="10">
        <v>4</v>
      </c>
      <c r="J961" s="8" t="s">
        <v>39</v>
      </c>
      <c r="K961" s="8" t="s">
        <v>41</v>
      </c>
      <c r="L961" s="8" t="s">
        <v>40</v>
      </c>
      <c r="M961" s="8" t="s">
        <v>110</v>
      </c>
      <c r="O961" s="8" t="s">
        <v>43</v>
      </c>
      <c r="P961" s="8" t="b">
        <v>0</v>
      </c>
      <c r="R961" s="8" t="b">
        <v>1</v>
      </c>
      <c r="S961" s="8" t="b">
        <v>0</v>
      </c>
      <c r="T961" s="8" t="b">
        <v>0</v>
      </c>
      <c r="U961" s="8" t="b">
        <v>0</v>
      </c>
      <c r="V961" s="8" t="b">
        <v>0</v>
      </c>
      <c r="X961" s="8" t="b">
        <v>0</v>
      </c>
      <c r="Y961" s="8" t="b">
        <v>0</v>
      </c>
      <c r="Z961" s="8" t="b">
        <v>0</v>
      </c>
      <c r="AA961" s="8" t="b">
        <v>0</v>
      </c>
      <c r="AB961" s="8" t="b">
        <v>0</v>
      </c>
      <c r="AC961" s="8" t="b">
        <v>0</v>
      </c>
      <c r="AD961" s="8" t="b">
        <v>0</v>
      </c>
      <c r="AE961" s="8" t="b">
        <v>0</v>
      </c>
      <c r="AG961" s="11" t="b" cm="1">
        <f t="array" ref="AG961">IF(OR(Y961:AA961="TRUE", AE961="true"), "Threatened")</f>
        <v>0</v>
      </c>
      <c r="AH961" s="11" t="s">
        <v>2650</v>
      </c>
      <c r="AI961" s="8" t="b">
        <v>1</v>
      </c>
    </row>
    <row r="962" spans="1:35" ht="31.2">
      <c r="A962" s="8">
        <v>-73.973145709999997</v>
      </c>
      <c r="B962" s="8">
        <v>40.766025540000001</v>
      </c>
      <c r="C962" s="8" t="s">
        <v>2651</v>
      </c>
      <c r="D962" s="8" t="s">
        <v>779</v>
      </c>
      <c r="E962" s="8" t="b">
        <f t="shared" si="14"/>
        <v>0</v>
      </c>
      <c r="F962" s="8" t="str" cm="1">
        <f t="array" ref="F962">_xlfn._xlws.FILTER(E962:E4160, C962:C4160= "6D-PM-1020-01", "No Squirrels Found")</f>
        <v>No Squirrels Found</v>
      </c>
      <c r="G962" s="8" t="s">
        <v>48</v>
      </c>
      <c r="H962" s="10">
        <v>10062018</v>
      </c>
      <c r="I962" s="10">
        <v>3</v>
      </c>
      <c r="J962" s="8" t="s">
        <v>39</v>
      </c>
      <c r="K962" s="8" t="s">
        <v>40</v>
      </c>
      <c r="L962" s="8" t="s">
        <v>117</v>
      </c>
      <c r="M962" s="8" t="s">
        <v>118</v>
      </c>
      <c r="O962" s="8" t="s">
        <v>43</v>
      </c>
      <c r="P962" s="8" t="b">
        <v>0</v>
      </c>
      <c r="R962" s="8" t="b">
        <v>1</v>
      </c>
      <c r="S962" s="8" t="b">
        <v>0</v>
      </c>
      <c r="T962" s="8" t="b">
        <v>0</v>
      </c>
      <c r="U962" s="8" t="b">
        <v>0</v>
      </c>
      <c r="V962" s="8" t="b">
        <v>0</v>
      </c>
      <c r="X962" s="8" t="b">
        <v>0</v>
      </c>
      <c r="Y962" s="8" t="b">
        <v>0</v>
      </c>
      <c r="Z962" s="8" t="b">
        <v>0</v>
      </c>
      <c r="AA962" s="8" t="b">
        <v>0</v>
      </c>
      <c r="AB962" s="8" t="b">
        <v>0</v>
      </c>
      <c r="AC962" s="8" t="b">
        <v>0</v>
      </c>
      <c r="AD962" s="8" t="b">
        <v>1</v>
      </c>
      <c r="AE962" s="8" t="b">
        <v>0</v>
      </c>
      <c r="AG962" s="11" t="b" cm="1">
        <f t="array" ref="AG962">IF(OR(Y962:AA962="TRUE", AE962="true"), "Threatened")</f>
        <v>0</v>
      </c>
      <c r="AH962" s="11" t="s">
        <v>2652</v>
      </c>
      <c r="AI962" s="8" t="b">
        <v>1</v>
      </c>
    </row>
    <row r="963" spans="1:35" ht="31.2">
      <c r="A963" s="8">
        <v>-73.971546689999997</v>
      </c>
      <c r="B963" s="8">
        <v>40.769558490000001</v>
      </c>
      <c r="C963" s="8" t="s">
        <v>2653</v>
      </c>
      <c r="D963" s="8" t="s">
        <v>549</v>
      </c>
      <c r="E963" s="8" t="b">
        <f t="shared" ref="E963:E1026" si="15">OR(D963 = "05D", D963 = "07D", D963 = "06C", D963 = "06E")</f>
        <v>0</v>
      </c>
      <c r="F963" s="8" t="str" cm="1">
        <f t="array" ref="F963">_xlfn._xlws.FILTER(E963:E4161, C963:C4161= "6D-PM-1020-01", "No Squirrels Found")</f>
        <v>No Squirrels Found</v>
      </c>
      <c r="G963" s="8" t="s">
        <v>34</v>
      </c>
      <c r="H963" s="10">
        <v>10202018</v>
      </c>
      <c r="I963" s="10">
        <v>3</v>
      </c>
      <c r="J963" s="8" t="s">
        <v>39</v>
      </c>
      <c r="K963" s="8" t="s">
        <v>40</v>
      </c>
      <c r="L963" s="8" t="s">
        <v>41</v>
      </c>
      <c r="M963" s="8" t="s">
        <v>42</v>
      </c>
      <c r="N963" s="11" t="s">
        <v>1015</v>
      </c>
      <c r="O963" s="8" t="s">
        <v>43</v>
      </c>
      <c r="P963" s="8" t="b">
        <v>0</v>
      </c>
      <c r="R963" s="8" t="b">
        <v>0</v>
      </c>
      <c r="S963" s="8" t="b">
        <v>0</v>
      </c>
      <c r="T963" s="8" t="b">
        <v>0</v>
      </c>
      <c r="U963" s="8" t="b">
        <v>1</v>
      </c>
      <c r="V963" s="8" t="b">
        <v>1</v>
      </c>
      <c r="X963" s="8" t="b">
        <v>0</v>
      </c>
      <c r="Y963" s="8" t="b">
        <v>0</v>
      </c>
      <c r="Z963" s="8" t="b">
        <v>0</v>
      </c>
      <c r="AA963" s="8" t="b">
        <v>0</v>
      </c>
      <c r="AB963" s="8" t="b">
        <v>0</v>
      </c>
      <c r="AC963" s="8" t="b">
        <v>0</v>
      </c>
      <c r="AD963" s="8" t="b">
        <v>0</v>
      </c>
      <c r="AE963" s="8" t="b">
        <v>1</v>
      </c>
      <c r="AF963" s="11" t="s">
        <v>2654</v>
      </c>
      <c r="AG963" s="11" t="b" cm="1">
        <f t="array" ref="AG963">IF(OR(Y963:AA963="TRUE", AE963="true"), "Threatened")</f>
        <v>0</v>
      </c>
      <c r="AH963" s="11" t="s">
        <v>2655</v>
      </c>
      <c r="AI963" s="8" t="b">
        <v>1</v>
      </c>
    </row>
    <row r="964" spans="1:35" ht="31.2">
      <c r="A964" s="8">
        <v>-73.962106669999997</v>
      </c>
      <c r="B964" s="8">
        <v>40.794242709999999</v>
      </c>
      <c r="C964" s="8" t="s">
        <v>2656</v>
      </c>
      <c r="D964" s="8" t="s">
        <v>2657</v>
      </c>
      <c r="E964" s="8" t="b">
        <f t="shared" si="15"/>
        <v>0</v>
      </c>
      <c r="F964" s="8" t="str" cm="1">
        <f t="array" ref="F964">_xlfn._xlws.FILTER(E964:E4162, C964:C4162= "6D-PM-1020-01", "No Squirrels Found")</f>
        <v>No Squirrels Found</v>
      </c>
      <c r="G964" s="8" t="s">
        <v>48</v>
      </c>
      <c r="H964" s="10">
        <v>10122018</v>
      </c>
      <c r="I964" s="10">
        <v>3</v>
      </c>
      <c r="J964" s="8" t="s">
        <v>39</v>
      </c>
      <c r="K964" s="8" t="s">
        <v>40</v>
      </c>
      <c r="M964" s="8" t="s">
        <v>55</v>
      </c>
      <c r="O964" s="8" t="s">
        <v>43</v>
      </c>
      <c r="P964" s="8" t="b">
        <v>0</v>
      </c>
      <c r="R964" s="8" t="b">
        <v>1</v>
      </c>
      <c r="S964" s="8" t="b">
        <v>0</v>
      </c>
      <c r="T964" s="8" t="b">
        <v>0</v>
      </c>
      <c r="U964" s="8" t="b">
        <v>1</v>
      </c>
      <c r="V964" s="8" t="b">
        <v>1</v>
      </c>
      <c r="X964" s="8" t="b">
        <v>0</v>
      </c>
      <c r="Y964" s="8" t="b">
        <v>0</v>
      </c>
      <c r="Z964" s="8" t="b">
        <v>0</v>
      </c>
      <c r="AA964" s="8" t="b">
        <v>0</v>
      </c>
      <c r="AB964" s="8" t="b">
        <v>0</v>
      </c>
      <c r="AC964" s="8" t="b">
        <v>0</v>
      </c>
      <c r="AD964" s="8" t="b">
        <v>0</v>
      </c>
      <c r="AE964" s="8" t="b">
        <v>1</v>
      </c>
      <c r="AG964" s="11" t="b" cm="1">
        <f t="array" ref="AG964">IF(OR(Y964:AA964="TRUE", AE964="true"), "Threatened")</f>
        <v>0</v>
      </c>
      <c r="AH964" s="11" t="s">
        <v>2658</v>
      </c>
      <c r="AI964" s="8" t="b">
        <v>1</v>
      </c>
    </row>
    <row r="965" spans="1:35" ht="31.2">
      <c r="A965" s="8">
        <v>-73.963104549999997</v>
      </c>
      <c r="B965" s="8">
        <v>40.790618100000003</v>
      </c>
      <c r="C965" s="8" t="s">
        <v>2659</v>
      </c>
      <c r="D965" s="8" t="s">
        <v>911</v>
      </c>
      <c r="E965" s="8" t="b">
        <f t="shared" si="15"/>
        <v>0</v>
      </c>
      <c r="F965" s="8" t="str" cm="1">
        <f t="array" ref="F965">_xlfn._xlws.FILTER(E965:E4163, C965:C4163= "6D-PM-1020-01", "No Squirrels Found")</f>
        <v>No Squirrels Found</v>
      </c>
      <c r="G965" s="8" t="s">
        <v>34</v>
      </c>
      <c r="H965" s="10">
        <v>10192018</v>
      </c>
      <c r="I965" s="10">
        <v>4</v>
      </c>
      <c r="J965" s="8" t="s">
        <v>39</v>
      </c>
      <c r="K965" s="8" t="s">
        <v>40</v>
      </c>
      <c r="L965" s="8" t="s">
        <v>117</v>
      </c>
      <c r="M965" s="8" t="s">
        <v>118</v>
      </c>
      <c r="O965" s="8" t="s">
        <v>43</v>
      </c>
      <c r="P965" s="8" t="b">
        <v>0</v>
      </c>
      <c r="R965" s="8" t="b">
        <v>1</v>
      </c>
      <c r="S965" s="8" t="b">
        <v>0</v>
      </c>
      <c r="T965" s="8" t="b">
        <v>1</v>
      </c>
      <c r="U965" s="8" t="b">
        <v>1</v>
      </c>
      <c r="V965" s="8" t="b">
        <v>1</v>
      </c>
      <c r="X965" s="8" t="b">
        <v>0</v>
      </c>
      <c r="Y965" s="8" t="b">
        <v>0</v>
      </c>
      <c r="Z965" s="8" t="b">
        <v>0</v>
      </c>
      <c r="AA965" s="8" t="b">
        <v>0</v>
      </c>
      <c r="AB965" s="8" t="b">
        <v>0</v>
      </c>
      <c r="AC965" s="8" t="b">
        <v>0</v>
      </c>
      <c r="AD965" s="8" t="b">
        <v>0</v>
      </c>
      <c r="AE965" s="8" t="b">
        <v>1</v>
      </c>
      <c r="AG965" s="11" t="b" cm="1">
        <f t="array" ref="AG965">IF(OR(Y965:AA965="TRUE", AE965="true"), "Threatened")</f>
        <v>0</v>
      </c>
      <c r="AH965" s="11" t="s">
        <v>2660</v>
      </c>
      <c r="AI965" s="8" t="b">
        <v>1</v>
      </c>
    </row>
    <row r="966" spans="1:35" ht="31.2">
      <c r="A966" s="8">
        <v>-73.970830109999994</v>
      </c>
      <c r="B966" s="8">
        <v>40.782020090000003</v>
      </c>
      <c r="C966" s="8" t="s">
        <v>2661</v>
      </c>
      <c r="D966" s="8" t="s">
        <v>2662</v>
      </c>
      <c r="E966" s="8" t="b">
        <f t="shared" si="15"/>
        <v>0</v>
      </c>
      <c r="F966" s="8" t="str" cm="1">
        <f t="array" ref="F966">_xlfn._xlws.FILTER(E966:E4164, C966:C4164= "6D-PM-1020-01", "No Squirrels Found")</f>
        <v>No Squirrels Found</v>
      </c>
      <c r="G966" s="8" t="s">
        <v>34</v>
      </c>
      <c r="H966" s="10">
        <v>10132018</v>
      </c>
      <c r="I966" s="10">
        <v>1</v>
      </c>
      <c r="J966" s="8" t="s">
        <v>39</v>
      </c>
      <c r="K966" s="8" t="s">
        <v>40</v>
      </c>
      <c r="L966" s="8" t="s">
        <v>84</v>
      </c>
      <c r="M966" s="8" t="s">
        <v>103</v>
      </c>
      <c r="O966" s="8" t="s">
        <v>43</v>
      </c>
      <c r="P966" s="8" t="b">
        <v>0</v>
      </c>
      <c r="R966" s="8" t="b">
        <v>0</v>
      </c>
      <c r="S966" s="8" t="b">
        <v>0</v>
      </c>
      <c r="T966" s="8" t="b">
        <v>0</v>
      </c>
      <c r="U966" s="8" t="b">
        <v>0</v>
      </c>
      <c r="V966" s="8" t="b">
        <v>1</v>
      </c>
      <c r="W966" s="11" t="s">
        <v>2663</v>
      </c>
      <c r="X966" s="8" t="b">
        <v>0</v>
      </c>
      <c r="Y966" s="8" t="b">
        <v>0</v>
      </c>
      <c r="Z966" s="8" t="b">
        <v>0</v>
      </c>
      <c r="AA966" s="8" t="b">
        <v>0</v>
      </c>
      <c r="AB966" s="8" t="b">
        <v>0</v>
      </c>
      <c r="AC966" s="8" t="b">
        <v>0</v>
      </c>
      <c r="AD966" s="8" t="b">
        <v>1</v>
      </c>
      <c r="AE966" s="8" t="b">
        <v>0</v>
      </c>
      <c r="AG966" s="11" t="b" cm="1">
        <f t="array" ref="AG966">IF(OR(Y966:AA966="TRUE", AE966="true"), "Threatened")</f>
        <v>0</v>
      </c>
      <c r="AH966" s="11" t="s">
        <v>2664</v>
      </c>
      <c r="AI966" s="8" t="b">
        <v>0</v>
      </c>
    </row>
    <row r="967" spans="1:35" ht="31.2">
      <c r="A967" s="8">
        <v>-73.958317579999999</v>
      </c>
      <c r="B967" s="8">
        <v>40.791656670000002</v>
      </c>
      <c r="C967" s="8" t="s">
        <v>2665</v>
      </c>
      <c r="D967" s="8" t="s">
        <v>1214</v>
      </c>
      <c r="E967" s="8" t="b">
        <f t="shared" si="15"/>
        <v>0</v>
      </c>
      <c r="F967" s="8" t="str" cm="1">
        <f t="array" ref="F967">_xlfn._xlws.FILTER(E967:E4165, C967:C4165= "6D-PM-1020-01", "No Squirrels Found")</f>
        <v>No Squirrels Found</v>
      </c>
      <c r="G967" s="8" t="s">
        <v>48</v>
      </c>
      <c r="H967" s="10">
        <v>10142018</v>
      </c>
      <c r="I967" s="10">
        <v>12</v>
      </c>
      <c r="J967" s="8" t="s">
        <v>39</v>
      </c>
      <c r="K967" s="8" t="s">
        <v>40</v>
      </c>
      <c r="L967" s="8" t="s">
        <v>84</v>
      </c>
      <c r="M967" s="8" t="s">
        <v>103</v>
      </c>
      <c r="O967" s="8" t="s">
        <v>50</v>
      </c>
      <c r="P967" s="8">
        <v>15</v>
      </c>
      <c r="R967" s="8" t="b">
        <v>0</v>
      </c>
      <c r="S967" s="8" t="b">
        <v>0</v>
      </c>
      <c r="T967" s="8" t="b">
        <v>0</v>
      </c>
      <c r="U967" s="8" t="b">
        <v>0</v>
      </c>
      <c r="V967" s="8" t="b">
        <v>0</v>
      </c>
      <c r="W967" s="11" t="s">
        <v>2666</v>
      </c>
      <c r="X967" s="8" t="b">
        <v>0</v>
      </c>
      <c r="Y967" s="8" t="b">
        <v>0</v>
      </c>
      <c r="Z967" s="8" t="b">
        <v>0</v>
      </c>
      <c r="AA967" s="8" t="b">
        <v>0</v>
      </c>
      <c r="AB967" s="8" t="b">
        <v>0</v>
      </c>
      <c r="AC967" s="8" t="b">
        <v>0</v>
      </c>
      <c r="AD967" s="8" t="b">
        <v>0</v>
      </c>
      <c r="AE967" s="8" t="b">
        <v>0</v>
      </c>
      <c r="AF967" s="11" t="s">
        <v>2667</v>
      </c>
      <c r="AG967" s="11" t="b" cm="1">
        <f t="array" ref="AG967">IF(OR(Y967:AA967="TRUE", AE967="true"), "Threatened")</f>
        <v>0</v>
      </c>
      <c r="AH967" s="11" t="s">
        <v>2668</v>
      </c>
      <c r="AI967" s="8" t="b">
        <v>0</v>
      </c>
    </row>
    <row r="968" spans="1:35" ht="31.2">
      <c r="A968" s="8">
        <v>-73.968399410000004</v>
      </c>
      <c r="B968" s="8">
        <v>40.771076549999997</v>
      </c>
      <c r="C968" s="8" t="s">
        <v>2669</v>
      </c>
      <c r="D968" s="8" t="s">
        <v>1785</v>
      </c>
      <c r="E968" s="8" t="b">
        <f t="shared" si="15"/>
        <v>0</v>
      </c>
      <c r="F968" s="8" t="str" cm="1">
        <f t="array" ref="F968">_xlfn._xlws.FILTER(E968:E4166, C968:C4166= "6D-PM-1020-01", "No Squirrels Found")</f>
        <v>No Squirrels Found</v>
      </c>
      <c r="G968" s="8" t="s">
        <v>48</v>
      </c>
      <c r="H968" s="10">
        <v>10142018</v>
      </c>
      <c r="I968" s="10">
        <v>6</v>
      </c>
      <c r="J968" s="8" t="s">
        <v>39</v>
      </c>
      <c r="K968" s="8" t="s">
        <v>41</v>
      </c>
      <c r="L968" s="8" t="s">
        <v>84</v>
      </c>
      <c r="M968" s="8" t="s">
        <v>85</v>
      </c>
      <c r="O968" s="8" t="s">
        <v>43</v>
      </c>
      <c r="P968" s="8" t="b">
        <v>0</v>
      </c>
      <c r="R968" s="8" t="b">
        <v>0</v>
      </c>
      <c r="S968" s="8" t="b">
        <v>0</v>
      </c>
      <c r="T968" s="8" t="b">
        <v>1</v>
      </c>
      <c r="U968" s="8" t="b">
        <v>0</v>
      </c>
      <c r="V968" s="8" t="b">
        <v>1</v>
      </c>
      <c r="X968" s="8" t="b">
        <v>0</v>
      </c>
      <c r="Y968" s="8" t="b">
        <v>0</v>
      </c>
      <c r="Z968" s="8" t="b">
        <v>0</v>
      </c>
      <c r="AA968" s="8" t="b">
        <v>0</v>
      </c>
      <c r="AB968" s="8" t="b">
        <v>0</v>
      </c>
      <c r="AC968" s="8" t="b">
        <v>0</v>
      </c>
      <c r="AD968" s="8" t="b">
        <v>1</v>
      </c>
      <c r="AE968" s="8" t="b">
        <v>0</v>
      </c>
      <c r="AG968" s="11" t="b" cm="1">
        <f t="array" ref="AG968">IF(OR(Y968:AA968="TRUE", AE968="true"), "Threatened")</f>
        <v>0</v>
      </c>
      <c r="AH968" s="11" t="s">
        <v>2670</v>
      </c>
      <c r="AI968" s="8" t="b">
        <v>1</v>
      </c>
    </row>
    <row r="969" spans="1:35" ht="31.2">
      <c r="A969" s="8">
        <v>-73.968978179999993</v>
      </c>
      <c r="B969" s="8">
        <v>40.770933380000002</v>
      </c>
      <c r="C969" s="8" t="s">
        <v>2671</v>
      </c>
      <c r="D969" s="8" t="s">
        <v>1785</v>
      </c>
      <c r="E969" s="8" t="b">
        <f t="shared" si="15"/>
        <v>0</v>
      </c>
      <c r="F969" s="8" t="str" cm="1">
        <f t="array" ref="F969">_xlfn._xlws.FILTER(E969:E4167, C969:C4167= "6D-PM-1020-01", "No Squirrels Found")</f>
        <v>No Squirrels Found</v>
      </c>
      <c r="G969" s="8" t="s">
        <v>34</v>
      </c>
      <c r="H969" s="10">
        <v>10102018</v>
      </c>
      <c r="I969" s="10">
        <v>4</v>
      </c>
      <c r="J969" s="8" t="s">
        <v>39</v>
      </c>
      <c r="K969" s="8" t="s">
        <v>41</v>
      </c>
      <c r="L969" s="8" t="s">
        <v>40</v>
      </c>
      <c r="M969" s="8" t="s">
        <v>110</v>
      </c>
      <c r="O969" s="8" t="s">
        <v>43</v>
      </c>
      <c r="P969" s="8" t="b">
        <v>0</v>
      </c>
      <c r="R969" s="8" t="b">
        <v>0</v>
      </c>
      <c r="S969" s="8" t="b">
        <v>0</v>
      </c>
      <c r="T969" s="8" t="b">
        <v>0</v>
      </c>
      <c r="U969" s="8" t="b">
        <v>0</v>
      </c>
      <c r="V969" s="8" t="b">
        <v>1</v>
      </c>
      <c r="X969" s="8" t="b">
        <v>0</v>
      </c>
      <c r="Y969" s="8" t="b">
        <v>0</v>
      </c>
      <c r="Z969" s="8" t="b">
        <v>0</v>
      </c>
      <c r="AA969" s="8" t="b">
        <v>0</v>
      </c>
      <c r="AB969" s="8" t="b">
        <v>0</v>
      </c>
      <c r="AC969" s="8" t="b">
        <v>0</v>
      </c>
      <c r="AD969" s="8" t="b">
        <v>0</v>
      </c>
      <c r="AE969" s="8" t="b">
        <v>1</v>
      </c>
      <c r="AG969" s="11" t="b" cm="1">
        <f t="array" ref="AG969">IF(OR(Y969:AA969="TRUE", AE969="true"), "Threatened")</f>
        <v>0</v>
      </c>
      <c r="AH969" s="11" t="s">
        <v>2672</v>
      </c>
      <c r="AI969" s="8" t="b">
        <v>1</v>
      </c>
    </row>
    <row r="970" spans="1:35" ht="31.2">
      <c r="A970" s="8">
        <v>-73.977352940000003</v>
      </c>
      <c r="B970" s="8">
        <v>40.772875069999998</v>
      </c>
      <c r="C970" s="8" t="s">
        <v>2673</v>
      </c>
      <c r="D970" s="8" t="s">
        <v>72</v>
      </c>
      <c r="E970" s="8" t="b">
        <f t="shared" si="15"/>
        <v>0</v>
      </c>
      <c r="F970" s="8" t="str" cm="1">
        <f t="array" ref="F970">_xlfn._xlws.FILTER(E970:E4168, C970:C4168= "6D-PM-1020-01", "No Squirrels Found")</f>
        <v>No Squirrels Found</v>
      </c>
      <c r="G970" s="8" t="s">
        <v>48</v>
      </c>
      <c r="H970" s="10">
        <v>10082018</v>
      </c>
      <c r="I970" s="10">
        <v>12</v>
      </c>
      <c r="J970" s="8" t="s">
        <v>39</v>
      </c>
      <c r="K970" s="8" t="s">
        <v>40</v>
      </c>
      <c r="M970" s="8" t="s">
        <v>55</v>
      </c>
      <c r="O970" s="8" t="s">
        <v>43</v>
      </c>
      <c r="P970" s="8" t="b">
        <v>0</v>
      </c>
      <c r="R970" s="8" t="b">
        <v>1</v>
      </c>
      <c r="S970" s="8" t="b">
        <v>0</v>
      </c>
      <c r="T970" s="8" t="b">
        <v>0</v>
      </c>
      <c r="U970" s="8" t="b">
        <v>0</v>
      </c>
      <c r="V970" s="8" t="b">
        <v>0</v>
      </c>
      <c r="X970" s="8" t="b">
        <v>0</v>
      </c>
      <c r="Y970" s="8" t="b">
        <v>0</v>
      </c>
      <c r="Z970" s="8" t="b">
        <v>0</v>
      </c>
      <c r="AA970" s="8" t="b">
        <v>0</v>
      </c>
      <c r="AB970" s="8" t="b">
        <v>0</v>
      </c>
      <c r="AC970" s="8" t="b">
        <v>0</v>
      </c>
      <c r="AD970" s="8" t="b">
        <v>1</v>
      </c>
      <c r="AE970" s="8" t="b">
        <v>0</v>
      </c>
      <c r="AG970" s="11" t="b" cm="1">
        <f t="array" ref="AG970">IF(OR(Y970:AA970="TRUE", AE970="true"), "Threatened")</f>
        <v>0</v>
      </c>
      <c r="AH970" s="11" t="s">
        <v>2674</v>
      </c>
      <c r="AI970" s="8" t="b">
        <v>1</v>
      </c>
    </row>
    <row r="971" spans="1:35" ht="31.2">
      <c r="A971" s="8">
        <v>-73.970357680000006</v>
      </c>
      <c r="B971" s="8">
        <v>40.771403650000003</v>
      </c>
      <c r="C971" s="8" t="s">
        <v>2675</v>
      </c>
      <c r="D971" s="8" t="s">
        <v>2059</v>
      </c>
      <c r="E971" s="8" t="b">
        <f t="shared" si="15"/>
        <v>0</v>
      </c>
      <c r="F971" s="8" t="str" cm="1">
        <f t="array" ref="F971">_xlfn._xlws.FILTER(E971:E4169, C971:C4169= "6D-PM-1020-01", "No Squirrels Found")</f>
        <v>No Squirrels Found</v>
      </c>
      <c r="G971" s="8" t="s">
        <v>34</v>
      </c>
      <c r="H971" s="10">
        <v>10182018</v>
      </c>
      <c r="I971" s="10">
        <v>9</v>
      </c>
      <c r="J971" s="8" t="s">
        <v>39</v>
      </c>
      <c r="K971" s="8" t="s">
        <v>40</v>
      </c>
      <c r="M971" s="8" t="s">
        <v>55</v>
      </c>
      <c r="O971" s="8" t="s">
        <v>43</v>
      </c>
      <c r="P971" s="8" t="b">
        <v>0</v>
      </c>
      <c r="R971" s="8" t="b">
        <v>0</v>
      </c>
      <c r="S971" s="8" t="b">
        <v>0</v>
      </c>
      <c r="T971" s="8" t="b">
        <v>0</v>
      </c>
      <c r="U971" s="8" t="b">
        <v>1</v>
      </c>
      <c r="V971" s="8" t="b">
        <v>1</v>
      </c>
      <c r="X971" s="8" t="b">
        <v>0</v>
      </c>
      <c r="Y971" s="8" t="b">
        <v>0</v>
      </c>
      <c r="Z971" s="8" t="b">
        <v>0</v>
      </c>
      <c r="AA971" s="8" t="b">
        <v>0</v>
      </c>
      <c r="AB971" s="8" t="b">
        <v>0</v>
      </c>
      <c r="AC971" s="8" t="b">
        <v>0</v>
      </c>
      <c r="AD971" s="8" t="b">
        <v>0</v>
      </c>
      <c r="AE971" s="8" t="b">
        <v>0</v>
      </c>
      <c r="AG971" s="11" t="b" cm="1">
        <f t="array" ref="AG971">IF(OR(Y971:AA971="TRUE", AE971="true"), "Threatened")</f>
        <v>0</v>
      </c>
      <c r="AH971" s="11" t="s">
        <v>2676</v>
      </c>
      <c r="AI971" s="8" t="b">
        <v>1</v>
      </c>
    </row>
    <row r="972" spans="1:35" ht="31.2">
      <c r="A972" s="8">
        <v>-73.978392589999999</v>
      </c>
      <c r="B972" s="8">
        <v>40.766899340000002</v>
      </c>
      <c r="C972" s="8" t="s">
        <v>2677</v>
      </c>
      <c r="D972" s="8" t="s">
        <v>1278</v>
      </c>
      <c r="E972" s="8" t="b">
        <f t="shared" si="15"/>
        <v>0</v>
      </c>
      <c r="F972" s="8" t="str" cm="1">
        <f t="array" ref="F972">_xlfn._xlws.FILTER(E972:E4170, C972:C4170= "6D-PM-1020-01", "No Squirrels Found")</f>
        <v>No Squirrels Found</v>
      </c>
      <c r="G972" s="8" t="s">
        <v>34</v>
      </c>
      <c r="H972" s="10">
        <v>10072018</v>
      </c>
      <c r="I972" s="10">
        <v>4</v>
      </c>
      <c r="J972" s="8" t="s">
        <v>39</v>
      </c>
      <c r="K972" s="8" t="s">
        <v>41</v>
      </c>
      <c r="L972" s="8" t="s">
        <v>40</v>
      </c>
      <c r="M972" s="8" t="s">
        <v>110</v>
      </c>
      <c r="O972" s="8" t="s">
        <v>43</v>
      </c>
      <c r="P972" s="8" t="b">
        <v>0</v>
      </c>
      <c r="R972" s="8" t="b">
        <v>0</v>
      </c>
      <c r="S972" s="8" t="b">
        <v>0</v>
      </c>
      <c r="T972" s="8" t="b">
        <v>0</v>
      </c>
      <c r="U972" s="8" t="b">
        <v>0</v>
      </c>
      <c r="V972" s="8" t="b">
        <v>1</v>
      </c>
      <c r="X972" s="8" t="b">
        <v>0</v>
      </c>
      <c r="Y972" s="8" t="b">
        <v>0</v>
      </c>
      <c r="Z972" s="8" t="b">
        <v>0</v>
      </c>
      <c r="AA972" s="8" t="b">
        <v>0</v>
      </c>
      <c r="AB972" s="8" t="b">
        <v>0</v>
      </c>
      <c r="AC972" s="8" t="b">
        <v>0</v>
      </c>
      <c r="AD972" s="8" t="b">
        <v>1</v>
      </c>
      <c r="AE972" s="8" t="b">
        <v>0</v>
      </c>
      <c r="AG972" s="11" t="b" cm="1">
        <f t="array" ref="AG972">IF(OR(Y972:AA972="TRUE", AE972="true"), "Threatened")</f>
        <v>0</v>
      </c>
      <c r="AH972" s="11" t="s">
        <v>2678</v>
      </c>
      <c r="AI972" s="8" t="b">
        <v>1</v>
      </c>
    </row>
    <row r="973" spans="1:35" ht="31.2">
      <c r="A973" s="8">
        <v>-73.970459109999993</v>
      </c>
      <c r="B973" s="8">
        <v>40.772917509999999</v>
      </c>
      <c r="C973" s="8" t="s">
        <v>2679</v>
      </c>
      <c r="D973" s="8" t="s">
        <v>609</v>
      </c>
      <c r="E973" s="8" t="b">
        <f t="shared" si="15"/>
        <v>0</v>
      </c>
      <c r="F973" s="8" t="str" cm="1">
        <f t="array" ref="F973">_xlfn._xlws.FILTER(E973:E4171, C973:C4171= "6D-PM-1020-01", "No Squirrels Found")</f>
        <v>No Squirrels Found</v>
      </c>
      <c r="G973" s="8" t="s">
        <v>48</v>
      </c>
      <c r="H973" s="10">
        <v>10062018</v>
      </c>
      <c r="I973" s="10">
        <v>2</v>
      </c>
      <c r="J973" s="8" t="s">
        <v>39</v>
      </c>
      <c r="K973" s="8" t="s">
        <v>40</v>
      </c>
      <c r="L973" s="8" t="s">
        <v>41</v>
      </c>
      <c r="M973" s="8" t="s">
        <v>42</v>
      </c>
      <c r="N973" s="11" t="s">
        <v>2680</v>
      </c>
      <c r="O973" s="8" t="s">
        <v>43</v>
      </c>
      <c r="P973" s="8" t="b">
        <v>0</v>
      </c>
      <c r="R973" s="8" t="b">
        <v>1</v>
      </c>
      <c r="S973" s="8" t="b">
        <v>0</v>
      </c>
      <c r="T973" s="8" t="b">
        <v>0</v>
      </c>
      <c r="U973" s="8" t="b">
        <v>0</v>
      </c>
      <c r="V973" s="8" t="b">
        <v>1</v>
      </c>
      <c r="X973" s="8" t="b">
        <v>0</v>
      </c>
      <c r="Y973" s="8" t="b">
        <v>0</v>
      </c>
      <c r="Z973" s="8" t="b">
        <v>0</v>
      </c>
      <c r="AA973" s="8" t="b">
        <v>0</v>
      </c>
      <c r="AB973" s="8" t="b">
        <v>0</v>
      </c>
      <c r="AC973" s="8" t="b">
        <v>0</v>
      </c>
      <c r="AD973" s="8" t="b">
        <v>0</v>
      </c>
      <c r="AE973" s="8" t="b">
        <v>1</v>
      </c>
      <c r="AG973" s="11" t="b" cm="1">
        <f t="array" ref="AG973">IF(OR(Y973:AA973="TRUE", AE973="true"), "Threatened")</f>
        <v>0</v>
      </c>
      <c r="AH973" s="11" t="s">
        <v>2681</v>
      </c>
      <c r="AI973" s="8" t="b">
        <v>1</v>
      </c>
    </row>
    <row r="974" spans="1:35" ht="31.2">
      <c r="A974" s="8">
        <v>-73.970597710000007</v>
      </c>
      <c r="B974" s="8">
        <v>40.776041319999997</v>
      </c>
      <c r="C974" s="8" t="s">
        <v>2682</v>
      </c>
      <c r="D974" s="8" t="s">
        <v>79</v>
      </c>
      <c r="E974" s="8" t="b">
        <f t="shared" si="15"/>
        <v>0</v>
      </c>
      <c r="F974" s="8" t="str" cm="1">
        <f t="array" ref="F974">_xlfn._xlws.FILTER(E974:E4172, C974:C4172= "6D-PM-1020-01", "No Squirrels Found")</f>
        <v>No Squirrels Found</v>
      </c>
      <c r="G974" s="8" t="s">
        <v>48</v>
      </c>
      <c r="H974" s="10">
        <v>10172018</v>
      </c>
      <c r="I974" s="10">
        <v>9</v>
      </c>
      <c r="J974" s="8" t="s">
        <v>39</v>
      </c>
      <c r="K974" s="8" t="s">
        <v>40</v>
      </c>
      <c r="M974" s="8" t="s">
        <v>55</v>
      </c>
      <c r="O974" s="8" t="s">
        <v>43</v>
      </c>
      <c r="P974" s="8" t="b">
        <v>0</v>
      </c>
      <c r="R974" s="8" t="b">
        <v>0</v>
      </c>
      <c r="S974" s="8" t="b">
        <v>0</v>
      </c>
      <c r="T974" s="8" t="b">
        <v>0</v>
      </c>
      <c r="U974" s="8" t="b">
        <v>0</v>
      </c>
      <c r="V974" s="8" t="b">
        <v>1</v>
      </c>
      <c r="X974" s="8" t="b">
        <v>0</v>
      </c>
      <c r="Y974" s="8" t="b">
        <v>0</v>
      </c>
      <c r="Z974" s="8" t="b">
        <v>0</v>
      </c>
      <c r="AA974" s="8" t="b">
        <v>0</v>
      </c>
      <c r="AB974" s="8" t="b">
        <v>0</v>
      </c>
      <c r="AC974" s="8" t="b">
        <v>0</v>
      </c>
      <c r="AD974" s="8" t="b">
        <v>0</v>
      </c>
      <c r="AE974" s="8" t="b">
        <v>0</v>
      </c>
      <c r="AG974" s="11" t="b" cm="1">
        <f t="array" ref="AG974">IF(OR(Y974:AA974="TRUE", AE974="true"), "Threatened")</f>
        <v>0</v>
      </c>
      <c r="AH974" s="11" t="s">
        <v>2683</v>
      </c>
      <c r="AI974" s="8" t="b">
        <v>1</v>
      </c>
    </row>
    <row r="975" spans="1:35" ht="31.2">
      <c r="A975" s="8">
        <v>-73.975374450000004</v>
      </c>
      <c r="B975" s="8">
        <v>40.767116219999998</v>
      </c>
      <c r="C975" s="8" t="s">
        <v>2684</v>
      </c>
      <c r="D975" s="8" t="s">
        <v>481</v>
      </c>
      <c r="E975" s="8" t="b">
        <f t="shared" si="15"/>
        <v>0</v>
      </c>
      <c r="F975" s="8" t="str" cm="1">
        <f t="array" ref="F975">_xlfn._xlws.FILTER(E975:E4173, C975:C4173= "6D-PM-1020-01", "No Squirrels Found")</f>
        <v>No Squirrels Found</v>
      </c>
      <c r="G975" s="8" t="s">
        <v>34</v>
      </c>
      <c r="H975" s="10">
        <v>10142018</v>
      </c>
      <c r="I975" s="10">
        <v>12</v>
      </c>
      <c r="J975" s="8" t="s">
        <v>39</v>
      </c>
      <c r="K975" s="8" t="s">
        <v>40</v>
      </c>
      <c r="M975" s="8" t="s">
        <v>55</v>
      </c>
      <c r="O975" s="8" t="s">
        <v>43</v>
      </c>
      <c r="P975" s="8" t="b">
        <v>0</v>
      </c>
      <c r="R975" s="8" t="b">
        <v>1</v>
      </c>
      <c r="S975" s="8" t="b">
        <v>0</v>
      </c>
      <c r="T975" s="8" t="b">
        <v>0</v>
      </c>
      <c r="U975" s="8" t="b">
        <v>0</v>
      </c>
      <c r="V975" s="8" t="b">
        <v>0</v>
      </c>
      <c r="X975" s="8" t="b">
        <v>0</v>
      </c>
      <c r="Y975" s="8" t="b">
        <v>0</v>
      </c>
      <c r="Z975" s="8" t="b">
        <v>0</v>
      </c>
      <c r="AA975" s="8" t="b">
        <v>0</v>
      </c>
      <c r="AB975" s="8" t="b">
        <v>0</v>
      </c>
      <c r="AC975" s="8" t="b">
        <v>0</v>
      </c>
      <c r="AD975" s="8" t="b">
        <v>0</v>
      </c>
      <c r="AE975" s="8" t="b">
        <v>1</v>
      </c>
      <c r="AG975" s="11" t="b" cm="1">
        <f t="array" ref="AG975">IF(OR(Y975:AA975="TRUE", AE975="true"), "Threatened")</f>
        <v>0</v>
      </c>
      <c r="AH975" s="11" t="s">
        <v>2685</v>
      </c>
      <c r="AI975" s="8" t="b">
        <v>1</v>
      </c>
    </row>
    <row r="976" spans="1:35" ht="31.2">
      <c r="A976" s="8">
        <v>-73.956869089999998</v>
      </c>
      <c r="B976" s="8">
        <v>40.79888588</v>
      </c>
      <c r="C976" s="8" t="s">
        <v>2686</v>
      </c>
      <c r="D976" s="8" t="s">
        <v>1133</v>
      </c>
      <c r="E976" s="8" t="b">
        <f t="shared" si="15"/>
        <v>0</v>
      </c>
      <c r="F976" s="8" t="str" cm="1">
        <f t="array" ref="F976">_xlfn._xlws.FILTER(E976:E4174, C976:C4174= "6D-PM-1020-01", "No Squirrels Found")</f>
        <v>No Squirrels Found</v>
      </c>
      <c r="G976" s="8" t="s">
        <v>48</v>
      </c>
      <c r="H976" s="10">
        <v>10172018</v>
      </c>
      <c r="I976" s="10">
        <v>5</v>
      </c>
      <c r="J976" s="8" t="s">
        <v>39</v>
      </c>
      <c r="K976" s="8" t="s">
        <v>40</v>
      </c>
      <c r="M976" s="8" t="s">
        <v>55</v>
      </c>
      <c r="O976" s="8" t="s">
        <v>43</v>
      </c>
      <c r="P976" s="8" t="b">
        <v>0</v>
      </c>
      <c r="R976" s="8" t="b">
        <v>0</v>
      </c>
      <c r="S976" s="8" t="b">
        <v>0</v>
      </c>
      <c r="T976" s="8" t="b">
        <v>0</v>
      </c>
      <c r="U976" s="8" t="b">
        <v>0</v>
      </c>
      <c r="V976" s="8" t="b">
        <v>1</v>
      </c>
      <c r="X976" s="8" t="b">
        <v>0</v>
      </c>
      <c r="Y976" s="8" t="b">
        <v>0</v>
      </c>
      <c r="Z976" s="8" t="b">
        <v>0</v>
      </c>
      <c r="AA976" s="8" t="b">
        <v>0</v>
      </c>
      <c r="AB976" s="8" t="b">
        <v>0</v>
      </c>
      <c r="AC976" s="8" t="b">
        <v>0</v>
      </c>
      <c r="AD976" s="8" t="b">
        <v>1</v>
      </c>
      <c r="AE976" s="8" t="b">
        <v>0</v>
      </c>
      <c r="AG976" s="11" t="b" cm="1">
        <f t="array" ref="AG976">IF(OR(Y976:AA976="TRUE", AE976="true"), "Threatened")</f>
        <v>0</v>
      </c>
      <c r="AH976" s="11" t="s">
        <v>2687</v>
      </c>
      <c r="AI976" s="8" t="b">
        <v>1</v>
      </c>
    </row>
    <row r="977" spans="1:35" ht="31.2">
      <c r="A977" s="8">
        <v>-73.974038120000003</v>
      </c>
      <c r="B977" s="8">
        <v>40.767591260000003</v>
      </c>
      <c r="C977" s="8" t="s">
        <v>2688</v>
      </c>
      <c r="D977" s="8" t="s">
        <v>651</v>
      </c>
      <c r="E977" s="8" t="b">
        <f t="shared" si="15"/>
        <v>0</v>
      </c>
      <c r="F977" s="8" t="str" cm="1">
        <f t="array" ref="F977">_xlfn._xlws.FILTER(E977:E4175, C977:C4175= "6D-PM-1020-01", "No Squirrels Found")</f>
        <v>No Squirrels Found</v>
      </c>
      <c r="G977" s="8" t="s">
        <v>34</v>
      </c>
      <c r="H977" s="10">
        <v>10072018</v>
      </c>
      <c r="I977" s="10">
        <v>1</v>
      </c>
      <c r="J977" s="8" t="s">
        <v>39</v>
      </c>
      <c r="K977" s="8" t="s">
        <v>40</v>
      </c>
      <c r="L977" s="8" t="s">
        <v>117</v>
      </c>
      <c r="M977" s="8" t="s">
        <v>118</v>
      </c>
      <c r="O977" s="8" t="s">
        <v>43</v>
      </c>
      <c r="P977" s="8" t="b">
        <v>0</v>
      </c>
      <c r="R977" s="8" t="b">
        <v>0</v>
      </c>
      <c r="S977" s="8" t="b">
        <v>0</v>
      </c>
      <c r="T977" s="8" t="b">
        <v>0</v>
      </c>
      <c r="U977" s="8" t="b">
        <v>0</v>
      </c>
      <c r="V977" s="8" t="b">
        <v>1</v>
      </c>
      <c r="X977" s="8" t="b">
        <v>0</v>
      </c>
      <c r="Y977" s="8" t="b">
        <v>0</v>
      </c>
      <c r="Z977" s="8" t="b">
        <v>0</v>
      </c>
      <c r="AA977" s="8" t="b">
        <v>0</v>
      </c>
      <c r="AB977" s="8" t="b">
        <v>0</v>
      </c>
      <c r="AC977" s="8" t="b">
        <v>0</v>
      </c>
      <c r="AD977" s="8" t="b">
        <v>1</v>
      </c>
      <c r="AE977" s="8" t="b">
        <v>0</v>
      </c>
      <c r="AG977" s="11" t="b" cm="1">
        <f t="array" ref="AG977">IF(OR(Y977:AA977="TRUE", AE977="true"), "Threatened")</f>
        <v>0</v>
      </c>
      <c r="AH977" s="11" t="s">
        <v>2689</v>
      </c>
      <c r="AI977" s="8" t="b">
        <v>1</v>
      </c>
    </row>
    <row r="978" spans="1:35" ht="31.2">
      <c r="A978" s="8">
        <v>-73.976460189999997</v>
      </c>
      <c r="B978" s="8">
        <v>40.766070450000001</v>
      </c>
      <c r="C978" s="8" t="s">
        <v>2690</v>
      </c>
      <c r="D978" s="8" t="s">
        <v>1862</v>
      </c>
      <c r="E978" s="8" t="b">
        <f t="shared" si="15"/>
        <v>0</v>
      </c>
      <c r="F978" s="8" t="str" cm="1">
        <f t="array" ref="F978">_xlfn._xlws.FILTER(E978:E4176, C978:C4176= "6D-PM-1020-01", "No Squirrels Found")</f>
        <v>No Squirrels Found</v>
      </c>
      <c r="G978" s="8" t="s">
        <v>48</v>
      </c>
      <c r="H978" s="10">
        <v>10102018</v>
      </c>
      <c r="I978" s="10">
        <v>5</v>
      </c>
      <c r="J978" s="8" t="s">
        <v>39</v>
      </c>
      <c r="K978" s="8" t="s">
        <v>40</v>
      </c>
      <c r="M978" s="8" t="s">
        <v>55</v>
      </c>
      <c r="O978" s="8" t="s">
        <v>43</v>
      </c>
      <c r="P978" s="8" t="b">
        <v>0</v>
      </c>
      <c r="R978" s="8" t="b">
        <v>0</v>
      </c>
      <c r="S978" s="8" t="b">
        <v>0</v>
      </c>
      <c r="T978" s="8" t="b">
        <v>0</v>
      </c>
      <c r="U978" s="8" t="b">
        <v>1</v>
      </c>
      <c r="V978" s="8" t="b">
        <v>0</v>
      </c>
      <c r="X978" s="8" t="b">
        <v>0</v>
      </c>
      <c r="Y978" s="8" t="b">
        <v>0</v>
      </c>
      <c r="Z978" s="8" t="b">
        <v>0</v>
      </c>
      <c r="AA978" s="8" t="b">
        <v>0</v>
      </c>
      <c r="AB978" s="8" t="b">
        <v>0</v>
      </c>
      <c r="AC978" s="8" t="b">
        <v>0</v>
      </c>
      <c r="AD978" s="8" t="b">
        <v>1</v>
      </c>
      <c r="AE978" s="8" t="b">
        <v>0</v>
      </c>
      <c r="AG978" s="11" t="b" cm="1">
        <f t="array" ref="AG978">IF(OR(Y978:AA978="TRUE", AE978="true"), "Threatened")</f>
        <v>0</v>
      </c>
      <c r="AH978" s="11" t="s">
        <v>2691</v>
      </c>
      <c r="AI978" s="8" t="b">
        <v>1</v>
      </c>
    </row>
    <row r="979" spans="1:35" ht="31.2">
      <c r="A979" s="8">
        <v>-73.967669279999996</v>
      </c>
      <c r="B979" s="8">
        <v>40.776472669999997</v>
      </c>
      <c r="C979" s="8" t="s">
        <v>2692</v>
      </c>
      <c r="D979" s="8" t="s">
        <v>326</v>
      </c>
      <c r="E979" s="8" t="b">
        <f t="shared" si="15"/>
        <v>0</v>
      </c>
      <c r="F979" s="8" t="str" cm="1">
        <f t="array" ref="F979">_xlfn._xlws.FILTER(E979:E4177, C979:C4177= "6D-PM-1020-01", "No Squirrels Found")</f>
        <v>No Squirrels Found</v>
      </c>
      <c r="G979" s="8" t="s">
        <v>48</v>
      </c>
      <c r="H979" s="10">
        <v>10082018</v>
      </c>
      <c r="I979" s="10">
        <v>3</v>
      </c>
      <c r="J979" s="8" t="s">
        <v>39</v>
      </c>
      <c r="K979" s="8" t="s">
        <v>40</v>
      </c>
      <c r="M979" s="8" t="s">
        <v>55</v>
      </c>
      <c r="O979" s="8" t="s">
        <v>43</v>
      </c>
      <c r="P979" s="8" t="b">
        <v>0</v>
      </c>
      <c r="R979" s="8" t="b">
        <v>0</v>
      </c>
      <c r="S979" s="8" t="b">
        <v>1</v>
      </c>
      <c r="T979" s="8" t="b">
        <v>0</v>
      </c>
      <c r="U979" s="8" t="b">
        <v>0</v>
      </c>
      <c r="V979" s="8" t="b">
        <v>0</v>
      </c>
      <c r="X979" s="8" t="b">
        <v>1</v>
      </c>
      <c r="Y979" s="8" t="b">
        <v>0</v>
      </c>
      <c r="Z979" s="8" t="b">
        <v>0</v>
      </c>
      <c r="AA979" s="8" t="b">
        <v>0</v>
      </c>
      <c r="AB979" s="8" t="b">
        <v>0</v>
      </c>
      <c r="AC979" s="8" t="b">
        <v>0</v>
      </c>
      <c r="AD979" s="8" t="b">
        <v>0</v>
      </c>
      <c r="AE979" s="8" t="b">
        <v>0</v>
      </c>
      <c r="AG979" s="11" t="b" cm="1">
        <f t="array" ref="AG979">IF(OR(Y979:AA979="TRUE", AE979="true"), "Threatened")</f>
        <v>0</v>
      </c>
      <c r="AH979" s="11" t="s">
        <v>2693</v>
      </c>
      <c r="AI979" s="8" t="b">
        <v>1</v>
      </c>
    </row>
    <row r="980" spans="1:35" ht="31.2">
      <c r="A980" s="8">
        <v>-73.961234939999997</v>
      </c>
      <c r="B980" s="8">
        <v>40.795958650000003</v>
      </c>
      <c r="C980" s="8" t="s">
        <v>2694</v>
      </c>
      <c r="D980" s="8" t="s">
        <v>387</v>
      </c>
      <c r="E980" s="8" t="b">
        <f t="shared" si="15"/>
        <v>0</v>
      </c>
      <c r="F980" s="8" t="str" cm="1">
        <f t="array" ref="F980">_xlfn._xlws.FILTER(E980:E4178, C980:C4178= "6D-PM-1020-01", "No Squirrels Found")</f>
        <v>No Squirrels Found</v>
      </c>
      <c r="G980" s="8" t="s">
        <v>34</v>
      </c>
      <c r="H980" s="10">
        <v>10132018</v>
      </c>
      <c r="I980" s="10">
        <v>9</v>
      </c>
      <c r="K980" s="8" t="s">
        <v>40</v>
      </c>
      <c r="M980" s="8" t="s">
        <v>55</v>
      </c>
      <c r="O980" s="8" t="s">
        <v>43</v>
      </c>
      <c r="P980" s="8" t="b">
        <v>0</v>
      </c>
      <c r="Q980" s="8" t="s">
        <v>1822</v>
      </c>
      <c r="R980" s="8" t="b">
        <v>1</v>
      </c>
      <c r="S980" s="8" t="b">
        <v>0</v>
      </c>
      <c r="T980" s="8" t="b">
        <v>0</v>
      </c>
      <c r="U980" s="8" t="b">
        <v>0</v>
      </c>
      <c r="V980" s="8" t="b">
        <v>0</v>
      </c>
      <c r="X980" s="8" t="b">
        <v>0</v>
      </c>
      <c r="Y980" s="8" t="b">
        <v>0</v>
      </c>
      <c r="Z980" s="8" t="b">
        <v>0</v>
      </c>
      <c r="AA980" s="8" t="b">
        <v>0</v>
      </c>
      <c r="AB980" s="8" t="b">
        <v>1</v>
      </c>
      <c r="AC980" s="8" t="b">
        <v>0</v>
      </c>
      <c r="AD980" s="8" t="b">
        <v>0</v>
      </c>
      <c r="AE980" s="8" t="b">
        <v>1</v>
      </c>
      <c r="AG980" s="11" t="b" cm="1">
        <f t="array" ref="AG980">IF(OR(Y980:AA980="TRUE", AE980="true"), "Threatened")</f>
        <v>0</v>
      </c>
      <c r="AH980" s="11" t="s">
        <v>2695</v>
      </c>
      <c r="AI980" s="8" t="b">
        <v>1</v>
      </c>
    </row>
    <row r="981" spans="1:35" ht="31.2">
      <c r="A981" s="8">
        <v>-73.970981780000002</v>
      </c>
      <c r="B981" s="8">
        <v>40.77735543</v>
      </c>
      <c r="C981" s="8" t="s">
        <v>2696</v>
      </c>
      <c r="D981" s="8" t="s">
        <v>741</v>
      </c>
      <c r="E981" s="8" t="b">
        <f t="shared" si="15"/>
        <v>0</v>
      </c>
      <c r="F981" s="8" t="str" cm="1">
        <f t="array" ref="F981">_xlfn._xlws.FILTER(E981:E4179, C981:C4179= "6D-PM-1020-01", "No Squirrels Found")</f>
        <v>No Squirrels Found</v>
      </c>
      <c r="G981" s="8" t="s">
        <v>34</v>
      </c>
      <c r="H981" s="10">
        <v>10192018</v>
      </c>
      <c r="I981" s="10">
        <v>7</v>
      </c>
      <c r="J981" s="8" t="s">
        <v>39</v>
      </c>
      <c r="K981" s="8" t="s">
        <v>40</v>
      </c>
      <c r="M981" s="8" t="s">
        <v>55</v>
      </c>
      <c r="O981" s="8" t="s">
        <v>43</v>
      </c>
      <c r="P981" s="8" t="b">
        <v>0</v>
      </c>
      <c r="R981" s="8" t="b">
        <v>0</v>
      </c>
      <c r="S981" s="8" t="b">
        <v>0</v>
      </c>
      <c r="T981" s="8" t="b">
        <v>0</v>
      </c>
      <c r="U981" s="8" t="b">
        <v>1</v>
      </c>
      <c r="V981" s="8" t="b">
        <v>0</v>
      </c>
      <c r="X981" s="8" t="b">
        <v>0</v>
      </c>
      <c r="Y981" s="8" t="b">
        <v>0</v>
      </c>
      <c r="Z981" s="8" t="b">
        <v>0</v>
      </c>
      <c r="AA981" s="8" t="b">
        <v>0</v>
      </c>
      <c r="AB981" s="8" t="b">
        <v>0</v>
      </c>
      <c r="AC981" s="8" t="b">
        <v>0</v>
      </c>
      <c r="AD981" s="8" t="b">
        <v>0</v>
      </c>
      <c r="AE981" s="8" t="b">
        <v>1</v>
      </c>
      <c r="AG981" s="11" t="b" cm="1">
        <f t="array" ref="AG981">IF(OR(Y981:AA981="TRUE", AE981="true"), "Threatened")</f>
        <v>0</v>
      </c>
      <c r="AH981" s="11" t="s">
        <v>2697</v>
      </c>
      <c r="AI981" s="8" t="b">
        <v>1</v>
      </c>
    </row>
    <row r="982" spans="1:35" ht="31.2">
      <c r="A982" s="8">
        <v>-73.967316019999998</v>
      </c>
      <c r="B982" s="8">
        <v>40.776615800000002</v>
      </c>
      <c r="C982" s="8" t="s">
        <v>2698</v>
      </c>
      <c r="D982" s="8" t="s">
        <v>326</v>
      </c>
      <c r="E982" s="8" t="b">
        <f t="shared" si="15"/>
        <v>0</v>
      </c>
      <c r="F982" s="8" t="str" cm="1">
        <f t="array" ref="F982">_xlfn._xlws.FILTER(E982:E4180, C982:C4180= "6D-PM-1020-01", "No Squirrels Found")</f>
        <v>No Squirrels Found</v>
      </c>
      <c r="G982" s="8" t="s">
        <v>34</v>
      </c>
      <c r="H982" s="10">
        <v>10192018</v>
      </c>
      <c r="I982" s="10">
        <v>12</v>
      </c>
      <c r="J982" s="8" t="s">
        <v>39</v>
      </c>
      <c r="K982" s="8" t="s">
        <v>40</v>
      </c>
      <c r="M982" s="8" t="s">
        <v>55</v>
      </c>
      <c r="O982" s="8" t="s">
        <v>50</v>
      </c>
      <c r="P982" s="8">
        <v>4</v>
      </c>
      <c r="R982" s="8" t="b">
        <v>0</v>
      </c>
      <c r="S982" s="8" t="b">
        <v>0</v>
      </c>
      <c r="T982" s="8" t="b">
        <v>1</v>
      </c>
      <c r="U982" s="8" t="b">
        <v>0</v>
      </c>
      <c r="V982" s="8" t="b">
        <v>0</v>
      </c>
      <c r="X982" s="8" t="b">
        <v>0</v>
      </c>
      <c r="Y982" s="8" t="b">
        <v>0</v>
      </c>
      <c r="Z982" s="8" t="b">
        <v>0</v>
      </c>
      <c r="AA982" s="8" t="b">
        <v>0</v>
      </c>
      <c r="AB982" s="8" t="b">
        <v>0</v>
      </c>
      <c r="AC982" s="8" t="b">
        <v>0</v>
      </c>
      <c r="AD982" s="8" t="b">
        <v>0</v>
      </c>
      <c r="AE982" s="8" t="b">
        <v>0</v>
      </c>
      <c r="AF982" s="11" t="s">
        <v>656</v>
      </c>
      <c r="AG982" s="11" t="b" cm="1">
        <f t="array" ref="AG982">IF(OR(Y982:AA982="TRUE", AE982="true"), "Threatened")</f>
        <v>0</v>
      </c>
      <c r="AH982" s="11" t="s">
        <v>2699</v>
      </c>
      <c r="AI982" s="8" t="b">
        <v>1</v>
      </c>
    </row>
    <row r="983" spans="1:35" ht="31.2">
      <c r="A983" s="8">
        <v>-73.967642459999993</v>
      </c>
      <c r="B983" s="8">
        <v>40.777776609999997</v>
      </c>
      <c r="C983" s="8" t="s">
        <v>2700</v>
      </c>
      <c r="D983" s="8" t="s">
        <v>960</v>
      </c>
      <c r="E983" s="8" t="b">
        <f t="shared" si="15"/>
        <v>0</v>
      </c>
      <c r="F983" s="8" t="str" cm="1">
        <f t="array" ref="F983">_xlfn._xlws.FILTER(E983:E4181, C983:C4181= "6D-PM-1020-01", "No Squirrels Found")</f>
        <v>No Squirrels Found</v>
      </c>
      <c r="G983" s="8" t="s">
        <v>48</v>
      </c>
      <c r="H983" s="10">
        <v>10082018</v>
      </c>
      <c r="I983" s="10">
        <v>1</v>
      </c>
      <c r="J983" s="8" t="s">
        <v>39</v>
      </c>
      <c r="K983" s="8" t="s">
        <v>41</v>
      </c>
      <c r="L983" s="8" t="s">
        <v>135</v>
      </c>
      <c r="M983" s="8" t="s">
        <v>136</v>
      </c>
      <c r="O983" s="8" t="s">
        <v>43</v>
      </c>
      <c r="P983" s="8" t="b">
        <v>0</v>
      </c>
      <c r="Q983" s="8" t="s">
        <v>2701</v>
      </c>
      <c r="R983" s="8" t="b">
        <v>0</v>
      </c>
      <c r="S983" s="8" t="b">
        <v>0</v>
      </c>
      <c r="T983" s="8" t="b">
        <v>0</v>
      </c>
      <c r="U983" s="8" t="b">
        <v>0</v>
      </c>
      <c r="V983" s="8" t="b">
        <v>1</v>
      </c>
      <c r="X983" s="8" t="b">
        <v>0</v>
      </c>
      <c r="Y983" s="8" t="b">
        <v>0</v>
      </c>
      <c r="Z983" s="8" t="b">
        <v>0</v>
      </c>
      <c r="AA983" s="8" t="b">
        <v>0</v>
      </c>
      <c r="AB983" s="8" t="b">
        <v>1</v>
      </c>
      <c r="AC983" s="8" t="b">
        <v>1</v>
      </c>
      <c r="AD983" s="8" t="b">
        <v>0</v>
      </c>
      <c r="AE983" s="8" t="b">
        <v>0</v>
      </c>
      <c r="AG983" s="11" t="b" cm="1">
        <f t="array" ref="AG983">IF(OR(Y983:AA983="TRUE", AE983="true"), "Threatened")</f>
        <v>0</v>
      </c>
      <c r="AH983" s="11" t="s">
        <v>2702</v>
      </c>
      <c r="AI983" s="8" t="b">
        <v>1</v>
      </c>
    </row>
    <row r="984" spans="1:35" ht="31.2">
      <c r="A984" s="8">
        <v>-73.964155210000001</v>
      </c>
      <c r="B984" s="8">
        <v>40.79084795</v>
      </c>
      <c r="C984" s="8" t="s">
        <v>2703</v>
      </c>
      <c r="D984" s="8" t="s">
        <v>911</v>
      </c>
      <c r="E984" s="8" t="b">
        <f t="shared" si="15"/>
        <v>0</v>
      </c>
      <c r="F984" s="8" t="str" cm="1">
        <f t="array" ref="F984">_xlfn._xlws.FILTER(E984:E4182, C984:C4182= "6D-PM-1020-01", "No Squirrels Found")</f>
        <v>No Squirrels Found</v>
      </c>
      <c r="G984" s="8" t="s">
        <v>48</v>
      </c>
      <c r="H984" s="10">
        <v>10072018</v>
      </c>
      <c r="I984" s="10">
        <v>5</v>
      </c>
      <c r="J984" s="8" t="s">
        <v>39</v>
      </c>
      <c r="K984" s="8" t="s">
        <v>40</v>
      </c>
      <c r="M984" s="8" t="s">
        <v>55</v>
      </c>
      <c r="O984" s="8" t="s">
        <v>50</v>
      </c>
      <c r="P984" s="8">
        <v>10</v>
      </c>
      <c r="R984" s="8" t="b">
        <v>1</v>
      </c>
      <c r="S984" s="8" t="b">
        <v>0</v>
      </c>
      <c r="T984" s="8" t="b">
        <v>0</v>
      </c>
      <c r="U984" s="8" t="b">
        <v>0</v>
      </c>
      <c r="V984" s="8" t="b">
        <v>0</v>
      </c>
      <c r="X984" s="8" t="b">
        <v>0</v>
      </c>
      <c r="Y984" s="8" t="b">
        <v>0</v>
      </c>
      <c r="Z984" s="8" t="b">
        <v>0</v>
      </c>
      <c r="AA984" s="8" t="b">
        <v>0</v>
      </c>
      <c r="AB984" s="8" t="b">
        <v>0</v>
      </c>
      <c r="AC984" s="8" t="b">
        <v>0</v>
      </c>
      <c r="AD984" s="8" t="b">
        <v>0</v>
      </c>
      <c r="AE984" s="8" t="b">
        <v>0</v>
      </c>
      <c r="AG984" s="11" t="b" cm="1">
        <f t="array" ref="AG984">IF(OR(Y984:AA984="TRUE", AE984="true"), "Threatened")</f>
        <v>0</v>
      </c>
      <c r="AH984" s="11" t="s">
        <v>2704</v>
      </c>
      <c r="AI984" s="8" t="b">
        <v>1</v>
      </c>
    </row>
    <row r="985" spans="1:35" ht="31.2">
      <c r="A985" s="8">
        <v>-73.967295030000002</v>
      </c>
      <c r="B985" s="8">
        <v>40.778247749999998</v>
      </c>
      <c r="C985" s="8" t="s">
        <v>2705</v>
      </c>
      <c r="D985" s="8" t="s">
        <v>131</v>
      </c>
      <c r="E985" s="8" t="b">
        <f t="shared" si="15"/>
        <v>0</v>
      </c>
      <c r="F985" s="8" t="str" cm="1">
        <f t="array" ref="F985">_xlfn._xlws.FILTER(E985:E4183, C985:C4183= "6D-PM-1020-01", "No Squirrels Found")</f>
        <v>No Squirrels Found</v>
      </c>
      <c r="G985" s="8" t="s">
        <v>34</v>
      </c>
      <c r="H985" s="10">
        <v>10202018</v>
      </c>
      <c r="I985" s="10">
        <v>1</v>
      </c>
      <c r="J985" s="8" t="s">
        <v>39</v>
      </c>
      <c r="K985" s="8" t="s">
        <v>40</v>
      </c>
      <c r="L985" s="8" t="s">
        <v>41</v>
      </c>
      <c r="M985" s="8" t="s">
        <v>42</v>
      </c>
      <c r="O985" s="8" t="s">
        <v>50</v>
      </c>
      <c r="P985" s="8">
        <v>7</v>
      </c>
      <c r="R985" s="8" t="b">
        <v>0</v>
      </c>
      <c r="S985" s="8" t="b">
        <v>0</v>
      </c>
      <c r="T985" s="8" t="b">
        <v>1</v>
      </c>
      <c r="U985" s="8" t="b">
        <v>0</v>
      </c>
      <c r="V985" s="8" t="b">
        <v>0</v>
      </c>
      <c r="X985" s="8" t="b">
        <v>0</v>
      </c>
      <c r="Y985" s="8" t="b">
        <v>0</v>
      </c>
      <c r="Z985" s="8" t="b">
        <v>0</v>
      </c>
      <c r="AA985" s="8" t="b">
        <v>0</v>
      </c>
      <c r="AB985" s="8" t="b">
        <v>0</v>
      </c>
      <c r="AC985" s="8" t="b">
        <v>0</v>
      </c>
      <c r="AD985" s="8" t="b">
        <v>0</v>
      </c>
      <c r="AE985" s="8" t="b">
        <v>1</v>
      </c>
      <c r="AG985" s="11" t="b" cm="1">
        <f t="array" ref="AG985">IF(OR(Y985:AA985="TRUE", AE985="true"), "Threatened")</f>
        <v>0</v>
      </c>
      <c r="AH985" s="11" t="s">
        <v>2706</v>
      </c>
      <c r="AI985" s="8" t="b">
        <v>1</v>
      </c>
    </row>
    <row r="986" spans="1:35" ht="31.2">
      <c r="A986" s="8">
        <v>-73.96817222</v>
      </c>
      <c r="B986" s="8">
        <v>40.783559830000002</v>
      </c>
      <c r="C986" s="8" t="s">
        <v>2707</v>
      </c>
      <c r="D986" s="8" t="s">
        <v>335</v>
      </c>
      <c r="E986" s="8" t="b">
        <f t="shared" si="15"/>
        <v>0</v>
      </c>
      <c r="F986" s="8" t="str" cm="1">
        <f t="array" ref="F986">_xlfn._xlws.FILTER(E986:E4184, C986:C4184= "6D-PM-1020-01", "No Squirrels Found")</f>
        <v>No Squirrels Found</v>
      </c>
      <c r="G986" s="8" t="s">
        <v>34</v>
      </c>
      <c r="H986" s="10">
        <v>10142018</v>
      </c>
      <c r="I986" s="10">
        <v>7</v>
      </c>
      <c r="J986" s="8" t="s">
        <v>39</v>
      </c>
      <c r="K986" s="8" t="s">
        <v>40</v>
      </c>
      <c r="L986" s="8" t="s">
        <v>41</v>
      </c>
      <c r="M986" s="8" t="s">
        <v>42</v>
      </c>
      <c r="O986" s="8" t="s">
        <v>43</v>
      </c>
      <c r="P986" s="8" t="b">
        <v>0</v>
      </c>
      <c r="R986" s="8" t="b">
        <v>0</v>
      </c>
      <c r="S986" s="8" t="b">
        <v>0</v>
      </c>
      <c r="T986" s="8" t="b">
        <v>0</v>
      </c>
      <c r="U986" s="8" t="b">
        <v>0</v>
      </c>
      <c r="V986" s="8" t="b">
        <v>0</v>
      </c>
      <c r="X986" s="8" t="b">
        <v>0</v>
      </c>
      <c r="Y986" s="8" t="b">
        <v>0</v>
      </c>
      <c r="Z986" s="8" t="b">
        <v>0</v>
      </c>
      <c r="AA986" s="8" t="b">
        <v>0</v>
      </c>
      <c r="AB986" s="8" t="b">
        <v>1</v>
      </c>
      <c r="AC986" s="8" t="b">
        <v>0</v>
      </c>
      <c r="AD986" s="8" t="b">
        <v>1</v>
      </c>
      <c r="AE986" s="8" t="b">
        <v>0</v>
      </c>
      <c r="AG986" s="11" t="b" cm="1">
        <f t="array" ref="AG986">IF(OR(Y986:AA986="TRUE", AE986="true"), "Threatened")</f>
        <v>0</v>
      </c>
      <c r="AH986" s="11" t="s">
        <v>2708</v>
      </c>
      <c r="AI986" s="8" t="b">
        <v>1</v>
      </c>
    </row>
    <row r="987" spans="1:35" ht="31.2">
      <c r="A987" s="8">
        <v>-73.97840094</v>
      </c>
      <c r="B987" s="8">
        <v>40.767741190000002</v>
      </c>
      <c r="C987" s="8" t="s">
        <v>2709</v>
      </c>
      <c r="D987" s="8" t="s">
        <v>1235</v>
      </c>
      <c r="E987" s="8" t="b">
        <f t="shared" si="15"/>
        <v>0</v>
      </c>
      <c r="F987" s="8" t="str" cm="1">
        <f t="array" ref="F987">_xlfn._xlws.FILTER(E987:E4185, C987:C4185= "6D-PM-1020-01", "No Squirrels Found")</f>
        <v>No Squirrels Found</v>
      </c>
      <c r="G987" s="8" t="s">
        <v>34</v>
      </c>
      <c r="H987" s="10">
        <v>10132018</v>
      </c>
      <c r="I987" s="10">
        <v>3</v>
      </c>
      <c r="J987" s="8" t="s">
        <v>39</v>
      </c>
      <c r="K987" s="8" t="s">
        <v>40</v>
      </c>
      <c r="L987" s="8" t="s">
        <v>84</v>
      </c>
      <c r="M987" s="8" t="s">
        <v>103</v>
      </c>
      <c r="O987" s="8" t="s">
        <v>43</v>
      </c>
      <c r="P987" s="8" t="b">
        <v>0</v>
      </c>
      <c r="R987" s="8" t="b">
        <v>0</v>
      </c>
      <c r="S987" s="8" t="b">
        <v>0</v>
      </c>
      <c r="T987" s="8" t="b">
        <v>0</v>
      </c>
      <c r="U987" s="8" t="b">
        <v>1</v>
      </c>
      <c r="V987" s="8" t="b">
        <v>0</v>
      </c>
      <c r="X987" s="8" t="b">
        <v>0</v>
      </c>
      <c r="Y987" s="8" t="b">
        <v>0</v>
      </c>
      <c r="Z987" s="8" t="b">
        <v>0</v>
      </c>
      <c r="AA987" s="8" t="b">
        <v>0</v>
      </c>
      <c r="AB987" s="8" t="b">
        <v>0</v>
      </c>
      <c r="AC987" s="8" t="b">
        <v>0</v>
      </c>
      <c r="AD987" s="8" t="b">
        <v>0</v>
      </c>
      <c r="AE987" s="8" t="b">
        <v>0</v>
      </c>
      <c r="AG987" s="11" t="b" cm="1">
        <f t="array" ref="AG987">IF(OR(Y987:AA987="TRUE", AE987="true"), "Threatened")</f>
        <v>0</v>
      </c>
      <c r="AH987" s="11" t="s">
        <v>2710</v>
      </c>
      <c r="AI987" s="8" t="b">
        <v>1</v>
      </c>
    </row>
    <row r="988" spans="1:35" ht="31.2">
      <c r="A988" s="8">
        <v>-73.96498278</v>
      </c>
      <c r="B988" s="8">
        <v>40.78173228</v>
      </c>
      <c r="C988" s="8" t="s">
        <v>2711</v>
      </c>
      <c r="D988" s="8" t="s">
        <v>1202</v>
      </c>
      <c r="E988" s="8" t="b">
        <f t="shared" si="15"/>
        <v>0</v>
      </c>
      <c r="F988" s="8" t="str" cm="1">
        <f t="array" ref="F988">_xlfn._xlws.FILTER(E988:E4186, C988:C4186= "6D-PM-1020-01", "No Squirrels Found")</f>
        <v>No Squirrels Found</v>
      </c>
      <c r="G988" s="8" t="s">
        <v>48</v>
      </c>
      <c r="H988" s="10">
        <v>10182018</v>
      </c>
      <c r="I988" s="10">
        <v>6</v>
      </c>
      <c r="J988" s="8" t="s">
        <v>39</v>
      </c>
      <c r="K988" s="8" t="s">
        <v>41</v>
      </c>
      <c r="L988" s="8" t="s">
        <v>40</v>
      </c>
      <c r="M988" s="8" t="s">
        <v>110</v>
      </c>
      <c r="O988" s="8" t="s">
        <v>43</v>
      </c>
      <c r="P988" s="8" t="b">
        <v>0</v>
      </c>
      <c r="R988" s="8" t="b">
        <v>1</v>
      </c>
      <c r="S988" s="8" t="b">
        <v>0</v>
      </c>
      <c r="T988" s="8" t="b">
        <v>0</v>
      </c>
      <c r="U988" s="8" t="b">
        <v>0</v>
      </c>
      <c r="V988" s="8" t="b">
        <v>0</v>
      </c>
      <c r="X988" s="8" t="b">
        <v>0</v>
      </c>
      <c r="Y988" s="8" t="b">
        <v>0</v>
      </c>
      <c r="Z988" s="8" t="b">
        <v>0</v>
      </c>
      <c r="AA988" s="8" t="b">
        <v>0</v>
      </c>
      <c r="AB988" s="8" t="b">
        <v>1</v>
      </c>
      <c r="AC988" s="8" t="b">
        <v>0</v>
      </c>
      <c r="AD988" s="8" t="b">
        <v>0</v>
      </c>
      <c r="AE988" s="8" t="b">
        <v>1</v>
      </c>
      <c r="AG988" s="11" t="b" cm="1">
        <f t="array" ref="AG988">IF(OR(Y988:AA988="TRUE", AE988="true"), "Threatened")</f>
        <v>0</v>
      </c>
      <c r="AH988" s="11" t="s">
        <v>2712</v>
      </c>
      <c r="AI988" s="8" t="b">
        <v>1</v>
      </c>
    </row>
    <row r="989" spans="1:35" ht="31.2">
      <c r="A989" s="8">
        <v>-73.978704019999995</v>
      </c>
      <c r="B989" s="8">
        <v>40.767901019999996</v>
      </c>
      <c r="C989" s="8" t="s">
        <v>2713</v>
      </c>
      <c r="D989" s="8" t="s">
        <v>1235</v>
      </c>
      <c r="E989" s="8" t="b">
        <f t="shared" si="15"/>
        <v>0</v>
      </c>
      <c r="F989" s="8" t="str" cm="1">
        <f t="array" ref="F989">_xlfn._xlws.FILTER(E989:E4187, C989:C4187= "6D-PM-1020-01", "No Squirrels Found")</f>
        <v>No Squirrels Found</v>
      </c>
      <c r="G989" s="8" t="s">
        <v>48</v>
      </c>
      <c r="H989" s="10">
        <v>10102018</v>
      </c>
      <c r="I989" s="10">
        <v>6</v>
      </c>
      <c r="J989" s="8" t="s">
        <v>39</v>
      </c>
      <c r="K989" s="8" t="s">
        <v>40</v>
      </c>
      <c r="M989" s="8" t="s">
        <v>55</v>
      </c>
      <c r="O989" s="8" t="s">
        <v>43</v>
      </c>
      <c r="P989" s="8" t="b">
        <v>0</v>
      </c>
      <c r="R989" s="8" t="b">
        <v>0</v>
      </c>
      <c r="S989" s="8" t="b">
        <v>0</v>
      </c>
      <c r="T989" s="8" t="b">
        <v>0</v>
      </c>
      <c r="U989" s="8" t="b">
        <v>0</v>
      </c>
      <c r="V989" s="8" t="b">
        <v>0</v>
      </c>
      <c r="W989" s="11" t="s">
        <v>2714</v>
      </c>
      <c r="X989" s="8" t="b">
        <v>0</v>
      </c>
      <c r="Y989" s="8" t="b">
        <v>0</v>
      </c>
      <c r="Z989" s="8" t="b">
        <v>0</v>
      </c>
      <c r="AA989" s="8" t="b">
        <v>0</v>
      </c>
      <c r="AB989" s="8" t="b">
        <v>0</v>
      </c>
      <c r="AC989" s="8" t="b">
        <v>0</v>
      </c>
      <c r="AD989" s="8" t="b">
        <v>1</v>
      </c>
      <c r="AE989" s="8" t="b">
        <v>1</v>
      </c>
      <c r="AG989" s="11" t="b" cm="1">
        <f t="array" ref="AG989">IF(OR(Y989:AA989="TRUE", AE989="true"), "Threatened")</f>
        <v>0</v>
      </c>
      <c r="AH989" s="11" t="s">
        <v>2715</v>
      </c>
      <c r="AI989" s="8" t="b">
        <v>0</v>
      </c>
    </row>
    <row r="990" spans="1:35" ht="31.2">
      <c r="A990" s="8">
        <v>-73.960303109999998</v>
      </c>
      <c r="B990" s="8">
        <v>40.794366770000003</v>
      </c>
      <c r="C990" s="8" t="s">
        <v>2716</v>
      </c>
      <c r="D990" s="8" t="s">
        <v>69</v>
      </c>
      <c r="E990" s="8" t="b">
        <f t="shared" si="15"/>
        <v>0</v>
      </c>
      <c r="F990" s="8" t="str" cm="1">
        <f t="array" ref="F990">_xlfn._xlws.FILTER(E990:E4188, C990:C4188= "6D-PM-1020-01", "No Squirrels Found")</f>
        <v>No Squirrels Found</v>
      </c>
      <c r="G990" s="8" t="s">
        <v>34</v>
      </c>
      <c r="H990" s="10">
        <v>10132018</v>
      </c>
      <c r="I990" s="10">
        <v>5</v>
      </c>
      <c r="J990" s="8" t="s">
        <v>39</v>
      </c>
      <c r="K990" s="8" t="s">
        <v>40</v>
      </c>
      <c r="L990" s="8" t="s">
        <v>41</v>
      </c>
      <c r="M990" s="8" t="s">
        <v>42</v>
      </c>
      <c r="O990" s="8" t="s">
        <v>43</v>
      </c>
      <c r="P990" s="8" t="b">
        <v>0</v>
      </c>
      <c r="R990" s="8" t="b">
        <v>0</v>
      </c>
      <c r="S990" s="8" t="b">
        <v>0</v>
      </c>
      <c r="T990" s="8" t="b">
        <v>0</v>
      </c>
      <c r="U990" s="8" t="b">
        <v>0</v>
      </c>
      <c r="V990" s="8" t="b">
        <v>1</v>
      </c>
      <c r="X990" s="8" t="b">
        <v>0</v>
      </c>
      <c r="Y990" s="8" t="b">
        <v>0</v>
      </c>
      <c r="Z990" s="8" t="b">
        <v>0</v>
      </c>
      <c r="AA990" s="8" t="b">
        <v>0</v>
      </c>
      <c r="AB990" s="8" t="b">
        <v>0</v>
      </c>
      <c r="AC990" s="8" t="b">
        <v>0</v>
      </c>
      <c r="AD990" s="8" t="b">
        <v>0</v>
      </c>
      <c r="AE990" s="8" t="b">
        <v>0</v>
      </c>
      <c r="AG990" s="11" t="b" cm="1">
        <f t="array" ref="AG990">IF(OR(Y990:AA990="TRUE", AE990="true"), "Threatened")</f>
        <v>0</v>
      </c>
      <c r="AH990" s="11" t="s">
        <v>2717</v>
      </c>
      <c r="AI990" s="8" t="b">
        <v>1</v>
      </c>
    </row>
    <row r="991" spans="1:35" ht="31.2">
      <c r="A991" s="8">
        <v>-73.962961559999997</v>
      </c>
      <c r="B991" s="8">
        <v>40.792417639999996</v>
      </c>
      <c r="C991" s="8" t="s">
        <v>2718</v>
      </c>
      <c r="D991" s="8" t="s">
        <v>785</v>
      </c>
      <c r="E991" s="8" t="b">
        <f t="shared" si="15"/>
        <v>0</v>
      </c>
      <c r="F991" s="8" t="str" cm="1">
        <f t="array" ref="F991">_xlfn._xlws.FILTER(E991:E4189, C991:C4189= "6D-PM-1020-01", "No Squirrels Found")</f>
        <v>No Squirrels Found</v>
      </c>
      <c r="G991" s="8" t="s">
        <v>34</v>
      </c>
      <c r="H991" s="10">
        <v>10102018</v>
      </c>
      <c r="I991" s="10">
        <v>6</v>
      </c>
      <c r="J991" s="8" t="s">
        <v>39</v>
      </c>
      <c r="K991" s="8" t="s">
        <v>40</v>
      </c>
      <c r="M991" s="8" t="s">
        <v>55</v>
      </c>
      <c r="O991" s="8" t="s">
        <v>43</v>
      </c>
      <c r="P991" s="8" t="b">
        <v>0</v>
      </c>
      <c r="R991" s="8" t="b">
        <v>0</v>
      </c>
      <c r="S991" s="8" t="b">
        <v>0</v>
      </c>
      <c r="T991" s="8" t="b">
        <v>0</v>
      </c>
      <c r="U991" s="8" t="b">
        <v>0</v>
      </c>
      <c r="V991" s="8" t="b">
        <v>1</v>
      </c>
      <c r="X991" s="8" t="b">
        <v>0</v>
      </c>
      <c r="Y991" s="8" t="b">
        <v>0</v>
      </c>
      <c r="Z991" s="8" t="b">
        <v>0</v>
      </c>
      <c r="AA991" s="8" t="b">
        <v>0</v>
      </c>
      <c r="AB991" s="8" t="b">
        <v>0</v>
      </c>
      <c r="AC991" s="8" t="b">
        <v>0</v>
      </c>
      <c r="AD991" s="8" t="b">
        <v>1</v>
      </c>
      <c r="AE991" s="8" t="b">
        <v>0</v>
      </c>
      <c r="AG991" s="11" t="b" cm="1">
        <f t="array" ref="AG991">IF(OR(Y991:AA991="TRUE", AE991="true"), "Threatened")</f>
        <v>0</v>
      </c>
      <c r="AH991" s="11" t="s">
        <v>2719</v>
      </c>
      <c r="AI991" s="8" t="b">
        <v>1</v>
      </c>
    </row>
    <row r="992" spans="1:35" ht="31.2">
      <c r="A992" s="8">
        <v>-73.963568910000006</v>
      </c>
      <c r="B992" s="8">
        <v>40.79016343</v>
      </c>
      <c r="C992" s="8" t="s">
        <v>2720</v>
      </c>
      <c r="D992" s="8" t="s">
        <v>911</v>
      </c>
      <c r="E992" s="8" t="b">
        <f t="shared" si="15"/>
        <v>0</v>
      </c>
      <c r="F992" s="8" t="str" cm="1">
        <f t="array" ref="F992">_xlfn._xlws.FILTER(E992:E4190, C992:C4190= "6D-PM-1020-01", "No Squirrels Found")</f>
        <v>No Squirrels Found</v>
      </c>
      <c r="G992" s="8" t="s">
        <v>34</v>
      </c>
      <c r="H992" s="10">
        <v>10192018</v>
      </c>
      <c r="I992" s="10">
        <v>3</v>
      </c>
      <c r="J992" s="8" t="s">
        <v>39</v>
      </c>
      <c r="K992" s="8" t="s">
        <v>40</v>
      </c>
      <c r="L992" s="8" t="s">
        <v>192</v>
      </c>
      <c r="M992" s="8" t="s">
        <v>354</v>
      </c>
      <c r="O992" s="8" t="s">
        <v>50</v>
      </c>
      <c r="P992" s="8">
        <v>10</v>
      </c>
      <c r="R992" s="8" t="b">
        <v>0</v>
      </c>
      <c r="S992" s="8" t="b">
        <v>0</v>
      </c>
      <c r="T992" s="8" t="b">
        <v>1</v>
      </c>
      <c r="U992" s="8" t="b">
        <v>0</v>
      </c>
      <c r="V992" s="8" t="b">
        <v>0</v>
      </c>
      <c r="X992" s="8" t="b">
        <v>0</v>
      </c>
      <c r="Y992" s="8" t="b">
        <v>0</v>
      </c>
      <c r="Z992" s="8" t="b">
        <v>0</v>
      </c>
      <c r="AA992" s="8" t="b">
        <v>0</v>
      </c>
      <c r="AB992" s="8" t="b">
        <v>0</v>
      </c>
      <c r="AC992" s="8" t="b">
        <v>0</v>
      </c>
      <c r="AD992" s="8" t="b">
        <v>0</v>
      </c>
      <c r="AE992" s="8" t="b">
        <v>0</v>
      </c>
      <c r="AG992" s="11" t="b" cm="1">
        <f t="array" ref="AG992">IF(OR(Y992:AA992="TRUE", AE992="true"), "Threatened")</f>
        <v>0</v>
      </c>
      <c r="AH992" s="11" t="s">
        <v>2721</v>
      </c>
      <c r="AI992" s="8" t="b">
        <v>1</v>
      </c>
    </row>
    <row r="993" spans="1:35" ht="31.2">
      <c r="A993" s="8">
        <v>-73.970808360000007</v>
      </c>
      <c r="B993" s="8">
        <v>40.782542939999999</v>
      </c>
      <c r="C993" s="8" t="s">
        <v>2722</v>
      </c>
      <c r="D993" s="8" t="s">
        <v>2662</v>
      </c>
      <c r="E993" s="8" t="b">
        <f t="shared" si="15"/>
        <v>0</v>
      </c>
      <c r="F993" s="8" t="str" cm="1">
        <f t="array" ref="F993">_xlfn._xlws.FILTER(E993:E4191, C993:C4191= "6D-PM-1020-01", "No Squirrels Found")</f>
        <v>No Squirrels Found</v>
      </c>
      <c r="G993" s="8" t="s">
        <v>34</v>
      </c>
      <c r="H993" s="10">
        <v>10132018</v>
      </c>
      <c r="I993" s="10">
        <v>3</v>
      </c>
      <c r="J993" s="8" t="s">
        <v>39</v>
      </c>
      <c r="K993" s="8" t="s">
        <v>40</v>
      </c>
      <c r="M993" s="8" t="s">
        <v>55</v>
      </c>
      <c r="O993" s="8" t="s">
        <v>43</v>
      </c>
      <c r="P993" s="8" t="b">
        <v>0</v>
      </c>
      <c r="R993" s="8" t="b">
        <v>0</v>
      </c>
      <c r="S993" s="8" t="b">
        <v>0</v>
      </c>
      <c r="T993" s="8" t="b">
        <v>0</v>
      </c>
      <c r="U993" s="8" t="b">
        <v>1</v>
      </c>
      <c r="V993" s="8" t="b">
        <v>1</v>
      </c>
      <c r="X993" s="8" t="b">
        <v>0</v>
      </c>
      <c r="Y993" s="8" t="b">
        <v>0</v>
      </c>
      <c r="Z993" s="8" t="b">
        <v>0</v>
      </c>
      <c r="AA993" s="8" t="b">
        <v>0</v>
      </c>
      <c r="AB993" s="8" t="b">
        <v>0</v>
      </c>
      <c r="AC993" s="8" t="b">
        <v>0</v>
      </c>
      <c r="AD993" s="8" t="b">
        <v>1</v>
      </c>
      <c r="AE993" s="8" t="b">
        <v>0</v>
      </c>
      <c r="AG993" s="11" t="b" cm="1">
        <f t="array" ref="AG993">IF(OR(Y993:AA993="TRUE", AE993="true"), "Threatened")</f>
        <v>0</v>
      </c>
      <c r="AH993" s="11" t="s">
        <v>2723</v>
      </c>
      <c r="AI993" s="8" t="b">
        <v>1</v>
      </c>
    </row>
    <row r="994" spans="1:35" ht="31.2">
      <c r="A994" s="8">
        <v>-73.977242270000005</v>
      </c>
      <c r="B994" s="8">
        <v>40.773436330000003</v>
      </c>
      <c r="C994" s="8" t="s">
        <v>2724</v>
      </c>
      <c r="D994" s="8" t="s">
        <v>753</v>
      </c>
      <c r="E994" s="8" t="b">
        <f t="shared" si="15"/>
        <v>0</v>
      </c>
      <c r="F994" s="8" t="str" cm="1">
        <f t="array" ref="F994">_xlfn._xlws.FILTER(E994:E4192, C994:C4192= "6D-PM-1020-01", "No Squirrels Found")</f>
        <v>No Squirrels Found</v>
      </c>
      <c r="G994" s="8" t="s">
        <v>48</v>
      </c>
      <c r="H994" s="10">
        <v>10132018</v>
      </c>
      <c r="I994" s="10">
        <v>2</v>
      </c>
      <c r="J994" s="8" t="s">
        <v>54</v>
      </c>
      <c r="K994" s="8" t="s">
        <v>40</v>
      </c>
      <c r="L994" s="8" t="s">
        <v>41</v>
      </c>
      <c r="M994" s="8" t="s">
        <v>42</v>
      </c>
      <c r="O994" s="8" t="s">
        <v>43</v>
      </c>
      <c r="P994" s="8" t="b">
        <v>0</v>
      </c>
      <c r="Q994" s="8" t="s">
        <v>2725</v>
      </c>
      <c r="R994" s="8" t="b">
        <v>1</v>
      </c>
      <c r="S994" s="8" t="b">
        <v>0</v>
      </c>
      <c r="T994" s="8" t="b">
        <v>0</v>
      </c>
      <c r="U994" s="8" t="b">
        <v>0</v>
      </c>
      <c r="V994" s="8" t="b">
        <v>0</v>
      </c>
      <c r="X994" s="8" t="b">
        <v>0</v>
      </c>
      <c r="Y994" s="8" t="b">
        <v>0</v>
      </c>
      <c r="Z994" s="8" t="b">
        <v>0</v>
      </c>
      <c r="AA994" s="8" t="b">
        <v>0</v>
      </c>
      <c r="AB994" s="8" t="b">
        <v>0</v>
      </c>
      <c r="AC994" s="8" t="b">
        <v>0</v>
      </c>
      <c r="AD994" s="8" t="b">
        <v>0</v>
      </c>
      <c r="AE994" s="8" t="b">
        <v>1</v>
      </c>
      <c r="AG994" s="11" t="b" cm="1">
        <f t="array" ref="AG994">IF(OR(Y994:AA994="TRUE", AE994="true"), "Threatened")</f>
        <v>0</v>
      </c>
      <c r="AH994" s="11" t="s">
        <v>2726</v>
      </c>
      <c r="AI994" s="8" t="b">
        <v>1</v>
      </c>
    </row>
    <row r="995" spans="1:35" ht="31.2">
      <c r="A995" s="8">
        <v>-73.971855340000005</v>
      </c>
      <c r="B995" s="8">
        <v>40.774858479999999</v>
      </c>
      <c r="C995" s="8" t="s">
        <v>2727</v>
      </c>
      <c r="D995" s="8" t="s">
        <v>98</v>
      </c>
      <c r="E995" s="8" t="b">
        <f t="shared" si="15"/>
        <v>0</v>
      </c>
      <c r="F995" s="8" t="str" cm="1">
        <f t="array" ref="F995">_xlfn._xlws.FILTER(E995:E4193, C995:C4193= "6D-PM-1020-01", "No Squirrels Found")</f>
        <v>No Squirrels Found</v>
      </c>
      <c r="G995" s="8" t="s">
        <v>48</v>
      </c>
      <c r="H995" s="10">
        <v>10102018</v>
      </c>
      <c r="I995" s="10">
        <v>5</v>
      </c>
      <c r="J995" s="8" t="s">
        <v>39</v>
      </c>
      <c r="K995" s="8" t="s">
        <v>40</v>
      </c>
      <c r="L995" s="8" t="s">
        <v>41</v>
      </c>
      <c r="M995" s="8" t="s">
        <v>42</v>
      </c>
      <c r="O995" s="8" t="s">
        <v>43</v>
      </c>
      <c r="P995" s="8" t="b">
        <v>0</v>
      </c>
      <c r="R995" s="8" t="b">
        <v>0</v>
      </c>
      <c r="S995" s="8" t="b">
        <v>0</v>
      </c>
      <c r="T995" s="8" t="b">
        <v>0</v>
      </c>
      <c r="U995" s="8" t="b">
        <v>1</v>
      </c>
      <c r="V995" s="8" t="b">
        <v>1</v>
      </c>
      <c r="X995" s="8" t="b">
        <v>0</v>
      </c>
      <c r="Y995" s="8" t="b">
        <v>0</v>
      </c>
      <c r="Z995" s="8" t="b">
        <v>0</v>
      </c>
      <c r="AA995" s="8" t="b">
        <v>0</v>
      </c>
      <c r="AB995" s="8" t="b">
        <v>0</v>
      </c>
      <c r="AC995" s="8" t="b">
        <v>0</v>
      </c>
      <c r="AD995" s="8" t="b">
        <v>1</v>
      </c>
      <c r="AE995" s="8" t="b">
        <v>0</v>
      </c>
      <c r="AG995" s="11" t="b" cm="1">
        <f t="array" ref="AG995">IF(OR(Y995:AA995="TRUE", AE995="true"), "Threatened")</f>
        <v>0</v>
      </c>
      <c r="AH995" s="11" t="s">
        <v>2728</v>
      </c>
      <c r="AI995" s="8" t="b">
        <v>1</v>
      </c>
    </row>
    <row r="996" spans="1:35" ht="31.2">
      <c r="A996" s="8">
        <v>-73.969884350000001</v>
      </c>
      <c r="B996" s="8">
        <v>40.780375419999999</v>
      </c>
      <c r="C996" s="8" t="s">
        <v>2729</v>
      </c>
      <c r="D996" s="8" t="s">
        <v>631</v>
      </c>
      <c r="E996" s="8" t="b">
        <f t="shared" si="15"/>
        <v>0</v>
      </c>
      <c r="F996" s="8" t="str" cm="1">
        <f t="array" ref="F996">_xlfn._xlws.FILTER(E996:E4194, C996:C4194= "6D-PM-1020-01", "No Squirrels Found")</f>
        <v>No Squirrels Found</v>
      </c>
      <c r="G996" s="8" t="s">
        <v>34</v>
      </c>
      <c r="H996" s="10">
        <v>10182018</v>
      </c>
      <c r="I996" s="10">
        <v>2</v>
      </c>
      <c r="J996" s="8" t="s">
        <v>54</v>
      </c>
      <c r="K996" s="8" t="s">
        <v>40</v>
      </c>
      <c r="L996" s="8" t="s">
        <v>41</v>
      </c>
      <c r="M996" s="8" t="s">
        <v>42</v>
      </c>
      <c r="O996" s="8" t="s">
        <v>43</v>
      </c>
      <c r="P996" s="8" t="b">
        <v>0</v>
      </c>
      <c r="R996" s="8" t="b">
        <v>1</v>
      </c>
      <c r="S996" s="8" t="b">
        <v>0</v>
      </c>
      <c r="T996" s="8" t="b">
        <v>0</v>
      </c>
      <c r="U996" s="8" t="b">
        <v>0</v>
      </c>
      <c r="V996" s="8" t="b">
        <v>1</v>
      </c>
      <c r="X996" s="8" t="b">
        <v>0</v>
      </c>
      <c r="Y996" s="8" t="b">
        <v>0</v>
      </c>
      <c r="Z996" s="8" t="b">
        <v>0</v>
      </c>
      <c r="AA996" s="8" t="b">
        <v>0</v>
      </c>
      <c r="AB996" s="8" t="b">
        <v>0</v>
      </c>
      <c r="AC996" s="8" t="b">
        <v>0</v>
      </c>
      <c r="AD996" s="8" t="b">
        <v>0</v>
      </c>
      <c r="AE996" s="8" t="b">
        <v>0</v>
      </c>
      <c r="AG996" s="11" t="b" cm="1">
        <f t="array" ref="AG996">IF(OR(Y996:AA996="TRUE", AE996="true"), "Threatened")</f>
        <v>0</v>
      </c>
      <c r="AH996" s="11" t="s">
        <v>2730</v>
      </c>
      <c r="AI996" s="8" t="b">
        <v>1</v>
      </c>
    </row>
    <row r="997" spans="1:35" ht="31.2">
      <c r="A997" s="8">
        <v>-73.970314979999998</v>
      </c>
      <c r="B997" s="8">
        <v>40.778558359999998</v>
      </c>
      <c r="C997" s="8" t="s">
        <v>2731</v>
      </c>
      <c r="D997" s="8" t="s">
        <v>721</v>
      </c>
      <c r="E997" s="8" t="b">
        <f t="shared" si="15"/>
        <v>0</v>
      </c>
      <c r="F997" s="8" t="str" cm="1">
        <f t="array" ref="F997">_xlfn._xlws.FILTER(E997:E4195, C997:C4195= "6D-PM-1020-01", "No Squirrels Found")</f>
        <v>No Squirrels Found</v>
      </c>
      <c r="G997" s="8" t="s">
        <v>48</v>
      </c>
      <c r="H997" s="10">
        <v>10072018</v>
      </c>
      <c r="I997" s="10">
        <v>1</v>
      </c>
      <c r="J997" s="8" t="s">
        <v>39</v>
      </c>
      <c r="K997" s="8" t="s">
        <v>40</v>
      </c>
      <c r="L997" s="8" t="s">
        <v>84</v>
      </c>
      <c r="M997" s="8" t="s">
        <v>103</v>
      </c>
      <c r="O997" s="8" t="s">
        <v>50</v>
      </c>
      <c r="P997" s="8">
        <v>3</v>
      </c>
      <c r="R997" s="8" t="b">
        <v>0</v>
      </c>
      <c r="S997" s="8" t="b">
        <v>0</v>
      </c>
      <c r="T997" s="8" t="b">
        <v>1</v>
      </c>
      <c r="U997" s="8" t="b">
        <v>1</v>
      </c>
      <c r="V997" s="8" t="b">
        <v>0</v>
      </c>
      <c r="X997" s="8" t="b">
        <v>0</v>
      </c>
      <c r="Y997" s="8" t="b">
        <v>0</v>
      </c>
      <c r="Z997" s="8" t="b">
        <v>0</v>
      </c>
      <c r="AA997" s="8" t="b">
        <v>0</v>
      </c>
      <c r="AB997" s="8" t="b">
        <v>0</v>
      </c>
      <c r="AC997" s="8" t="b">
        <v>0</v>
      </c>
      <c r="AD997" s="8" t="b">
        <v>0</v>
      </c>
      <c r="AE997" s="8" t="b">
        <v>1</v>
      </c>
      <c r="AG997" s="11" t="b" cm="1">
        <f t="array" ref="AG997">IF(OR(Y997:AA997="TRUE", AE997="true"), "Threatened")</f>
        <v>0</v>
      </c>
      <c r="AH997" s="11" t="s">
        <v>2732</v>
      </c>
      <c r="AI997" s="8" t="b">
        <v>1</v>
      </c>
    </row>
    <row r="998" spans="1:35" ht="31.2">
      <c r="A998" s="8">
        <v>-73.979089680000001</v>
      </c>
      <c r="B998" s="8">
        <v>40.768804860000003</v>
      </c>
      <c r="C998" s="8" t="s">
        <v>2733</v>
      </c>
      <c r="D998" s="8" t="s">
        <v>465</v>
      </c>
      <c r="E998" s="8" t="b">
        <f t="shared" si="15"/>
        <v>0</v>
      </c>
      <c r="F998" s="8" t="str" cm="1">
        <f t="array" ref="F998">_xlfn._xlws.FILTER(E998:E4196, C998:C4196= "6D-PM-1020-01", "No Squirrels Found")</f>
        <v>No Squirrels Found</v>
      </c>
      <c r="G998" s="8" t="s">
        <v>48</v>
      </c>
      <c r="H998" s="10">
        <v>10102018</v>
      </c>
      <c r="I998" s="10">
        <v>10</v>
      </c>
      <c r="J998" s="8" t="s">
        <v>39</v>
      </c>
      <c r="K998" s="8" t="s">
        <v>41</v>
      </c>
      <c r="L998" s="8" t="s">
        <v>135</v>
      </c>
      <c r="M998" s="8" t="s">
        <v>136</v>
      </c>
      <c r="O998" s="8" t="s">
        <v>43</v>
      </c>
      <c r="P998" s="8" t="b">
        <v>0</v>
      </c>
      <c r="R998" s="8" t="b">
        <v>0</v>
      </c>
      <c r="S998" s="8" t="b">
        <v>0</v>
      </c>
      <c r="T998" s="8" t="b">
        <v>0</v>
      </c>
      <c r="U998" s="8" t="b">
        <v>1</v>
      </c>
      <c r="V998" s="8" t="b">
        <v>1</v>
      </c>
      <c r="X998" s="8" t="b">
        <v>0</v>
      </c>
      <c r="Y998" s="8" t="b">
        <v>0</v>
      </c>
      <c r="Z998" s="8" t="b">
        <v>0</v>
      </c>
      <c r="AA998" s="8" t="b">
        <v>0</v>
      </c>
      <c r="AB998" s="8" t="b">
        <v>0</v>
      </c>
      <c r="AC998" s="8" t="b">
        <v>0</v>
      </c>
      <c r="AD998" s="8" t="b">
        <v>1</v>
      </c>
      <c r="AE998" s="8" t="b">
        <v>0</v>
      </c>
      <c r="AG998" s="11" t="b" cm="1">
        <f t="array" ref="AG998">IF(OR(Y998:AA998="TRUE", AE998="true"), "Threatened")</f>
        <v>0</v>
      </c>
      <c r="AH998" s="11" t="s">
        <v>2734</v>
      </c>
      <c r="AI998" s="8" t="b">
        <v>1</v>
      </c>
    </row>
    <row r="999" spans="1:35" ht="31.2">
      <c r="A999" s="8">
        <v>-73.960054630000002</v>
      </c>
      <c r="B999" s="8">
        <v>40.79149692</v>
      </c>
      <c r="C999" s="8" t="s">
        <v>2735</v>
      </c>
      <c r="D999" s="8" t="s">
        <v>1205</v>
      </c>
      <c r="E999" s="8" t="b">
        <f t="shared" si="15"/>
        <v>0</v>
      </c>
      <c r="F999" s="8" t="str" cm="1">
        <f t="array" ref="F999">_xlfn._xlws.FILTER(E999:E4197, C999:C4197= "6D-PM-1020-01", "No Squirrels Found")</f>
        <v>No Squirrels Found</v>
      </c>
      <c r="G999" s="8" t="s">
        <v>48</v>
      </c>
      <c r="H999" s="10">
        <v>10172018</v>
      </c>
      <c r="I999" s="10">
        <v>3</v>
      </c>
      <c r="J999" s="8" t="s">
        <v>39</v>
      </c>
      <c r="K999" s="8" t="s">
        <v>40</v>
      </c>
      <c r="M999" s="8" t="s">
        <v>55</v>
      </c>
      <c r="O999" s="8" t="s">
        <v>43</v>
      </c>
      <c r="P999" s="8" t="b">
        <v>0</v>
      </c>
      <c r="R999" s="8" t="b">
        <v>0</v>
      </c>
      <c r="S999" s="8" t="b">
        <v>0</v>
      </c>
      <c r="T999" s="8" t="b">
        <v>0</v>
      </c>
      <c r="U999" s="8" t="b">
        <v>0</v>
      </c>
      <c r="V999" s="8" t="b">
        <v>1</v>
      </c>
      <c r="X999" s="8" t="b">
        <v>0</v>
      </c>
      <c r="Y999" s="8" t="b">
        <v>0</v>
      </c>
      <c r="Z999" s="8" t="b">
        <v>0</v>
      </c>
      <c r="AA999" s="8" t="b">
        <v>0</v>
      </c>
      <c r="AB999" s="8" t="b">
        <v>0</v>
      </c>
      <c r="AC999" s="8" t="b">
        <v>1</v>
      </c>
      <c r="AD999" s="8" t="b">
        <v>1</v>
      </c>
      <c r="AE999" s="8" t="b">
        <v>0</v>
      </c>
      <c r="AG999" s="11" t="b" cm="1">
        <f t="array" ref="AG999">IF(OR(Y999:AA999="TRUE", AE999="true"), "Threatened")</f>
        <v>0</v>
      </c>
      <c r="AH999" s="11" t="s">
        <v>2736</v>
      </c>
      <c r="AI999" s="8" t="b">
        <v>1</v>
      </c>
    </row>
    <row r="1000" spans="1:35" ht="31.2">
      <c r="A1000" s="8">
        <v>-73.980948290000001</v>
      </c>
      <c r="B1000" s="8">
        <v>40.768568889999997</v>
      </c>
      <c r="C1000" s="8" t="s">
        <v>2737</v>
      </c>
      <c r="D1000" s="8" t="s">
        <v>1909</v>
      </c>
      <c r="E1000" s="8" t="b">
        <f t="shared" si="15"/>
        <v>0</v>
      </c>
      <c r="F1000" s="8" t="str" cm="1">
        <f t="array" ref="F1000">_xlfn._xlws.FILTER(E1000:E4198, C1000:C4198= "6D-PM-1020-01", "No Squirrels Found")</f>
        <v>No Squirrels Found</v>
      </c>
      <c r="G1000" s="8" t="s">
        <v>34</v>
      </c>
      <c r="H1000" s="10">
        <v>10192018</v>
      </c>
      <c r="I1000" s="10">
        <v>4</v>
      </c>
      <c r="J1000" s="8" t="s">
        <v>54</v>
      </c>
      <c r="K1000" s="8" t="s">
        <v>40</v>
      </c>
      <c r="L1000" s="8" t="s">
        <v>84</v>
      </c>
      <c r="M1000" s="8" t="s">
        <v>103</v>
      </c>
      <c r="O1000" s="8" t="s">
        <v>50</v>
      </c>
      <c r="P1000" s="8">
        <v>15</v>
      </c>
      <c r="Q1000" s="8" t="s">
        <v>2738</v>
      </c>
      <c r="R1000" s="8" t="b">
        <v>1</v>
      </c>
      <c r="S1000" s="8" t="b">
        <v>0</v>
      </c>
      <c r="T1000" s="8" t="b">
        <v>0</v>
      </c>
      <c r="U1000" s="8" t="b">
        <v>0</v>
      </c>
      <c r="V1000" s="8" t="b">
        <v>0</v>
      </c>
      <c r="X1000" s="8" t="b">
        <v>0</v>
      </c>
      <c r="Y1000" s="8" t="b">
        <v>0</v>
      </c>
      <c r="Z1000" s="8" t="b">
        <v>0</v>
      </c>
      <c r="AA1000" s="8" t="b">
        <v>0</v>
      </c>
      <c r="AB1000" s="8" t="b">
        <v>0</v>
      </c>
      <c r="AC1000" s="8" t="b">
        <v>0</v>
      </c>
      <c r="AD1000" s="8" t="b">
        <v>1</v>
      </c>
      <c r="AE1000" s="8" t="b">
        <v>0</v>
      </c>
      <c r="AG1000" s="11" t="b" cm="1">
        <f t="array" ref="AG1000">IF(OR(Y1000:AA1000="TRUE", AE1000="true"), "Threatened")</f>
        <v>0</v>
      </c>
      <c r="AH1000" s="11" t="s">
        <v>2739</v>
      </c>
      <c r="AI1000" s="8" t="b">
        <v>1</v>
      </c>
    </row>
    <row r="1001" spans="1:35" ht="31.2">
      <c r="A1001" s="8">
        <v>-73.980513700000003</v>
      </c>
      <c r="B1001" s="8">
        <v>40.769275139999998</v>
      </c>
      <c r="C1001" s="8" t="s">
        <v>2740</v>
      </c>
      <c r="D1001" s="8" t="s">
        <v>1909</v>
      </c>
      <c r="E1001" s="8" t="b">
        <f t="shared" si="15"/>
        <v>0</v>
      </c>
      <c r="F1001" s="8" t="str" cm="1">
        <f t="array" ref="F1001">_xlfn._xlws.FILTER(E1001:E4199, C1001:C4199= "6D-PM-1020-01", "No Squirrels Found")</f>
        <v>No Squirrels Found</v>
      </c>
      <c r="G1001" s="8" t="s">
        <v>48</v>
      </c>
      <c r="H1001" s="10">
        <v>10102018</v>
      </c>
      <c r="I1001" s="10">
        <v>8</v>
      </c>
      <c r="J1001" s="8" t="s">
        <v>39</v>
      </c>
      <c r="K1001" s="8" t="s">
        <v>40</v>
      </c>
      <c r="M1001" s="8" t="s">
        <v>55</v>
      </c>
      <c r="N1001" s="11" t="s">
        <v>76</v>
      </c>
      <c r="O1001" s="8" t="s">
        <v>43</v>
      </c>
      <c r="P1001" s="8" t="b">
        <v>0</v>
      </c>
      <c r="R1001" s="8" t="b">
        <v>1</v>
      </c>
      <c r="S1001" s="8" t="b">
        <v>0</v>
      </c>
      <c r="T1001" s="8" t="b">
        <v>0</v>
      </c>
      <c r="U1001" s="8" t="b">
        <v>0</v>
      </c>
      <c r="V1001" s="8" t="b">
        <v>1</v>
      </c>
      <c r="X1001" s="8" t="b">
        <v>0</v>
      </c>
      <c r="Y1001" s="8" t="b">
        <v>0</v>
      </c>
      <c r="Z1001" s="8" t="b">
        <v>0</v>
      </c>
      <c r="AA1001" s="8" t="b">
        <v>0</v>
      </c>
      <c r="AB1001" s="8" t="b">
        <v>1</v>
      </c>
      <c r="AC1001" s="8" t="b">
        <v>0</v>
      </c>
      <c r="AD1001" s="8" t="b">
        <v>0</v>
      </c>
      <c r="AE1001" s="8" t="b">
        <v>0</v>
      </c>
      <c r="AG1001" s="11" t="b" cm="1">
        <f t="array" ref="AG1001">IF(OR(Y1001:AA1001="TRUE", AE1001="true"), "Threatened")</f>
        <v>0</v>
      </c>
      <c r="AH1001" s="11" t="s">
        <v>2741</v>
      </c>
      <c r="AI1001" s="8" t="b">
        <v>1</v>
      </c>
    </row>
    <row r="1002" spans="1:35" ht="31.2">
      <c r="A1002" s="8">
        <v>-73.980198599999994</v>
      </c>
      <c r="B1002" s="8">
        <v>40.768015949999999</v>
      </c>
      <c r="C1002" s="8" t="s">
        <v>2742</v>
      </c>
      <c r="D1002" s="8" t="s">
        <v>855</v>
      </c>
      <c r="E1002" s="8" t="b">
        <f t="shared" si="15"/>
        <v>0</v>
      </c>
      <c r="F1002" s="8" t="str" cm="1">
        <f t="array" ref="F1002">_xlfn._xlws.FILTER(E1002:E4200, C1002:C4200= "6D-PM-1020-01", "No Squirrels Found")</f>
        <v>No Squirrels Found</v>
      </c>
      <c r="G1002" s="8" t="s">
        <v>48</v>
      </c>
      <c r="H1002" s="10">
        <v>10122018</v>
      </c>
      <c r="I1002" s="10">
        <v>11</v>
      </c>
      <c r="J1002" s="8" t="s">
        <v>39</v>
      </c>
      <c r="K1002" s="8" t="s">
        <v>41</v>
      </c>
      <c r="L1002" s="8" t="s">
        <v>84</v>
      </c>
      <c r="M1002" s="8" t="s">
        <v>85</v>
      </c>
      <c r="O1002" s="8" t="s">
        <v>43</v>
      </c>
      <c r="P1002" s="8" t="b">
        <v>0</v>
      </c>
      <c r="R1002" s="8" t="b">
        <v>0</v>
      </c>
      <c r="S1002" s="8" t="b">
        <v>0</v>
      </c>
      <c r="T1002" s="8" t="b">
        <v>0</v>
      </c>
      <c r="U1002" s="8" t="b">
        <v>1</v>
      </c>
      <c r="V1002" s="8" t="b">
        <v>0</v>
      </c>
      <c r="W1002" s="11" t="s">
        <v>2743</v>
      </c>
      <c r="X1002" s="8" t="b">
        <v>0</v>
      </c>
      <c r="Y1002" s="8" t="b">
        <v>0</v>
      </c>
      <c r="Z1002" s="8" t="b">
        <v>0</v>
      </c>
      <c r="AA1002" s="8" t="b">
        <v>0</v>
      </c>
      <c r="AB1002" s="8" t="b">
        <v>0</v>
      </c>
      <c r="AC1002" s="8" t="b">
        <v>0</v>
      </c>
      <c r="AD1002" s="8" t="b">
        <v>1</v>
      </c>
      <c r="AE1002" s="8" t="b">
        <v>0</v>
      </c>
      <c r="AG1002" s="11" t="b" cm="1">
        <f t="array" ref="AG1002">IF(OR(Y1002:AA1002="TRUE", AE1002="true"), "Threatened")</f>
        <v>0</v>
      </c>
      <c r="AH1002" s="11" t="s">
        <v>2744</v>
      </c>
      <c r="AI1002" s="8" t="b">
        <v>0</v>
      </c>
    </row>
    <row r="1003" spans="1:35" ht="31.2">
      <c r="A1003" s="8">
        <v>-73.967207040000005</v>
      </c>
      <c r="B1003" s="8">
        <v>40.783337349999996</v>
      </c>
      <c r="C1003" s="8" t="s">
        <v>2745</v>
      </c>
      <c r="D1003" s="8" t="s">
        <v>698</v>
      </c>
      <c r="E1003" s="8" t="b">
        <f t="shared" si="15"/>
        <v>0</v>
      </c>
      <c r="F1003" s="8" t="str" cm="1">
        <f t="array" ref="F1003">_xlfn._xlws.FILTER(E1003:E4201, C1003:C4201= "6D-PM-1020-01", "No Squirrels Found")</f>
        <v>No Squirrels Found</v>
      </c>
      <c r="G1003" s="8" t="s">
        <v>34</v>
      </c>
      <c r="H1003" s="10">
        <v>10062018</v>
      </c>
      <c r="I1003" s="10">
        <v>2</v>
      </c>
      <c r="J1003" s="8" t="s">
        <v>39</v>
      </c>
      <c r="K1003" s="8" t="s">
        <v>40</v>
      </c>
      <c r="M1003" s="8" t="s">
        <v>55</v>
      </c>
      <c r="O1003" s="8" t="s">
        <v>43</v>
      </c>
      <c r="P1003" s="8" t="b">
        <v>0</v>
      </c>
      <c r="R1003" s="8" t="b">
        <v>1</v>
      </c>
      <c r="S1003" s="8" t="b">
        <v>0</v>
      </c>
      <c r="T1003" s="8" t="b">
        <v>0</v>
      </c>
      <c r="U1003" s="8" t="b">
        <v>0</v>
      </c>
      <c r="V1003" s="8" t="b">
        <v>0</v>
      </c>
      <c r="X1003" s="8" t="b">
        <v>0</v>
      </c>
      <c r="Y1003" s="8" t="b">
        <v>1</v>
      </c>
      <c r="Z1003" s="8" t="b">
        <v>0</v>
      </c>
      <c r="AA1003" s="8" t="b">
        <v>0</v>
      </c>
      <c r="AB1003" s="8" t="b">
        <v>0</v>
      </c>
      <c r="AC1003" s="8" t="b">
        <v>0</v>
      </c>
      <c r="AD1003" s="8" t="b">
        <v>0</v>
      </c>
      <c r="AE1003" s="8" t="b">
        <v>0</v>
      </c>
      <c r="AG1003" s="11" t="b" cm="1">
        <f t="array" ref="AG1003">IF(OR(Y1003:AA1003="TRUE", AE1003="true"), "Threatened")</f>
        <v>0</v>
      </c>
      <c r="AH1003" s="11" t="s">
        <v>2746</v>
      </c>
      <c r="AI1003" s="8" t="b">
        <v>1</v>
      </c>
    </row>
    <row r="1004" spans="1:35" ht="31.2">
      <c r="A1004" s="8">
        <v>-73.964554759999999</v>
      </c>
      <c r="B1004" s="8">
        <v>40.77687701</v>
      </c>
      <c r="C1004" s="8" t="s">
        <v>2747</v>
      </c>
      <c r="D1004" s="8" t="s">
        <v>134</v>
      </c>
      <c r="E1004" s="8" t="b">
        <f t="shared" si="15"/>
        <v>0</v>
      </c>
      <c r="F1004" s="8" t="str" cm="1">
        <f t="array" ref="F1004">_xlfn._xlws.FILTER(E1004:E4202, C1004:C4202= "6D-PM-1020-01", "No Squirrels Found")</f>
        <v>No Squirrels Found</v>
      </c>
      <c r="G1004" s="8" t="s">
        <v>48</v>
      </c>
      <c r="H1004" s="10">
        <v>10082018</v>
      </c>
      <c r="I1004" s="10">
        <v>4</v>
      </c>
      <c r="J1004" s="8" t="s">
        <v>54</v>
      </c>
      <c r="K1004" s="8" t="s">
        <v>41</v>
      </c>
      <c r="L1004" s="8" t="s">
        <v>40</v>
      </c>
      <c r="M1004" s="8" t="s">
        <v>110</v>
      </c>
      <c r="O1004" s="8" t="s">
        <v>50</v>
      </c>
      <c r="P1004" s="8">
        <v>9</v>
      </c>
      <c r="Q1004" s="8" t="s">
        <v>2748</v>
      </c>
      <c r="R1004" s="8" t="b">
        <v>0</v>
      </c>
      <c r="S1004" s="8" t="b">
        <v>0</v>
      </c>
      <c r="T1004" s="8" t="b">
        <v>0</v>
      </c>
      <c r="U1004" s="8" t="b">
        <v>0</v>
      </c>
      <c r="V1004" s="8" t="b">
        <v>0</v>
      </c>
      <c r="W1004" s="11" t="s">
        <v>2749</v>
      </c>
      <c r="X1004" s="8" t="b">
        <v>0</v>
      </c>
      <c r="Y1004" s="8" t="b">
        <v>0</v>
      </c>
      <c r="Z1004" s="8" t="b">
        <v>0</v>
      </c>
      <c r="AA1004" s="8" t="b">
        <v>0</v>
      </c>
      <c r="AB1004" s="8" t="b">
        <v>0</v>
      </c>
      <c r="AC1004" s="8" t="b">
        <v>0</v>
      </c>
      <c r="AD1004" s="8" t="b">
        <v>0</v>
      </c>
      <c r="AE1004" s="8" t="b">
        <v>0</v>
      </c>
      <c r="AF1004" s="11" t="s">
        <v>1751</v>
      </c>
      <c r="AG1004" s="11" t="b" cm="1">
        <f t="array" ref="AG1004">IF(OR(Y1004:AA1004="TRUE", AE1004="true"), "Threatened")</f>
        <v>0</v>
      </c>
      <c r="AH1004" s="11" t="s">
        <v>2750</v>
      </c>
      <c r="AI1004" s="8" t="b">
        <v>0</v>
      </c>
    </row>
    <row r="1005" spans="1:35" ht="31.2">
      <c r="A1005" s="8">
        <v>-73.967085080000004</v>
      </c>
      <c r="B1005" s="8">
        <v>40.783374780000003</v>
      </c>
      <c r="C1005" s="8" t="s">
        <v>2751</v>
      </c>
      <c r="D1005" s="8" t="s">
        <v>698</v>
      </c>
      <c r="E1005" s="8" t="b">
        <f t="shared" si="15"/>
        <v>0</v>
      </c>
      <c r="F1005" s="8" t="str" cm="1">
        <f t="array" ref="F1005">_xlfn._xlws.FILTER(E1005:E4203, C1005:C4203= "6D-PM-1020-01", "No Squirrels Found")</f>
        <v>No Squirrels Found</v>
      </c>
      <c r="G1005" s="8" t="s">
        <v>34</v>
      </c>
      <c r="H1005" s="10">
        <v>10062018</v>
      </c>
      <c r="I1005" s="10">
        <v>1</v>
      </c>
      <c r="J1005" s="8" t="s">
        <v>54</v>
      </c>
      <c r="K1005" s="8" t="s">
        <v>40</v>
      </c>
      <c r="M1005" s="8" t="s">
        <v>55</v>
      </c>
      <c r="O1005" s="8" t="s">
        <v>43</v>
      </c>
      <c r="P1005" s="8" t="b">
        <v>0</v>
      </c>
      <c r="R1005" s="8" t="b">
        <v>1</v>
      </c>
      <c r="S1005" s="8" t="b">
        <v>1</v>
      </c>
      <c r="T1005" s="8" t="b">
        <v>0</v>
      </c>
      <c r="U1005" s="8" t="b">
        <v>0</v>
      </c>
      <c r="V1005" s="8" t="b">
        <v>0</v>
      </c>
      <c r="W1005" s="11" t="s">
        <v>2752</v>
      </c>
      <c r="X1005" s="8" t="b">
        <v>0</v>
      </c>
      <c r="Y1005" s="8" t="b">
        <v>1</v>
      </c>
      <c r="Z1005" s="8" t="b">
        <v>0</v>
      </c>
      <c r="AA1005" s="8" t="b">
        <v>0</v>
      </c>
      <c r="AB1005" s="8" t="b">
        <v>0</v>
      </c>
      <c r="AC1005" s="8" t="b">
        <v>0</v>
      </c>
      <c r="AD1005" s="8" t="b">
        <v>0</v>
      </c>
      <c r="AE1005" s="8" t="b">
        <v>0</v>
      </c>
      <c r="AG1005" s="11" t="b" cm="1">
        <f t="array" ref="AG1005">IF(OR(Y1005:AA1005="TRUE", AE1005="true"), "Threatened")</f>
        <v>0</v>
      </c>
      <c r="AH1005" s="11" t="s">
        <v>2753</v>
      </c>
      <c r="AI1005" s="8" t="b">
        <v>0</v>
      </c>
    </row>
    <row r="1006" spans="1:35" ht="31.2">
      <c r="A1006" s="8">
        <v>-73.955826869999996</v>
      </c>
      <c r="B1006" s="8">
        <v>40.795207419999997</v>
      </c>
      <c r="C1006" s="8" t="s">
        <v>2754</v>
      </c>
      <c r="D1006" s="8" t="s">
        <v>530</v>
      </c>
      <c r="E1006" s="8" t="b">
        <f t="shared" si="15"/>
        <v>0</v>
      </c>
      <c r="F1006" s="8" t="str" cm="1">
        <f t="array" ref="F1006">_xlfn._xlws.FILTER(E1006:E4204, C1006:C4204= "6D-PM-1020-01", "No Squirrels Found")</f>
        <v>No Squirrels Found</v>
      </c>
      <c r="G1006" s="8" t="s">
        <v>34</v>
      </c>
      <c r="H1006" s="10">
        <v>10142018</v>
      </c>
      <c r="I1006" s="10">
        <v>4</v>
      </c>
      <c r="J1006" s="8" t="s">
        <v>39</v>
      </c>
      <c r="K1006" s="8" t="s">
        <v>40</v>
      </c>
      <c r="M1006" s="8" t="s">
        <v>55</v>
      </c>
      <c r="O1006" s="8" t="s">
        <v>43</v>
      </c>
      <c r="P1006" s="8" t="b">
        <v>0</v>
      </c>
      <c r="Q1006" s="8" t="s">
        <v>1822</v>
      </c>
      <c r="R1006" s="8" t="b">
        <v>0</v>
      </c>
      <c r="S1006" s="8" t="b">
        <v>0</v>
      </c>
      <c r="T1006" s="8" t="b">
        <v>0</v>
      </c>
      <c r="U1006" s="8" t="b">
        <v>0</v>
      </c>
      <c r="V1006" s="8" t="b">
        <v>1</v>
      </c>
      <c r="X1006" s="8" t="b">
        <v>0</v>
      </c>
      <c r="Y1006" s="8" t="b">
        <v>0</v>
      </c>
      <c r="Z1006" s="8" t="b">
        <v>0</v>
      </c>
      <c r="AA1006" s="8" t="b">
        <v>0</v>
      </c>
      <c r="AB1006" s="8" t="b">
        <v>0</v>
      </c>
      <c r="AC1006" s="8" t="b">
        <v>0</v>
      </c>
      <c r="AD1006" s="8" t="b">
        <v>0</v>
      </c>
      <c r="AE1006" s="8" t="b">
        <v>1</v>
      </c>
      <c r="AG1006" s="11" t="b" cm="1">
        <f t="array" ref="AG1006">IF(OR(Y1006:AA1006="TRUE", AE1006="true"), "Threatened")</f>
        <v>0</v>
      </c>
      <c r="AH1006" s="11" t="s">
        <v>2755</v>
      </c>
      <c r="AI1006" s="8" t="b">
        <v>1</v>
      </c>
    </row>
    <row r="1007" spans="1:35" ht="31.2">
      <c r="A1007" s="8">
        <v>-73.968629620000002</v>
      </c>
      <c r="B1007" s="8">
        <v>40.771812310000001</v>
      </c>
      <c r="C1007" s="8" t="s">
        <v>2756</v>
      </c>
      <c r="D1007" s="8" t="s">
        <v>1254</v>
      </c>
      <c r="E1007" s="8" t="b">
        <f t="shared" si="15"/>
        <v>0</v>
      </c>
      <c r="F1007" s="8" t="str" cm="1">
        <f t="array" ref="F1007">_xlfn._xlws.FILTER(E1007:E4205, C1007:C4205= "6D-PM-1020-01", "No Squirrels Found")</f>
        <v>No Squirrels Found</v>
      </c>
      <c r="G1007" s="8" t="s">
        <v>48</v>
      </c>
      <c r="H1007" s="10">
        <v>10142018</v>
      </c>
      <c r="I1007" s="10">
        <v>2</v>
      </c>
      <c r="J1007" s="8" t="s">
        <v>54</v>
      </c>
      <c r="K1007" s="8" t="s">
        <v>41</v>
      </c>
      <c r="M1007" s="8" t="s">
        <v>49</v>
      </c>
      <c r="O1007" s="8" t="s">
        <v>50</v>
      </c>
      <c r="P1007" s="8">
        <v>6</v>
      </c>
      <c r="R1007" s="8" t="b">
        <v>1</v>
      </c>
      <c r="S1007" s="8" t="b">
        <v>0</v>
      </c>
      <c r="T1007" s="8" t="b">
        <v>0</v>
      </c>
      <c r="U1007" s="8" t="b">
        <v>0</v>
      </c>
      <c r="V1007" s="8" t="b">
        <v>0</v>
      </c>
      <c r="X1007" s="8" t="b">
        <v>0</v>
      </c>
      <c r="Y1007" s="8" t="b">
        <v>0</v>
      </c>
      <c r="Z1007" s="8" t="b">
        <v>0</v>
      </c>
      <c r="AA1007" s="8" t="b">
        <v>0</v>
      </c>
      <c r="AB1007" s="8" t="b">
        <v>0</v>
      </c>
      <c r="AC1007" s="8" t="b">
        <v>0</v>
      </c>
      <c r="AD1007" s="8" t="b">
        <v>0</v>
      </c>
      <c r="AE1007" s="8" t="b">
        <v>0</v>
      </c>
      <c r="AG1007" s="11" t="b" cm="1">
        <f t="array" ref="AG1007">IF(OR(Y1007:AA1007="TRUE", AE1007="true"), "Threatened")</f>
        <v>0</v>
      </c>
      <c r="AH1007" s="11" t="s">
        <v>2757</v>
      </c>
      <c r="AI1007" s="8" t="b">
        <v>1</v>
      </c>
    </row>
    <row r="1008" spans="1:35" ht="31.2">
      <c r="A1008" s="8">
        <v>-73.963531779999997</v>
      </c>
      <c r="B1008" s="8">
        <v>40.78213521</v>
      </c>
      <c r="C1008" s="8" t="s">
        <v>2758</v>
      </c>
      <c r="D1008" s="8" t="s">
        <v>1287</v>
      </c>
      <c r="E1008" s="8" t="b">
        <f t="shared" si="15"/>
        <v>0</v>
      </c>
      <c r="F1008" s="8" t="str" cm="1">
        <f t="array" ref="F1008">_xlfn._xlws.FILTER(E1008:E4206, C1008:C4206= "6D-PM-1020-01", "No Squirrels Found")</f>
        <v>No Squirrels Found</v>
      </c>
      <c r="G1008" s="8" t="s">
        <v>48</v>
      </c>
      <c r="H1008" s="10">
        <v>10182018</v>
      </c>
      <c r="I1008" s="10">
        <v>1</v>
      </c>
      <c r="J1008" s="8" t="s">
        <v>39</v>
      </c>
      <c r="K1008" s="8" t="s">
        <v>40</v>
      </c>
      <c r="L1008" s="8" t="s">
        <v>41</v>
      </c>
      <c r="M1008" s="8" t="s">
        <v>42</v>
      </c>
      <c r="O1008" s="8" t="s">
        <v>43</v>
      </c>
      <c r="P1008" s="8" t="b">
        <v>0</v>
      </c>
      <c r="R1008" s="8" t="b">
        <v>0</v>
      </c>
      <c r="S1008" s="8" t="b">
        <v>1</v>
      </c>
      <c r="T1008" s="8" t="b">
        <v>0</v>
      </c>
      <c r="U1008" s="8" t="b">
        <v>0</v>
      </c>
      <c r="V1008" s="8" t="b">
        <v>0</v>
      </c>
      <c r="X1008" s="8" t="b">
        <v>1</v>
      </c>
      <c r="Y1008" s="8" t="b">
        <v>0</v>
      </c>
      <c r="Z1008" s="8" t="b">
        <v>0</v>
      </c>
      <c r="AA1008" s="8" t="b">
        <v>1</v>
      </c>
      <c r="AB1008" s="8" t="b">
        <v>0</v>
      </c>
      <c r="AC1008" s="8" t="b">
        <v>0</v>
      </c>
      <c r="AD1008" s="8" t="b">
        <v>1</v>
      </c>
      <c r="AE1008" s="8" t="b">
        <v>0</v>
      </c>
      <c r="AG1008" s="11" t="b" cm="1">
        <f t="array" ref="AG1008">IF(OR(Y1008:AA1008="TRUE", AE1008="true"), "Threatened")</f>
        <v>0</v>
      </c>
      <c r="AH1008" s="11" t="s">
        <v>2759</v>
      </c>
      <c r="AI1008" s="8" t="b">
        <v>1</v>
      </c>
    </row>
    <row r="1009" spans="1:35" ht="31.2">
      <c r="A1009" s="8">
        <v>-73.955303819999997</v>
      </c>
      <c r="B1009" s="8">
        <v>40.790936780000003</v>
      </c>
      <c r="C1009" s="8" t="s">
        <v>2760</v>
      </c>
      <c r="D1009" s="8" t="s">
        <v>1354</v>
      </c>
      <c r="E1009" s="8" t="b">
        <f t="shared" si="15"/>
        <v>0</v>
      </c>
      <c r="F1009" s="8" t="str" cm="1">
        <f t="array" ref="F1009">_xlfn._xlws.FILTER(E1009:E4207, C1009:C4207= "6D-PM-1020-01", "No Squirrels Found")</f>
        <v>No Squirrels Found</v>
      </c>
      <c r="G1009" s="8" t="s">
        <v>34</v>
      </c>
      <c r="H1009" s="10">
        <v>10062018</v>
      </c>
      <c r="I1009" s="10">
        <v>4</v>
      </c>
      <c r="K1009" s="8" t="s">
        <v>40</v>
      </c>
      <c r="L1009" s="8" t="s">
        <v>41</v>
      </c>
      <c r="M1009" s="8" t="s">
        <v>42</v>
      </c>
      <c r="O1009" s="8" t="s">
        <v>50</v>
      </c>
      <c r="Q1009" s="8" t="s">
        <v>2761</v>
      </c>
      <c r="R1009" s="8" t="b">
        <v>0</v>
      </c>
      <c r="S1009" s="8" t="b">
        <v>0</v>
      </c>
      <c r="T1009" s="8" t="b">
        <v>0</v>
      </c>
      <c r="U1009" s="8" t="b">
        <v>0</v>
      </c>
      <c r="V1009" s="8" t="b">
        <v>0</v>
      </c>
      <c r="X1009" s="8" t="b">
        <v>0</v>
      </c>
      <c r="Y1009" s="8" t="b">
        <v>0</v>
      </c>
      <c r="Z1009" s="8" t="b">
        <v>0</v>
      </c>
      <c r="AA1009" s="8" t="b">
        <v>0</v>
      </c>
      <c r="AB1009" s="8" t="b">
        <v>0</v>
      </c>
      <c r="AC1009" s="8" t="b">
        <v>0</v>
      </c>
      <c r="AD1009" s="8" t="b">
        <v>0</v>
      </c>
      <c r="AE1009" s="8" t="b">
        <v>0</v>
      </c>
      <c r="AG1009" s="11" t="b" cm="1">
        <f t="array" ref="AG1009">IF(OR(Y1009:AA1009="TRUE", AE1009="true"), "Threatened")</f>
        <v>0</v>
      </c>
      <c r="AH1009" s="11" t="s">
        <v>2762</v>
      </c>
      <c r="AI1009" s="8" t="b">
        <v>1</v>
      </c>
    </row>
    <row r="1010" spans="1:35" ht="31.2">
      <c r="A1010" s="8">
        <v>-73.96365514</v>
      </c>
      <c r="B1010" s="8">
        <v>40.790157280000003</v>
      </c>
      <c r="C1010" s="8" t="s">
        <v>2763</v>
      </c>
      <c r="D1010" s="8" t="s">
        <v>911</v>
      </c>
      <c r="E1010" s="8" t="b">
        <f t="shared" si="15"/>
        <v>0</v>
      </c>
      <c r="F1010" s="8" t="str" cm="1">
        <f t="array" ref="F1010">_xlfn._xlws.FILTER(E1010:E4208, C1010:C4208= "6D-PM-1020-01", "No Squirrels Found")</f>
        <v>No Squirrels Found</v>
      </c>
      <c r="G1010" s="8" t="s">
        <v>34</v>
      </c>
      <c r="H1010" s="10">
        <v>10192018</v>
      </c>
      <c r="I1010" s="10">
        <v>2</v>
      </c>
      <c r="J1010" s="8" t="s">
        <v>39</v>
      </c>
      <c r="K1010" s="8" t="s">
        <v>40</v>
      </c>
      <c r="L1010" s="8" t="s">
        <v>168</v>
      </c>
      <c r="M1010" s="8" t="s">
        <v>169</v>
      </c>
      <c r="O1010" s="8" t="s">
        <v>43</v>
      </c>
      <c r="P1010" s="8" t="b">
        <v>0</v>
      </c>
      <c r="R1010" s="8" t="b">
        <v>0</v>
      </c>
      <c r="S1010" s="8" t="b">
        <v>1</v>
      </c>
      <c r="T1010" s="8" t="b">
        <v>0</v>
      </c>
      <c r="U1010" s="8" t="b">
        <v>1</v>
      </c>
      <c r="V1010" s="8" t="b">
        <v>1</v>
      </c>
      <c r="X1010" s="8" t="b">
        <v>0</v>
      </c>
      <c r="Y1010" s="8" t="b">
        <v>0</v>
      </c>
      <c r="Z1010" s="8" t="b">
        <v>0</v>
      </c>
      <c r="AA1010" s="8" t="b">
        <v>0</v>
      </c>
      <c r="AB1010" s="8" t="b">
        <v>1</v>
      </c>
      <c r="AC1010" s="8" t="b">
        <v>0</v>
      </c>
      <c r="AD1010" s="8" t="b">
        <v>0</v>
      </c>
      <c r="AE1010" s="8" t="b">
        <v>1</v>
      </c>
      <c r="AG1010" s="11" t="b" cm="1">
        <f t="array" ref="AG1010">IF(OR(Y1010:AA1010="TRUE", AE1010="true"), "Threatened")</f>
        <v>0</v>
      </c>
      <c r="AH1010" s="11" t="s">
        <v>2764</v>
      </c>
      <c r="AI1010" s="8" t="b">
        <v>1</v>
      </c>
    </row>
    <row r="1011" spans="1:35" ht="31.2">
      <c r="A1011" s="8">
        <v>-73.968972359999995</v>
      </c>
      <c r="B1011" s="8">
        <v>40.775686100000001</v>
      </c>
      <c r="C1011" s="8" t="s">
        <v>2765</v>
      </c>
      <c r="D1011" s="8" t="s">
        <v>275</v>
      </c>
      <c r="E1011" s="8" t="b">
        <f t="shared" si="15"/>
        <v>0</v>
      </c>
      <c r="F1011" s="8" t="str" cm="1">
        <f t="array" ref="F1011">_xlfn._xlws.FILTER(E1011:E4209, C1011:C4209= "6D-PM-1020-01", "No Squirrels Found")</f>
        <v>No Squirrels Found</v>
      </c>
      <c r="G1011" s="8" t="s">
        <v>48</v>
      </c>
      <c r="H1011" s="10">
        <v>10072018</v>
      </c>
      <c r="I1011" s="10">
        <v>1</v>
      </c>
      <c r="J1011" s="8" t="s">
        <v>39</v>
      </c>
      <c r="K1011" s="8" t="s">
        <v>40</v>
      </c>
      <c r="L1011" s="8" t="s">
        <v>41</v>
      </c>
      <c r="M1011" s="8" t="s">
        <v>42</v>
      </c>
      <c r="O1011" s="8" t="s">
        <v>50</v>
      </c>
      <c r="P1011" s="8">
        <v>20</v>
      </c>
      <c r="R1011" s="8" t="b">
        <v>0</v>
      </c>
      <c r="S1011" s="8" t="b">
        <v>0</v>
      </c>
      <c r="T1011" s="8" t="b">
        <v>1</v>
      </c>
      <c r="U1011" s="8" t="b">
        <v>0</v>
      </c>
      <c r="V1011" s="8" t="b">
        <v>0</v>
      </c>
      <c r="X1011" s="8" t="b">
        <v>0</v>
      </c>
      <c r="Y1011" s="8" t="b">
        <v>0</v>
      </c>
      <c r="Z1011" s="8" t="b">
        <v>0</v>
      </c>
      <c r="AA1011" s="8" t="b">
        <v>0</v>
      </c>
      <c r="AB1011" s="8" t="b">
        <v>0</v>
      </c>
      <c r="AC1011" s="8" t="b">
        <v>0</v>
      </c>
      <c r="AD1011" s="8" t="b">
        <v>1</v>
      </c>
      <c r="AE1011" s="8" t="b">
        <v>0</v>
      </c>
      <c r="AG1011" s="11" t="b" cm="1">
        <f t="array" ref="AG1011">IF(OR(Y1011:AA1011="TRUE", AE1011="true"), "Threatened")</f>
        <v>0</v>
      </c>
      <c r="AH1011" s="11" t="s">
        <v>2766</v>
      </c>
      <c r="AI1011" s="8" t="b">
        <v>1</v>
      </c>
    </row>
    <row r="1012" spans="1:35" ht="31.2">
      <c r="A1012" s="8">
        <v>-73.971911149999997</v>
      </c>
      <c r="B1012" s="8">
        <v>40.775878990000002</v>
      </c>
      <c r="C1012" s="8" t="s">
        <v>2767</v>
      </c>
      <c r="D1012" s="8" t="s">
        <v>1148</v>
      </c>
      <c r="E1012" s="8" t="b">
        <f t="shared" si="15"/>
        <v>0</v>
      </c>
      <c r="F1012" s="8" t="str" cm="1">
        <f t="array" ref="F1012">_xlfn._xlws.FILTER(E1012:E4210, C1012:C4210= "6D-PM-1020-01", "No Squirrels Found")</f>
        <v>No Squirrels Found</v>
      </c>
      <c r="G1012" s="8" t="s">
        <v>48</v>
      </c>
      <c r="H1012" s="10">
        <v>10132018</v>
      </c>
      <c r="I1012" s="10">
        <v>2</v>
      </c>
      <c r="J1012" s="8" t="s">
        <v>39</v>
      </c>
      <c r="K1012" s="8" t="s">
        <v>40</v>
      </c>
      <c r="M1012" s="8" t="s">
        <v>55</v>
      </c>
      <c r="O1012" s="8" t="s">
        <v>50</v>
      </c>
      <c r="P1012" s="8">
        <v>7</v>
      </c>
      <c r="Q1012" s="8" t="s">
        <v>2768</v>
      </c>
      <c r="R1012" s="8" t="b">
        <v>0</v>
      </c>
      <c r="S1012" s="8" t="b">
        <v>0</v>
      </c>
      <c r="T1012" s="8" t="b">
        <v>0</v>
      </c>
      <c r="U1012" s="8" t="b">
        <v>0</v>
      </c>
      <c r="V1012" s="8" t="b">
        <v>0</v>
      </c>
      <c r="W1012" s="11" t="s">
        <v>2769</v>
      </c>
      <c r="X1012" s="8" t="b">
        <v>0</v>
      </c>
      <c r="Y1012" s="8" t="b">
        <v>0</v>
      </c>
      <c r="Z1012" s="8" t="b">
        <v>0</v>
      </c>
      <c r="AA1012" s="8" t="b">
        <v>1</v>
      </c>
      <c r="AB1012" s="8" t="b">
        <v>0</v>
      </c>
      <c r="AC1012" s="8" t="b">
        <v>0</v>
      </c>
      <c r="AD1012" s="8" t="b">
        <v>0</v>
      </c>
      <c r="AE1012" s="8" t="b">
        <v>1</v>
      </c>
      <c r="AG1012" s="11" t="b" cm="1">
        <f t="array" ref="AG1012">IF(OR(Y1012:AA1012="TRUE", AE1012="true"), "Threatened")</f>
        <v>0</v>
      </c>
      <c r="AH1012" s="11" t="s">
        <v>2770</v>
      </c>
      <c r="AI1012" s="8" t="b">
        <v>0</v>
      </c>
    </row>
    <row r="1013" spans="1:35" ht="31.2">
      <c r="A1013" s="8">
        <v>-73.975556920000002</v>
      </c>
      <c r="B1013" s="8">
        <v>40.766800699999997</v>
      </c>
      <c r="C1013" s="8" t="s">
        <v>2771</v>
      </c>
      <c r="D1013" s="8" t="s">
        <v>481</v>
      </c>
      <c r="E1013" s="8" t="b">
        <f t="shared" si="15"/>
        <v>0</v>
      </c>
      <c r="F1013" s="8" t="str" cm="1">
        <f t="array" ref="F1013">_xlfn._xlws.FILTER(E1013:E4211, C1013:C4211= "6D-PM-1020-01", "No Squirrels Found")</f>
        <v>No Squirrels Found</v>
      </c>
      <c r="G1013" s="8" t="s">
        <v>48</v>
      </c>
      <c r="H1013" s="10">
        <v>10062018</v>
      </c>
      <c r="I1013" s="10">
        <v>3</v>
      </c>
      <c r="J1013" s="8" t="s">
        <v>39</v>
      </c>
      <c r="K1013" s="8" t="s">
        <v>40</v>
      </c>
      <c r="L1013" s="8" t="s">
        <v>41</v>
      </c>
      <c r="M1013" s="8" t="s">
        <v>42</v>
      </c>
      <c r="O1013" s="8" t="s">
        <v>50</v>
      </c>
      <c r="P1013" s="8">
        <v>25</v>
      </c>
      <c r="Q1013" s="8" t="s">
        <v>466</v>
      </c>
      <c r="R1013" s="8" t="b">
        <v>0</v>
      </c>
      <c r="S1013" s="8" t="b">
        <v>0</v>
      </c>
      <c r="T1013" s="8" t="b">
        <v>1</v>
      </c>
      <c r="U1013" s="8" t="b">
        <v>0</v>
      </c>
      <c r="V1013" s="8" t="b">
        <v>0</v>
      </c>
      <c r="X1013" s="8" t="b">
        <v>0</v>
      </c>
      <c r="Y1013" s="8" t="b">
        <v>0</v>
      </c>
      <c r="Z1013" s="8" t="b">
        <v>0</v>
      </c>
      <c r="AA1013" s="8" t="b">
        <v>0</v>
      </c>
      <c r="AB1013" s="8" t="b">
        <v>0</v>
      </c>
      <c r="AC1013" s="8" t="b">
        <v>0</v>
      </c>
      <c r="AD1013" s="8" t="b">
        <v>0</v>
      </c>
      <c r="AE1013" s="8" t="b">
        <v>0</v>
      </c>
      <c r="AG1013" s="11" t="b" cm="1">
        <f t="array" ref="AG1013">IF(OR(Y1013:AA1013="TRUE", AE1013="true"), "Threatened")</f>
        <v>0</v>
      </c>
      <c r="AH1013" s="11" t="s">
        <v>2772</v>
      </c>
      <c r="AI1013" s="8" t="b">
        <v>1</v>
      </c>
    </row>
    <row r="1014" spans="1:35" ht="31.2">
      <c r="A1014" s="8">
        <v>-73.969553899999994</v>
      </c>
      <c r="B1014" s="8">
        <v>40.770988490000001</v>
      </c>
      <c r="C1014" s="8" t="s">
        <v>2773</v>
      </c>
      <c r="D1014" s="8" t="s">
        <v>2059</v>
      </c>
      <c r="E1014" s="8" t="b">
        <f t="shared" si="15"/>
        <v>0</v>
      </c>
      <c r="F1014" s="8" t="str" cm="1">
        <f t="array" ref="F1014">_xlfn._xlws.FILTER(E1014:E4212, C1014:C4212= "6D-PM-1020-01", "No Squirrels Found")</f>
        <v>No Squirrels Found</v>
      </c>
      <c r="G1014" s="8" t="s">
        <v>34</v>
      </c>
      <c r="H1014" s="10">
        <v>10182018</v>
      </c>
      <c r="I1014" s="10">
        <v>4</v>
      </c>
      <c r="J1014" s="8" t="s">
        <v>39</v>
      </c>
      <c r="K1014" s="8" t="s">
        <v>40</v>
      </c>
      <c r="M1014" s="8" t="s">
        <v>55</v>
      </c>
      <c r="O1014" s="8" t="s">
        <v>43</v>
      </c>
      <c r="P1014" s="8" t="b">
        <v>0</v>
      </c>
      <c r="R1014" s="8" t="b">
        <v>0</v>
      </c>
      <c r="S1014" s="8" t="b">
        <v>0</v>
      </c>
      <c r="T1014" s="8" t="b">
        <v>0</v>
      </c>
      <c r="U1014" s="8" t="b">
        <v>0</v>
      </c>
      <c r="V1014" s="8" t="b">
        <v>1</v>
      </c>
      <c r="X1014" s="8" t="b">
        <v>0</v>
      </c>
      <c r="Y1014" s="8" t="b">
        <v>0</v>
      </c>
      <c r="Z1014" s="8" t="b">
        <v>0</v>
      </c>
      <c r="AA1014" s="8" t="b">
        <v>0</v>
      </c>
      <c r="AB1014" s="8" t="b">
        <v>0</v>
      </c>
      <c r="AC1014" s="8" t="b">
        <v>0</v>
      </c>
      <c r="AD1014" s="8" t="b">
        <v>0</v>
      </c>
      <c r="AE1014" s="8" t="b">
        <v>0</v>
      </c>
      <c r="AG1014" s="11" t="b" cm="1">
        <f t="array" ref="AG1014">IF(OR(Y1014:AA1014="TRUE", AE1014="true"), "Threatened")</f>
        <v>0</v>
      </c>
      <c r="AH1014" s="11" t="s">
        <v>2774</v>
      </c>
      <c r="AI1014" s="8" t="b">
        <v>1</v>
      </c>
    </row>
    <row r="1015" spans="1:35" ht="31.2">
      <c r="A1015" s="8">
        <v>-73.9694468</v>
      </c>
      <c r="B1015" s="8">
        <v>40.770360889999999</v>
      </c>
      <c r="C1015" s="8" t="s">
        <v>2775</v>
      </c>
      <c r="D1015" s="8" t="s">
        <v>1326</v>
      </c>
      <c r="E1015" s="8" t="b">
        <f t="shared" si="15"/>
        <v>0</v>
      </c>
      <c r="F1015" s="8" t="str" cm="1">
        <f t="array" ref="F1015">_xlfn._xlws.FILTER(E1015:E4213, C1015:C4213= "6D-PM-1020-01", "No Squirrels Found")</f>
        <v>No Squirrels Found</v>
      </c>
      <c r="G1015" s="8" t="s">
        <v>34</v>
      </c>
      <c r="H1015" s="10">
        <v>10132018</v>
      </c>
      <c r="I1015" s="10">
        <v>5</v>
      </c>
      <c r="J1015" s="8" t="s">
        <v>39</v>
      </c>
      <c r="K1015" s="8" t="s">
        <v>40</v>
      </c>
      <c r="L1015" s="8" t="s">
        <v>117</v>
      </c>
      <c r="M1015" s="8" t="s">
        <v>118</v>
      </c>
      <c r="O1015" s="8" t="s">
        <v>43</v>
      </c>
      <c r="P1015" s="8" t="b">
        <v>0</v>
      </c>
      <c r="R1015" s="8" t="b">
        <v>0</v>
      </c>
      <c r="S1015" s="8" t="b">
        <v>0</v>
      </c>
      <c r="T1015" s="8" t="b">
        <v>0</v>
      </c>
      <c r="U1015" s="8" t="b">
        <v>0</v>
      </c>
      <c r="V1015" s="8" t="b">
        <v>1</v>
      </c>
      <c r="X1015" s="8" t="b">
        <v>0</v>
      </c>
      <c r="Y1015" s="8" t="b">
        <v>0</v>
      </c>
      <c r="Z1015" s="8" t="b">
        <v>0</v>
      </c>
      <c r="AA1015" s="8" t="b">
        <v>0</v>
      </c>
      <c r="AB1015" s="8" t="b">
        <v>0</v>
      </c>
      <c r="AC1015" s="8" t="b">
        <v>0</v>
      </c>
      <c r="AD1015" s="8" t="b">
        <v>1</v>
      </c>
      <c r="AE1015" s="8" t="b">
        <v>0</v>
      </c>
      <c r="AG1015" s="11" t="b" cm="1">
        <f t="array" ref="AG1015">IF(OR(Y1015:AA1015="TRUE", AE1015="true"), "Threatened")</f>
        <v>0</v>
      </c>
      <c r="AH1015" s="11" t="s">
        <v>2776</v>
      </c>
      <c r="AI1015" s="8" t="b">
        <v>1</v>
      </c>
    </row>
    <row r="1016" spans="1:35" ht="46.8">
      <c r="A1016" s="8">
        <v>-73.972034710000003</v>
      </c>
      <c r="B1016" s="8">
        <v>40.772775029999998</v>
      </c>
      <c r="C1016" s="8" t="s">
        <v>2777</v>
      </c>
      <c r="D1016" s="8" t="s">
        <v>1923</v>
      </c>
      <c r="E1016" s="8" t="b">
        <f t="shared" si="15"/>
        <v>0</v>
      </c>
      <c r="F1016" s="8" t="str" cm="1">
        <f t="array" ref="F1016">_xlfn._xlws.FILTER(E1016:E4214, C1016:C4214= "6D-PM-1020-01", "No Squirrels Found")</f>
        <v>No Squirrels Found</v>
      </c>
      <c r="G1016" s="8" t="s">
        <v>34</v>
      </c>
      <c r="H1016" s="10">
        <v>10142018</v>
      </c>
      <c r="I1016" s="10">
        <v>1</v>
      </c>
      <c r="J1016" s="8" t="s">
        <v>39</v>
      </c>
      <c r="K1016" s="8" t="s">
        <v>40</v>
      </c>
      <c r="L1016" s="8" t="s">
        <v>41</v>
      </c>
      <c r="M1016" s="8" t="s">
        <v>42</v>
      </c>
      <c r="O1016" s="8" t="s">
        <v>43</v>
      </c>
      <c r="P1016" s="8" t="b">
        <v>0</v>
      </c>
      <c r="Q1016" s="8" t="s">
        <v>2778</v>
      </c>
      <c r="R1016" s="8" t="b">
        <v>0</v>
      </c>
      <c r="S1016" s="8" t="b">
        <v>0</v>
      </c>
      <c r="T1016" s="8" t="b">
        <v>0</v>
      </c>
      <c r="U1016" s="8" t="b">
        <v>0</v>
      </c>
      <c r="V1016" s="8" t="b">
        <v>1</v>
      </c>
      <c r="W1016" s="11" t="s">
        <v>2779</v>
      </c>
      <c r="X1016" s="8" t="b">
        <v>0</v>
      </c>
      <c r="Y1016" s="8" t="b">
        <v>0</v>
      </c>
      <c r="Z1016" s="8" t="b">
        <v>0</v>
      </c>
      <c r="AA1016" s="8" t="b">
        <v>0</v>
      </c>
      <c r="AB1016" s="8" t="b">
        <v>1</v>
      </c>
      <c r="AC1016" s="8" t="b">
        <v>0</v>
      </c>
      <c r="AD1016" s="8" t="b">
        <v>1</v>
      </c>
      <c r="AE1016" s="8" t="b">
        <v>0</v>
      </c>
      <c r="AF1016" s="11" t="s">
        <v>2780</v>
      </c>
      <c r="AG1016" s="11" t="b" cm="1">
        <f t="array" ref="AG1016">IF(OR(Y1016:AA1016="TRUE", AE1016="true"), "Threatened")</f>
        <v>0</v>
      </c>
      <c r="AH1016" s="11" t="s">
        <v>2781</v>
      </c>
      <c r="AI1016" s="8" t="b">
        <v>0</v>
      </c>
    </row>
    <row r="1017" spans="1:35" ht="31.2">
      <c r="A1017" s="8">
        <v>-73.969129350000003</v>
      </c>
      <c r="B1017" s="8">
        <v>40.77032191</v>
      </c>
      <c r="C1017" s="8" t="s">
        <v>2782</v>
      </c>
      <c r="D1017" s="8" t="s">
        <v>1326</v>
      </c>
      <c r="E1017" s="8" t="b">
        <f t="shared" si="15"/>
        <v>0</v>
      </c>
      <c r="F1017" s="8" t="str" cm="1">
        <f t="array" ref="F1017">_xlfn._xlws.FILTER(E1017:E4215, C1017:C4215= "6D-PM-1020-01", "No Squirrels Found")</f>
        <v>No Squirrels Found</v>
      </c>
      <c r="G1017" s="8" t="s">
        <v>48</v>
      </c>
      <c r="H1017" s="10">
        <v>10062018</v>
      </c>
      <c r="I1017" s="10">
        <v>11</v>
      </c>
      <c r="J1017" s="8" t="s">
        <v>39</v>
      </c>
      <c r="K1017" s="8" t="s">
        <v>40</v>
      </c>
      <c r="M1017" s="8" t="s">
        <v>55</v>
      </c>
      <c r="O1017" s="8" t="s">
        <v>50</v>
      </c>
      <c r="P1017" s="8">
        <v>50</v>
      </c>
      <c r="Q1017" s="8" t="s">
        <v>206</v>
      </c>
      <c r="R1017" s="8" t="b">
        <v>0</v>
      </c>
      <c r="S1017" s="8" t="b">
        <v>1</v>
      </c>
      <c r="T1017" s="8" t="b">
        <v>0</v>
      </c>
      <c r="U1017" s="8" t="b">
        <v>0</v>
      </c>
      <c r="V1017" s="8" t="b">
        <v>0</v>
      </c>
      <c r="X1017" s="8" t="b">
        <v>0</v>
      </c>
      <c r="Y1017" s="8" t="b">
        <v>0</v>
      </c>
      <c r="Z1017" s="8" t="b">
        <v>0</v>
      </c>
      <c r="AA1017" s="8" t="b">
        <v>0</v>
      </c>
      <c r="AB1017" s="8" t="b">
        <v>0</v>
      </c>
      <c r="AC1017" s="8" t="b">
        <v>0</v>
      </c>
      <c r="AD1017" s="8" t="b">
        <v>1</v>
      </c>
      <c r="AE1017" s="8" t="b">
        <v>0</v>
      </c>
      <c r="AG1017" s="11" t="b" cm="1">
        <f t="array" ref="AG1017">IF(OR(Y1017:AA1017="TRUE", AE1017="true"), "Threatened")</f>
        <v>0</v>
      </c>
      <c r="AH1017" s="11" t="s">
        <v>2783</v>
      </c>
      <c r="AI1017" s="8" t="b">
        <v>1</v>
      </c>
    </row>
    <row r="1018" spans="1:35" ht="31.2">
      <c r="A1018" s="8">
        <v>-73.955203499999996</v>
      </c>
      <c r="B1018" s="8">
        <v>40.788985189999998</v>
      </c>
      <c r="C1018" s="8" t="s">
        <v>2784</v>
      </c>
      <c r="D1018" s="8" t="s">
        <v>877</v>
      </c>
      <c r="E1018" s="8" t="b">
        <f t="shared" si="15"/>
        <v>0</v>
      </c>
      <c r="F1018" s="8" t="str" cm="1">
        <f t="array" ref="F1018">_xlfn._xlws.FILTER(E1018:E4216, C1018:C4216= "6D-PM-1020-01", "No Squirrels Found")</f>
        <v>No Squirrels Found</v>
      </c>
      <c r="G1018" s="8" t="s">
        <v>48</v>
      </c>
      <c r="H1018" s="10">
        <v>10132018</v>
      </c>
      <c r="I1018" s="10">
        <v>6</v>
      </c>
      <c r="J1018" s="8" t="s">
        <v>39</v>
      </c>
      <c r="K1018" s="8" t="s">
        <v>41</v>
      </c>
      <c r="L1018" s="8" t="s">
        <v>40</v>
      </c>
      <c r="M1018" s="8" t="s">
        <v>110</v>
      </c>
      <c r="O1018" s="8" t="s">
        <v>50</v>
      </c>
      <c r="P1018" s="8">
        <v>3</v>
      </c>
      <c r="Q1018" s="8" t="s">
        <v>878</v>
      </c>
      <c r="R1018" s="8" t="b">
        <v>0</v>
      </c>
      <c r="S1018" s="8" t="b">
        <v>0</v>
      </c>
      <c r="T1018" s="8" t="b">
        <v>1</v>
      </c>
      <c r="U1018" s="8" t="b">
        <v>0</v>
      </c>
      <c r="V1018" s="8" t="b">
        <v>1</v>
      </c>
      <c r="X1018" s="8" t="b">
        <v>0</v>
      </c>
      <c r="Y1018" s="8" t="b">
        <v>0</v>
      </c>
      <c r="Z1018" s="8" t="b">
        <v>0</v>
      </c>
      <c r="AA1018" s="8" t="b">
        <v>1</v>
      </c>
      <c r="AB1018" s="8" t="b">
        <v>0</v>
      </c>
      <c r="AC1018" s="8" t="b">
        <v>0</v>
      </c>
      <c r="AD1018" s="8" t="b">
        <v>1</v>
      </c>
      <c r="AE1018" s="8" t="b">
        <v>0</v>
      </c>
      <c r="AG1018" s="11" t="b" cm="1">
        <f t="array" ref="AG1018">IF(OR(Y1018:AA1018="TRUE", AE1018="true"), "Threatened")</f>
        <v>0</v>
      </c>
      <c r="AH1018" s="11" t="s">
        <v>2785</v>
      </c>
      <c r="AI1018" s="8" t="b">
        <v>1</v>
      </c>
    </row>
    <row r="1019" spans="1:35" ht="31.2">
      <c r="A1019" s="8">
        <v>-73.969530559999995</v>
      </c>
      <c r="B1019" s="8">
        <v>40.775754200000002</v>
      </c>
      <c r="C1019" s="8" t="s">
        <v>2786</v>
      </c>
      <c r="D1019" s="8" t="s">
        <v>275</v>
      </c>
      <c r="E1019" s="8" t="b">
        <f t="shared" si="15"/>
        <v>0</v>
      </c>
      <c r="F1019" s="8" t="str" cm="1">
        <f t="array" ref="F1019">_xlfn._xlws.FILTER(E1019:E4217, C1019:C4217= "6D-PM-1020-01", "No Squirrels Found")</f>
        <v>No Squirrels Found</v>
      </c>
      <c r="G1019" s="8" t="s">
        <v>34</v>
      </c>
      <c r="H1019" s="10">
        <v>10082018</v>
      </c>
      <c r="I1019" s="10">
        <v>3</v>
      </c>
      <c r="J1019" s="8" t="s">
        <v>39</v>
      </c>
      <c r="K1019" s="8" t="s">
        <v>40</v>
      </c>
      <c r="M1019" s="8" t="s">
        <v>55</v>
      </c>
      <c r="O1019" s="8" t="s">
        <v>50</v>
      </c>
      <c r="P1019" s="8">
        <v>15</v>
      </c>
      <c r="Q1019" s="8" t="s">
        <v>206</v>
      </c>
      <c r="R1019" s="8" t="b">
        <v>0</v>
      </c>
      <c r="S1019" s="8" t="b">
        <v>0</v>
      </c>
      <c r="T1019" s="8" t="b">
        <v>0</v>
      </c>
      <c r="U1019" s="8" t="b">
        <v>1</v>
      </c>
      <c r="V1019" s="8" t="b">
        <v>1</v>
      </c>
      <c r="X1019" s="8" t="b">
        <v>0</v>
      </c>
      <c r="Y1019" s="8" t="b">
        <v>0</v>
      </c>
      <c r="Z1019" s="8" t="b">
        <v>0</v>
      </c>
      <c r="AA1019" s="8" t="b">
        <v>0</v>
      </c>
      <c r="AB1019" s="8" t="b">
        <v>0</v>
      </c>
      <c r="AC1019" s="8" t="b">
        <v>0</v>
      </c>
      <c r="AD1019" s="8" t="b">
        <v>1</v>
      </c>
      <c r="AE1019" s="8" t="b">
        <v>0</v>
      </c>
      <c r="AG1019" s="11" t="b" cm="1">
        <f t="array" ref="AG1019">IF(OR(Y1019:AA1019="TRUE", AE1019="true"), "Threatened")</f>
        <v>0</v>
      </c>
      <c r="AH1019" s="11" t="s">
        <v>2787</v>
      </c>
      <c r="AI1019" s="8" t="b">
        <v>1</v>
      </c>
    </row>
    <row r="1020" spans="1:35" ht="31.2">
      <c r="A1020" s="8">
        <v>-73.970426959999998</v>
      </c>
      <c r="B1020" s="8">
        <v>40.77229646</v>
      </c>
      <c r="C1020" s="8" t="s">
        <v>2788</v>
      </c>
      <c r="D1020" s="8" t="s">
        <v>609</v>
      </c>
      <c r="E1020" s="8" t="b">
        <f t="shared" si="15"/>
        <v>0</v>
      </c>
      <c r="F1020" s="8" t="str" cm="1">
        <f t="array" ref="F1020">_xlfn._xlws.FILTER(E1020:E4218, C1020:C4218= "6D-PM-1020-01", "No Squirrels Found")</f>
        <v>No Squirrels Found</v>
      </c>
      <c r="G1020" s="8" t="s">
        <v>48</v>
      </c>
      <c r="H1020" s="10">
        <v>10062018</v>
      </c>
      <c r="I1020" s="10">
        <v>9</v>
      </c>
      <c r="J1020" s="8" t="s">
        <v>39</v>
      </c>
      <c r="K1020" s="8" t="s">
        <v>40</v>
      </c>
      <c r="L1020" s="8" t="s">
        <v>84</v>
      </c>
      <c r="M1020" s="8" t="s">
        <v>103</v>
      </c>
      <c r="O1020" s="8" t="s">
        <v>43</v>
      </c>
      <c r="P1020" s="8" t="b">
        <v>0</v>
      </c>
      <c r="R1020" s="8" t="b">
        <v>1</v>
      </c>
      <c r="S1020" s="8" t="b">
        <v>0</v>
      </c>
      <c r="T1020" s="8" t="b">
        <v>0</v>
      </c>
      <c r="U1020" s="8" t="b">
        <v>0</v>
      </c>
      <c r="V1020" s="8" t="b">
        <v>0</v>
      </c>
      <c r="X1020" s="8" t="b">
        <v>0</v>
      </c>
      <c r="Y1020" s="8" t="b">
        <v>0</v>
      </c>
      <c r="Z1020" s="8" t="b">
        <v>0</v>
      </c>
      <c r="AA1020" s="8" t="b">
        <v>1</v>
      </c>
      <c r="AB1020" s="8" t="b">
        <v>0</v>
      </c>
      <c r="AC1020" s="8" t="b">
        <v>0</v>
      </c>
      <c r="AD1020" s="8" t="b">
        <v>0</v>
      </c>
      <c r="AE1020" s="8" t="b">
        <v>1</v>
      </c>
      <c r="AG1020" s="11" t="b" cm="1">
        <f t="array" ref="AG1020">IF(OR(Y1020:AA1020="TRUE", AE1020="true"), "Threatened")</f>
        <v>0</v>
      </c>
      <c r="AH1020" s="11" t="s">
        <v>2789</v>
      </c>
      <c r="AI1020" s="8" t="b">
        <v>1</v>
      </c>
    </row>
    <row r="1021" spans="1:35" ht="31.2">
      <c r="A1021" s="8">
        <v>-73.970169339999998</v>
      </c>
      <c r="B1021" s="8">
        <v>40.770545249999998</v>
      </c>
      <c r="C1021" s="8" t="s">
        <v>2790</v>
      </c>
      <c r="D1021" s="8" t="s">
        <v>199</v>
      </c>
      <c r="E1021" s="8" t="b">
        <f t="shared" si="15"/>
        <v>0</v>
      </c>
      <c r="F1021" s="8" t="str" cm="1">
        <f t="array" ref="F1021">_xlfn._xlws.FILTER(E1021:E4219, C1021:C4219= "6D-PM-1020-01", "No Squirrels Found")</f>
        <v>No Squirrels Found</v>
      </c>
      <c r="G1021" s="8" t="s">
        <v>48</v>
      </c>
      <c r="H1021" s="10">
        <v>10172018</v>
      </c>
      <c r="I1021" s="10">
        <v>5</v>
      </c>
      <c r="J1021" s="8" t="s">
        <v>39</v>
      </c>
      <c r="K1021" s="8" t="s">
        <v>40</v>
      </c>
      <c r="L1021" s="8" t="s">
        <v>41</v>
      </c>
      <c r="M1021" s="8" t="s">
        <v>42</v>
      </c>
      <c r="O1021" s="8" t="s">
        <v>50</v>
      </c>
      <c r="P1021" s="8">
        <v>6</v>
      </c>
      <c r="R1021" s="8" t="b">
        <v>1</v>
      </c>
      <c r="S1021" s="8" t="b">
        <v>0</v>
      </c>
      <c r="T1021" s="8" t="b">
        <v>0</v>
      </c>
      <c r="U1021" s="8" t="b">
        <v>1</v>
      </c>
      <c r="V1021" s="8" t="b">
        <v>1</v>
      </c>
      <c r="X1021" s="8" t="b">
        <v>0</v>
      </c>
      <c r="Y1021" s="8" t="b">
        <v>0</v>
      </c>
      <c r="Z1021" s="8" t="b">
        <v>0</v>
      </c>
      <c r="AA1021" s="8" t="b">
        <v>0</v>
      </c>
      <c r="AB1021" s="8" t="b">
        <v>0</v>
      </c>
      <c r="AC1021" s="8" t="b">
        <v>0</v>
      </c>
      <c r="AD1021" s="8" t="b">
        <v>1</v>
      </c>
      <c r="AE1021" s="8" t="b">
        <v>0</v>
      </c>
      <c r="AG1021" s="11" t="b" cm="1">
        <f t="array" ref="AG1021">IF(OR(Y1021:AA1021="TRUE", AE1021="true"), "Threatened")</f>
        <v>0</v>
      </c>
      <c r="AH1021" s="11" t="s">
        <v>2791</v>
      </c>
      <c r="AI1021" s="8" t="b">
        <v>1</v>
      </c>
    </row>
    <row r="1022" spans="1:35" ht="31.2">
      <c r="A1022" s="8">
        <v>-73.971869679999998</v>
      </c>
      <c r="B1022" s="8">
        <v>40.778926990000002</v>
      </c>
      <c r="C1022" s="8" t="s">
        <v>2792</v>
      </c>
      <c r="D1022" s="8" t="s">
        <v>1141</v>
      </c>
      <c r="E1022" s="8" t="b">
        <f t="shared" si="15"/>
        <v>0</v>
      </c>
      <c r="F1022" s="8" t="str" cm="1">
        <f t="array" ref="F1022">_xlfn._xlws.FILTER(E1022:E4220, C1022:C4220= "6D-PM-1020-01", "No Squirrels Found")</f>
        <v>No Squirrels Found</v>
      </c>
      <c r="G1022" s="8" t="s">
        <v>48</v>
      </c>
      <c r="H1022" s="10">
        <v>10142018</v>
      </c>
      <c r="I1022" s="10">
        <v>3</v>
      </c>
      <c r="J1022" s="8" t="s">
        <v>54</v>
      </c>
      <c r="K1022" s="8" t="s">
        <v>40</v>
      </c>
      <c r="L1022" s="8" t="s">
        <v>41</v>
      </c>
      <c r="M1022" s="8" t="s">
        <v>42</v>
      </c>
      <c r="O1022" s="8" t="s">
        <v>43</v>
      </c>
      <c r="P1022" s="8" t="b">
        <v>0</v>
      </c>
      <c r="R1022" s="8" t="b">
        <v>1</v>
      </c>
      <c r="S1022" s="8" t="b">
        <v>0</v>
      </c>
      <c r="T1022" s="8" t="b">
        <v>0</v>
      </c>
      <c r="U1022" s="8" t="b">
        <v>1</v>
      </c>
      <c r="V1022" s="8" t="b">
        <v>1</v>
      </c>
      <c r="W1022" s="11" t="s">
        <v>2793</v>
      </c>
      <c r="X1022" s="8" t="b">
        <v>0</v>
      </c>
      <c r="Y1022" s="8" t="b">
        <v>0</v>
      </c>
      <c r="Z1022" s="8" t="b">
        <v>0</v>
      </c>
      <c r="AA1022" s="8" t="b">
        <v>0</v>
      </c>
      <c r="AB1022" s="8" t="b">
        <v>0</v>
      </c>
      <c r="AC1022" s="8" t="b">
        <v>0</v>
      </c>
      <c r="AD1022" s="8" t="b">
        <v>1</v>
      </c>
      <c r="AE1022" s="8" t="b">
        <v>0</v>
      </c>
      <c r="AG1022" s="11" t="b" cm="1">
        <f t="array" ref="AG1022">IF(OR(Y1022:AA1022="TRUE", AE1022="true"), "Threatened")</f>
        <v>0</v>
      </c>
      <c r="AH1022" s="11" t="s">
        <v>2794</v>
      </c>
      <c r="AI1022" s="8" t="b">
        <v>0</v>
      </c>
    </row>
    <row r="1023" spans="1:35" ht="31.2">
      <c r="A1023" s="8">
        <v>-73.954885349999998</v>
      </c>
      <c r="B1023" s="8">
        <v>40.798478359999997</v>
      </c>
      <c r="C1023" s="8" t="s">
        <v>2795</v>
      </c>
      <c r="D1023" s="8" t="s">
        <v>353</v>
      </c>
      <c r="E1023" s="8" t="b">
        <f t="shared" si="15"/>
        <v>0</v>
      </c>
      <c r="F1023" s="8" t="str" cm="1">
        <f t="array" ref="F1023">_xlfn._xlws.FILTER(E1023:E4221, C1023:C4221= "6D-PM-1020-01", "No Squirrels Found")</f>
        <v>No Squirrels Found</v>
      </c>
      <c r="G1023" s="8" t="s">
        <v>34</v>
      </c>
      <c r="H1023" s="10">
        <v>10142018</v>
      </c>
      <c r="I1023" s="10">
        <v>4</v>
      </c>
      <c r="J1023" s="8" t="s">
        <v>39</v>
      </c>
      <c r="K1023" s="8" t="s">
        <v>40</v>
      </c>
      <c r="L1023" s="8" t="s">
        <v>41</v>
      </c>
      <c r="M1023" s="8" t="s">
        <v>42</v>
      </c>
      <c r="O1023" s="8" t="s">
        <v>50</v>
      </c>
      <c r="P1023" s="8">
        <v>30</v>
      </c>
      <c r="R1023" s="8" t="b">
        <v>0</v>
      </c>
      <c r="S1023" s="8" t="b">
        <v>0</v>
      </c>
      <c r="T1023" s="8" t="b">
        <v>1</v>
      </c>
      <c r="U1023" s="8" t="b">
        <v>0</v>
      </c>
      <c r="V1023" s="8" t="b">
        <v>0</v>
      </c>
      <c r="W1023" s="11" t="s">
        <v>2796</v>
      </c>
      <c r="X1023" s="8" t="b">
        <v>0</v>
      </c>
      <c r="Y1023" s="8" t="b">
        <v>0</v>
      </c>
      <c r="Z1023" s="8" t="b">
        <v>0</v>
      </c>
      <c r="AA1023" s="8" t="b">
        <v>0</v>
      </c>
      <c r="AB1023" s="8" t="b">
        <v>0</v>
      </c>
      <c r="AC1023" s="8" t="b">
        <v>0</v>
      </c>
      <c r="AD1023" s="8" t="b">
        <v>0</v>
      </c>
      <c r="AE1023" s="8" t="b">
        <v>0</v>
      </c>
      <c r="AG1023" s="11" t="b" cm="1">
        <f t="array" ref="AG1023">IF(OR(Y1023:AA1023="TRUE", AE1023="true"), "Threatened")</f>
        <v>0</v>
      </c>
      <c r="AH1023" s="11" t="s">
        <v>2797</v>
      </c>
      <c r="AI1023" s="8" t="b">
        <v>0</v>
      </c>
    </row>
    <row r="1024" spans="1:35" ht="31.2">
      <c r="A1024" s="8">
        <v>-73.976088009999998</v>
      </c>
      <c r="B1024" s="8">
        <v>40.771105779999999</v>
      </c>
      <c r="C1024" s="8" t="s">
        <v>2798</v>
      </c>
      <c r="D1024" s="8" t="s">
        <v>2799</v>
      </c>
      <c r="E1024" s="8" t="b">
        <f t="shared" si="15"/>
        <v>1</v>
      </c>
      <c r="F1024" s="8" t="str" cm="1">
        <f t="array" ref="F1024">_xlfn._xlws.FILTER(E1024:E4222, C1024:C4222= "6D-PM-1020-01", "No Squirrels Found")</f>
        <v>No Squirrels Found</v>
      </c>
      <c r="G1024" s="8" t="s">
        <v>34</v>
      </c>
      <c r="H1024" s="10">
        <v>10202018</v>
      </c>
      <c r="I1024" s="10">
        <v>4</v>
      </c>
      <c r="J1024" s="8" t="s">
        <v>39</v>
      </c>
      <c r="K1024" s="8" t="s">
        <v>40</v>
      </c>
      <c r="M1024" s="8" t="s">
        <v>55</v>
      </c>
      <c r="O1024" s="8" t="s">
        <v>43</v>
      </c>
      <c r="P1024" s="8" t="b">
        <v>0</v>
      </c>
      <c r="R1024" s="8" t="b">
        <v>0</v>
      </c>
      <c r="S1024" s="8" t="b">
        <v>0</v>
      </c>
      <c r="T1024" s="8" t="b">
        <v>0</v>
      </c>
      <c r="U1024" s="8" t="b">
        <v>1</v>
      </c>
      <c r="V1024" s="8" t="b">
        <v>0</v>
      </c>
      <c r="X1024" s="8" t="b">
        <v>0</v>
      </c>
      <c r="Y1024" s="8" t="b">
        <v>0</v>
      </c>
      <c r="Z1024" s="8" t="b">
        <v>0</v>
      </c>
      <c r="AA1024" s="8" t="b">
        <v>0</v>
      </c>
      <c r="AB1024" s="8" t="b">
        <v>0</v>
      </c>
      <c r="AC1024" s="8" t="b">
        <v>0</v>
      </c>
      <c r="AD1024" s="8" t="b">
        <v>1</v>
      </c>
      <c r="AE1024" s="8" t="b">
        <v>0</v>
      </c>
      <c r="AG1024" s="11" t="b" cm="1">
        <f t="array" ref="AG1024">IF(OR(Y1024:AA1024="TRUE", AE1024="true"), "Threatened")</f>
        <v>0</v>
      </c>
      <c r="AH1024" s="11" t="s">
        <v>2800</v>
      </c>
      <c r="AI1024" s="8" t="b">
        <v>1</v>
      </c>
    </row>
    <row r="1025" spans="1:35" ht="31.2">
      <c r="A1025" s="8">
        <v>-73.952151470000004</v>
      </c>
      <c r="B1025" s="8">
        <v>40.794951519999998</v>
      </c>
      <c r="C1025" s="8" t="s">
        <v>2801</v>
      </c>
      <c r="D1025" s="8" t="s">
        <v>559</v>
      </c>
      <c r="E1025" s="8" t="b">
        <f t="shared" si="15"/>
        <v>0</v>
      </c>
      <c r="F1025" s="8" t="str" cm="1">
        <f t="array" ref="F1025">_xlfn._xlws.FILTER(E1025:E4223, C1025:C4223= "6D-PM-1020-01", "No Squirrels Found")</f>
        <v>No Squirrels Found</v>
      </c>
      <c r="G1025" s="8" t="s">
        <v>34</v>
      </c>
      <c r="H1025" s="10">
        <v>10132018</v>
      </c>
      <c r="I1025" s="10">
        <v>3</v>
      </c>
      <c r="J1025" s="8" t="s">
        <v>54</v>
      </c>
      <c r="K1025" s="8" t="s">
        <v>40</v>
      </c>
      <c r="L1025" s="8" t="s">
        <v>117</v>
      </c>
      <c r="M1025" s="8" t="s">
        <v>118</v>
      </c>
      <c r="O1025" s="8" t="s">
        <v>43</v>
      </c>
      <c r="P1025" s="8" t="b">
        <v>0</v>
      </c>
      <c r="R1025" s="8" t="b">
        <v>0</v>
      </c>
      <c r="S1025" s="8" t="b">
        <v>0</v>
      </c>
      <c r="T1025" s="8" t="b">
        <v>0</v>
      </c>
      <c r="U1025" s="8" t="b">
        <v>0</v>
      </c>
      <c r="V1025" s="8" t="b">
        <v>1</v>
      </c>
      <c r="X1025" s="8" t="b">
        <v>0</v>
      </c>
      <c r="Y1025" s="8" t="b">
        <v>0</v>
      </c>
      <c r="Z1025" s="8" t="b">
        <v>0</v>
      </c>
      <c r="AA1025" s="8" t="b">
        <v>0</v>
      </c>
      <c r="AB1025" s="8" t="b">
        <v>0</v>
      </c>
      <c r="AC1025" s="8" t="b">
        <v>1</v>
      </c>
      <c r="AD1025" s="8" t="b">
        <v>1</v>
      </c>
      <c r="AE1025" s="8" t="b">
        <v>1</v>
      </c>
      <c r="AG1025" s="11" t="b" cm="1">
        <f t="array" ref="AG1025">IF(OR(Y1025:AA1025="TRUE", AE1025="true"), "Threatened")</f>
        <v>0</v>
      </c>
      <c r="AH1025" s="11" t="s">
        <v>2802</v>
      </c>
      <c r="AI1025" s="8" t="b">
        <v>1</v>
      </c>
    </row>
    <row r="1026" spans="1:35" ht="31.2">
      <c r="A1026" s="8">
        <v>-73.976350659999994</v>
      </c>
      <c r="B1026" s="8">
        <v>40.771611389999997</v>
      </c>
      <c r="C1026" s="8" t="s">
        <v>2803</v>
      </c>
      <c r="D1026" s="8" t="s">
        <v>2804</v>
      </c>
      <c r="E1026" s="8" t="b">
        <f t="shared" si="15"/>
        <v>0</v>
      </c>
      <c r="F1026" s="8" t="str" cm="1">
        <f t="array" ref="F1026">_xlfn._xlws.FILTER(E1026:E4224, C1026:C4224= "6D-PM-1020-01", "No Squirrels Found")</f>
        <v>No Squirrels Found</v>
      </c>
      <c r="G1026" s="8" t="s">
        <v>34</v>
      </c>
      <c r="H1026" s="10">
        <v>10202018</v>
      </c>
      <c r="I1026" s="10">
        <v>5</v>
      </c>
      <c r="J1026" s="8" t="s">
        <v>54</v>
      </c>
      <c r="K1026" s="8" t="s">
        <v>40</v>
      </c>
      <c r="L1026" s="8" t="s">
        <v>41</v>
      </c>
      <c r="M1026" s="8" t="s">
        <v>42</v>
      </c>
      <c r="O1026" s="8" t="s">
        <v>43</v>
      </c>
      <c r="P1026" s="8" t="b">
        <v>0</v>
      </c>
      <c r="R1026" s="8" t="b">
        <v>0</v>
      </c>
      <c r="S1026" s="8" t="b">
        <v>0</v>
      </c>
      <c r="T1026" s="8" t="b">
        <v>0</v>
      </c>
      <c r="U1026" s="8" t="b">
        <v>1</v>
      </c>
      <c r="V1026" s="8" t="b">
        <v>0</v>
      </c>
      <c r="X1026" s="8" t="b">
        <v>0</v>
      </c>
      <c r="Y1026" s="8" t="b">
        <v>0</v>
      </c>
      <c r="Z1026" s="8" t="b">
        <v>0</v>
      </c>
      <c r="AA1026" s="8" t="b">
        <v>0</v>
      </c>
      <c r="AB1026" s="8" t="b">
        <v>0</v>
      </c>
      <c r="AC1026" s="8" t="b">
        <v>0</v>
      </c>
      <c r="AD1026" s="8" t="b">
        <v>0</v>
      </c>
      <c r="AE1026" s="8" t="b">
        <v>0</v>
      </c>
      <c r="AG1026" s="11" t="b" cm="1">
        <f t="array" ref="AG1026">IF(OR(Y1026:AA1026="TRUE", AE1026="true"), "Threatened")</f>
        <v>0</v>
      </c>
      <c r="AH1026" s="11" t="s">
        <v>2805</v>
      </c>
      <c r="AI1026" s="8" t="b">
        <v>1</v>
      </c>
    </row>
    <row r="1027" spans="1:35" ht="31.2">
      <c r="A1027" s="8">
        <v>-73.971095109999993</v>
      </c>
      <c r="B1027" s="8">
        <v>40.772501249999998</v>
      </c>
      <c r="C1027" s="8" t="s">
        <v>2806</v>
      </c>
      <c r="D1027" s="8" t="s">
        <v>329</v>
      </c>
      <c r="E1027" s="8" t="b">
        <f t="shared" ref="E1027:E1090" si="16">OR(D1027 = "05D", D1027 = "07D", D1027 = "06C", D1027 = "06E")</f>
        <v>0</v>
      </c>
      <c r="F1027" s="8" t="str" cm="1">
        <f t="array" ref="F1027">_xlfn._xlws.FILTER(E1027:E4225, C1027:C4225= "6D-PM-1020-01", "No Squirrels Found")</f>
        <v>No Squirrels Found</v>
      </c>
      <c r="G1027" s="8" t="s">
        <v>34</v>
      </c>
      <c r="H1027" s="10">
        <v>10192018</v>
      </c>
      <c r="I1027" s="10">
        <v>4</v>
      </c>
      <c r="J1027" s="8" t="s">
        <v>39</v>
      </c>
      <c r="K1027" s="8" t="s">
        <v>192</v>
      </c>
      <c r="M1027" s="8" t="s">
        <v>193</v>
      </c>
      <c r="O1027" s="8" t="s">
        <v>43</v>
      </c>
      <c r="P1027" s="8" t="b">
        <v>0</v>
      </c>
      <c r="Q1027" s="8" t="s">
        <v>713</v>
      </c>
      <c r="R1027" s="8" t="b">
        <v>0</v>
      </c>
      <c r="S1027" s="8" t="b">
        <v>0</v>
      </c>
      <c r="T1027" s="8" t="b">
        <v>0</v>
      </c>
      <c r="U1027" s="8" t="b">
        <v>0</v>
      </c>
      <c r="V1027" s="8" t="b">
        <v>1</v>
      </c>
      <c r="X1027" s="8" t="b">
        <v>0</v>
      </c>
      <c r="Y1027" s="8" t="b">
        <v>0</v>
      </c>
      <c r="Z1027" s="8" t="b">
        <v>0</v>
      </c>
      <c r="AA1027" s="8" t="b">
        <v>0</v>
      </c>
      <c r="AB1027" s="8" t="b">
        <v>0</v>
      </c>
      <c r="AC1027" s="8" t="b">
        <v>0</v>
      </c>
      <c r="AD1027" s="8" t="b">
        <v>1</v>
      </c>
      <c r="AE1027" s="8" t="b">
        <v>0</v>
      </c>
      <c r="AG1027" s="11" t="b" cm="1">
        <f t="array" ref="AG1027">IF(OR(Y1027:AA1027="TRUE", AE1027="true"), "Threatened")</f>
        <v>0</v>
      </c>
      <c r="AH1027" s="11" t="s">
        <v>2807</v>
      </c>
      <c r="AI1027" s="8" t="b">
        <v>1</v>
      </c>
    </row>
    <row r="1028" spans="1:35" ht="31.2">
      <c r="A1028" s="8">
        <v>-73.964001629999998</v>
      </c>
      <c r="B1028" s="8">
        <v>40.792175909999997</v>
      </c>
      <c r="C1028" s="8" t="s">
        <v>2808</v>
      </c>
      <c r="D1028" s="8" t="s">
        <v>125</v>
      </c>
      <c r="E1028" s="8" t="b">
        <f t="shared" si="16"/>
        <v>0</v>
      </c>
      <c r="F1028" s="8" t="str" cm="1">
        <f t="array" ref="F1028">_xlfn._xlws.FILTER(E1028:E4226, C1028:C4226= "6D-PM-1020-01", "No Squirrels Found")</f>
        <v>No Squirrels Found</v>
      </c>
      <c r="G1028" s="8" t="s">
        <v>34</v>
      </c>
      <c r="H1028" s="10">
        <v>10132018</v>
      </c>
      <c r="I1028" s="10">
        <v>1</v>
      </c>
      <c r="J1028" s="8" t="s">
        <v>54</v>
      </c>
      <c r="K1028" s="8" t="s">
        <v>40</v>
      </c>
      <c r="L1028" s="8" t="s">
        <v>84</v>
      </c>
      <c r="M1028" s="8" t="s">
        <v>103</v>
      </c>
      <c r="O1028" s="8" t="s">
        <v>43</v>
      </c>
      <c r="P1028" s="8" t="b">
        <v>0</v>
      </c>
      <c r="R1028" s="8" t="b">
        <v>0</v>
      </c>
      <c r="S1028" s="8" t="b">
        <v>0</v>
      </c>
      <c r="T1028" s="8" t="b">
        <v>0</v>
      </c>
      <c r="U1028" s="8" t="b">
        <v>0</v>
      </c>
      <c r="V1028" s="8" t="b">
        <v>1</v>
      </c>
      <c r="X1028" s="8" t="b">
        <v>0</v>
      </c>
      <c r="Y1028" s="8" t="b">
        <v>0</v>
      </c>
      <c r="Z1028" s="8" t="b">
        <v>0</v>
      </c>
      <c r="AA1028" s="8" t="b">
        <v>0</v>
      </c>
      <c r="AB1028" s="8" t="b">
        <v>0</v>
      </c>
      <c r="AC1028" s="8" t="b">
        <v>0</v>
      </c>
      <c r="AD1028" s="8" t="b">
        <v>0</v>
      </c>
      <c r="AE1028" s="8" t="b">
        <v>0</v>
      </c>
      <c r="AG1028" s="11" t="b" cm="1">
        <f t="array" ref="AG1028">IF(OR(Y1028:AA1028="TRUE", AE1028="true"), "Threatened")</f>
        <v>0</v>
      </c>
      <c r="AH1028" s="11" t="s">
        <v>2809</v>
      </c>
      <c r="AI1028" s="8" t="b">
        <v>1</v>
      </c>
    </row>
    <row r="1029" spans="1:35" ht="31.2">
      <c r="A1029" s="8">
        <v>-73.970701230000003</v>
      </c>
      <c r="B1029" s="8">
        <v>40.7758939</v>
      </c>
      <c r="C1029" s="8" t="s">
        <v>2810</v>
      </c>
      <c r="D1029" s="8" t="s">
        <v>79</v>
      </c>
      <c r="E1029" s="8" t="b">
        <f t="shared" si="16"/>
        <v>0</v>
      </c>
      <c r="F1029" s="8" t="str" cm="1">
        <f t="array" ref="F1029">_xlfn._xlws.FILTER(E1029:E4227, C1029:C4227= "6D-PM-1020-01", "No Squirrels Found")</f>
        <v>No Squirrels Found</v>
      </c>
      <c r="G1029" s="8" t="s">
        <v>34</v>
      </c>
      <c r="H1029" s="10">
        <v>10082018</v>
      </c>
      <c r="I1029" s="10">
        <v>3</v>
      </c>
      <c r="J1029" s="8" t="s">
        <v>54</v>
      </c>
      <c r="K1029" s="8" t="s">
        <v>40</v>
      </c>
      <c r="L1029" s="8" t="s">
        <v>84</v>
      </c>
      <c r="M1029" s="8" t="s">
        <v>103</v>
      </c>
      <c r="O1029" s="8" t="s">
        <v>50</v>
      </c>
      <c r="P1029" s="8">
        <v>10</v>
      </c>
      <c r="Q1029" s="8" t="s">
        <v>2811</v>
      </c>
      <c r="R1029" s="8" t="b">
        <v>0</v>
      </c>
      <c r="S1029" s="8" t="b">
        <v>0</v>
      </c>
      <c r="T1029" s="8" t="b">
        <v>0</v>
      </c>
      <c r="U1029" s="8" t="b">
        <v>0</v>
      </c>
      <c r="V1029" s="8" t="b">
        <v>1</v>
      </c>
      <c r="X1029" s="8" t="b">
        <v>0</v>
      </c>
      <c r="Y1029" s="8" t="b">
        <v>0</v>
      </c>
      <c r="Z1029" s="8" t="b">
        <v>0</v>
      </c>
      <c r="AA1029" s="8" t="b">
        <v>0</v>
      </c>
      <c r="AB1029" s="8" t="b">
        <v>0</v>
      </c>
      <c r="AC1029" s="8" t="b">
        <v>0</v>
      </c>
      <c r="AD1029" s="8" t="b">
        <v>1</v>
      </c>
      <c r="AE1029" s="8" t="b">
        <v>0</v>
      </c>
      <c r="AG1029" s="11" t="b" cm="1">
        <f t="array" ref="AG1029">IF(OR(Y1029:AA1029="TRUE", AE1029="true"), "Threatened")</f>
        <v>0</v>
      </c>
      <c r="AH1029" s="11" t="s">
        <v>2812</v>
      </c>
      <c r="AI1029" s="8" t="b">
        <v>1</v>
      </c>
    </row>
    <row r="1030" spans="1:35" ht="31.2">
      <c r="A1030" s="8">
        <v>-73.960125919999996</v>
      </c>
      <c r="B1030" s="8">
        <v>40.795535059999999</v>
      </c>
      <c r="C1030" s="8" t="s">
        <v>2813</v>
      </c>
      <c r="D1030" s="8" t="s">
        <v>1406</v>
      </c>
      <c r="E1030" s="8" t="b">
        <f t="shared" si="16"/>
        <v>0</v>
      </c>
      <c r="F1030" s="8" t="str" cm="1">
        <f t="array" ref="F1030">_xlfn._xlws.FILTER(E1030:E4228, C1030:C4228= "6D-PM-1020-01", "No Squirrels Found")</f>
        <v>No Squirrels Found</v>
      </c>
      <c r="G1030" s="8" t="s">
        <v>34</v>
      </c>
      <c r="H1030" s="10">
        <v>10132018</v>
      </c>
      <c r="I1030" s="10">
        <v>4</v>
      </c>
      <c r="K1030" s="8" t="s">
        <v>40</v>
      </c>
      <c r="L1030" s="8" t="s">
        <v>41</v>
      </c>
      <c r="M1030" s="8" t="s">
        <v>42</v>
      </c>
      <c r="O1030" s="8" t="s">
        <v>43</v>
      </c>
      <c r="P1030" s="8" t="b">
        <v>0</v>
      </c>
      <c r="R1030" s="8" t="b">
        <v>1</v>
      </c>
      <c r="S1030" s="8" t="b">
        <v>0</v>
      </c>
      <c r="T1030" s="8" t="b">
        <v>0</v>
      </c>
      <c r="U1030" s="8" t="b">
        <v>1</v>
      </c>
      <c r="V1030" s="8" t="b">
        <v>0</v>
      </c>
      <c r="X1030" s="8" t="b">
        <v>0</v>
      </c>
      <c r="Y1030" s="8" t="b">
        <v>0</v>
      </c>
      <c r="Z1030" s="8" t="b">
        <v>0</v>
      </c>
      <c r="AA1030" s="8" t="b">
        <v>0</v>
      </c>
      <c r="AB1030" s="8" t="b">
        <v>0</v>
      </c>
      <c r="AC1030" s="8" t="b">
        <v>0</v>
      </c>
      <c r="AD1030" s="8" t="b">
        <v>0</v>
      </c>
      <c r="AE1030" s="8" t="b">
        <v>1</v>
      </c>
      <c r="AG1030" s="11" t="b" cm="1">
        <f t="array" ref="AG1030">IF(OR(Y1030:AA1030="TRUE", AE1030="true"), "Threatened")</f>
        <v>0</v>
      </c>
      <c r="AH1030" s="11" t="s">
        <v>2814</v>
      </c>
      <c r="AI1030" s="8" t="b">
        <v>1</v>
      </c>
    </row>
    <row r="1031" spans="1:35" ht="31.2">
      <c r="A1031" s="8">
        <v>-73.969752670000005</v>
      </c>
      <c r="B1031" s="8">
        <v>40.77595298</v>
      </c>
      <c r="C1031" s="8" t="s">
        <v>2815</v>
      </c>
      <c r="D1031" s="8" t="s">
        <v>79</v>
      </c>
      <c r="E1031" s="8" t="b">
        <f t="shared" si="16"/>
        <v>0</v>
      </c>
      <c r="F1031" s="8" t="str" cm="1">
        <f t="array" ref="F1031">_xlfn._xlws.FILTER(E1031:E4229, C1031:C4229= "6D-PM-1020-01", "No Squirrels Found")</f>
        <v>No Squirrels Found</v>
      </c>
      <c r="G1031" s="8" t="s">
        <v>34</v>
      </c>
      <c r="H1031" s="10">
        <v>10082018</v>
      </c>
      <c r="I1031" s="10">
        <v>9</v>
      </c>
      <c r="J1031" s="8" t="s">
        <v>39</v>
      </c>
      <c r="K1031" s="8" t="s">
        <v>40</v>
      </c>
      <c r="L1031" s="8" t="s">
        <v>84</v>
      </c>
      <c r="M1031" s="8" t="s">
        <v>103</v>
      </c>
      <c r="O1031" s="8" t="s">
        <v>43</v>
      </c>
      <c r="P1031" s="8" t="b">
        <v>0</v>
      </c>
      <c r="R1031" s="8" t="b">
        <v>0</v>
      </c>
      <c r="S1031" s="8" t="b">
        <v>0</v>
      </c>
      <c r="T1031" s="8" t="b">
        <v>0</v>
      </c>
      <c r="U1031" s="8" t="b">
        <v>0</v>
      </c>
      <c r="V1031" s="8" t="b">
        <v>1</v>
      </c>
      <c r="X1031" s="8" t="b">
        <v>0</v>
      </c>
      <c r="Y1031" s="8" t="b">
        <v>0</v>
      </c>
      <c r="Z1031" s="8" t="b">
        <v>0</v>
      </c>
      <c r="AA1031" s="8" t="b">
        <v>0</v>
      </c>
      <c r="AB1031" s="8" t="b">
        <v>0</v>
      </c>
      <c r="AC1031" s="8" t="b">
        <v>0</v>
      </c>
      <c r="AD1031" s="8" t="b">
        <v>0</v>
      </c>
      <c r="AE1031" s="8" t="b">
        <v>1</v>
      </c>
      <c r="AG1031" s="11" t="b" cm="1">
        <f t="array" ref="AG1031">IF(OR(Y1031:AA1031="TRUE", AE1031="true"), "Threatened")</f>
        <v>0</v>
      </c>
      <c r="AH1031" s="11" t="s">
        <v>2816</v>
      </c>
      <c r="AI1031" s="8" t="b">
        <v>1</v>
      </c>
    </row>
    <row r="1032" spans="1:35" ht="31.2">
      <c r="A1032" s="8">
        <v>-73.976659359999999</v>
      </c>
      <c r="B1032" s="8">
        <v>40.773570820000003</v>
      </c>
      <c r="C1032" s="8" t="s">
        <v>2817</v>
      </c>
      <c r="D1032" s="8" t="s">
        <v>249</v>
      </c>
      <c r="E1032" s="8" t="b">
        <f t="shared" si="16"/>
        <v>0</v>
      </c>
      <c r="F1032" s="8" t="str" cm="1">
        <f t="array" ref="F1032">_xlfn._xlws.FILTER(E1032:E4230, C1032:C4230= "6D-PM-1020-01", "No Squirrels Found")</f>
        <v>No Squirrels Found</v>
      </c>
      <c r="G1032" s="8" t="s">
        <v>34</v>
      </c>
      <c r="H1032" s="10">
        <v>10122018</v>
      </c>
      <c r="I1032" s="10">
        <v>4</v>
      </c>
      <c r="J1032" s="8" t="s">
        <v>39</v>
      </c>
      <c r="K1032" s="8" t="s">
        <v>40</v>
      </c>
      <c r="L1032" s="8" t="s">
        <v>117</v>
      </c>
      <c r="M1032" s="8" t="s">
        <v>118</v>
      </c>
      <c r="O1032" s="8" t="s">
        <v>43</v>
      </c>
      <c r="P1032" s="8" t="b">
        <v>0</v>
      </c>
      <c r="R1032" s="8" t="b">
        <v>0</v>
      </c>
      <c r="S1032" s="8" t="b">
        <v>0</v>
      </c>
      <c r="T1032" s="8" t="b">
        <v>0</v>
      </c>
      <c r="U1032" s="8" t="b">
        <v>0</v>
      </c>
      <c r="V1032" s="8" t="b">
        <v>1</v>
      </c>
      <c r="X1032" s="8" t="b">
        <v>0</v>
      </c>
      <c r="Y1032" s="8" t="b">
        <v>0</v>
      </c>
      <c r="Z1032" s="8" t="b">
        <v>0</v>
      </c>
      <c r="AA1032" s="8" t="b">
        <v>0</v>
      </c>
      <c r="AB1032" s="8" t="b">
        <v>0</v>
      </c>
      <c r="AC1032" s="8" t="b">
        <v>0</v>
      </c>
      <c r="AD1032" s="8" t="b">
        <v>1</v>
      </c>
      <c r="AE1032" s="8" t="b">
        <v>0</v>
      </c>
      <c r="AG1032" s="11" t="b" cm="1">
        <f t="array" ref="AG1032">IF(OR(Y1032:AA1032="TRUE", AE1032="true"), "Threatened")</f>
        <v>0</v>
      </c>
      <c r="AH1032" s="11" t="s">
        <v>2818</v>
      </c>
      <c r="AI1032" s="8" t="b">
        <v>1</v>
      </c>
    </row>
    <row r="1033" spans="1:35" ht="31.2">
      <c r="A1033" s="8">
        <v>-73.963286859999997</v>
      </c>
      <c r="B1033" s="8">
        <v>40.79078063</v>
      </c>
      <c r="C1033" s="8" t="s">
        <v>2819</v>
      </c>
      <c r="D1033" s="8" t="s">
        <v>911</v>
      </c>
      <c r="E1033" s="8" t="b">
        <f t="shared" si="16"/>
        <v>0</v>
      </c>
      <c r="F1033" s="8" t="str" cm="1">
        <f t="array" ref="F1033">_xlfn._xlws.FILTER(E1033:E4231, C1033:C4231= "6D-PM-1020-01", "No Squirrels Found")</f>
        <v>No Squirrels Found</v>
      </c>
      <c r="G1033" s="8" t="s">
        <v>48</v>
      </c>
      <c r="H1033" s="10">
        <v>10072018</v>
      </c>
      <c r="I1033" s="10">
        <v>6</v>
      </c>
      <c r="J1033" s="8" t="s">
        <v>39</v>
      </c>
      <c r="K1033" s="8" t="s">
        <v>40</v>
      </c>
      <c r="M1033" s="8" t="s">
        <v>55</v>
      </c>
      <c r="O1033" s="8" t="s">
        <v>50</v>
      </c>
      <c r="P1033" s="8">
        <v>5</v>
      </c>
      <c r="R1033" s="8" t="b">
        <v>0</v>
      </c>
      <c r="S1033" s="8" t="b">
        <v>0</v>
      </c>
      <c r="T1033" s="8" t="b">
        <v>1</v>
      </c>
      <c r="U1033" s="8" t="b">
        <v>0</v>
      </c>
      <c r="V1033" s="8" t="b">
        <v>0</v>
      </c>
      <c r="X1033" s="8" t="b">
        <v>0</v>
      </c>
      <c r="Y1033" s="8" t="b">
        <v>0</v>
      </c>
      <c r="Z1033" s="8" t="b">
        <v>0</v>
      </c>
      <c r="AA1033" s="8" t="b">
        <v>0</v>
      </c>
      <c r="AB1033" s="8" t="b">
        <v>0</v>
      </c>
      <c r="AC1033" s="8" t="b">
        <v>0</v>
      </c>
      <c r="AD1033" s="8" t="b">
        <v>0</v>
      </c>
      <c r="AE1033" s="8" t="b">
        <v>0</v>
      </c>
      <c r="AG1033" s="11" t="b" cm="1">
        <f t="array" ref="AG1033">IF(OR(Y1033:AA1033="TRUE", AE1033="true"), "Threatened")</f>
        <v>0</v>
      </c>
      <c r="AH1033" s="11" t="s">
        <v>2820</v>
      </c>
      <c r="AI1033" s="8" t="b">
        <v>1</v>
      </c>
    </row>
    <row r="1034" spans="1:35" ht="31.2">
      <c r="A1034" s="8">
        <v>-73.975673610000001</v>
      </c>
      <c r="B1034" s="8">
        <v>40.769904429999997</v>
      </c>
      <c r="C1034" s="8" t="s">
        <v>2821</v>
      </c>
      <c r="D1034" s="8" t="s">
        <v>53</v>
      </c>
      <c r="E1034" s="8" t="b">
        <f t="shared" si="16"/>
        <v>1</v>
      </c>
      <c r="F1034" s="8" t="str" cm="1">
        <f t="array" ref="F1034">_xlfn._xlws.FILTER(E1034:E4232, C1034:C4232= "6D-PM-1020-01", "No Squirrels Found")</f>
        <v>No Squirrels Found</v>
      </c>
      <c r="G1034" s="8" t="s">
        <v>34</v>
      </c>
      <c r="H1034" s="10">
        <v>10182018</v>
      </c>
      <c r="I1034" s="10">
        <v>1</v>
      </c>
      <c r="J1034" s="8" t="s">
        <v>39</v>
      </c>
      <c r="K1034" s="8" t="s">
        <v>40</v>
      </c>
      <c r="M1034" s="8" t="s">
        <v>55</v>
      </c>
      <c r="O1034" s="8" t="s">
        <v>43</v>
      </c>
      <c r="P1034" s="8" t="b">
        <v>0</v>
      </c>
      <c r="R1034" s="8" t="b">
        <v>0</v>
      </c>
      <c r="S1034" s="8" t="b">
        <v>0</v>
      </c>
      <c r="T1034" s="8" t="b">
        <v>0</v>
      </c>
      <c r="U1034" s="8" t="b">
        <v>0</v>
      </c>
      <c r="V1034" s="8" t="b">
        <v>1</v>
      </c>
      <c r="X1034" s="8" t="b">
        <v>0</v>
      </c>
      <c r="Y1034" s="8" t="b">
        <v>0</v>
      </c>
      <c r="Z1034" s="8" t="b">
        <v>0</v>
      </c>
      <c r="AA1034" s="8" t="b">
        <v>0</v>
      </c>
      <c r="AB1034" s="8" t="b">
        <v>0</v>
      </c>
      <c r="AC1034" s="8" t="b">
        <v>0</v>
      </c>
      <c r="AD1034" s="8" t="b">
        <v>0</v>
      </c>
      <c r="AE1034" s="8" t="b">
        <v>1</v>
      </c>
      <c r="AG1034" s="11" t="b" cm="1">
        <f t="array" ref="AG1034">IF(OR(Y1034:AA1034="TRUE", AE1034="true"), "Threatened")</f>
        <v>0</v>
      </c>
      <c r="AH1034" s="11" t="s">
        <v>2822</v>
      </c>
      <c r="AI1034" s="8" t="b">
        <v>1</v>
      </c>
    </row>
    <row r="1035" spans="1:35" ht="31.2">
      <c r="A1035" s="8">
        <v>-73.955316379999999</v>
      </c>
      <c r="B1035" s="8">
        <v>40.798861090000003</v>
      </c>
      <c r="C1035" s="8" t="s">
        <v>2823</v>
      </c>
      <c r="D1035" s="8" t="s">
        <v>1429</v>
      </c>
      <c r="E1035" s="8" t="b">
        <f t="shared" si="16"/>
        <v>0</v>
      </c>
      <c r="F1035" s="8" t="str" cm="1">
        <f t="array" ref="F1035">_xlfn._xlws.FILTER(E1035:E4233, C1035:C4233= "6D-PM-1020-01", "No Squirrels Found")</f>
        <v>No Squirrels Found</v>
      </c>
      <c r="G1035" s="8" t="s">
        <v>34</v>
      </c>
      <c r="H1035" s="10">
        <v>10132018</v>
      </c>
      <c r="I1035" s="10">
        <v>4</v>
      </c>
      <c r="J1035" s="8" t="s">
        <v>39</v>
      </c>
      <c r="K1035" s="8" t="s">
        <v>41</v>
      </c>
      <c r="L1035" s="8" t="s">
        <v>40</v>
      </c>
      <c r="M1035" s="8" t="s">
        <v>110</v>
      </c>
      <c r="N1035" s="11" t="s">
        <v>2824</v>
      </c>
      <c r="O1035" s="8" t="s">
        <v>43</v>
      </c>
      <c r="P1035" s="8" t="b">
        <v>0</v>
      </c>
      <c r="R1035" s="8" t="b">
        <v>0</v>
      </c>
      <c r="S1035" s="8" t="b">
        <v>0</v>
      </c>
      <c r="T1035" s="8" t="b">
        <v>0</v>
      </c>
      <c r="U1035" s="8" t="b">
        <v>0</v>
      </c>
      <c r="V1035" s="8" t="b">
        <v>0</v>
      </c>
      <c r="W1035" s="11" t="s">
        <v>2825</v>
      </c>
      <c r="X1035" s="8" t="b">
        <v>0</v>
      </c>
      <c r="Y1035" s="8" t="b">
        <v>0</v>
      </c>
      <c r="Z1035" s="8" t="b">
        <v>0</v>
      </c>
      <c r="AA1035" s="8" t="b">
        <v>0</v>
      </c>
      <c r="AB1035" s="8" t="b">
        <v>0</v>
      </c>
      <c r="AC1035" s="8" t="b">
        <v>0</v>
      </c>
      <c r="AD1035" s="8" t="b">
        <v>1</v>
      </c>
      <c r="AE1035" s="8" t="b">
        <v>0</v>
      </c>
      <c r="AG1035" s="11" t="b" cm="1">
        <f t="array" ref="AG1035">IF(OR(Y1035:AA1035="TRUE", AE1035="true"), "Threatened")</f>
        <v>0</v>
      </c>
      <c r="AH1035" s="11" t="s">
        <v>2826</v>
      </c>
      <c r="AI1035" s="8" t="b">
        <v>0</v>
      </c>
    </row>
    <row r="1036" spans="1:35" ht="31.2">
      <c r="A1036" s="8">
        <v>-73.977256990000001</v>
      </c>
      <c r="B1036" s="8">
        <v>40.766480479999998</v>
      </c>
      <c r="C1036" s="8" t="s">
        <v>2827</v>
      </c>
      <c r="D1036" s="8" t="s">
        <v>2590</v>
      </c>
      <c r="E1036" s="8" t="b">
        <f t="shared" si="16"/>
        <v>0</v>
      </c>
      <c r="F1036" s="8" t="str" cm="1">
        <f t="array" ref="F1036">_xlfn._xlws.FILTER(E1036:E4234, C1036:C4234= "6D-PM-1020-01", "No Squirrels Found")</f>
        <v>No Squirrels Found</v>
      </c>
      <c r="G1036" s="8" t="s">
        <v>48</v>
      </c>
      <c r="H1036" s="10">
        <v>10062018</v>
      </c>
      <c r="I1036" s="10">
        <v>2</v>
      </c>
      <c r="J1036" s="8" t="s">
        <v>39</v>
      </c>
      <c r="K1036" s="8" t="s">
        <v>40</v>
      </c>
      <c r="L1036" s="8" t="s">
        <v>41</v>
      </c>
      <c r="M1036" s="8" t="s">
        <v>42</v>
      </c>
      <c r="O1036" s="8" t="s">
        <v>43</v>
      </c>
      <c r="P1036" s="8" t="b">
        <v>0</v>
      </c>
      <c r="R1036" s="8" t="b">
        <v>0</v>
      </c>
      <c r="S1036" s="8" t="b">
        <v>0</v>
      </c>
      <c r="T1036" s="8" t="b">
        <v>1</v>
      </c>
      <c r="U1036" s="8" t="b">
        <v>0</v>
      </c>
      <c r="V1036" s="8" t="b">
        <v>1</v>
      </c>
      <c r="X1036" s="8" t="b">
        <v>0</v>
      </c>
      <c r="Y1036" s="8" t="b">
        <v>0</v>
      </c>
      <c r="Z1036" s="8" t="b">
        <v>0</v>
      </c>
      <c r="AA1036" s="8" t="b">
        <v>0</v>
      </c>
      <c r="AB1036" s="8" t="b">
        <v>1</v>
      </c>
      <c r="AC1036" s="8" t="b">
        <v>0</v>
      </c>
      <c r="AD1036" s="8" t="b">
        <v>1</v>
      </c>
      <c r="AE1036" s="8" t="b">
        <v>0</v>
      </c>
      <c r="AG1036" s="11" t="b" cm="1">
        <f t="array" ref="AG1036">IF(OR(Y1036:AA1036="TRUE", AE1036="true"), "Threatened")</f>
        <v>0</v>
      </c>
      <c r="AH1036" s="11" t="s">
        <v>2828</v>
      </c>
      <c r="AI1036" s="8" t="b">
        <v>1</v>
      </c>
    </row>
    <row r="1037" spans="1:35" ht="31.2">
      <c r="A1037" s="8">
        <v>-73.970920759999998</v>
      </c>
      <c r="B1037" s="8">
        <v>40.7767932</v>
      </c>
      <c r="C1037" s="8" t="s">
        <v>2829</v>
      </c>
      <c r="D1037" s="8" t="s">
        <v>741</v>
      </c>
      <c r="E1037" s="8" t="b">
        <f t="shared" si="16"/>
        <v>0</v>
      </c>
      <c r="F1037" s="8" t="str" cm="1">
        <f t="array" ref="F1037">_xlfn._xlws.FILTER(E1037:E4235, C1037:C4235= "6D-PM-1020-01", "No Squirrels Found")</f>
        <v>No Squirrels Found</v>
      </c>
      <c r="G1037" s="8" t="s">
        <v>48</v>
      </c>
      <c r="H1037" s="10">
        <v>10142018</v>
      </c>
      <c r="I1037" s="10">
        <v>4</v>
      </c>
      <c r="J1037" s="8" t="s">
        <v>39</v>
      </c>
      <c r="K1037" s="8" t="s">
        <v>40</v>
      </c>
      <c r="L1037" s="8" t="s">
        <v>117</v>
      </c>
      <c r="M1037" s="8" t="s">
        <v>118</v>
      </c>
      <c r="O1037" s="8" t="s">
        <v>43</v>
      </c>
      <c r="P1037" s="8" t="b">
        <v>0</v>
      </c>
      <c r="R1037" s="8" t="b">
        <v>0</v>
      </c>
      <c r="S1037" s="8" t="b">
        <v>0</v>
      </c>
      <c r="T1037" s="8" t="b">
        <v>0</v>
      </c>
      <c r="U1037" s="8" t="b">
        <v>0</v>
      </c>
      <c r="V1037" s="8" t="b">
        <v>1</v>
      </c>
      <c r="X1037" s="8" t="b">
        <v>0</v>
      </c>
      <c r="Y1037" s="8" t="b">
        <v>0</v>
      </c>
      <c r="Z1037" s="8" t="b">
        <v>0</v>
      </c>
      <c r="AA1037" s="8" t="b">
        <v>0</v>
      </c>
      <c r="AB1037" s="8" t="b">
        <v>0</v>
      </c>
      <c r="AC1037" s="8" t="b">
        <v>1</v>
      </c>
      <c r="AD1037" s="8" t="b">
        <v>0</v>
      </c>
      <c r="AE1037" s="8" t="b">
        <v>0</v>
      </c>
      <c r="AG1037" s="11" t="b" cm="1">
        <f t="array" ref="AG1037">IF(OR(Y1037:AA1037="TRUE", AE1037="true"), "Threatened")</f>
        <v>0</v>
      </c>
      <c r="AH1037" s="11" t="s">
        <v>2830</v>
      </c>
      <c r="AI1037" s="8" t="b">
        <v>1</v>
      </c>
    </row>
    <row r="1038" spans="1:35" ht="31.2">
      <c r="A1038" s="8">
        <v>-73.967740980000002</v>
      </c>
      <c r="B1038" s="8">
        <v>40.776357910000002</v>
      </c>
      <c r="C1038" s="8" t="s">
        <v>2831</v>
      </c>
      <c r="D1038" s="8" t="s">
        <v>326</v>
      </c>
      <c r="E1038" s="8" t="b">
        <f t="shared" si="16"/>
        <v>0</v>
      </c>
      <c r="F1038" s="8" t="str" cm="1">
        <f t="array" ref="F1038">_xlfn._xlws.FILTER(E1038:E4236, C1038:C4236= "6D-PM-1020-01", "No Squirrels Found")</f>
        <v>No Squirrels Found</v>
      </c>
      <c r="G1038" s="8" t="s">
        <v>34</v>
      </c>
      <c r="H1038" s="10">
        <v>10192018</v>
      </c>
      <c r="I1038" s="10">
        <v>8</v>
      </c>
      <c r="J1038" s="8" t="s">
        <v>39</v>
      </c>
      <c r="M1038" s="8" t="s">
        <v>35</v>
      </c>
      <c r="O1038" s="8" t="s">
        <v>50</v>
      </c>
      <c r="P1038" s="8">
        <v>5</v>
      </c>
      <c r="R1038" s="8" t="b">
        <v>0</v>
      </c>
      <c r="S1038" s="8" t="b">
        <v>1</v>
      </c>
      <c r="T1038" s="8" t="b">
        <v>0</v>
      </c>
      <c r="U1038" s="8" t="b">
        <v>0</v>
      </c>
      <c r="V1038" s="8" t="b">
        <v>0</v>
      </c>
      <c r="X1038" s="8" t="b">
        <v>0</v>
      </c>
      <c r="Y1038" s="8" t="b">
        <v>1</v>
      </c>
      <c r="Z1038" s="8" t="b">
        <v>1</v>
      </c>
      <c r="AA1038" s="8" t="b">
        <v>0</v>
      </c>
      <c r="AB1038" s="8" t="b">
        <v>0</v>
      </c>
      <c r="AC1038" s="8" t="b">
        <v>0</v>
      </c>
      <c r="AD1038" s="8" t="b">
        <v>0</v>
      </c>
      <c r="AE1038" s="8" t="b">
        <v>0</v>
      </c>
      <c r="AG1038" s="11" t="b" cm="1">
        <f t="array" ref="AG1038">IF(OR(Y1038:AA1038="TRUE", AE1038="true"), "Threatened")</f>
        <v>0</v>
      </c>
      <c r="AH1038" s="11" t="s">
        <v>2832</v>
      </c>
      <c r="AI1038" s="8" t="b">
        <v>1</v>
      </c>
    </row>
    <row r="1039" spans="1:35" ht="31.2">
      <c r="A1039" s="8">
        <v>-73.956331120000002</v>
      </c>
      <c r="B1039" s="8">
        <v>40.795090160000001</v>
      </c>
      <c r="C1039" s="8" t="s">
        <v>2833</v>
      </c>
      <c r="D1039" s="8" t="s">
        <v>530</v>
      </c>
      <c r="E1039" s="8" t="b">
        <f t="shared" si="16"/>
        <v>0</v>
      </c>
      <c r="F1039" s="8" t="str" cm="1">
        <f t="array" ref="F1039">_xlfn._xlws.FILTER(E1039:E4237, C1039:C4237= "6D-PM-1020-01", "No Squirrels Found")</f>
        <v>No Squirrels Found</v>
      </c>
      <c r="G1039" s="8" t="s">
        <v>48</v>
      </c>
      <c r="H1039" s="10">
        <v>10102018</v>
      </c>
      <c r="I1039" s="10">
        <v>12</v>
      </c>
      <c r="J1039" s="8" t="s">
        <v>39</v>
      </c>
      <c r="K1039" s="8" t="s">
        <v>41</v>
      </c>
      <c r="M1039" s="8" t="s">
        <v>49</v>
      </c>
      <c r="O1039" s="8" t="s">
        <v>43</v>
      </c>
      <c r="P1039" s="8" t="b">
        <v>0</v>
      </c>
      <c r="Q1039" s="8" t="s">
        <v>2834</v>
      </c>
      <c r="R1039" s="8" t="b">
        <v>0</v>
      </c>
      <c r="S1039" s="8" t="b">
        <v>1</v>
      </c>
      <c r="T1039" s="8" t="b">
        <v>0</v>
      </c>
      <c r="U1039" s="8" t="b">
        <v>0</v>
      </c>
      <c r="V1039" s="8" t="b">
        <v>0</v>
      </c>
      <c r="X1039" s="8" t="b">
        <v>0</v>
      </c>
      <c r="Y1039" s="8" t="b">
        <v>0</v>
      </c>
      <c r="Z1039" s="8" t="b">
        <v>0</v>
      </c>
      <c r="AA1039" s="8" t="b">
        <v>1</v>
      </c>
      <c r="AB1039" s="8" t="b">
        <v>0</v>
      </c>
      <c r="AC1039" s="8" t="b">
        <v>0</v>
      </c>
      <c r="AD1039" s="8" t="b">
        <v>0</v>
      </c>
      <c r="AE1039" s="8" t="b">
        <v>0</v>
      </c>
      <c r="AF1039" s="11" t="s">
        <v>2835</v>
      </c>
      <c r="AG1039" s="11" t="b" cm="1">
        <f t="array" ref="AG1039">IF(OR(Y1039:AA1039="TRUE", AE1039="true"), "Threatened")</f>
        <v>0</v>
      </c>
      <c r="AH1039" s="11" t="s">
        <v>2836</v>
      </c>
      <c r="AI1039" s="8" t="b">
        <v>1</v>
      </c>
    </row>
    <row r="1040" spans="1:35" ht="31.2">
      <c r="A1040" s="8">
        <v>-73.958464599999999</v>
      </c>
      <c r="B1040" s="8">
        <v>40.798398470000002</v>
      </c>
      <c r="C1040" s="8" t="s">
        <v>2837</v>
      </c>
      <c r="D1040" s="8" t="s">
        <v>227</v>
      </c>
      <c r="E1040" s="8" t="b">
        <f t="shared" si="16"/>
        <v>0</v>
      </c>
      <c r="F1040" s="8" t="str" cm="1">
        <f t="array" ref="F1040">_xlfn._xlws.FILTER(E1040:E4238, C1040:C4238= "6D-PM-1020-01", "No Squirrels Found")</f>
        <v>No Squirrels Found</v>
      </c>
      <c r="G1040" s="8" t="s">
        <v>34</v>
      </c>
      <c r="H1040" s="10">
        <v>10142018</v>
      </c>
      <c r="I1040" s="10">
        <v>7</v>
      </c>
      <c r="J1040" s="8" t="s">
        <v>39</v>
      </c>
      <c r="K1040" s="8" t="s">
        <v>40</v>
      </c>
      <c r="L1040" s="8" t="s">
        <v>41</v>
      </c>
      <c r="M1040" s="8" t="s">
        <v>42</v>
      </c>
      <c r="O1040" s="8" t="s">
        <v>43</v>
      </c>
      <c r="P1040" s="8" t="b">
        <v>0</v>
      </c>
      <c r="R1040" s="8" t="b">
        <v>0</v>
      </c>
      <c r="S1040" s="8" t="b">
        <v>0</v>
      </c>
      <c r="T1040" s="8" t="b">
        <v>0</v>
      </c>
      <c r="U1040" s="8" t="b">
        <v>0</v>
      </c>
      <c r="V1040" s="8" t="b">
        <v>1</v>
      </c>
      <c r="X1040" s="8" t="b">
        <v>0</v>
      </c>
      <c r="Y1040" s="8" t="b">
        <v>0</v>
      </c>
      <c r="Z1040" s="8" t="b">
        <v>0</v>
      </c>
      <c r="AA1040" s="8" t="b">
        <v>0</v>
      </c>
      <c r="AB1040" s="8" t="b">
        <v>0</v>
      </c>
      <c r="AC1040" s="8" t="b">
        <v>0</v>
      </c>
      <c r="AD1040" s="8" t="b">
        <v>1</v>
      </c>
      <c r="AE1040" s="8" t="b">
        <v>0</v>
      </c>
      <c r="AG1040" s="11" t="b" cm="1">
        <f t="array" ref="AG1040">IF(OR(Y1040:AA1040="TRUE", AE1040="true"), "Threatened")</f>
        <v>0</v>
      </c>
      <c r="AH1040" s="11" t="s">
        <v>2838</v>
      </c>
      <c r="AI1040" s="8" t="b">
        <v>1</v>
      </c>
    </row>
    <row r="1041" spans="1:35" ht="31.2">
      <c r="A1041" s="8">
        <v>-73.970258900000005</v>
      </c>
      <c r="B1041" s="8">
        <v>40.776610750000003</v>
      </c>
      <c r="C1041" s="8" t="s">
        <v>2839</v>
      </c>
      <c r="D1041" s="8" t="s">
        <v>121</v>
      </c>
      <c r="E1041" s="8" t="b">
        <f t="shared" si="16"/>
        <v>0</v>
      </c>
      <c r="F1041" s="8" t="str" cm="1">
        <f t="array" ref="F1041">_xlfn._xlws.FILTER(E1041:E4239, C1041:C4239= "6D-PM-1020-01", "No Squirrels Found")</f>
        <v>No Squirrels Found</v>
      </c>
      <c r="G1041" s="8" t="s">
        <v>48</v>
      </c>
      <c r="H1041" s="10">
        <v>10082018</v>
      </c>
      <c r="I1041" s="10">
        <v>8</v>
      </c>
      <c r="J1041" s="8" t="s">
        <v>39</v>
      </c>
      <c r="K1041" s="8" t="s">
        <v>40</v>
      </c>
      <c r="M1041" s="8" t="s">
        <v>55</v>
      </c>
      <c r="O1041" s="8" t="s">
        <v>43</v>
      </c>
      <c r="P1041" s="8" t="b">
        <v>0</v>
      </c>
      <c r="R1041" s="8" t="b">
        <v>1</v>
      </c>
      <c r="S1041" s="8" t="b">
        <v>1</v>
      </c>
      <c r="T1041" s="8" t="b">
        <v>0</v>
      </c>
      <c r="U1041" s="8" t="b">
        <v>0</v>
      </c>
      <c r="V1041" s="8" t="b">
        <v>1</v>
      </c>
      <c r="X1041" s="8" t="b">
        <v>0</v>
      </c>
      <c r="Y1041" s="8" t="b">
        <v>0</v>
      </c>
      <c r="Z1041" s="8" t="b">
        <v>0</v>
      </c>
      <c r="AA1041" s="8" t="b">
        <v>0</v>
      </c>
      <c r="AB1041" s="8" t="b">
        <v>0</v>
      </c>
      <c r="AC1041" s="8" t="b">
        <v>0</v>
      </c>
      <c r="AD1041" s="8" t="b">
        <v>0</v>
      </c>
      <c r="AE1041" s="8" t="b">
        <v>1</v>
      </c>
      <c r="AG1041" s="11" t="b" cm="1">
        <f t="array" ref="AG1041">IF(OR(Y1041:AA1041="TRUE", AE1041="true"), "Threatened")</f>
        <v>0</v>
      </c>
      <c r="AH1041" s="11" t="s">
        <v>2840</v>
      </c>
      <c r="AI1041" s="8" t="b">
        <v>1</v>
      </c>
    </row>
    <row r="1042" spans="1:35" ht="31.2">
      <c r="A1042" s="8">
        <v>-73.964323649999997</v>
      </c>
      <c r="B1042" s="8">
        <v>40.788785480000001</v>
      </c>
      <c r="C1042" s="8" t="s">
        <v>2841</v>
      </c>
      <c r="D1042" s="8" t="s">
        <v>304</v>
      </c>
      <c r="E1042" s="8" t="b">
        <f t="shared" si="16"/>
        <v>0</v>
      </c>
      <c r="F1042" s="8" t="str" cm="1">
        <f t="array" ref="F1042">_xlfn._xlws.FILTER(E1042:E4240, C1042:C4240= "6D-PM-1020-01", "No Squirrels Found")</f>
        <v>No Squirrels Found</v>
      </c>
      <c r="G1042" s="8" t="s">
        <v>48</v>
      </c>
      <c r="H1042" s="10">
        <v>10142018</v>
      </c>
      <c r="I1042" s="10">
        <v>2</v>
      </c>
      <c r="J1042" s="8" t="s">
        <v>39</v>
      </c>
      <c r="K1042" s="8" t="s">
        <v>40</v>
      </c>
      <c r="M1042" s="8" t="s">
        <v>55</v>
      </c>
      <c r="O1042" s="8" t="s">
        <v>50</v>
      </c>
      <c r="P1042" s="8">
        <v>30</v>
      </c>
      <c r="R1042" s="8" t="b">
        <v>0</v>
      </c>
      <c r="S1042" s="8" t="b">
        <v>0</v>
      </c>
      <c r="T1042" s="8" t="b">
        <v>1</v>
      </c>
      <c r="U1042" s="8" t="b">
        <v>0</v>
      </c>
      <c r="V1042" s="8" t="b">
        <v>0</v>
      </c>
      <c r="X1042" s="8" t="b">
        <v>0</v>
      </c>
      <c r="Y1042" s="8" t="b">
        <v>0</v>
      </c>
      <c r="Z1042" s="8" t="b">
        <v>0</v>
      </c>
      <c r="AA1042" s="8" t="b">
        <v>0</v>
      </c>
      <c r="AB1042" s="8" t="b">
        <v>0</v>
      </c>
      <c r="AC1042" s="8" t="b">
        <v>0</v>
      </c>
      <c r="AD1042" s="8" t="b">
        <v>1</v>
      </c>
      <c r="AE1042" s="8" t="b">
        <v>0</v>
      </c>
      <c r="AG1042" s="11" t="b" cm="1">
        <f t="array" ref="AG1042">IF(OR(Y1042:AA1042="TRUE", AE1042="true"), "Threatened")</f>
        <v>0</v>
      </c>
      <c r="AH1042" s="11" t="s">
        <v>2842</v>
      </c>
      <c r="AI1042" s="8" t="b">
        <v>1</v>
      </c>
    </row>
    <row r="1043" spans="1:35" ht="31.2">
      <c r="A1043" s="8">
        <v>-73.959337430000005</v>
      </c>
      <c r="B1043" s="8">
        <v>40.797258339999999</v>
      </c>
      <c r="C1043" s="8" t="s">
        <v>2843</v>
      </c>
      <c r="D1043" s="8" t="s">
        <v>442</v>
      </c>
      <c r="E1043" s="8" t="b">
        <f t="shared" si="16"/>
        <v>0</v>
      </c>
      <c r="F1043" s="8" t="str" cm="1">
        <f t="array" ref="F1043">_xlfn._xlws.FILTER(E1043:E4241, C1043:C4241= "6D-PM-1020-01", "No Squirrels Found")</f>
        <v>No Squirrels Found</v>
      </c>
      <c r="G1043" s="8" t="s">
        <v>34</v>
      </c>
      <c r="H1043" s="10">
        <v>10182018</v>
      </c>
      <c r="I1043" s="10">
        <v>1</v>
      </c>
      <c r="J1043" s="8" t="s">
        <v>39</v>
      </c>
      <c r="K1043" s="8" t="s">
        <v>41</v>
      </c>
      <c r="L1043" s="8" t="s">
        <v>40</v>
      </c>
      <c r="M1043" s="8" t="s">
        <v>110</v>
      </c>
      <c r="O1043" s="8" t="s">
        <v>43</v>
      </c>
      <c r="P1043" s="8" t="b">
        <v>0</v>
      </c>
      <c r="R1043" s="8" t="b">
        <v>0</v>
      </c>
      <c r="S1043" s="8" t="b">
        <v>0</v>
      </c>
      <c r="T1043" s="8" t="b">
        <v>0</v>
      </c>
      <c r="U1043" s="8" t="b">
        <v>0</v>
      </c>
      <c r="V1043" s="8" t="b">
        <v>1</v>
      </c>
      <c r="X1043" s="8" t="b">
        <v>0</v>
      </c>
      <c r="Y1043" s="8" t="b">
        <v>0</v>
      </c>
      <c r="Z1043" s="8" t="b">
        <v>0</v>
      </c>
      <c r="AA1043" s="8" t="b">
        <v>0</v>
      </c>
      <c r="AB1043" s="8" t="b">
        <v>0</v>
      </c>
      <c r="AC1043" s="8" t="b">
        <v>0</v>
      </c>
      <c r="AD1043" s="8" t="b">
        <v>0</v>
      </c>
      <c r="AE1043" s="8" t="b">
        <v>0</v>
      </c>
      <c r="AG1043" s="11" t="b" cm="1">
        <f t="array" ref="AG1043">IF(OR(Y1043:AA1043="TRUE", AE1043="true"), "Threatened")</f>
        <v>0</v>
      </c>
      <c r="AH1043" s="11" t="s">
        <v>2844</v>
      </c>
      <c r="AI1043" s="8" t="b">
        <v>1</v>
      </c>
    </row>
    <row r="1044" spans="1:35" ht="31.2">
      <c r="A1044" s="8">
        <v>-73.975856440000001</v>
      </c>
      <c r="B1044" s="8">
        <v>40.76747589</v>
      </c>
      <c r="C1044" s="8" t="s">
        <v>2845</v>
      </c>
      <c r="D1044" s="8" t="s">
        <v>230</v>
      </c>
      <c r="E1044" s="8" t="b">
        <f t="shared" si="16"/>
        <v>0</v>
      </c>
      <c r="F1044" s="8" t="str" cm="1">
        <f t="array" ref="F1044">_xlfn._xlws.FILTER(E1044:E4242, C1044:C4242= "6D-PM-1020-01", "No Squirrels Found")</f>
        <v>No Squirrels Found</v>
      </c>
      <c r="G1044" s="8" t="s">
        <v>48</v>
      </c>
      <c r="H1044" s="10">
        <v>10062018</v>
      </c>
      <c r="I1044" s="10">
        <v>5</v>
      </c>
      <c r="J1044" s="8" t="s">
        <v>54</v>
      </c>
      <c r="K1044" s="8" t="s">
        <v>40</v>
      </c>
      <c r="M1044" s="8" t="s">
        <v>55</v>
      </c>
      <c r="O1044" s="8" t="s">
        <v>43</v>
      </c>
      <c r="P1044" s="8" t="b">
        <v>0</v>
      </c>
      <c r="R1044" s="8" t="b">
        <v>0</v>
      </c>
      <c r="S1044" s="8" t="b">
        <v>0</v>
      </c>
      <c r="T1044" s="8" t="b">
        <v>0</v>
      </c>
      <c r="U1044" s="8" t="b">
        <v>0</v>
      </c>
      <c r="V1044" s="8" t="b">
        <v>1</v>
      </c>
      <c r="X1044" s="8" t="b">
        <v>0</v>
      </c>
      <c r="Y1044" s="8" t="b">
        <v>0</v>
      </c>
      <c r="Z1044" s="8" t="b">
        <v>0</v>
      </c>
      <c r="AA1044" s="8" t="b">
        <v>0</v>
      </c>
      <c r="AB1044" s="8" t="b">
        <v>1</v>
      </c>
      <c r="AC1044" s="8" t="b">
        <v>0</v>
      </c>
      <c r="AD1044" s="8" t="b">
        <v>0</v>
      </c>
      <c r="AE1044" s="8" t="b">
        <v>0</v>
      </c>
      <c r="AG1044" s="11" t="b" cm="1">
        <f t="array" ref="AG1044">IF(OR(Y1044:AA1044="TRUE", AE1044="true"), "Threatened")</f>
        <v>0</v>
      </c>
      <c r="AH1044" s="11" t="s">
        <v>2846</v>
      </c>
      <c r="AI1044" s="8" t="b">
        <v>1</v>
      </c>
    </row>
    <row r="1045" spans="1:35" ht="31.2">
      <c r="A1045" s="8">
        <v>-73.969325409999996</v>
      </c>
      <c r="B1045" s="8">
        <v>40.77616003</v>
      </c>
      <c r="C1045" s="8" t="s">
        <v>2847</v>
      </c>
      <c r="D1045" s="8" t="s">
        <v>239</v>
      </c>
      <c r="E1045" s="8" t="b">
        <f t="shared" si="16"/>
        <v>0</v>
      </c>
      <c r="F1045" s="8" t="str" cm="1">
        <f t="array" ref="F1045">_xlfn._xlws.FILTER(E1045:E4243, C1045:C4243= "6D-PM-1020-01", "No Squirrels Found")</f>
        <v>No Squirrels Found</v>
      </c>
      <c r="G1045" s="8" t="s">
        <v>48</v>
      </c>
      <c r="H1045" s="10">
        <v>10072018</v>
      </c>
      <c r="I1045" s="10">
        <v>1</v>
      </c>
      <c r="J1045" s="8" t="s">
        <v>39</v>
      </c>
      <c r="K1045" s="8" t="s">
        <v>40</v>
      </c>
      <c r="L1045" s="8" t="s">
        <v>41</v>
      </c>
      <c r="M1045" s="8" t="s">
        <v>42</v>
      </c>
      <c r="O1045" s="8" t="s">
        <v>50</v>
      </c>
      <c r="P1045" s="8">
        <v>30</v>
      </c>
      <c r="R1045" s="8" t="b">
        <v>0</v>
      </c>
      <c r="S1045" s="8" t="b">
        <v>0</v>
      </c>
      <c r="T1045" s="8" t="b">
        <v>1</v>
      </c>
      <c r="U1045" s="8" t="b">
        <v>0</v>
      </c>
      <c r="V1045" s="8" t="b">
        <v>0</v>
      </c>
      <c r="X1045" s="8" t="b">
        <v>0</v>
      </c>
      <c r="Y1045" s="8" t="b">
        <v>0</v>
      </c>
      <c r="Z1045" s="8" t="b">
        <v>0</v>
      </c>
      <c r="AA1045" s="8" t="b">
        <v>0</v>
      </c>
      <c r="AB1045" s="8" t="b">
        <v>0</v>
      </c>
      <c r="AC1045" s="8" t="b">
        <v>0</v>
      </c>
      <c r="AD1045" s="8" t="b">
        <v>1</v>
      </c>
      <c r="AE1045" s="8" t="b">
        <v>0</v>
      </c>
      <c r="AG1045" s="11" t="b" cm="1">
        <f t="array" ref="AG1045">IF(OR(Y1045:AA1045="TRUE", AE1045="true"), "Threatened")</f>
        <v>0</v>
      </c>
      <c r="AH1045" s="11" t="s">
        <v>2848</v>
      </c>
      <c r="AI1045" s="8" t="b">
        <v>1</v>
      </c>
    </row>
    <row r="1046" spans="1:35" ht="31.2">
      <c r="A1046" s="8">
        <v>-73.973042070000005</v>
      </c>
      <c r="B1046" s="8">
        <v>40.778615100000003</v>
      </c>
      <c r="C1046" s="8" t="s">
        <v>2849</v>
      </c>
      <c r="D1046" s="8" t="s">
        <v>1141</v>
      </c>
      <c r="E1046" s="8" t="b">
        <f t="shared" si="16"/>
        <v>0</v>
      </c>
      <c r="F1046" s="8" t="str" cm="1">
        <f t="array" ref="F1046">_xlfn._xlws.FILTER(E1046:E4244, C1046:C4244= "6D-PM-1020-01", "No Squirrels Found")</f>
        <v>No Squirrels Found</v>
      </c>
      <c r="G1046" s="8" t="s">
        <v>48</v>
      </c>
      <c r="H1046" s="10">
        <v>10142018</v>
      </c>
      <c r="I1046" s="10">
        <v>1</v>
      </c>
      <c r="J1046" s="8" t="s">
        <v>39</v>
      </c>
      <c r="K1046" s="8" t="s">
        <v>40</v>
      </c>
      <c r="L1046" s="8" t="s">
        <v>41</v>
      </c>
      <c r="M1046" s="8" t="s">
        <v>42</v>
      </c>
      <c r="O1046" s="8" t="s">
        <v>50</v>
      </c>
      <c r="P1046" s="8">
        <v>40</v>
      </c>
      <c r="R1046" s="8" t="b">
        <v>0</v>
      </c>
      <c r="S1046" s="8" t="b">
        <v>0</v>
      </c>
      <c r="T1046" s="8" t="b">
        <v>1</v>
      </c>
      <c r="U1046" s="8" t="b">
        <v>0</v>
      </c>
      <c r="V1046" s="8" t="b">
        <v>1</v>
      </c>
      <c r="X1046" s="8" t="b">
        <v>0</v>
      </c>
      <c r="Y1046" s="8" t="b">
        <v>0</v>
      </c>
      <c r="Z1046" s="8" t="b">
        <v>0</v>
      </c>
      <c r="AA1046" s="8" t="b">
        <v>0</v>
      </c>
      <c r="AB1046" s="8" t="b">
        <v>0</v>
      </c>
      <c r="AC1046" s="8" t="b">
        <v>0</v>
      </c>
      <c r="AD1046" s="8" t="b">
        <v>0</v>
      </c>
      <c r="AE1046" s="8" t="b">
        <v>0</v>
      </c>
      <c r="AG1046" s="11" t="b" cm="1">
        <f t="array" ref="AG1046">IF(OR(Y1046:AA1046="TRUE", AE1046="true"), "Threatened")</f>
        <v>0</v>
      </c>
      <c r="AH1046" s="11" t="s">
        <v>2850</v>
      </c>
      <c r="AI1046" s="8" t="b">
        <v>1</v>
      </c>
    </row>
    <row r="1047" spans="1:35" ht="31.2">
      <c r="A1047" s="8">
        <v>-73.964789120000006</v>
      </c>
      <c r="B1047" s="8">
        <v>40.789853069999999</v>
      </c>
      <c r="C1047" s="8" t="s">
        <v>2851</v>
      </c>
      <c r="D1047" s="8" t="s">
        <v>1136</v>
      </c>
      <c r="E1047" s="8" t="b">
        <f t="shared" si="16"/>
        <v>0</v>
      </c>
      <c r="F1047" s="8" t="str" cm="1">
        <f t="array" ref="F1047">_xlfn._xlws.FILTER(E1047:E4245, C1047:C4245= "6D-PM-1020-01", "No Squirrels Found")</f>
        <v>No Squirrels Found</v>
      </c>
      <c r="G1047" s="8" t="s">
        <v>48</v>
      </c>
      <c r="H1047" s="10">
        <v>10072018</v>
      </c>
      <c r="I1047" s="10">
        <v>2</v>
      </c>
      <c r="J1047" s="8" t="s">
        <v>39</v>
      </c>
      <c r="K1047" s="8" t="s">
        <v>40</v>
      </c>
      <c r="M1047" s="8" t="s">
        <v>55</v>
      </c>
      <c r="O1047" s="8" t="s">
        <v>50</v>
      </c>
      <c r="P1047" s="8">
        <v>30</v>
      </c>
      <c r="R1047" s="8" t="b">
        <v>1</v>
      </c>
      <c r="S1047" s="8" t="b">
        <v>0</v>
      </c>
      <c r="T1047" s="8" t="b">
        <v>0</v>
      </c>
      <c r="U1047" s="8" t="b">
        <v>0</v>
      </c>
      <c r="V1047" s="8" t="b">
        <v>0</v>
      </c>
      <c r="X1047" s="8" t="b">
        <v>0</v>
      </c>
      <c r="Y1047" s="8" t="b">
        <v>0</v>
      </c>
      <c r="Z1047" s="8" t="b">
        <v>0</v>
      </c>
      <c r="AA1047" s="8" t="b">
        <v>1</v>
      </c>
      <c r="AB1047" s="8" t="b">
        <v>0</v>
      </c>
      <c r="AC1047" s="8" t="b">
        <v>0</v>
      </c>
      <c r="AD1047" s="8" t="b">
        <v>0</v>
      </c>
      <c r="AE1047" s="8" t="b">
        <v>0</v>
      </c>
      <c r="AG1047" s="11" t="b" cm="1">
        <f t="array" ref="AG1047">IF(OR(Y1047:AA1047="TRUE", AE1047="true"), "Threatened")</f>
        <v>0</v>
      </c>
      <c r="AH1047" s="11" t="s">
        <v>2852</v>
      </c>
      <c r="AI1047" s="8" t="b">
        <v>1</v>
      </c>
    </row>
    <row r="1048" spans="1:35" ht="31.2">
      <c r="A1048" s="8">
        <v>-73.958011110000001</v>
      </c>
      <c r="B1048" s="8">
        <v>40.785433939999997</v>
      </c>
      <c r="C1048" s="8" t="s">
        <v>2853</v>
      </c>
      <c r="D1048" s="8" t="s">
        <v>1086</v>
      </c>
      <c r="E1048" s="8" t="b">
        <f t="shared" si="16"/>
        <v>0</v>
      </c>
      <c r="F1048" s="8" t="str" cm="1">
        <f t="array" ref="F1048">_xlfn._xlws.FILTER(E1048:E4246, C1048:C4246= "6D-PM-1020-01", "No Squirrels Found")</f>
        <v>No Squirrels Found</v>
      </c>
      <c r="G1048" s="8" t="s">
        <v>34</v>
      </c>
      <c r="H1048" s="10">
        <v>10202018</v>
      </c>
      <c r="I1048" s="10">
        <v>2</v>
      </c>
      <c r="J1048" s="8" t="s">
        <v>39</v>
      </c>
      <c r="K1048" s="8" t="s">
        <v>40</v>
      </c>
      <c r="L1048" s="8" t="s">
        <v>84</v>
      </c>
      <c r="M1048" s="8" t="s">
        <v>103</v>
      </c>
      <c r="O1048" s="8" t="s">
        <v>43</v>
      </c>
      <c r="P1048" s="8" t="b">
        <v>0</v>
      </c>
      <c r="R1048" s="8" t="b">
        <v>1</v>
      </c>
      <c r="S1048" s="8" t="b">
        <v>0</v>
      </c>
      <c r="T1048" s="8" t="b">
        <v>0</v>
      </c>
      <c r="U1048" s="8" t="b">
        <v>0</v>
      </c>
      <c r="V1048" s="8" t="b">
        <v>0</v>
      </c>
      <c r="X1048" s="8" t="b">
        <v>0</v>
      </c>
      <c r="Y1048" s="8" t="b">
        <v>0</v>
      </c>
      <c r="Z1048" s="8" t="b">
        <v>0</v>
      </c>
      <c r="AA1048" s="8" t="b">
        <v>0</v>
      </c>
      <c r="AB1048" s="8" t="b">
        <v>0</v>
      </c>
      <c r="AC1048" s="8" t="b">
        <v>0</v>
      </c>
      <c r="AD1048" s="8" t="b">
        <v>0</v>
      </c>
      <c r="AE1048" s="8" t="b">
        <v>0</v>
      </c>
      <c r="AG1048" s="11" t="b" cm="1">
        <f t="array" ref="AG1048">IF(OR(Y1048:AA1048="TRUE", AE1048="true"), "Threatened")</f>
        <v>0</v>
      </c>
      <c r="AH1048" s="11" t="s">
        <v>2854</v>
      </c>
      <c r="AI1048" s="8" t="b">
        <v>1</v>
      </c>
    </row>
    <row r="1049" spans="1:35" ht="31.2">
      <c r="A1049" s="8">
        <v>-73.978212009999993</v>
      </c>
      <c r="B1049" s="8">
        <v>40.771715450000002</v>
      </c>
      <c r="C1049" s="8" t="s">
        <v>2855</v>
      </c>
      <c r="D1049" s="8" t="s">
        <v>874</v>
      </c>
      <c r="E1049" s="8" t="b">
        <f t="shared" si="16"/>
        <v>0</v>
      </c>
      <c r="F1049" s="8" t="str" cm="1">
        <f t="array" ref="F1049">_xlfn._xlws.FILTER(E1049:E4247, C1049:C4247= "6D-PM-1020-01", "No Squirrels Found")</f>
        <v>No Squirrels Found</v>
      </c>
      <c r="G1049" s="8" t="s">
        <v>48</v>
      </c>
      <c r="H1049" s="10">
        <v>10062018</v>
      </c>
      <c r="I1049" s="10">
        <v>5</v>
      </c>
      <c r="J1049" s="8" t="s">
        <v>39</v>
      </c>
      <c r="K1049" s="8" t="s">
        <v>40</v>
      </c>
      <c r="L1049" s="8" t="s">
        <v>117</v>
      </c>
      <c r="M1049" s="8" t="s">
        <v>118</v>
      </c>
      <c r="O1049" s="8" t="s">
        <v>50</v>
      </c>
      <c r="P1049" s="8">
        <v>4</v>
      </c>
      <c r="Q1049" s="8" t="s">
        <v>206</v>
      </c>
      <c r="R1049" s="8" t="b">
        <v>0</v>
      </c>
      <c r="S1049" s="8" t="b">
        <v>0</v>
      </c>
      <c r="T1049" s="8" t="b">
        <v>1</v>
      </c>
      <c r="U1049" s="8" t="b">
        <v>0</v>
      </c>
      <c r="V1049" s="8" t="b">
        <v>0</v>
      </c>
      <c r="X1049" s="8" t="b">
        <v>0</v>
      </c>
      <c r="Y1049" s="8" t="b">
        <v>0</v>
      </c>
      <c r="Z1049" s="8" t="b">
        <v>0</v>
      </c>
      <c r="AA1049" s="8" t="b">
        <v>1</v>
      </c>
      <c r="AB1049" s="8" t="b">
        <v>1</v>
      </c>
      <c r="AC1049" s="8" t="b">
        <v>0</v>
      </c>
      <c r="AD1049" s="8" t="b">
        <v>0</v>
      </c>
      <c r="AE1049" s="8" t="b">
        <v>0</v>
      </c>
      <c r="AF1049" s="11" t="s">
        <v>1751</v>
      </c>
      <c r="AG1049" s="11" t="b" cm="1">
        <f t="array" ref="AG1049">IF(OR(Y1049:AA1049="TRUE", AE1049="true"), "Threatened")</f>
        <v>0</v>
      </c>
      <c r="AH1049" s="11" t="s">
        <v>2856</v>
      </c>
      <c r="AI1049" s="8" t="b">
        <v>1</v>
      </c>
    </row>
    <row r="1050" spans="1:35" ht="31.2">
      <c r="A1050" s="8">
        <v>-73.956460640000003</v>
      </c>
      <c r="B1050" s="8">
        <v>40.78805466</v>
      </c>
      <c r="C1050" s="8" t="s">
        <v>2857</v>
      </c>
      <c r="D1050" s="8" t="s">
        <v>1915</v>
      </c>
      <c r="E1050" s="8" t="b">
        <f t="shared" si="16"/>
        <v>0</v>
      </c>
      <c r="F1050" s="8" t="str" cm="1">
        <f t="array" ref="F1050">_xlfn._xlws.FILTER(E1050:E4248, C1050:C4248= "6D-PM-1020-01", "No Squirrels Found")</f>
        <v>No Squirrels Found</v>
      </c>
      <c r="G1050" s="8" t="s">
        <v>34</v>
      </c>
      <c r="H1050" s="10">
        <v>10062018</v>
      </c>
      <c r="I1050" s="10">
        <v>6</v>
      </c>
      <c r="J1050" s="8" t="s">
        <v>39</v>
      </c>
      <c r="K1050" s="8" t="s">
        <v>40</v>
      </c>
      <c r="L1050" s="8" t="s">
        <v>84</v>
      </c>
      <c r="M1050" s="8" t="s">
        <v>103</v>
      </c>
      <c r="O1050" s="8" t="s">
        <v>43</v>
      </c>
      <c r="P1050" s="8" t="b">
        <v>0</v>
      </c>
      <c r="R1050" s="8" t="b">
        <v>1</v>
      </c>
      <c r="S1050" s="8" t="b">
        <v>0</v>
      </c>
      <c r="T1050" s="8" t="b">
        <v>0</v>
      </c>
      <c r="U1050" s="8" t="b">
        <v>0</v>
      </c>
      <c r="V1050" s="8" t="b">
        <v>0</v>
      </c>
      <c r="X1050" s="8" t="b">
        <v>0</v>
      </c>
      <c r="Y1050" s="8" t="b">
        <v>0</v>
      </c>
      <c r="Z1050" s="8" t="b">
        <v>0</v>
      </c>
      <c r="AA1050" s="8" t="b">
        <v>0</v>
      </c>
      <c r="AB1050" s="8" t="b">
        <v>0</v>
      </c>
      <c r="AC1050" s="8" t="b">
        <v>0</v>
      </c>
      <c r="AD1050" s="8" t="b">
        <v>1</v>
      </c>
      <c r="AE1050" s="8" t="b">
        <v>1</v>
      </c>
      <c r="AF1050" s="11" t="s">
        <v>1206</v>
      </c>
      <c r="AG1050" s="11" t="b" cm="1">
        <f t="array" ref="AG1050">IF(OR(Y1050:AA1050="TRUE", AE1050="true"), "Threatened")</f>
        <v>0</v>
      </c>
      <c r="AH1050" s="11" t="s">
        <v>2858</v>
      </c>
      <c r="AI1050" s="8" t="b">
        <v>1</v>
      </c>
    </row>
    <row r="1051" spans="1:35" ht="31.2">
      <c r="A1051" s="8">
        <v>-73.956264210000001</v>
      </c>
      <c r="B1051" s="8">
        <v>40.798333880000001</v>
      </c>
      <c r="C1051" s="8" t="s">
        <v>2859</v>
      </c>
      <c r="D1051" s="8" t="s">
        <v>1133</v>
      </c>
      <c r="E1051" s="8" t="b">
        <f t="shared" si="16"/>
        <v>0</v>
      </c>
      <c r="F1051" s="8" t="str" cm="1">
        <f t="array" ref="F1051">_xlfn._xlws.FILTER(E1051:E4249, C1051:C4249= "6D-PM-1020-01", "No Squirrels Found")</f>
        <v>No Squirrels Found</v>
      </c>
      <c r="G1051" s="8" t="s">
        <v>48</v>
      </c>
      <c r="H1051" s="10">
        <v>10172018</v>
      </c>
      <c r="I1051" s="10">
        <v>2</v>
      </c>
      <c r="J1051" s="8" t="s">
        <v>39</v>
      </c>
      <c r="K1051" s="8" t="s">
        <v>41</v>
      </c>
      <c r="L1051" s="8" t="s">
        <v>40</v>
      </c>
      <c r="M1051" s="8" t="s">
        <v>110</v>
      </c>
      <c r="O1051" s="8" t="s">
        <v>43</v>
      </c>
      <c r="P1051" s="8" t="b">
        <v>0</v>
      </c>
      <c r="R1051" s="8" t="b">
        <v>0</v>
      </c>
      <c r="S1051" s="8" t="b">
        <v>0</v>
      </c>
      <c r="T1051" s="8" t="b">
        <v>0</v>
      </c>
      <c r="U1051" s="8" t="b">
        <v>0</v>
      </c>
      <c r="V1051" s="8" t="b">
        <v>1</v>
      </c>
      <c r="X1051" s="8" t="b">
        <v>0</v>
      </c>
      <c r="Y1051" s="8" t="b">
        <v>0</v>
      </c>
      <c r="Z1051" s="8" t="b">
        <v>0</v>
      </c>
      <c r="AA1051" s="8" t="b">
        <v>0</v>
      </c>
      <c r="AB1051" s="8" t="b">
        <v>0</v>
      </c>
      <c r="AC1051" s="8" t="b">
        <v>1</v>
      </c>
      <c r="AD1051" s="8" t="b">
        <v>0</v>
      </c>
      <c r="AE1051" s="8" t="b">
        <v>0</v>
      </c>
      <c r="AG1051" s="11" t="b" cm="1">
        <f t="array" ref="AG1051">IF(OR(Y1051:AA1051="TRUE", AE1051="true"), "Threatened")</f>
        <v>0</v>
      </c>
      <c r="AH1051" s="11" t="s">
        <v>2860</v>
      </c>
      <c r="AI1051" s="8" t="b">
        <v>1</v>
      </c>
    </row>
    <row r="1052" spans="1:35" ht="31.2">
      <c r="A1052" s="8">
        <v>-73.961374699999993</v>
      </c>
      <c r="B1052" s="8">
        <v>40.792048389999998</v>
      </c>
      <c r="C1052" s="8" t="s">
        <v>2861</v>
      </c>
      <c r="D1052" s="8" t="s">
        <v>290</v>
      </c>
      <c r="E1052" s="8" t="b">
        <f t="shared" si="16"/>
        <v>0</v>
      </c>
      <c r="F1052" s="8" t="str" cm="1">
        <f t="array" ref="F1052">_xlfn._xlws.FILTER(E1052:E4250, C1052:C4250= "6D-PM-1020-01", "No Squirrels Found")</f>
        <v>No Squirrels Found</v>
      </c>
      <c r="G1052" s="8" t="s">
        <v>34</v>
      </c>
      <c r="H1052" s="10">
        <v>10072018</v>
      </c>
      <c r="I1052" s="10">
        <v>1</v>
      </c>
      <c r="J1052" s="8" t="s">
        <v>39</v>
      </c>
      <c r="K1052" s="8" t="s">
        <v>40</v>
      </c>
      <c r="M1052" s="8" t="s">
        <v>55</v>
      </c>
      <c r="O1052" s="8" t="s">
        <v>43</v>
      </c>
      <c r="P1052" s="8" t="b">
        <v>0</v>
      </c>
      <c r="R1052" s="8" t="b">
        <v>1</v>
      </c>
      <c r="S1052" s="8" t="b">
        <v>0</v>
      </c>
      <c r="T1052" s="8" t="b">
        <v>1</v>
      </c>
      <c r="U1052" s="8" t="b">
        <v>0</v>
      </c>
      <c r="V1052" s="8" t="b">
        <v>0</v>
      </c>
      <c r="X1052" s="8" t="b">
        <v>0</v>
      </c>
      <c r="Y1052" s="8" t="b">
        <v>0</v>
      </c>
      <c r="Z1052" s="8" t="b">
        <v>0</v>
      </c>
      <c r="AA1052" s="8" t="b">
        <v>0</v>
      </c>
      <c r="AB1052" s="8" t="b">
        <v>0</v>
      </c>
      <c r="AC1052" s="8" t="b">
        <v>0</v>
      </c>
      <c r="AD1052" s="8" t="b">
        <v>0</v>
      </c>
      <c r="AE1052" s="8" t="b">
        <v>1</v>
      </c>
      <c r="AG1052" s="11" t="b" cm="1">
        <f t="array" ref="AG1052">IF(OR(Y1052:AA1052="TRUE", AE1052="true"), "Threatened")</f>
        <v>0</v>
      </c>
      <c r="AH1052" s="11" t="s">
        <v>2862</v>
      </c>
      <c r="AI1052" s="8" t="b">
        <v>1</v>
      </c>
    </row>
    <row r="1053" spans="1:35" ht="31.2">
      <c r="A1053" s="8">
        <v>-73.977385819999995</v>
      </c>
      <c r="B1053" s="8">
        <v>40.770807699999999</v>
      </c>
      <c r="C1053" s="8" t="s">
        <v>2863</v>
      </c>
      <c r="D1053" s="8" t="s">
        <v>2864</v>
      </c>
      <c r="E1053" s="8" t="b">
        <f t="shared" si="16"/>
        <v>0</v>
      </c>
      <c r="F1053" s="8" t="str" cm="1">
        <f t="array" ref="F1053">_xlfn._xlws.FILTER(E1053:E4251, C1053:C4251= "6D-PM-1020-01", "No Squirrels Found")</f>
        <v>No Squirrels Found</v>
      </c>
      <c r="G1053" s="8" t="s">
        <v>34</v>
      </c>
      <c r="H1053" s="10">
        <v>10132018</v>
      </c>
      <c r="I1053" s="10">
        <v>1</v>
      </c>
      <c r="J1053" s="8" t="s">
        <v>39</v>
      </c>
      <c r="K1053" s="8" t="s">
        <v>40</v>
      </c>
      <c r="L1053" s="8" t="s">
        <v>41</v>
      </c>
      <c r="M1053" s="8" t="s">
        <v>42</v>
      </c>
      <c r="O1053" s="8" t="s">
        <v>43</v>
      </c>
      <c r="P1053" s="8" t="b">
        <v>0</v>
      </c>
      <c r="R1053" s="8" t="b">
        <v>0</v>
      </c>
      <c r="S1053" s="8" t="b">
        <v>0</v>
      </c>
      <c r="T1053" s="8" t="b">
        <v>0</v>
      </c>
      <c r="U1053" s="8" t="b">
        <v>1</v>
      </c>
      <c r="V1053" s="8" t="b">
        <v>1</v>
      </c>
      <c r="X1053" s="8" t="b">
        <v>0</v>
      </c>
      <c r="Y1053" s="8" t="b">
        <v>0</v>
      </c>
      <c r="Z1053" s="8" t="b">
        <v>0</v>
      </c>
      <c r="AA1053" s="8" t="b">
        <v>0</v>
      </c>
      <c r="AB1053" s="8" t="b">
        <v>0</v>
      </c>
      <c r="AC1053" s="8" t="b">
        <v>0</v>
      </c>
      <c r="AD1053" s="8" t="b">
        <v>0</v>
      </c>
      <c r="AE1053" s="8" t="b">
        <v>0</v>
      </c>
      <c r="AG1053" s="11" t="b" cm="1">
        <f t="array" ref="AG1053">IF(OR(Y1053:AA1053="TRUE", AE1053="true"), "Threatened")</f>
        <v>0</v>
      </c>
      <c r="AH1053" s="11" t="s">
        <v>2865</v>
      </c>
      <c r="AI1053" s="8" t="b">
        <v>1</v>
      </c>
    </row>
    <row r="1054" spans="1:35" ht="31.2">
      <c r="A1054" s="8">
        <v>-73.968585970000007</v>
      </c>
      <c r="B1054" s="8">
        <v>40.784880510000001</v>
      </c>
      <c r="C1054" s="8" t="s">
        <v>2866</v>
      </c>
      <c r="D1054" s="8" t="s">
        <v>2867</v>
      </c>
      <c r="E1054" s="8" t="b">
        <f t="shared" si="16"/>
        <v>0</v>
      </c>
      <c r="F1054" s="8" t="str" cm="1">
        <f t="array" ref="F1054">_xlfn._xlws.FILTER(E1054:E4252, C1054:C4252= "6D-PM-1020-01", "No Squirrels Found")</f>
        <v>No Squirrels Found</v>
      </c>
      <c r="G1054" s="8" t="s">
        <v>48</v>
      </c>
      <c r="H1054" s="10">
        <v>10182018</v>
      </c>
      <c r="I1054" s="10">
        <v>4</v>
      </c>
      <c r="J1054" s="8" t="s">
        <v>39</v>
      </c>
      <c r="K1054" s="8" t="s">
        <v>40</v>
      </c>
      <c r="M1054" s="8" t="s">
        <v>55</v>
      </c>
      <c r="O1054" s="8" t="s">
        <v>50</v>
      </c>
      <c r="P1054" s="8">
        <v>3</v>
      </c>
      <c r="Q1054" s="8" t="s">
        <v>2868</v>
      </c>
      <c r="R1054" s="8" t="b">
        <v>0</v>
      </c>
      <c r="S1054" s="8" t="b">
        <v>0</v>
      </c>
      <c r="T1054" s="8" t="b">
        <v>1</v>
      </c>
      <c r="U1054" s="8" t="b">
        <v>0</v>
      </c>
      <c r="V1054" s="8" t="b">
        <v>0</v>
      </c>
      <c r="X1054" s="8" t="b">
        <v>0</v>
      </c>
      <c r="Y1054" s="8" t="b">
        <v>0</v>
      </c>
      <c r="Z1054" s="8" t="b">
        <v>0</v>
      </c>
      <c r="AA1054" s="8" t="b">
        <v>0</v>
      </c>
      <c r="AB1054" s="8" t="b">
        <v>0</v>
      </c>
      <c r="AC1054" s="8" t="b">
        <v>0</v>
      </c>
      <c r="AD1054" s="8" t="b">
        <v>0</v>
      </c>
      <c r="AE1054" s="8" t="b">
        <v>1</v>
      </c>
      <c r="AG1054" s="11" t="b" cm="1">
        <f t="array" ref="AG1054">IF(OR(Y1054:AA1054="TRUE", AE1054="true"), "Threatened")</f>
        <v>0</v>
      </c>
      <c r="AH1054" s="11" t="s">
        <v>2869</v>
      </c>
      <c r="AI1054" s="8" t="b">
        <v>1</v>
      </c>
    </row>
    <row r="1055" spans="1:35" ht="31.2">
      <c r="A1055" s="8">
        <v>-73.957005050000006</v>
      </c>
      <c r="B1055" s="8">
        <v>40.798519229999997</v>
      </c>
      <c r="C1055" s="8" t="s">
        <v>2870</v>
      </c>
      <c r="D1055" s="8" t="s">
        <v>1248</v>
      </c>
      <c r="E1055" s="8" t="b">
        <f t="shared" si="16"/>
        <v>0</v>
      </c>
      <c r="F1055" s="8" t="str" cm="1">
        <f t="array" ref="F1055">_xlfn._xlws.FILTER(E1055:E4253, C1055:C4253= "6D-PM-1020-01", "No Squirrels Found")</f>
        <v>No Squirrels Found</v>
      </c>
      <c r="G1055" s="8" t="s">
        <v>48</v>
      </c>
      <c r="H1055" s="10">
        <v>10172018</v>
      </c>
      <c r="I1055" s="10">
        <v>5</v>
      </c>
      <c r="J1055" s="8" t="s">
        <v>39</v>
      </c>
      <c r="K1055" s="8" t="s">
        <v>40</v>
      </c>
      <c r="L1055" s="8" t="s">
        <v>84</v>
      </c>
      <c r="M1055" s="8" t="s">
        <v>103</v>
      </c>
      <c r="O1055" s="8" t="s">
        <v>43</v>
      </c>
      <c r="P1055" s="8" t="b">
        <v>0</v>
      </c>
      <c r="R1055" s="8" t="b">
        <v>1</v>
      </c>
      <c r="S1055" s="8" t="b">
        <v>0</v>
      </c>
      <c r="T1055" s="8" t="b">
        <v>0</v>
      </c>
      <c r="U1055" s="8" t="b">
        <v>0</v>
      </c>
      <c r="V1055" s="8" t="b">
        <v>0</v>
      </c>
      <c r="X1055" s="8" t="b">
        <v>0</v>
      </c>
      <c r="Y1055" s="8" t="b">
        <v>0</v>
      </c>
      <c r="Z1055" s="8" t="b">
        <v>0</v>
      </c>
      <c r="AA1055" s="8" t="b">
        <v>0</v>
      </c>
      <c r="AB1055" s="8" t="b">
        <v>0</v>
      </c>
      <c r="AC1055" s="8" t="b">
        <v>0</v>
      </c>
      <c r="AD1055" s="8" t="b">
        <v>0</v>
      </c>
      <c r="AE1055" s="8" t="b">
        <v>1</v>
      </c>
      <c r="AG1055" s="11" t="b" cm="1">
        <f t="array" ref="AG1055">IF(OR(Y1055:AA1055="TRUE", AE1055="true"), "Threatened")</f>
        <v>0</v>
      </c>
      <c r="AH1055" s="11" t="s">
        <v>2871</v>
      </c>
      <c r="AI1055" s="8" t="b">
        <v>1</v>
      </c>
    </row>
    <row r="1056" spans="1:35" ht="31.2">
      <c r="A1056" s="8">
        <v>-73.963233709999997</v>
      </c>
      <c r="B1056" s="8">
        <v>40.79146824</v>
      </c>
      <c r="C1056" s="8" t="s">
        <v>2872</v>
      </c>
      <c r="D1056" s="8" t="s">
        <v>2508</v>
      </c>
      <c r="E1056" s="8" t="b">
        <f t="shared" si="16"/>
        <v>0</v>
      </c>
      <c r="F1056" s="8" t="str" cm="1">
        <f t="array" ref="F1056">_xlfn._xlws.FILTER(E1056:E4254, C1056:C4254= "6D-PM-1020-01", "No Squirrels Found")</f>
        <v>No Squirrels Found</v>
      </c>
      <c r="G1056" s="8" t="s">
        <v>34</v>
      </c>
      <c r="H1056" s="10">
        <v>10072018</v>
      </c>
      <c r="I1056" s="10">
        <v>1</v>
      </c>
      <c r="J1056" s="8" t="s">
        <v>39</v>
      </c>
      <c r="K1056" s="8" t="s">
        <v>40</v>
      </c>
      <c r="L1056" s="8" t="s">
        <v>41</v>
      </c>
      <c r="M1056" s="8" t="s">
        <v>42</v>
      </c>
      <c r="O1056" s="8" t="s">
        <v>50</v>
      </c>
      <c r="P1056" s="8">
        <v>10</v>
      </c>
      <c r="R1056" s="8" t="b">
        <v>0</v>
      </c>
      <c r="S1056" s="8" t="b">
        <v>1</v>
      </c>
      <c r="T1056" s="8" t="b">
        <v>1</v>
      </c>
      <c r="U1056" s="8" t="b">
        <v>0</v>
      </c>
      <c r="V1056" s="8" t="b">
        <v>0</v>
      </c>
      <c r="W1056" s="11" t="s">
        <v>2873</v>
      </c>
      <c r="X1056" s="8" t="b">
        <v>0</v>
      </c>
      <c r="Y1056" s="8" t="b">
        <v>0</v>
      </c>
      <c r="Z1056" s="8" t="b">
        <v>0</v>
      </c>
      <c r="AA1056" s="8" t="b">
        <v>0</v>
      </c>
      <c r="AB1056" s="8" t="b">
        <v>0</v>
      </c>
      <c r="AC1056" s="8" t="b">
        <v>0</v>
      </c>
      <c r="AD1056" s="8" t="b">
        <v>0</v>
      </c>
      <c r="AE1056" s="8" t="b">
        <v>1</v>
      </c>
      <c r="AG1056" s="11" t="b" cm="1">
        <f t="array" ref="AG1056">IF(OR(Y1056:AA1056="TRUE", AE1056="true"), "Threatened")</f>
        <v>0</v>
      </c>
      <c r="AH1056" s="11" t="s">
        <v>2874</v>
      </c>
      <c r="AI1056" s="8" t="b">
        <v>0</v>
      </c>
    </row>
    <row r="1057" spans="1:35" ht="31.2">
      <c r="A1057" s="8">
        <v>-73.981107840000007</v>
      </c>
      <c r="B1057" s="8">
        <v>40.767515940000003</v>
      </c>
      <c r="C1057" s="8" t="s">
        <v>2875</v>
      </c>
      <c r="D1057" s="8" t="s">
        <v>1780</v>
      </c>
      <c r="E1057" s="8" t="b">
        <f t="shared" si="16"/>
        <v>0</v>
      </c>
      <c r="F1057" s="8" t="str" cm="1">
        <f t="array" ref="F1057">_xlfn._xlws.FILTER(E1057:E4255, C1057:C4255= "6D-PM-1020-01", "No Squirrels Found")</f>
        <v>No Squirrels Found</v>
      </c>
      <c r="G1057" s="8" t="s">
        <v>48</v>
      </c>
      <c r="H1057" s="10">
        <v>10072018</v>
      </c>
      <c r="I1057" s="10">
        <v>4</v>
      </c>
      <c r="J1057" s="8" t="s">
        <v>39</v>
      </c>
      <c r="K1057" s="8" t="s">
        <v>41</v>
      </c>
      <c r="L1057" s="8" t="s">
        <v>40</v>
      </c>
      <c r="M1057" s="8" t="s">
        <v>110</v>
      </c>
      <c r="O1057" s="8" t="s">
        <v>43</v>
      </c>
      <c r="P1057" s="8" t="b">
        <v>0</v>
      </c>
      <c r="R1057" s="8" t="b">
        <v>0</v>
      </c>
      <c r="S1057" s="8" t="b">
        <v>0</v>
      </c>
      <c r="T1057" s="8" t="b">
        <v>0</v>
      </c>
      <c r="U1057" s="8" t="b">
        <v>0</v>
      </c>
      <c r="V1057" s="8" t="b">
        <v>1</v>
      </c>
      <c r="X1057" s="8" t="b">
        <v>0</v>
      </c>
      <c r="Y1057" s="8" t="b">
        <v>0</v>
      </c>
      <c r="Z1057" s="8" t="b">
        <v>0</v>
      </c>
      <c r="AA1057" s="8" t="b">
        <v>0</v>
      </c>
      <c r="AB1057" s="8" t="b">
        <v>0</v>
      </c>
      <c r="AC1057" s="8" t="b">
        <v>0</v>
      </c>
      <c r="AD1057" s="8" t="b">
        <v>1</v>
      </c>
      <c r="AE1057" s="8" t="b">
        <v>0</v>
      </c>
      <c r="AG1057" s="11" t="b" cm="1">
        <f t="array" ref="AG1057">IF(OR(Y1057:AA1057="TRUE", AE1057="true"), "Threatened")</f>
        <v>0</v>
      </c>
      <c r="AH1057" s="11" t="s">
        <v>2876</v>
      </c>
      <c r="AI1057" s="8" t="b">
        <v>1</v>
      </c>
    </row>
    <row r="1058" spans="1:35" ht="31.2">
      <c r="A1058" s="8">
        <v>-73.959440619999995</v>
      </c>
      <c r="B1058" s="8">
        <v>40.791853369999998</v>
      </c>
      <c r="C1058" s="8" t="s">
        <v>2877</v>
      </c>
      <c r="D1058" s="8" t="s">
        <v>1205</v>
      </c>
      <c r="E1058" s="8" t="b">
        <f t="shared" si="16"/>
        <v>0</v>
      </c>
      <c r="F1058" s="8" t="str" cm="1">
        <f t="array" ref="F1058">_xlfn._xlws.FILTER(E1058:E4256, C1058:C4256= "6D-PM-1020-01", "No Squirrels Found")</f>
        <v>No Squirrels Found</v>
      </c>
      <c r="G1058" s="8" t="s">
        <v>48</v>
      </c>
      <c r="H1058" s="10">
        <v>10172018</v>
      </c>
      <c r="I1058" s="10">
        <v>2</v>
      </c>
      <c r="J1058" s="8" t="s">
        <v>39</v>
      </c>
      <c r="K1058" s="8" t="s">
        <v>192</v>
      </c>
      <c r="L1058" s="8" t="s">
        <v>41</v>
      </c>
      <c r="M1058" s="8" t="s">
        <v>717</v>
      </c>
      <c r="O1058" s="8" t="s">
        <v>43</v>
      </c>
      <c r="P1058" s="8" t="b">
        <v>0</v>
      </c>
      <c r="R1058" s="8" t="b">
        <v>0</v>
      </c>
      <c r="S1058" s="8" t="b">
        <v>0</v>
      </c>
      <c r="T1058" s="8" t="b">
        <v>0</v>
      </c>
      <c r="U1058" s="8" t="b">
        <v>0</v>
      </c>
      <c r="V1058" s="8" t="b">
        <v>1</v>
      </c>
      <c r="X1058" s="8" t="b">
        <v>0</v>
      </c>
      <c r="Y1058" s="8" t="b">
        <v>0</v>
      </c>
      <c r="Z1058" s="8" t="b">
        <v>0</v>
      </c>
      <c r="AA1058" s="8" t="b">
        <v>0</v>
      </c>
      <c r="AB1058" s="8" t="b">
        <v>1</v>
      </c>
      <c r="AC1058" s="8" t="b">
        <v>1</v>
      </c>
      <c r="AD1058" s="8" t="b">
        <v>0</v>
      </c>
      <c r="AE1058" s="8" t="b">
        <v>0</v>
      </c>
      <c r="AG1058" s="11" t="b" cm="1">
        <f t="array" ref="AG1058">IF(OR(Y1058:AA1058="TRUE", AE1058="true"), "Threatened")</f>
        <v>0</v>
      </c>
      <c r="AH1058" s="11" t="s">
        <v>2878</v>
      </c>
      <c r="AI1058" s="8" t="b">
        <v>1</v>
      </c>
    </row>
    <row r="1059" spans="1:35" ht="31.2">
      <c r="A1059" s="8">
        <v>-73.973710069999996</v>
      </c>
      <c r="B1059" s="8">
        <v>40.770836009999996</v>
      </c>
      <c r="C1059" s="8" t="s">
        <v>2879</v>
      </c>
      <c r="D1059" s="8" t="s">
        <v>159</v>
      </c>
      <c r="E1059" s="8" t="b">
        <f t="shared" si="16"/>
        <v>0</v>
      </c>
      <c r="F1059" s="8" t="str" cm="1">
        <f t="array" ref="F1059">_xlfn._xlws.FILTER(E1059:E4257, C1059:C4257= "6D-PM-1020-01", "No Squirrels Found")</f>
        <v>No Squirrels Found</v>
      </c>
      <c r="G1059" s="8" t="s">
        <v>34</v>
      </c>
      <c r="H1059" s="10">
        <v>10132018</v>
      </c>
      <c r="I1059" s="10">
        <v>3</v>
      </c>
      <c r="J1059" s="8" t="s">
        <v>39</v>
      </c>
      <c r="K1059" s="8" t="s">
        <v>40</v>
      </c>
      <c r="M1059" s="8" t="s">
        <v>55</v>
      </c>
      <c r="O1059" s="8" t="s">
        <v>43</v>
      </c>
      <c r="P1059" s="8" t="b">
        <v>0</v>
      </c>
      <c r="Q1059" s="8" t="s">
        <v>2880</v>
      </c>
      <c r="R1059" s="8" t="b">
        <v>0</v>
      </c>
      <c r="S1059" s="8" t="b">
        <v>0</v>
      </c>
      <c r="T1059" s="8" t="b">
        <v>0</v>
      </c>
      <c r="U1059" s="8" t="b">
        <v>0</v>
      </c>
      <c r="V1059" s="8" t="b">
        <v>1</v>
      </c>
      <c r="X1059" s="8" t="b">
        <v>0</v>
      </c>
      <c r="Y1059" s="8" t="b">
        <v>0</v>
      </c>
      <c r="Z1059" s="8" t="b">
        <v>0</v>
      </c>
      <c r="AA1059" s="8" t="b">
        <v>1</v>
      </c>
      <c r="AB1059" s="8" t="b">
        <v>1</v>
      </c>
      <c r="AC1059" s="8" t="b">
        <v>0</v>
      </c>
      <c r="AD1059" s="8" t="b">
        <v>1</v>
      </c>
      <c r="AE1059" s="8" t="b">
        <v>0</v>
      </c>
      <c r="AG1059" s="11" t="b" cm="1">
        <f t="array" ref="AG1059">IF(OR(Y1059:AA1059="TRUE", AE1059="true"), "Threatened")</f>
        <v>0</v>
      </c>
      <c r="AH1059" s="11" t="s">
        <v>2881</v>
      </c>
      <c r="AI1059" s="8" t="b">
        <v>1</v>
      </c>
    </row>
    <row r="1060" spans="1:35" ht="31.2">
      <c r="A1060" s="8">
        <v>-73.974945750000003</v>
      </c>
      <c r="B1060" s="8">
        <v>40.767671239999999</v>
      </c>
      <c r="C1060" s="8" t="s">
        <v>2882</v>
      </c>
      <c r="D1060" s="8" t="s">
        <v>1706</v>
      </c>
      <c r="E1060" s="8" t="b">
        <f t="shared" si="16"/>
        <v>0</v>
      </c>
      <c r="F1060" s="8" t="str" cm="1">
        <f t="array" ref="F1060">_xlfn._xlws.FILTER(E1060:E4258, C1060:C4258= "6D-PM-1020-01", "No Squirrels Found")</f>
        <v>No Squirrels Found</v>
      </c>
      <c r="G1060" s="8" t="s">
        <v>34</v>
      </c>
      <c r="H1060" s="10">
        <v>10132018</v>
      </c>
      <c r="I1060" s="10">
        <v>7</v>
      </c>
      <c r="J1060" s="8" t="s">
        <v>39</v>
      </c>
      <c r="K1060" s="8" t="s">
        <v>40</v>
      </c>
      <c r="L1060" s="8" t="s">
        <v>41</v>
      </c>
      <c r="M1060" s="8" t="s">
        <v>42</v>
      </c>
      <c r="O1060" s="8" t="s">
        <v>43</v>
      </c>
      <c r="P1060" s="8" t="b">
        <v>0</v>
      </c>
      <c r="R1060" s="8" t="b">
        <v>1</v>
      </c>
      <c r="S1060" s="8" t="b">
        <v>0</v>
      </c>
      <c r="T1060" s="8" t="b">
        <v>0</v>
      </c>
      <c r="U1060" s="8" t="b">
        <v>0</v>
      </c>
      <c r="V1060" s="8" t="b">
        <v>0</v>
      </c>
      <c r="X1060" s="8" t="b">
        <v>0</v>
      </c>
      <c r="Y1060" s="8" t="b">
        <v>0</v>
      </c>
      <c r="Z1060" s="8" t="b">
        <v>0</v>
      </c>
      <c r="AA1060" s="8" t="b">
        <v>1</v>
      </c>
      <c r="AB1060" s="8" t="b">
        <v>0</v>
      </c>
      <c r="AC1060" s="8" t="b">
        <v>0</v>
      </c>
      <c r="AD1060" s="8" t="b">
        <v>0</v>
      </c>
      <c r="AE1060" s="8" t="b">
        <v>1</v>
      </c>
      <c r="AG1060" s="11" t="b" cm="1">
        <f t="array" ref="AG1060">IF(OR(Y1060:AA1060="TRUE", AE1060="true"), "Threatened")</f>
        <v>0</v>
      </c>
      <c r="AH1060" s="11" t="s">
        <v>2883</v>
      </c>
      <c r="AI1060" s="8" t="b">
        <v>1</v>
      </c>
    </row>
    <row r="1061" spans="1:35" ht="31.2">
      <c r="A1061" s="8">
        <v>-73.972887110000002</v>
      </c>
      <c r="B1061" s="8">
        <v>40.771298369999997</v>
      </c>
      <c r="C1061" s="8" t="s">
        <v>2884</v>
      </c>
      <c r="D1061" s="8" t="s">
        <v>776</v>
      </c>
      <c r="E1061" s="8" t="b">
        <f t="shared" si="16"/>
        <v>0</v>
      </c>
      <c r="F1061" s="8" t="str" cm="1">
        <f t="array" ref="F1061">_xlfn._xlws.FILTER(E1061:E4259, C1061:C4259= "6D-PM-1020-01", "No Squirrels Found")</f>
        <v>No Squirrels Found</v>
      </c>
      <c r="G1061" s="8" t="s">
        <v>34</v>
      </c>
      <c r="H1061" s="10">
        <v>10122018</v>
      </c>
      <c r="I1061" s="10">
        <v>8</v>
      </c>
      <c r="J1061" s="8" t="s">
        <v>39</v>
      </c>
      <c r="K1061" s="8" t="s">
        <v>40</v>
      </c>
      <c r="L1061" s="8" t="s">
        <v>41</v>
      </c>
      <c r="M1061" s="8" t="s">
        <v>42</v>
      </c>
      <c r="O1061" s="8" t="s">
        <v>50</v>
      </c>
      <c r="P1061" s="8">
        <v>10</v>
      </c>
      <c r="R1061" s="8" t="b">
        <v>0</v>
      </c>
      <c r="S1061" s="8" t="b">
        <v>0</v>
      </c>
      <c r="T1061" s="8" t="b">
        <v>0</v>
      </c>
      <c r="U1061" s="8" t="b">
        <v>1</v>
      </c>
      <c r="V1061" s="8" t="b">
        <v>0</v>
      </c>
      <c r="X1061" s="8" t="b">
        <v>0</v>
      </c>
      <c r="Y1061" s="8" t="b">
        <v>0</v>
      </c>
      <c r="Z1061" s="8" t="b">
        <v>0</v>
      </c>
      <c r="AA1061" s="8" t="b">
        <v>0</v>
      </c>
      <c r="AB1061" s="8" t="b">
        <v>0</v>
      </c>
      <c r="AC1061" s="8" t="b">
        <v>0</v>
      </c>
      <c r="AD1061" s="8" t="b">
        <v>0</v>
      </c>
      <c r="AE1061" s="8" t="b">
        <v>1</v>
      </c>
      <c r="AG1061" s="11" t="b" cm="1">
        <f t="array" ref="AG1061">IF(OR(Y1061:AA1061="TRUE", AE1061="true"), "Threatened")</f>
        <v>0</v>
      </c>
      <c r="AH1061" s="11" t="s">
        <v>2885</v>
      </c>
      <c r="AI1061" s="8" t="b">
        <v>1</v>
      </c>
    </row>
    <row r="1062" spans="1:35" ht="31.2">
      <c r="A1062" s="8">
        <v>-73.953265770000002</v>
      </c>
      <c r="B1062" s="8">
        <v>40.794904680000002</v>
      </c>
      <c r="C1062" s="8" t="s">
        <v>2886</v>
      </c>
      <c r="D1062" s="8" t="s">
        <v>153</v>
      </c>
      <c r="E1062" s="8" t="b">
        <f t="shared" si="16"/>
        <v>0</v>
      </c>
      <c r="F1062" s="8" t="str" cm="1">
        <f t="array" ref="F1062">_xlfn._xlws.FILTER(E1062:E4260, C1062:C4260= "6D-PM-1020-01", "No Squirrels Found")</f>
        <v>No Squirrels Found</v>
      </c>
      <c r="G1062" s="8" t="s">
        <v>48</v>
      </c>
      <c r="H1062" s="10">
        <v>10182018</v>
      </c>
      <c r="I1062" s="10">
        <v>2</v>
      </c>
      <c r="J1062" s="8" t="s">
        <v>54</v>
      </c>
      <c r="K1062" s="8" t="s">
        <v>40</v>
      </c>
      <c r="M1062" s="8" t="s">
        <v>55</v>
      </c>
      <c r="O1062" s="8" t="s">
        <v>50</v>
      </c>
      <c r="P1062" s="8">
        <v>25</v>
      </c>
      <c r="Q1062" s="8" t="s">
        <v>2868</v>
      </c>
      <c r="R1062" s="8" t="b">
        <v>0</v>
      </c>
      <c r="S1062" s="8" t="b">
        <v>0</v>
      </c>
      <c r="T1062" s="8" t="b">
        <v>0</v>
      </c>
      <c r="U1062" s="8" t="b">
        <v>0</v>
      </c>
      <c r="V1062" s="8" t="b">
        <v>0</v>
      </c>
      <c r="W1062" s="11" t="s">
        <v>2887</v>
      </c>
      <c r="X1062" s="8" t="b">
        <v>0</v>
      </c>
      <c r="Y1062" s="8" t="b">
        <v>0</v>
      </c>
      <c r="Z1062" s="8" t="b">
        <v>0</v>
      </c>
      <c r="AA1062" s="8" t="b">
        <v>0</v>
      </c>
      <c r="AB1062" s="8" t="b">
        <v>0</v>
      </c>
      <c r="AC1062" s="8" t="b">
        <v>0</v>
      </c>
      <c r="AD1062" s="8" t="b">
        <v>1</v>
      </c>
      <c r="AE1062" s="8" t="b">
        <v>0</v>
      </c>
      <c r="AG1062" s="11" t="b" cm="1">
        <f t="array" ref="AG1062">IF(OR(Y1062:AA1062="TRUE", AE1062="true"), "Threatened")</f>
        <v>0</v>
      </c>
      <c r="AH1062" s="11" t="s">
        <v>2888</v>
      </c>
      <c r="AI1062" s="8" t="b">
        <v>0</v>
      </c>
    </row>
    <row r="1063" spans="1:35" ht="31.2">
      <c r="A1063" s="8">
        <v>-73.957259669999999</v>
      </c>
      <c r="B1063" s="8">
        <v>40.797444290000001</v>
      </c>
      <c r="C1063" s="8" t="s">
        <v>2889</v>
      </c>
      <c r="D1063" s="8" t="s">
        <v>233</v>
      </c>
      <c r="E1063" s="8" t="b">
        <f t="shared" si="16"/>
        <v>0</v>
      </c>
      <c r="F1063" s="8" t="str" cm="1">
        <f t="array" ref="F1063">_xlfn._xlws.FILTER(E1063:E4261, C1063:C4261= "6D-PM-1020-01", "No Squirrels Found")</f>
        <v>No Squirrels Found</v>
      </c>
      <c r="G1063" s="8" t="s">
        <v>48</v>
      </c>
      <c r="H1063" s="10">
        <v>10172018</v>
      </c>
      <c r="I1063" s="10">
        <v>2</v>
      </c>
      <c r="J1063" s="8" t="s">
        <v>39</v>
      </c>
      <c r="K1063" s="8" t="s">
        <v>40</v>
      </c>
      <c r="L1063" s="8" t="s">
        <v>41</v>
      </c>
      <c r="M1063" s="8" t="s">
        <v>42</v>
      </c>
      <c r="O1063" s="8" t="s">
        <v>43</v>
      </c>
      <c r="P1063" s="8" t="b">
        <v>0</v>
      </c>
      <c r="R1063" s="8" t="b">
        <v>0</v>
      </c>
      <c r="S1063" s="8" t="b">
        <v>0</v>
      </c>
      <c r="T1063" s="8" t="b">
        <v>0</v>
      </c>
      <c r="U1063" s="8" t="b">
        <v>1</v>
      </c>
      <c r="V1063" s="8" t="b">
        <v>0</v>
      </c>
      <c r="X1063" s="8" t="b">
        <v>0</v>
      </c>
      <c r="Y1063" s="8" t="b">
        <v>0</v>
      </c>
      <c r="Z1063" s="8" t="b">
        <v>0</v>
      </c>
      <c r="AA1063" s="8" t="b">
        <v>0</v>
      </c>
      <c r="AB1063" s="8" t="b">
        <v>1</v>
      </c>
      <c r="AC1063" s="8" t="b">
        <v>0</v>
      </c>
      <c r="AD1063" s="8" t="b">
        <v>1</v>
      </c>
      <c r="AE1063" s="8" t="b">
        <v>0</v>
      </c>
      <c r="AG1063" s="11" t="b" cm="1">
        <f t="array" ref="AG1063">IF(OR(Y1063:AA1063="TRUE", AE1063="true"), "Threatened")</f>
        <v>0</v>
      </c>
      <c r="AH1063" s="11" t="s">
        <v>2890</v>
      </c>
      <c r="AI1063" s="8" t="b">
        <v>1</v>
      </c>
    </row>
    <row r="1064" spans="1:35" ht="31.2">
      <c r="A1064" s="8">
        <v>-73.975034679999993</v>
      </c>
      <c r="B1064" s="8">
        <v>40.76654044</v>
      </c>
      <c r="C1064" s="8" t="s">
        <v>2891</v>
      </c>
      <c r="D1064" s="8" t="s">
        <v>2892</v>
      </c>
      <c r="E1064" s="8" t="b">
        <f t="shared" si="16"/>
        <v>0</v>
      </c>
      <c r="F1064" s="8" t="str" cm="1">
        <f t="array" ref="F1064">_xlfn._xlws.FILTER(E1064:E4262, C1064:C4262= "6D-PM-1020-01", "No Squirrels Found")</f>
        <v>No Squirrels Found</v>
      </c>
      <c r="G1064" s="8" t="s">
        <v>34</v>
      </c>
      <c r="H1064" s="10">
        <v>10072018</v>
      </c>
      <c r="I1064" s="10">
        <v>1</v>
      </c>
      <c r="J1064" s="8" t="s">
        <v>39</v>
      </c>
      <c r="K1064" s="8" t="s">
        <v>40</v>
      </c>
      <c r="L1064" s="8" t="s">
        <v>41</v>
      </c>
      <c r="M1064" s="8" t="s">
        <v>42</v>
      </c>
      <c r="O1064" s="8" t="s">
        <v>43</v>
      </c>
      <c r="P1064" s="8" t="b">
        <v>0</v>
      </c>
      <c r="R1064" s="8" t="b">
        <v>0</v>
      </c>
      <c r="S1064" s="8" t="b">
        <v>0</v>
      </c>
      <c r="T1064" s="8" t="b">
        <v>0</v>
      </c>
      <c r="U1064" s="8" t="b">
        <v>0</v>
      </c>
      <c r="V1064" s="8" t="b">
        <v>1</v>
      </c>
      <c r="X1064" s="8" t="b">
        <v>0</v>
      </c>
      <c r="Y1064" s="8" t="b">
        <v>0</v>
      </c>
      <c r="Z1064" s="8" t="b">
        <v>0</v>
      </c>
      <c r="AA1064" s="8" t="b">
        <v>0</v>
      </c>
      <c r="AB1064" s="8" t="b">
        <v>0</v>
      </c>
      <c r="AC1064" s="8" t="b">
        <v>0</v>
      </c>
      <c r="AD1064" s="8" t="b">
        <v>1</v>
      </c>
      <c r="AE1064" s="8" t="b">
        <v>0</v>
      </c>
      <c r="AG1064" s="11" t="b" cm="1">
        <f t="array" ref="AG1064">IF(OR(Y1064:AA1064="TRUE", AE1064="true"), "Threatened")</f>
        <v>0</v>
      </c>
      <c r="AH1064" s="11" t="s">
        <v>2893</v>
      </c>
      <c r="AI1064" s="8" t="b">
        <v>1</v>
      </c>
    </row>
    <row r="1065" spans="1:35" ht="31.2">
      <c r="A1065" s="8">
        <v>-73.954025729999998</v>
      </c>
      <c r="B1065" s="8">
        <v>40.798408619999996</v>
      </c>
      <c r="C1065" s="8" t="s">
        <v>2894</v>
      </c>
      <c r="D1065" s="8" t="s">
        <v>332</v>
      </c>
      <c r="E1065" s="8" t="b">
        <f t="shared" si="16"/>
        <v>0</v>
      </c>
      <c r="F1065" s="8" t="str" cm="1">
        <f t="array" ref="F1065">_xlfn._xlws.FILTER(E1065:E4263, C1065:C4263= "6D-PM-1020-01", "No Squirrels Found")</f>
        <v>No Squirrels Found</v>
      </c>
      <c r="G1065" s="8" t="s">
        <v>34</v>
      </c>
      <c r="H1065" s="10">
        <v>10122018</v>
      </c>
      <c r="I1065" s="10">
        <v>2</v>
      </c>
      <c r="J1065" s="8" t="s">
        <v>54</v>
      </c>
      <c r="K1065" s="8" t="s">
        <v>40</v>
      </c>
      <c r="L1065" s="8" t="s">
        <v>41</v>
      </c>
      <c r="M1065" s="8" t="s">
        <v>42</v>
      </c>
      <c r="R1065" s="8" t="b">
        <v>1</v>
      </c>
      <c r="S1065" s="8" t="b">
        <v>0</v>
      </c>
      <c r="T1065" s="8" t="b">
        <v>1</v>
      </c>
      <c r="U1065" s="8" t="b">
        <v>0</v>
      </c>
      <c r="V1065" s="8" t="b">
        <v>0</v>
      </c>
      <c r="X1065" s="8" t="b">
        <v>0</v>
      </c>
      <c r="Y1065" s="8" t="b">
        <v>0</v>
      </c>
      <c r="Z1065" s="8" t="b">
        <v>0</v>
      </c>
      <c r="AA1065" s="8" t="b">
        <v>0</v>
      </c>
      <c r="AB1065" s="8" t="b">
        <v>0</v>
      </c>
      <c r="AC1065" s="8" t="b">
        <v>0</v>
      </c>
      <c r="AD1065" s="8" t="b">
        <v>1</v>
      </c>
      <c r="AE1065" s="8" t="b">
        <v>1</v>
      </c>
      <c r="AG1065" s="11" t="b" cm="1">
        <f t="array" ref="AG1065">IF(OR(Y1065:AA1065="TRUE", AE1065="true"), "Threatened")</f>
        <v>0</v>
      </c>
      <c r="AH1065" s="11" t="s">
        <v>2895</v>
      </c>
      <c r="AI1065" s="8" t="b">
        <v>1</v>
      </c>
    </row>
    <row r="1066" spans="1:35" ht="31.2">
      <c r="A1066" s="8">
        <v>-73.976970080000001</v>
      </c>
      <c r="B1066" s="8">
        <v>40.772848959999997</v>
      </c>
      <c r="C1066" s="8" t="s">
        <v>2896</v>
      </c>
      <c r="D1066" s="8" t="s">
        <v>72</v>
      </c>
      <c r="E1066" s="8" t="b">
        <f t="shared" si="16"/>
        <v>0</v>
      </c>
      <c r="F1066" s="8" t="str" cm="1">
        <f t="array" ref="F1066">_xlfn._xlws.FILTER(E1066:E4264, C1066:C4264= "6D-PM-1020-01", "No Squirrels Found")</f>
        <v>No Squirrels Found</v>
      </c>
      <c r="G1066" s="8" t="s">
        <v>48</v>
      </c>
      <c r="H1066" s="10">
        <v>10082018</v>
      </c>
      <c r="I1066" s="10">
        <v>8</v>
      </c>
      <c r="J1066" s="8" t="s">
        <v>39</v>
      </c>
      <c r="K1066" s="8" t="s">
        <v>40</v>
      </c>
      <c r="M1066" s="8" t="s">
        <v>55</v>
      </c>
      <c r="O1066" s="8" t="s">
        <v>50</v>
      </c>
      <c r="P1066" s="8">
        <v>5</v>
      </c>
      <c r="R1066" s="8" t="b">
        <v>1</v>
      </c>
      <c r="S1066" s="8" t="b">
        <v>0</v>
      </c>
      <c r="T1066" s="8" t="b">
        <v>0</v>
      </c>
      <c r="U1066" s="8" t="b">
        <v>0</v>
      </c>
      <c r="V1066" s="8" t="b">
        <v>0</v>
      </c>
      <c r="X1066" s="8" t="b">
        <v>0</v>
      </c>
      <c r="Y1066" s="8" t="b">
        <v>0</v>
      </c>
      <c r="Z1066" s="8" t="b">
        <v>0</v>
      </c>
      <c r="AA1066" s="8" t="b">
        <v>0</v>
      </c>
      <c r="AB1066" s="8" t="b">
        <v>0</v>
      </c>
      <c r="AC1066" s="8" t="b">
        <v>0</v>
      </c>
      <c r="AD1066" s="8" t="b">
        <v>1</v>
      </c>
      <c r="AE1066" s="8" t="b">
        <v>0</v>
      </c>
      <c r="AG1066" s="11" t="b" cm="1">
        <f t="array" ref="AG1066">IF(OR(Y1066:AA1066="TRUE", AE1066="true"), "Threatened")</f>
        <v>0</v>
      </c>
      <c r="AH1066" s="11" t="s">
        <v>2897</v>
      </c>
      <c r="AI1066" s="8" t="b">
        <v>1</v>
      </c>
    </row>
    <row r="1067" spans="1:35" ht="31.2">
      <c r="A1067" s="8">
        <v>-73.972017500000007</v>
      </c>
      <c r="B1067" s="8">
        <v>40.774889430000002</v>
      </c>
      <c r="C1067" s="8" t="s">
        <v>2898</v>
      </c>
      <c r="D1067" s="8" t="s">
        <v>98</v>
      </c>
      <c r="E1067" s="8" t="b">
        <f t="shared" si="16"/>
        <v>0</v>
      </c>
      <c r="F1067" s="8" t="str" cm="1">
        <f t="array" ref="F1067">_xlfn._xlws.FILTER(E1067:E4265, C1067:C4265= "6D-PM-1020-01", "No Squirrels Found")</f>
        <v>No Squirrels Found</v>
      </c>
      <c r="G1067" s="8" t="s">
        <v>48</v>
      </c>
      <c r="H1067" s="10">
        <v>10102018</v>
      </c>
      <c r="I1067" s="10">
        <v>7</v>
      </c>
      <c r="J1067" s="8" t="s">
        <v>39</v>
      </c>
      <c r="K1067" s="8" t="s">
        <v>192</v>
      </c>
      <c r="M1067" s="8" t="s">
        <v>193</v>
      </c>
      <c r="O1067" s="8" t="s">
        <v>43</v>
      </c>
      <c r="P1067" s="8" t="b">
        <v>0</v>
      </c>
      <c r="R1067" s="8" t="b">
        <v>0</v>
      </c>
      <c r="S1067" s="8" t="b">
        <v>0</v>
      </c>
      <c r="T1067" s="8" t="b">
        <v>0</v>
      </c>
      <c r="U1067" s="8" t="b">
        <v>1</v>
      </c>
      <c r="V1067" s="8" t="b">
        <v>1</v>
      </c>
      <c r="X1067" s="8" t="b">
        <v>0</v>
      </c>
      <c r="Y1067" s="8" t="b">
        <v>0</v>
      </c>
      <c r="Z1067" s="8" t="b">
        <v>0</v>
      </c>
      <c r="AA1067" s="8" t="b">
        <v>0</v>
      </c>
      <c r="AB1067" s="8" t="b">
        <v>0</v>
      </c>
      <c r="AC1067" s="8" t="b">
        <v>0</v>
      </c>
      <c r="AD1067" s="8" t="b">
        <v>1</v>
      </c>
      <c r="AE1067" s="8" t="b">
        <v>0</v>
      </c>
      <c r="AG1067" s="11" t="b" cm="1">
        <f t="array" ref="AG1067">IF(OR(Y1067:AA1067="TRUE", AE1067="true"), "Threatened")</f>
        <v>0</v>
      </c>
      <c r="AH1067" s="11" t="s">
        <v>2899</v>
      </c>
      <c r="AI1067" s="8" t="b">
        <v>1</v>
      </c>
    </row>
    <row r="1068" spans="1:35" ht="31.2">
      <c r="A1068" s="8">
        <v>-73.969530599999999</v>
      </c>
      <c r="B1068" s="8">
        <v>40.77453869</v>
      </c>
      <c r="C1068" s="8" t="s">
        <v>2900</v>
      </c>
      <c r="D1068" s="8" t="s">
        <v>655</v>
      </c>
      <c r="E1068" s="8" t="b">
        <f t="shared" si="16"/>
        <v>0</v>
      </c>
      <c r="F1068" s="8" t="str" cm="1">
        <f t="array" ref="F1068">_xlfn._xlws.FILTER(E1068:E4266, C1068:C4266= "6D-PM-1020-01", "No Squirrels Found")</f>
        <v>No Squirrels Found</v>
      </c>
      <c r="G1068" s="8" t="s">
        <v>34</v>
      </c>
      <c r="H1068" s="10">
        <v>10072018</v>
      </c>
      <c r="I1068" s="10">
        <v>2</v>
      </c>
      <c r="J1068" s="8" t="s">
        <v>39</v>
      </c>
      <c r="K1068" s="8" t="s">
        <v>41</v>
      </c>
      <c r="L1068" s="8" t="s">
        <v>40</v>
      </c>
      <c r="M1068" s="8" t="s">
        <v>110</v>
      </c>
      <c r="O1068" s="8" t="s">
        <v>43</v>
      </c>
      <c r="P1068" s="8" t="b">
        <v>0</v>
      </c>
      <c r="R1068" s="8" t="b">
        <v>0</v>
      </c>
      <c r="S1068" s="8" t="b">
        <v>0</v>
      </c>
      <c r="T1068" s="8" t="b">
        <v>1</v>
      </c>
      <c r="U1068" s="8" t="b">
        <v>1</v>
      </c>
      <c r="V1068" s="8" t="b">
        <v>1</v>
      </c>
      <c r="X1068" s="8" t="b">
        <v>0</v>
      </c>
      <c r="Y1068" s="8" t="b">
        <v>0</v>
      </c>
      <c r="Z1068" s="8" t="b">
        <v>0</v>
      </c>
      <c r="AA1068" s="8" t="b">
        <v>0</v>
      </c>
      <c r="AB1068" s="8" t="b">
        <v>0</v>
      </c>
      <c r="AC1068" s="8" t="b">
        <v>0</v>
      </c>
      <c r="AD1068" s="8" t="b">
        <v>1</v>
      </c>
      <c r="AE1068" s="8" t="b">
        <v>0</v>
      </c>
      <c r="AG1068" s="11" t="b" cm="1">
        <f t="array" ref="AG1068">IF(OR(Y1068:AA1068="TRUE", AE1068="true"), "Threatened")</f>
        <v>0</v>
      </c>
      <c r="AH1068" s="11" t="s">
        <v>2901</v>
      </c>
      <c r="AI1068" s="8" t="b">
        <v>1</v>
      </c>
    </row>
    <row r="1069" spans="1:35" ht="31.2">
      <c r="A1069" s="8">
        <v>-73.966606400000003</v>
      </c>
      <c r="B1069" s="8">
        <v>40.775665500000002</v>
      </c>
      <c r="C1069" s="8" t="s">
        <v>2902</v>
      </c>
      <c r="D1069" s="8" t="s">
        <v>1320</v>
      </c>
      <c r="E1069" s="8" t="b">
        <f t="shared" si="16"/>
        <v>0</v>
      </c>
      <c r="F1069" s="8" t="str" cm="1">
        <f t="array" ref="F1069">_xlfn._xlws.FILTER(E1069:E4267, C1069:C4267= "6D-PM-1020-01", "No Squirrels Found")</f>
        <v>No Squirrels Found</v>
      </c>
      <c r="G1069" s="8" t="s">
        <v>48</v>
      </c>
      <c r="H1069" s="10">
        <v>10072018</v>
      </c>
      <c r="I1069" s="10">
        <v>3</v>
      </c>
      <c r="J1069" s="8" t="s">
        <v>54</v>
      </c>
      <c r="K1069" s="8" t="s">
        <v>40</v>
      </c>
      <c r="L1069" s="8" t="s">
        <v>117</v>
      </c>
      <c r="M1069" s="8" t="s">
        <v>118</v>
      </c>
      <c r="O1069" s="8" t="s">
        <v>43</v>
      </c>
      <c r="P1069" s="8" t="b">
        <v>0</v>
      </c>
      <c r="R1069" s="8" t="b">
        <v>0</v>
      </c>
      <c r="S1069" s="8" t="b">
        <v>1</v>
      </c>
      <c r="T1069" s="8" t="b">
        <v>0</v>
      </c>
      <c r="U1069" s="8" t="b">
        <v>0</v>
      </c>
      <c r="V1069" s="8" t="b">
        <v>0</v>
      </c>
      <c r="X1069" s="8" t="b">
        <v>0</v>
      </c>
      <c r="Y1069" s="8" t="b">
        <v>0</v>
      </c>
      <c r="Z1069" s="8" t="b">
        <v>0</v>
      </c>
      <c r="AA1069" s="8" t="b">
        <v>0</v>
      </c>
      <c r="AB1069" s="8" t="b">
        <v>0</v>
      </c>
      <c r="AC1069" s="8" t="b">
        <v>0</v>
      </c>
      <c r="AD1069" s="8" t="b">
        <v>1</v>
      </c>
      <c r="AE1069" s="8" t="b">
        <v>0</v>
      </c>
      <c r="AG1069" s="11" t="b" cm="1">
        <f t="array" ref="AG1069">IF(OR(Y1069:AA1069="TRUE", AE1069="true"), "Threatened")</f>
        <v>0</v>
      </c>
      <c r="AH1069" s="11" t="s">
        <v>2903</v>
      </c>
      <c r="AI1069" s="8" t="b">
        <v>1</v>
      </c>
    </row>
    <row r="1070" spans="1:35" ht="31.2">
      <c r="A1070" s="8">
        <v>-73.959548569999995</v>
      </c>
      <c r="B1070" s="8">
        <v>40.783532639999997</v>
      </c>
      <c r="C1070" s="8" t="s">
        <v>2904</v>
      </c>
      <c r="D1070" s="8" t="s">
        <v>2570</v>
      </c>
      <c r="E1070" s="8" t="b">
        <f t="shared" si="16"/>
        <v>0</v>
      </c>
      <c r="F1070" s="8" t="str" cm="1">
        <f t="array" ref="F1070">_xlfn._xlws.FILTER(E1070:E4268, C1070:C4268= "6D-PM-1020-01", "No Squirrels Found")</f>
        <v>No Squirrels Found</v>
      </c>
      <c r="G1070" s="8" t="s">
        <v>34</v>
      </c>
      <c r="H1070" s="10">
        <v>10072018</v>
      </c>
      <c r="I1070" s="10">
        <v>8</v>
      </c>
      <c r="J1070" s="8" t="s">
        <v>39</v>
      </c>
      <c r="K1070" s="8" t="s">
        <v>40</v>
      </c>
      <c r="M1070" s="8" t="s">
        <v>55</v>
      </c>
      <c r="O1070" s="8" t="s">
        <v>50</v>
      </c>
      <c r="Q1070" s="8" t="s">
        <v>2905</v>
      </c>
      <c r="R1070" s="8" t="b">
        <v>0</v>
      </c>
      <c r="S1070" s="8" t="b">
        <v>0</v>
      </c>
      <c r="T1070" s="8" t="b">
        <v>0</v>
      </c>
      <c r="U1070" s="8" t="b">
        <v>0</v>
      </c>
      <c r="V1070" s="8" t="b">
        <v>0</v>
      </c>
      <c r="X1070" s="8" t="b">
        <v>0</v>
      </c>
      <c r="Y1070" s="8" t="b">
        <v>0</v>
      </c>
      <c r="Z1070" s="8" t="b">
        <v>0</v>
      </c>
      <c r="AA1070" s="8" t="b">
        <v>0</v>
      </c>
      <c r="AB1070" s="8" t="b">
        <v>0</v>
      </c>
      <c r="AC1070" s="8" t="b">
        <v>0</v>
      </c>
      <c r="AD1070" s="8" t="b">
        <v>0</v>
      </c>
      <c r="AE1070" s="8" t="b">
        <v>0</v>
      </c>
      <c r="AG1070" s="11" t="b" cm="1">
        <f t="array" ref="AG1070">IF(OR(Y1070:AA1070="TRUE", AE1070="true"), "Threatened")</f>
        <v>0</v>
      </c>
      <c r="AH1070" s="11" t="s">
        <v>2906</v>
      </c>
      <c r="AI1070" s="8" t="b">
        <v>1</v>
      </c>
    </row>
    <row r="1071" spans="1:35" ht="31.2">
      <c r="A1071" s="8">
        <v>-73.967463129999999</v>
      </c>
      <c r="B1071" s="8">
        <v>40.779007640000003</v>
      </c>
      <c r="C1071" s="8" t="s">
        <v>2907</v>
      </c>
      <c r="D1071" s="8" t="s">
        <v>215</v>
      </c>
      <c r="E1071" s="8" t="b">
        <f t="shared" si="16"/>
        <v>0</v>
      </c>
      <c r="F1071" s="8" t="str" cm="1">
        <f t="array" ref="F1071">_xlfn._xlws.FILTER(E1071:E4269, C1071:C4269= "6D-PM-1020-01", "No Squirrels Found")</f>
        <v>No Squirrels Found</v>
      </c>
      <c r="G1071" s="8" t="s">
        <v>48</v>
      </c>
      <c r="H1071" s="10">
        <v>10172018</v>
      </c>
      <c r="I1071" s="10">
        <v>10</v>
      </c>
      <c r="J1071" s="8" t="s">
        <v>54</v>
      </c>
      <c r="K1071" s="8" t="s">
        <v>40</v>
      </c>
      <c r="M1071" s="8" t="s">
        <v>55</v>
      </c>
      <c r="O1071" s="8" t="s">
        <v>50</v>
      </c>
      <c r="P1071" s="8">
        <v>2</v>
      </c>
      <c r="Q1071" s="8" t="s">
        <v>2908</v>
      </c>
      <c r="R1071" s="8" t="b">
        <v>1</v>
      </c>
      <c r="S1071" s="8" t="b">
        <v>0</v>
      </c>
      <c r="T1071" s="8" t="b">
        <v>0</v>
      </c>
      <c r="U1071" s="8" t="b">
        <v>0</v>
      </c>
      <c r="V1071" s="8" t="b">
        <v>0</v>
      </c>
      <c r="X1071" s="8" t="b">
        <v>0</v>
      </c>
      <c r="Y1071" s="8" t="b">
        <v>0</v>
      </c>
      <c r="Z1071" s="8" t="b">
        <v>0</v>
      </c>
      <c r="AA1071" s="8" t="b">
        <v>0</v>
      </c>
      <c r="AB1071" s="8" t="b">
        <v>0</v>
      </c>
      <c r="AC1071" s="8" t="b">
        <v>0</v>
      </c>
      <c r="AD1071" s="8" t="b">
        <v>0</v>
      </c>
      <c r="AE1071" s="8" t="b">
        <v>1</v>
      </c>
      <c r="AG1071" s="11" t="b" cm="1">
        <f t="array" ref="AG1071">IF(OR(Y1071:AA1071="TRUE", AE1071="true"), "Threatened")</f>
        <v>0</v>
      </c>
      <c r="AH1071" s="11" t="s">
        <v>2909</v>
      </c>
      <c r="AI1071" s="8" t="b">
        <v>1</v>
      </c>
    </row>
    <row r="1072" spans="1:35" ht="31.2">
      <c r="A1072" s="8">
        <v>-73.970377400000004</v>
      </c>
      <c r="B1072" s="8">
        <v>40.771760759999999</v>
      </c>
      <c r="C1072" s="8" t="s">
        <v>2910</v>
      </c>
      <c r="D1072" s="8" t="s">
        <v>581</v>
      </c>
      <c r="E1072" s="8" t="b">
        <f t="shared" si="16"/>
        <v>0</v>
      </c>
      <c r="F1072" s="8" t="str" cm="1">
        <f t="array" ref="F1072">_xlfn._xlws.FILTER(E1072:E4270, C1072:C4270= "6D-PM-1020-01", "No Squirrels Found")</f>
        <v>No Squirrels Found</v>
      </c>
      <c r="G1072" s="8" t="s">
        <v>48</v>
      </c>
      <c r="H1072" s="10">
        <v>10072018</v>
      </c>
      <c r="I1072" s="10">
        <v>1</v>
      </c>
      <c r="J1072" s="8" t="s">
        <v>39</v>
      </c>
      <c r="K1072" s="8" t="s">
        <v>40</v>
      </c>
      <c r="M1072" s="8" t="s">
        <v>55</v>
      </c>
      <c r="O1072" s="8" t="s">
        <v>50</v>
      </c>
      <c r="P1072" s="8">
        <v>50</v>
      </c>
      <c r="R1072" s="8" t="b">
        <v>0</v>
      </c>
      <c r="S1072" s="8" t="b">
        <v>0</v>
      </c>
      <c r="T1072" s="8" t="b">
        <v>1</v>
      </c>
      <c r="U1072" s="8" t="b">
        <v>0</v>
      </c>
      <c r="V1072" s="8" t="b">
        <v>0</v>
      </c>
      <c r="X1072" s="8" t="b">
        <v>0</v>
      </c>
      <c r="Y1072" s="8" t="b">
        <v>0</v>
      </c>
      <c r="Z1072" s="8" t="b">
        <v>0</v>
      </c>
      <c r="AA1072" s="8" t="b">
        <v>0</v>
      </c>
      <c r="AB1072" s="8" t="b">
        <v>0</v>
      </c>
      <c r="AC1072" s="8" t="b">
        <v>0</v>
      </c>
      <c r="AD1072" s="8" t="b">
        <v>0</v>
      </c>
      <c r="AE1072" s="8" t="b">
        <v>0</v>
      </c>
      <c r="AG1072" s="11" t="b" cm="1">
        <f t="array" ref="AG1072">IF(OR(Y1072:AA1072="TRUE", AE1072="true"), "Threatened")</f>
        <v>0</v>
      </c>
      <c r="AH1072" s="11" t="s">
        <v>2911</v>
      </c>
      <c r="AI1072" s="8" t="b">
        <v>1</v>
      </c>
    </row>
    <row r="1073" spans="1:35" ht="31.2">
      <c r="A1073" s="8">
        <v>-73.95665717</v>
      </c>
      <c r="B1073" s="8">
        <v>40.79898558</v>
      </c>
      <c r="C1073" s="8" t="s">
        <v>2912</v>
      </c>
      <c r="D1073" s="8" t="s">
        <v>1133</v>
      </c>
      <c r="E1073" s="8" t="b">
        <f t="shared" si="16"/>
        <v>0</v>
      </c>
      <c r="F1073" s="8" t="str" cm="1">
        <f t="array" ref="F1073">_xlfn._xlws.FILTER(E1073:E4271, C1073:C4271= "6D-PM-1020-01", "No Squirrels Found")</f>
        <v>No Squirrels Found</v>
      </c>
      <c r="G1073" s="8" t="s">
        <v>48</v>
      </c>
      <c r="H1073" s="10">
        <v>10172018</v>
      </c>
      <c r="I1073" s="10">
        <v>4</v>
      </c>
      <c r="K1073" s="8" t="s">
        <v>40</v>
      </c>
      <c r="M1073" s="8" t="s">
        <v>55</v>
      </c>
      <c r="O1073" s="8" t="s">
        <v>43</v>
      </c>
      <c r="P1073" s="8" t="b">
        <v>0</v>
      </c>
      <c r="R1073" s="8" t="b">
        <v>1</v>
      </c>
      <c r="S1073" s="8" t="b">
        <v>0</v>
      </c>
      <c r="T1073" s="8" t="b">
        <v>0</v>
      </c>
      <c r="U1073" s="8" t="b">
        <v>0</v>
      </c>
      <c r="V1073" s="8" t="b">
        <v>0</v>
      </c>
      <c r="X1073" s="8" t="b">
        <v>0</v>
      </c>
      <c r="Y1073" s="8" t="b">
        <v>0</v>
      </c>
      <c r="Z1073" s="8" t="b">
        <v>0</v>
      </c>
      <c r="AA1073" s="8" t="b">
        <v>0</v>
      </c>
      <c r="AB1073" s="8" t="b">
        <v>0</v>
      </c>
      <c r="AC1073" s="8" t="b">
        <v>0</v>
      </c>
      <c r="AD1073" s="8" t="b">
        <v>1</v>
      </c>
      <c r="AE1073" s="8" t="b">
        <v>0</v>
      </c>
      <c r="AG1073" s="11" t="b" cm="1">
        <f t="array" ref="AG1073">IF(OR(Y1073:AA1073="TRUE", AE1073="true"), "Threatened")</f>
        <v>0</v>
      </c>
      <c r="AH1073" s="11" t="s">
        <v>2913</v>
      </c>
      <c r="AI1073" s="8" t="b">
        <v>1</v>
      </c>
    </row>
    <row r="1074" spans="1:35" ht="31.2">
      <c r="A1074" s="8">
        <v>-73.976974220000002</v>
      </c>
      <c r="B1074" s="8">
        <v>40.772748450000002</v>
      </c>
      <c r="C1074" s="8" t="s">
        <v>2914</v>
      </c>
      <c r="D1074" s="8" t="s">
        <v>72</v>
      </c>
      <c r="E1074" s="8" t="b">
        <f t="shared" si="16"/>
        <v>0</v>
      </c>
      <c r="F1074" s="8" t="str" cm="1">
        <f t="array" ref="F1074">_xlfn._xlws.FILTER(E1074:E4272, C1074:C4272= "6D-PM-1020-01", "No Squirrels Found")</f>
        <v>No Squirrels Found</v>
      </c>
      <c r="G1074" s="8" t="s">
        <v>48</v>
      </c>
      <c r="H1074" s="10">
        <v>10082018</v>
      </c>
      <c r="I1074" s="10">
        <v>7</v>
      </c>
      <c r="J1074" s="8" t="s">
        <v>39</v>
      </c>
      <c r="K1074" s="8" t="s">
        <v>40</v>
      </c>
      <c r="M1074" s="8" t="s">
        <v>55</v>
      </c>
      <c r="O1074" s="8" t="s">
        <v>43</v>
      </c>
      <c r="P1074" s="8" t="b">
        <v>0</v>
      </c>
      <c r="R1074" s="8" t="b">
        <v>0</v>
      </c>
      <c r="S1074" s="8" t="b">
        <v>0</v>
      </c>
      <c r="T1074" s="8" t="b">
        <v>0</v>
      </c>
      <c r="U1074" s="8" t="b">
        <v>0</v>
      </c>
      <c r="V1074" s="8" t="b">
        <v>1</v>
      </c>
      <c r="X1074" s="8" t="b">
        <v>0</v>
      </c>
      <c r="Y1074" s="8" t="b">
        <v>0</v>
      </c>
      <c r="Z1074" s="8" t="b">
        <v>0</v>
      </c>
      <c r="AA1074" s="8" t="b">
        <v>0</v>
      </c>
      <c r="AB1074" s="8" t="b">
        <v>0</v>
      </c>
      <c r="AC1074" s="8" t="b">
        <v>0</v>
      </c>
      <c r="AD1074" s="8" t="b">
        <v>1</v>
      </c>
      <c r="AE1074" s="8" t="b">
        <v>0</v>
      </c>
      <c r="AG1074" s="11" t="b" cm="1">
        <f t="array" ref="AG1074">IF(OR(Y1074:AA1074="TRUE", AE1074="true"), "Threatened")</f>
        <v>0</v>
      </c>
      <c r="AH1074" s="11" t="s">
        <v>2915</v>
      </c>
      <c r="AI1074" s="8" t="b">
        <v>1</v>
      </c>
    </row>
    <row r="1075" spans="1:35" ht="31.2">
      <c r="A1075" s="8">
        <v>-73.972465760000006</v>
      </c>
      <c r="B1075" s="8">
        <v>40.765801549999999</v>
      </c>
      <c r="C1075" s="8" t="s">
        <v>2916</v>
      </c>
      <c r="D1075" s="8" t="s">
        <v>988</v>
      </c>
      <c r="E1075" s="8" t="b">
        <f t="shared" si="16"/>
        <v>0</v>
      </c>
      <c r="F1075" s="8" t="str" cm="1">
        <f t="array" ref="F1075">_xlfn._xlws.FILTER(E1075:E4273, C1075:C4273= "6D-PM-1020-01", "No Squirrels Found")</f>
        <v>No Squirrels Found</v>
      </c>
      <c r="G1075" s="8" t="s">
        <v>34</v>
      </c>
      <c r="H1075" s="10">
        <v>10132018</v>
      </c>
      <c r="I1075" s="10">
        <v>6</v>
      </c>
      <c r="J1075" s="8" t="s">
        <v>39</v>
      </c>
      <c r="K1075" s="8" t="s">
        <v>40</v>
      </c>
      <c r="L1075" s="8" t="s">
        <v>41</v>
      </c>
      <c r="M1075" s="8" t="s">
        <v>42</v>
      </c>
      <c r="O1075" s="8" t="s">
        <v>43</v>
      </c>
      <c r="P1075" s="8" t="b">
        <v>0</v>
      </c>
      <c r="R1075" s="8" t="b">
        <v>1</v>
      </c>
      <c r="S1075" s="8" t="b">
        <v>0</v>
      </c>
      <c r="T1075" s="8" t="b">
        <v>0</v>
      </c>
      <c r="U1075" s="8" t="b">
        <v>0</v>
      </c>
      <c r="V1075" s="8" t="b">
        <v>0</v>
      </c>
      <c r="X1075" s="8" t="b">
        <v>0</v>
      </c>
      <c r="Y1075" s="8" t="b">
        <v>0</v>
      </c>
      <c r="Z1075" s="8" t="b">
        <v>0</v>
      </c>
      <c r="AA1075" s="8" t="b">
        <v>0</v>
      </c>
      <c r="AB1075" s="8" t="b">
        <v>0</v>
      </c>
      <c r="AC1075" s="8" t="b">
        <v>0</v>
      </c>
      <c r="AD1075" s="8" t="b">
        <v>1</v>
      </c>
      <c r="AE1075" s="8" t="b">
        <v>0</v>
      </c>
      <c r="AG1075" s="11" t="b" cm="1">
        <f t="array" ref="AG1075">IF(OR(Y1075:AA1075="TRUE", AE1075="true"), "Threatened")</f>
        <v>0</v>
      </c>
      <c r="AH1075" s="11" t="s">
        <v>2917</v>
      </c>
      <c r="AI1075" s="8" t="b">
        <v>1</v>
      </c>
    </row>
    <row r="1076" spans="1:35" ht="62.4">
      <c r="A1076" s="8">
        <v>-73.964053489999998</v>
      </c>
      <c r="B1076" s="8">
        <v>40.777738390000003</v>
      </c>
      <c r="C1076" s="8" t="s">
        <v>2918</v>
      </c>
      <c r="D1076" s="8" t="s">
        <v>2373</v>
      </c>
      <c r="E1076" s="8" t="b">
        <f t="shared" si="16"/>
        <v>0</v>
      </c>
      <c r="F1076" s="8" t="str" cm="1">
        <f t="array" ref="F1076">_xlfn._xlws.FILTER(E1076:E4274, C1076:C4274= "6D-PM-1020-01", "No Squirrels Found")</f>
        <v>No Squirrels Found</v>
      </c>
      <c r="G1076" s="8" t="s">
        <v>48</v>
      </c>
      <c r="H1076" s="10">
        <v>10142018</v>
      </c>
      <c r="I1076" s="10">
        <v>2</v>
      </c>
      <c r="J1076" s="8" t="s">
        <v>39</v>
      </c>
      <c r="K1076" s="8" t="s">
        <v>41</v>
      </c>
      <c r="L1076" s="8" t="s">
        <v>84</v>
      </c>
      <c r="M1076" s="8" t="s">
        <v>85</v>
      </c>
      <c r="O1076" s="8" t="s">
        <v>43</v>
      </c>
      <c r="P1076" s="8" t="b">
        <v>0</v>
      </c>
      <c r="R1076" s="8" t="b">
        <v>1</v>
      </c>
      <c r="S1076" s="8" t="b">
        <v>0</v>
      </c>
      <c r="T1076" s="8" t="b">
        <v>0</v>
      </c>
      <c r="U1076" s="8" t="b">
        <v>0</v>
      </c>
      <c r="V1076" s="8" t="b">
        <v>0</v>
      </c>
      <c r="W1076" s="11" t="s">
        <v>2919</v>
      </c>
      <c r="X1076" s="8" t="b">
        <v>0</v>
      </c>
      <c r="Y1076" s="8" t="b">
        <v>0</v>
      </c>
      <c r="Z1076" s="8" t="b">
        <v>0</v>
      </c>
      <c r="AA1076" s="8" t="b">
        <v>0</v>
      </c>
      <c r="AB1076" s="8" t="b">
        <v>0</v>
      </c>
      <c r="AC1076" s="8" t="b">
        <v>1</v>
      </c>
      <c r="AD1076" s="8" t="b">
        <v>0</v>
      </c>
      <c r="AE1076" s="8" t="b">
        <v>1</v>
      </c>
      <c r="AF1076" s="11" t="s">
        <v>2920</v>
      </c>
      <c r="AG1076" s="11" t="b" cm="1">
        <f t="array" ref="AG1076">IF(OR(Y1076:AA1076="TRUE", AE1076="true"), "Threatened")</f>
        <v>0</v>
      </c>
      <c r="AH1076" s="11" t="s">
        <v>2921</v>
      </c>
      <c r="AI1076" s="8" t="b">
        <v>0</v>
      </c>
    </row>
    <row r="1077" spans="1:35" ht="31.2">
      <c r="A1077" s="8">
        <v>-73.962790429999998</v>
      </c>
      <c r="B1077" s="8">
        <v>40.793937530000001</v>
      </c>
      <c r="C1077" s="8" t="s">
        <v>2922</v>
      </c>
      <c r="D1077" s="8" t="s">
        <v>2657</v>
      </c>
      <c r="E1077" s="8" t="b">
        <f t="shared" si="16"/>
        <v>0</v>
      </c>
      <c r="F1077" s="8" t="str" cm="1">
        <f t="array" ref="F1077">_xlfn._xlws.FILTER(E1077:E4275, C1077:C4275= "6D-PM-1020-01", "No Squirrels Found")</f>
        <v>No Squirrels Found</v>
      </c>
      <c r="G1077" s="8" t="s">
        <v>34</v>
      </c>
      <c r="H1077" s="10">
        <v>10132018</v>
      </c>
      <c r="I1077" s="10">
        <v>4</v>
      </c>
      <c r="J1077" s="8" t="s">
        <v>39</v>
      </c>
      <c r="K1077" s="8" t="s">
        <v>40</v>
      </c>
      <c r="L1077" s="8" t="s">
        <v>41</v>
      </c>
      <c r="M1077" s="8" t="s">
        <v>42</v>
      </c>
      <c r="O1077" s="8" t="s">
        <v>43</v>
      </c>
      <c r="P1077" s="8" t="b">
        <v>0</v>
      </c>
      <c r="R1077" s="8" t="b">
        <v>0</v>
      </c>
      <c r="S1077" s="8" t="b">
        <v>0</v>
      </c>
      <c r="T1077" s="8" t="b">
        <v>0</v>
      </c>
      <c r="U1077" s="8" t="b">
        <v>0</v>
      </c>
      <c r="V1077" s="8" t="b">
        <v>0</v>
      </c>
      <c r="W1077" s="11" t="s">
        <v>2923</v>
      </c>
      <c r="X1077" s="8" t="b">
        <v>0</v>
      </c>
      <c r="Y1077" s="8" t="b">
        <v>0</v>
      </c>
      <c r="Z1077" s="8" t="b">
        <v>0</v>
      </c>
      <c r="AA1077" s="8" t="b">
        <v>0</v>
      </c>
      <c r="AB1077" s="8" t="b">
        <v>0</v>
      </c>
      <c r="AC1077" s="8" t="b">
        <v>0</v>
      </c>
      <c r="AD1077" s="8" t="b">
        <v>0</v>
      </c>
      <c r="AE1077" s="8" t="b">
        <v>0</v>
      </c>
      <c r="AG1077" s="11" t="b" cm="1">
        <f t="array" ref="AG1077">IF(OR(Y1077:AA1077="TRUE", AE1077="true"), "Threatened")</f>
        <v>0</v>
      </c>
      <c r="AH1077" s="11" t="s">
        <v>2924</v>
      </c>
      <c r="AI1077" s="8" t="b">
        <v>0</v>
      </c>
    </row>
    <row r="1078" spans="1:35" ht="31.2">
      <c r="A1078" s="8">
        <v>-73.954183709999995</v>
      </c>
      <c r="B1078" s="8">
        <v>40.79443405</v>
      </c>
      <c r="C1078" s="8" t="s">
        <v>2925</v>
      </c>
      <c r="D1078" s="8" t="s">
        <v>293</v>
      </c>
      <c r="E1078" s="8" t="b">
        <f t="shared" si="16"/>
        <v>0</v>
      </c>
      <c r="F1078" s="8" t="str" cm="1">
        <f t="array" ref="F1078">_xlfn._xlws.FILTER(E1078:E4276, C1078:C4276= "6D-PM-1020-01", "No Squirrels Found")</f>
        <v>No Squirrels Found</v>
      </c>
      <c r="G1078" s="8" t="s">
        <v>34</v>
      </c>
      <c r="H1078" s="10">
        <v>10202018</v>
      </c>
      <c r="I1078" s="10">
        <v>6</v>
      </c>
      <c r="J1078" s="8" t="s">
        <v>54</v>
      </c>
      <c r="K1078" s="8" t="s">
        <v>41</v>
      </c>
      <c r="L1078" s="8" t="s">
        <v>84</v>
      </c>
      <c r="M1078" s="8" t="s">
        <v>85</v>
      </c>
      <c r="O1078" s="8" t="s">
        <v>43</v>
      </c>
      <c r="P1078" s="8" t="b">
        <v>0</v>
      </c>
      <c r="R1078" s="8" t="b">
        <v>0</v>
      </c>
      <c r="S1078" s="8" t="b">
        <v>0</v>
      </c>
      <c r="T1078" s="8" t="b">
        <v>0</v>
      </c>
      <c r="U1078" s="8" t="b">
        <v>0</v>
      </c>
      <c r="V1078" s="8" t="b">
        <v>1</v>
      </c>
      <c r="X1078" s="8" t="b">
        <v>0</v>
      </c>
      <c r="Y1078" s="8" t="b">
        <v>1</v>
      </c>
      <c r="Z1078" s="8" t="b">
        <v>0</v>
      </c>
      <c r="AA1078" s="8" t="b">
        <v>0</v>
      </c>
      <c r="AB1078" s="8" t="b">
        <v>0</v>
      </c>
      <c r="AC1078" s="8" t="b">
        <v>0</v>
      </c>
      <c r="AD1078" s="8" t="b">
        <v>0</v>
      </c>
      <c r="AE1078" s="8" t="b">
        <v>1</v>
      </c>
      <c r="AG1078" s="11" t="b" cm="1">
        <f t="array" ref="AG1078">IF(OR(Y1078:AA1078="TRUE", AE1078="true"), "Threatened")</f>
        <v>0</v>
      </c>
      <c r="AH1078" s="11" t="s">
        <v>2926</v>
      </c>
      <c r="AI1078" s="8" t="b">
        <v>1</v>
      </c>
    </row>
    <row r="1079" spans="1:35" ht="31.2">
      <c r="A1079" s="8">
        <v>-73.958659150000003</v>
      </c>
      <c r="B1079" s="8">
        <v>40.790624389999998</v>
      </c>
      <c r="C1079" s="8" t="s">
        <v>2927</v>
      </c>
      <c r="D1079" s="8" t="s">
        <v>144</v>
      </c>
      <c r="E1079" s="8" t="b">
        <f t="shared" si="16"/>
        <v>0</v>
      </c>
      <c r="F1079" s="8" t="str" cm="1">
        <f t="array" ref="F1079">_xlfn._xlws.FILTER(E1079:E4277, C1079:C4277= "6D-PM-1020-01", "No Squirrels Found")</f>
        <v>No Squirrels Found</v>
      </c>
      <c r="G1079" s="8" t="s">
        <v>34</v>
      </c>
      <c r="H1079" s="10">
        <v>10082018</v>
      </c>
      <c r="I1079" s="10">
        <v>6</v>
      </c>
      <c r="J1079" s="8" t="s">
        <v>39</v>
      </c>
      <c r="K1079" s="8" t="s">
        <v>40</v>
      </c>
      <c r="M1079" s="8" t="s">
        <v>55</v>
      </c>
      <c r="O1079" s="8" t="s">
        <v>43</v>
      </c>
      <c r="P1079" s="8" t="b">
        <v>0</v>
      </c>
      <c r="R1079" s="8" t="b">
        <v>0</v>
      </c>
      <c r="S1079" s="8" t="b">
        <v>0</v>
      </c>
      <c r="T1079" s="8" t="b">
        <v>0</v>
      </c>
      <c r="U1079" s="8" t="b">
        <v>0</v>
      </c>
      <c r="V1079" s="8" t="b">
        <v>1</v>
      </c>
      <c r="X1079" s="8" t="b">
        <v>0</v>
      </c>
      <c r="Y1079" s="8" t="b">
        <v>0</v>
      </c>
      <c r="Z1079" s="8" t="b">
        <v>0</v>
      </c>
      <c r="AA1079" s="8" t="b">
        <v>0</v>
      </c>
      <c r="AB1079" s="8" t="b">
        <v>0</v>
      </c>
      <c r="AC1079" s="8" t="b">
        <v>0</v>
      </c>
      <c r="AD1079" s="8" t="b">
        <v>1</v>
      </c>
      <c r="AE1079" s="8" t="b">
        <v>0</v>
      </c>
      <c r="AG1079" s="11" t="b" cm="1">
        <f t="array" ref="AG1079">IF(OR(Y1079:AA1079="TRUE", AE1079="true"), "Threatened")</f>
        <v>0</v>
      </c>
      <c r="AH1079" s="11" t="s">
        <v>2928</v>
      </c>
      <c r="AI1079" s="8" t="b">
        <v>1</v>
      </c>
    </row>
    <row r="1080" spans="1:35" ht="31.2">
      <c r="A1080" s="8">
        <v>-73.972273759999993</v>
      </c>
      <c r="B1080" s="8">
        <v>40.768963020000001</v>
      </c>
      <c r="C1080" s="8" t="s">
        <v>2929</v>
      </c>
      <c r="D1080" s="8" t="s">
        <v>66</v>
      </c>
      <c r="E1080" s="8" t="b">
        <f t="shared" si="16"/>
        <v>0</v>
      </c>
      <c r="F1080" s="8" t="str" cm="1">
        <f t="array" ref="F1080">_xlfn._xlws.FILTER(E1080:E4278, C1080:C4278= "6D-PM-1020-01", "No Squirrels Found")</f>
        <v>No Squirrels Found</v>
      </c>
      <c r="G1080" s="8" t="s">
        <v>48</v>
      </c>
      <c r="H1080" s="10">
        <v>10082018</v>
      </c>
      <c r="I1080" s="10">
        <v>4</v>
      </c>
      <c r="J1080" s="8" t="s">
        <v>54</v>
      </c>
      <c r="K1080" s="8" t="s">
        <v>40</v>
      </c>
      <c r="L1080" s="8" t="s">
        <v>41</v>
      </c>
      <c r="M1080" s="8" t="s">
        <v>42</v>
      </c>
      <c r="N1080" s="11" t="s">
        <v>2930</v>
      </c>
      <c r="O1080" s="8" t="s">
        <v>50</v>
      </c>
      <c r="P1080" s="8">
        <v>20</v>
      </c>
      <c r="Q1080" s="8" t="s">
        <v>206</v>
      </c>
      <c r="R1080" s="8" t="b">
        <v>1</v>
      </c>
      <c r="S1080" s="8" t="b">
        <v>0</v>
      </c>
      <c r="T1080" s="8" t="b">
        <v>1</v>
      </c>
      <c r="U1080" s="8" t="b">
        <v>0</v>
      </c>
      <c r="V1080" s="8" t="b">
        <v>0</v>
      </c>
      <c r="X1080" s="8" t="b">
        <v>0</v>
      </c>
      <c r="Y1080" s="8" t="b">
        <v>0</v>
      </c>
      <c r="Z1080" s="8" t="b">
        <v>0</v>
      </c>
      <c r="AA1080" s="8" t="b">
        <v>0</v>
      </c>
      <c r="AB1080" s="8" t="b">
        <v>1</v>
      </c>
      <c r="AC1080" s="8" t="b">
        <v>0</v>
      </c>
      <c r="AD1080" s="8" t="b">
        <v>0</v>
      </c>
      <c r="AE1080" s="8" t="b">
        <v>1</v>
      </c>
      <c r="AG1080" s="11" t="b" cm="1">
        <f t="array" ref="AG1080">IF(OR(Y1080:AA1080="TRUE", AE1080="true"), "Threatened")</f>
        <v>0</v>
      </c>
      <c r="AH1080" s="11" t="s">
        <v>2931</v>
      </c>
      <c r="AI1080" s="8" t="b">
        <v>1</v>
      </c>
    </row>
    <row r="1081" spans="1:35" ht="31.2">
      <c r="A1081" s="8">
        <v>-73.969021190000007</v>
      </c>
      <c r="B1081" s="8">
        <v>40.773038300000003</v>
      </c>
      <c r="C1081" s="8" t="s">
        <v>2932</v>
      </c>
      <c r="D1081" s="8" t="s">
        <v>83</v>
      </c>
      <c r="E1081" s="8" t="b">
        <f t="shared" si="16"/>
        <v>0</v>
      </c>
      <c r="F1081" s="8" t="str" cm="1">
        <f t="array" ref="F1081">_xlfn._xlws.FILTER(E1081:E4279, C1081:C4279= "6D-PM-1020-01", "No Squirrels Found")</f>
        <v>No Squirrels Found</v>
      </c>
      <c r="G1081" s="8" t="s">
        <v>48</v>
      </c>
      <c r="H1081" s="10">
        <v>10102018</v>
      </c>
      <c r="I1081" s="10">
        <v>7</v>
      </c>
      <c r="J1081" s="8" t="s">
        <v>39</v>
      </c>
      <c r="K1081" s="8" t="s">
        <v>40</v>
      </c>
      <c r="L1081" s="8" t="s">
        <v>84</v>
      </c>
      <c r="M1081" s="8" t="s">
        <v>103</v>
      </c>
      <c r="O1081" s="8" t="s">
        <v>50</v>
      </c>
      <c r="P1081" s="8">
        <v>4</v>
      </c>
      <c r="R1081" s="8" t="b">
        <v>0</v>
      </c>
      <c r="S1081" s="8" t="b">
        <v>0</v>
      </c>
      <c r="T1081" s="8" t="b">
        <v>0</v>
      </c>
      <c r="U1081" s="8" t="b">
        <v>1</v>
      </c>
      <c r="V1081" s="8" t="b">
        <v>0</v>
      </c>
      <c r="X1081" s="8" t="b">
        <v>0</v>
      </c>
      <c r="Y1081" s="8" t="b">
        <v>0</v>
      </c>
      <c r="Z1081" s="8" t="b">
        <v>0</v>
      </c>
      <c r="AA1081" s="8" t="b">
        <v>0</v>
      </c>
      <c r="AB1081" s="8" t="b">
        <v>0</v>
      </c>
      <c r="AC1081" s="8" t="b">
        <v>0</v>
      </c>
      <c r="AD1081" s="8" t="b">
        <v>0</v>
      </c>
      <c r="AE1081" s="8" t="b">
        <v>1</v>
      </c>
      <c r="AG1081" s="11" t="b" cm="1">
        <f t="array" ref="AG1081">IF(OR(Y1081:AA1081="TRUE", AE1081="true"), "Threatened")</f>
        <v>0</v>
      </c>
      <c r="AH1081" s="11" t="s">
        <v>2933</v>
      </c>
      <c r="AI1081" s="8" t="b">
        <v>1</v>
      </c>
    </row>
    <row r="1082" spans="1:35" ht="31.2">
      <c r="A1082" s="8">
        <v>-73.968085529999996</v>
      </c>
      <c r="B1082" s="8">
        <v>40.776925200000001</v>
      </c>
      <c r="C1082" s="8" t="s">
        <v>2934</v>
      </c>
      <c r="D1082" s="8" t="s">
        <v>246</v>
      </c>
      <c r="E1082" s="8" t="b">
        <f t="shared" si="16"/>
        <v>0</v>
      </c>
      <c r="F1082" s="8" t="str" cm="1">
        <f t="array" ref="F1082">_xlfn._xlws.FILTER(E1082:E4280, C1082:C4280= "6D-PM-1020-01", "No Squirrels Found")</f>
        <v>No Squirrels Found</v>
      </c>
      <c r="G1082" s="8" t="s">
        <v>48</v>
      </c>
      <c r="H1082" s="10">
        <v>10072018</v>
      </c>
      <c r="I1082" s="10">
        <v>10</v>
      </c>
      <c r="J1082" s="8" t="s">
        <v>39</v>
      </c>
      <c r="K1082" s="8" t="s">
        <v>41</v>
      </c>
      <c r="L1082" s="8" t="s">
        <v>40</v>
      </c>
      <c r="M1082" s="8" t="s">
        <v>110</v>
      </c>
      <c r="O1082" s="8" t="s">
        <v>50</v>
      </c>
      <c r="P1082" s="8">
        <v>20</v>
      </c>
      <c r="R1082" s="8" t="b">
        <v>1</v>
      </c>
      <c r="S1082" s="8" t="b">
        <v>0</v>
      </c>
      <c r="T1082" s="8" t="b">
        <v>1</v>
      </c>
      <c r="U1082" s="8" t="b">
        <v>0</v>
      </c>
      <c r="V1082" s="8" t="b">
        <v>0</v>
      </c>
      <c r="X1082" s="8" t="b">
        <v>0</v>
      </c>
      <c r="Y1082" s="8" t="b">
        <v>0</v>
      </c>
      <c r="Z1082" s="8" t="b">
        <v>0</v>
      </c>
      <c r="AA1082" s="8" t="b">
        <v>0</v>
      </c>
      <c r="AB1082" s="8" t="b">
        <v>0</v>
      </c>
      <c r="AC1082" s="8" t="b">
        <v>0</v>
      </c>
      <c r="AD1082" s="8" t="b">
        <v>0</v>
      </c>
      <c r="AE1082" s="8" t="b">
        <v>1</v>
      </c>
      <c r="AG1082" s="11" t="b" cm="1">
        <f t="array" ref="AG1082">IF(OR(Y1082:AA1082="TRUE", AE1082="true"), "Threatened")</f>
        <v>0</v>
      </c>
      <c r="AH1082" s="11" t="s">
        <v>2935</v>
      </c>
      <c r="AI1082" s="8" t="b">
        <v>1</v>
      </c>
    </row>
    <row r="1083" spans="1:35" ht="31.2">
      <c r="A1083" s="8">
        <v>-73.961749069999996</v>
      </c>
      <c r="B1083" s="8">
        <v>40.79215378</v>
      </c>
      <c r="C1083" s="8" t="s">
        <v>2936</v>
      </c>
      <c r="D1083" s="8" t="s">
        <v>616</v>
      </c>
      <c r="E1083" s="8" t="b">
        <f t="shared" si="16"/>
        <v>0</v>
      </c>
      <c r="F1083" s="8" t="str" cm="1">
        <f t="array" ref="F1083">_xlfn._xlws.FILTER(E1083:E4281, C1083:C4281= "6D-PM-1020-01", "No Squirrels Found")</f>
        <v>No Squirrels Found</v>
      </c>
      <c r="G1083" s="8" t="s">
        <v>34</v>
      </c>
      <c r="H1083" s="10">
        <v>10132018</v>
      </c>
      <c r="I1083" s="10">
        <v>6</v>
      </c>
      <c r="J1083" s="8" t="s">
        <v>39</v>
      </c>
      <c r="K1083" s="8" t="s">
        <v>40</v>
      </c>
      <c r="M1083" s="8" t="s">
        <v>55</v>
      </c>
      <c r="O1083" s="8" t="s">
        <v>43</v>
      </c>
      <c r="P1083" s="8" t="b">
        <v>0</v>
      </c>
      <c r="R1083" s="8" t="b">
        <v>1</v>
      </c>
      <c r="S1083" s="8" t="b">
        <v>0</v>
      </c>
      <c r="T1083" s="8" t="b">
        <v>0</v>
      </c>
      <c r="U1083" s="8" t="b">
        <v>0</v>
      </c>
      <c r="V1083" s="8" t="b">
        <v>0</v>
      </c>
      <c r="X1083" s="8" t="b">
        <v>0</v>
      </c>
      <c r="Y1083" s="8" t="b">
        <v>0</v>
      </c>
      <c r="Z1083" s="8" t="b">
        <v>0</v>
      </c>
      <c r="AA1083" s="8" t="b">
        <v>0</v>
      </c>
      <c r="AB1083" s="8" t="b">
        <v>0</v>
      </c>
      <c r="AC1083" s="8" t="b">
        <v>0</v>
      </c>
      <c r="AD1083" s="8" t="b">
        <v>0</v>
      </c>
      <c r="AE1083" s="8" t="b">
        <v>0</v>
      </c>
      <c r="AG1083" s="11" t="b" cm="1">
        <f t="array" ref="AG1083">IF(OR(Y1083:AA1083="TRUE", AE1083="true"), "Threatened")</f>
        <v>0</v>
      </c>
      <c r="AH1083" s="11" t="s">
        <v>2937</v>
      </c>
      <c r="AI1083" s="8" t="b">
        <v>1</v>
      </c>
    </row>
    <row r="1084" spans="1:35" ht="31.2">
      <c r="A1084" s="8">
        <v>-73.978811780000001</v>
      </c>
      <c r="B1084" s="8">
        <v>40.770734709999999</v>
      </c>
      <c r="C1084" s="8" t="s">
        <v>2938</v>
      </c>
      <c r="D1084" s="8" t="s">
        <v>2864</v>
      </c>
      <c r="E1084" s="8" t="b">
        <f t="shared" si="16"/>
        <v>0</v>
      </c>
      <c r="F1084" s="8" t="str" cm="1">
        <f t="array" ref="F1084">_xlfn._xlws.FILTER(E1084:E4282, C1084:C4282= "6D-PM-1020-01", "No Squirrels Found")</f>
        <v>No Squirrels Found</v>
      </c>
      <c r="G1084" s="8" t="s">
        <v>34</v>
      </c>
      <c r="H1084" s="10">
        <v>10132018</v>
      </c>
      <c r="I1084" s="10">
        <v>4</v>
      </c>
      <c r="J1084" s="8" t="s">
        <v>39</v>
      </c>
      <c r="K1084" s="8" t="s">
        <v>40</v>
      </c>
      <c r="L1084" s="8" t="s">
        <v>84</v>
      </c>
      <c r="M1084" s="8" t="s">
        <v>103</v>
      </c>
      <c r="O1084" s="8" t="s">
        <v>43</v>
      </c>
      <c r="P1084" s="8" t="b">
        <v>0</v>
      </c>
      <c r="R1084" s="8" t="b">
        <v>0</v>
      </c>
      <c r="S1084" s="8" t="b">
        <v>0</v>
      </c>
      <c r="T1084" s="8" t="b">
        <v>0</v>
      </c>
      <c r="U1084" s="8" t="b">
        <v>0</v>
      </c>
      <c r="V1084" s="8" t="b">
        <v>1</v>
      </c>
      <c r="X1084" s="8" t="b">
        <v>0</v>
      </c>
      <c r="Y1084" s="8" t="b">
        <v>0</v>
      </c>
      <c r="Z1084" s="8" t="b">
        <v>0</v>
      </c>
      <c r="AA1084" s="8" t="b">
        <v>0</v>
      </c>
      <c r="AB1084" s="8" t="b">
        <v>0</v>
      </c>
      <c r="AC1084" s="8" t="b">
        <v>0</v>
      </c>
      <c r="AD1084" s="8" t="b">
        <v>0</v>
      </c>
      <c r="AE1084" s="8" t="b">
        <v>0</v>
      </c>
      <c r="AG1084" s="11" t="b" cm="1">
        <f t="array" ref="AG1084">IF(OR(Y1084:AA1084="TRUE", AE1084="true"), "Threatened")</f>
        <v>0</v>
      </c>
      <c r="AH1084" s="11" t="s">
        <v>2939</v>
      </c>
      <c r="AI1084" s="8" t="b">
        <v>1</v>
      </c>
    </row>
    <row r="1085" spans="1:35" ht="31.2">
      <c r="A1085" s="8">
        <v>-73.969883980000006</v>
      </c>
      <c r="B1085" s="8">
        <v>40.778143309999997</v>
      </c>
      <c r="C1085" s="8" t="s">
        <v>2940</v>
      </c>
      <c r="D1085" s="8" t="s">
        <v>721</v>
      </c>
      <c r="E1085" s="8" t="b">
        <f t="shared" si="16"/>
        <v>0</v>
      </c>
      <c r="F1085" s="8" t="str" cm="1">
        <f t="array" ref="F1085">_xlfn._xlws.FILTER(E1085:E4283, C1085:C4283= "6D-PM-1020-01", "No Squirrels Found")</f>
        <v>No Squirrels Found</v>
      </c>
      <c r="G1085" s="8" t="s">
        <v>34</v>
      </c>
      <c r="H1085" s="10">
        <v>10102018</v>
      </c>
      <c r="I1085" s="10">
        <v>8</v>
      </c>
      <c r="J1085" s="8" t="s">
        <v>39</v>
      </c>
      <c r="K1085" s="8" t="s">
        <v>40</v>
      </c>
      <c r="M1085" s="8" t="s">
        <v>55</v>
      </c>
      <c r="O1085" s="8" t="s">
        <v>43</v>
      </c>
      <c r="P1085" s="8" t="b">
        <v>0</v>
      </c>
      <c r="R1085" s="8" t="b">
        <v>1</v>
      </c>
      <c r="S1085" s="8" t="b">
        <v>0</v>
      </c>
      <c r="T1085" s="8" t="b">
        <v>0</v>
      </c>
      <c r="U1085" s="8" t="b">
        <v>0</v>
      </c>
      <c r="V1085" s="8" t="b">
        <v>0</v>
      </c>
      <c r="X1085" s="8" t="b">
        <v>1</v>
      </c>
      <c r="Y1085" s="8" t="b">
        <v>0</v>
      </c>
      <c r="Z1085" s="8" t="b">
        <v>0</v>
      </c>
      <c r="AA1085" s="8" t="b">
        <v>0</v>
      </c>
      <c r="AB1085" s="8" t="b">
        <v>0</v>
      </c>
      <c r="AC1085" s="8" t="b">
        <v>0</v>
      </c>
      <c r="AD1085" s="8" t="b">
        <v>1</v>
      </c>
      <c r="AE1085" s="8" t="b">
        <v>0</v>
      </c>
      <c r="AG1085" s="11" t="b" cm="1">
        <f t="array" ref="AG1085">IF(OR(Y1085:AA1085="TRUE", AE1085="true"), "Threatened")</f>
        <v>0</v>
      </c>
      <c r="AH1085" s="11" t="s">
        <v>2941</v>
      </c>
      <c r="AI1085" s="8" t="b">
        <v>1</v>
      </c>
    </row>
    <row r="1086" spans="1:35" ht="31.2">
      <c r="A1086" s="8">
        <v>-73.972226500000005</v>
      </c>
      <c r="B1086" s="8">
        <v>40.770091690000001</v>
      </c>
      <c r="C1086" s="8" t="s">
        <v>2942</v>
      </c>
      <c r="D1086" s="8" t="s">
        <v>413</v>
      </c>
      <c r="E1086" s="8" t="b">
        <f t="shared" si="16"/>
        <v>0</v>
      </c>
      <c r="F1086" s="8" t="str" cm="1">
        <f t="array" ref="F1086">_xlfn._xlws.FILTER(E1086:E4284, C1086:C4284= "6D-PM-1020-01", "No Squirrels Found")</f>
        <v>No Squirrels Found</v>
      </c>
      <c r="G1086" s="8" t="s">
        <v>34</v>
      </c>
      <c r="H1086" s="10">
        <v>10182018</v>
      </c>
      <c r="I1086" s="10">
        <v>2</v>
      </c>
      <c r="J1086" s="8" t="s">
        <v>39</v>
      </c>
      <c r="K1086" s="8" t="s">
        <v>40</v>
      </c>
      <c r="L1086" s="8" t="s">
        <v>84</v>
      </c>
      <c r="M1086" s="8" t="s">
        <v>103</v>
      </c>
      <c r="O1086" s="8" t="s">
        <v>43</v>
      </c>
      <c r="P1086" s="8" t="b">
        <v>0</v>
      </c>
      <c r="R1086" s="8" t="b">
        <v>0</v>
      </c>
      <c r="S1086" s="8" t="b">
        <v>0</v>
      </c>
      <c r="T1086" s="8" t="b">
        <v>0</v>
      </c>
      <c r="U1086" s="8" t="b">
        <v>1</v>
      </c>
      <c r="V1086" s="8" t="b">
        <v>0</v>
      </c>
      <c r="X1086" s="8" t="b">
        <v>0</v>
      </c>
      <c r="Y1086" s="8" t="b">
        <v>0</v>
      </c>
      <c r="Z1086" s="8" t="b">
        <v>0</v>
      </c>
      <c r="AA1086" s="8" t="b">
        <v>0</v>
      </c>
      <c r="AB1086" s="8" t="b">
        <v>0</v>
      </c>
      <c r="AC1086" s="8" t="b">
        <v>0</v>
      </c>
      <c r="AD1086" s="8" t="b">
        <v>1</v>
      </c>
      <c r="AE1086" s="8" t="b">
        <v>0</v>
      </c>
      <c r="AG1086" s="11" t="b" cm="1">
        <f t="array" ref="AG1086">IF(OR(Y1086:AA1086="TRUE", AE1086="true"), "Threatened")</f>
        <v>0</v>
      </c>
      <c r="AH1086" s="11" t="s">
        <v>2943</v>
      </c>
      <c r="AI1086" s="8" t="b">
        <v>1</v>
      </c>
    </row>
    <row r="1087" spans="1:35" ht="31.2">
      <c r="A1087" s="8">
        <v>-73.971339929999999</v>
      </c>
      <c r="B1087" s="8">
        <v>40.775067800000002</v>
      </c>
      <c r="C1087" s="8" t="s">
        <v>2944</v>
      </c>
      <c r="D1087" s="8" t="s">
        <v>738</v>
      </c>
      <c r="E1087" s="8" t="b">
        <f t="shared" si="16"/>
        <v>0</v>
      </c>
      <c r="F1087" s="8" t="str" cm="1">
        <f t="array" ref="F1087">_xlfn._xlws.FILTER(E1087:E4285, C1087:C4285= "6D-PM-1020-01", "No Squirrels Found")</f>
        <v>No Squirrels Found</v>
      </c>
      <c r="G1087" s="8" t="s">
        <v>34</v>
      </c>
      <c r="H1087" s="10">
        <v>10182018</v>
      </c>
      <c r="I1087" s="10">
        <v>2</v>
      </c>
      <c r="J1087" s="8" t="s">
        <v>39</v>
      </c>
      <c r="K1087" s="8" t="s">
        <v>192</v>
      </c>
      <c r="L1087" s="8" t="s">
        <v>117</v>
      </c>
      <c r="M1087" s="8" t="s">
        <v>2945</v>
      </c>
      <c r="N1087" s="11" t="s">
        <v>2946</v>
      </c>
      <c r="O1087" s="8" t="s">
        <v>50</v>
      </c>
      <c r="P1087" s="8">
        <v>3</v>
      </c>
      <c r="R1087" s="8" t="b">
        <v>0</v>
      </c>
      <c r="S1087" s="8" t="b">
        <v>0</v>
      </c>
      <c r="T1087" s="8" t="b">
        <v>1</v>
      </c>
      <c r="U1087" s="8" t="b">
        <v>0</v>
      </c>
      <c r="V1087" s="8" t="b">
        <v>0</v>
      </c>
      <c r="W1087" s="11" t="s">
        <v>2947</v>
      </c>
      <c r="X1087" s="8" t="b">
        <v>0</v>
      </c>
      <c r="Y1087" s="8" t="b">
        <v>0</v>
      </c>
      <c r="Z1087" s="8" t="b">
        <v>0</v>
      </c>
      <c r="AA1087" s="8" t="b">
        <v>0</v>
      </c>
      <c r="AB1087" s="8" t="b">
        <v>1</v>
      </c>
      <c r="AC1087" s="8" t="b">
        <v>0</v>
      </c>
      <c r="AD1087" s="8" t="b">
        <v>1</v>
      </c>
      <c r="AE1087" s="8" t="b">
        <v>0</v>
      </c>
      <c r="AG1087" s="11" t="b" cm="1">
        <f t="array" ref="AG1087">IF(OR(Y1087:AA1087="TRUE", AE1087="true"), "Threatened")</f>
        <v>0</v>
      </c>
      <c r="AH1087" s="11" t="s">
        <v>2948</v>
      </c>
      <c r="AI1087" s="8" t="b">
        <v>0</v>
      </c>
    </row>
    <row r="1088" spans="1:35" ht="31.2">
      <c r="A1088" s="8">
        <v>-73.967995579999993</v>
      </c>
      <c r="B1088" s="8">
        <v>40.781843160000001</v>
      </c>
      <c r="C1088" s="8" t="s">
        <v>2949</v>
      </c>
      <c r="D1088" s="8" t="s">
        <v>1038</v>
      </c>
      <c r="E1088" s="8" t="b">
        <f t="shared" si="16"/>
        <v>0</v>
      </c>
      <c r="F1088" s="8" t="str" cm="1">
        <f t="array" ref="F1088">_xlfn._xlws.FILTER(E1088:E4286, C1088:C4286= "6D-PM-1020-01", "No Squirrels Found")</f>
        <v>No Squirrels Found</v>
      </c>
      <c r="G1088" s="8" t="s">
        <v>34</v>
      </c>
      <c r="H1088" s="10">
        <v>10182018</v>
      </c>
      <c r="I1088" s="10">
        <v>4</v>
      </c>
      <c r="J1088" s="8" t="s">
        <v>39</v>
      </c>
      <c r="K1088" s="8" t="s">
        <v>40</v>
      </c>
      <c r="M1088" s="8" t="s">
        <v>55</v>
      </c>
      <c r="O1088" s="8" t="s">
        <v>50</v>
      </c>
      <c r="P1088" s="8">
        <v>8</v>
      </c>
      <c r="R1088" s="8" t="b">
        <v>0</v>
      </c>
      <c r="S1088" s="8" t="b">
        <v>0</v>
      </c>
      <c r="T1088" s="8" t="b">
        <v>1</v>
      </c>
      <c r="U1088" s="8" t="b">
        <v>0</v>
      </c>
      <c r="V1088" s="8" t="b">
        <v>0</v>
      </c>
      <c r="X1088" s="8" t="b">
        <v>0</v>
      </c>
      <c r="Y1088" s="8" t="b">
        <v>0</v>
      </c>
      <c r="Z1088" s="8" t="b">
        <v>0</v>
      </c>
      <c r="AA1088" s="8" t="b">
        <v>0</v>
      </c>
      <c r="AB1088" s="8" t="b">
        <v>0</v>
      </c>
      <c r="AC1088" s="8" t="b">
        <v>0</v>
      </c>
      <c r="AD1088" s="8" t="b">
        <v>0</v>
      </c>
      <c r="AE1088" s="8" t="b">
        <v>0</v>
      </c>
      <c r="AG1088" s="11" t="b" cm="1">
        <f t="array" ref="AG1088">IF(OR(Y1088:AA1088="TRUE", AE1088="true"), "Threatened")</f>
        <v>0</v>
      </c>
      <c r="AH1088" s="11" t="s">
        <v>2950</v>
      </c>
      <c r="AI1088" s="8" t="b">
        <v>1</v>
      </c>
    </row>
    <row r="1089" spans="1:35" ht="31.2">
      <c r="A1089" s="8">
        <v>-73.97709854</v>
      </c>
      <c r="B1089" s="8">
        <v>40.766592670000001</v>
      </c>
      <c r="C1089" s="8" t="s">
        <v>2951</v>
      </c>
      <c r="D1089" s="8" t="s">
        <v>2590</v>
      </c>
      <c r="E1089" s="8" t="b">
        <f t="shared" si="16"/>
        <v>0</v>
      </c>
      <c r="F1089" s="8" t="str" cm="1">
        <f t="array" ref="F1089">_xlfn._xlws.FILTER(E1089:E4287, C1089:C4287= "6D-PM-1020-01", "No Squirrels Found")</f>
        <v>No Squirrels Found</v>
      </c>
      <c r="G1089" s="8" t="s">
        <v>48</v>
      </c>
      <c r="H1089" s="10">
        <v>10062018</v>
      </c>
      <c r="I1089" s="10">
        <v>4</v>
      </c>
      <c r="J1089" s="8" t="s">
        <v>39</v>
      </c>
      <c r="K1089" s="8" t="s">
        <v>41</v>
      </c>
      <c r="L1089" s="8" t="s">
        <v>40</v>
      </c>
      <c r="M1089" s="8" t="s">
        <v>110</v>
      </c>
      <c r="O1089" s="8" t="s">
        <v>43</v>
      </c>
      <c r="P1089" s="8" t="b">
        <v>0</v>
      </c>
      <c r="R1089" s="8" t="b">
        <v>0</v>
      </c>
      <c r="S1089" s="8" t="b">
        <v>0</v>
      </c>
      <c r="T1089" s="8" t="b">
        <v>0</v>
      </c>
      <c r="U1089" s="8" t="b">
        <v>0</v>
      </c>
      <c r="V1089" s="8" t="b">
        <v>1</v>
      </c>
      <c r="X1089" s="8" t="b">
        <v>0</v>
      </c>
      <c r="Y1089" s="8" t="b">
        <v>0</v>
      </c>
      <c r="Z1089" s="8" t="b">
        <v>0</v>
      </c>
      <c r="AA1089" s="8" t="b">
        <v>0</v>
      </c>
      <c r="AB1089" s="8" t="b">
        <v>0</v>
      </c>
      <c r="AC1089" s="8" t="b">
        <v>0</v>
      </c>
      <c r="AD1089" s="8" t="b">
        <v>0</v>
      </c>
      <c r="AE1089" s="8" t="b">
        <v>0</v>
      </c>
      <c r="AG1089" s="11" t="b" cm="1">
        <f t="array" ref="AG1089">IF(OR(Y1089:AA1089="TRUE", AE1089="true"), "Threatened")</f>
        <v>0</v>
      </c>
      <c r="AH1089" s="11" t="s">
        <v>2952</v>
      </c>
      <c r="AI1089" s="8" t="b">
        <v>1</v>
      </c>
    </row>
    <row r="1090" spans="1:35" ht="31.2">
      <c r="A1090" s="8">
        <v>-73.965595579999999</v>
      </c>
      <c r="B1090" s="8">
        <v>40.776206389999999</v>
      </c>
      <c r="C1090" s="8" t="s">
        <v>2953</v>
      </c>
      <c r="D1090" s="8" t="s">
        <v>672</v>
      </c>
      <c r="E1090" s="8" t="b">
        <f t="shared" si="16"/>
        <v>0</v>
      </c>
      <c r="F1090" s="8" t="str" cm="1">
        <f t="array" ref="F1090">_xlfn._xlws.FILTER(E1090:E4288, C1090:C4288= "6D-PM-1020-01", "No Squirrels Found")</f>
        <v>No Squirrels Found</v>
      </c>
      <c r="G1090" s="8" t="s">
        <v>34</v>
      </c>
      <c r="H1090" s="10">
        <v>10082018</v>
      </c>
      <c r="I1090" s="10">
        <v>4</v>
      </c>
      <c r="K1090" s="8" t="s">
        <v>40</v>
      </c>
      <c r="L1090" s="8" t="s">
        <v>41</v>
      </c>
      <c r="M1090" s="8" t="s">
        <v>42</v>
      </c>
      <c r="O1090" s="8" t="s">
        <v>43</v>
      </c>
      <c r="P1090" s="8" t="b">
        <v>0</v>
      </c>
      <c r="Q1090" s="8" t="s">
        <v>2954</v>
      </c>
      <c r="R1090" s="8" t="b">
        <v>0</v>
      </c>
      <c r="S1090" s="8" t="b">
        <v>0</v>
      </c>
      <c r="T1090" s="8" t="b">
        <v>0</v>
      </c>
      <c r="U1090" s="8" t="b">
        <v>0</v>
      </c>
      <c r="V1090" s="8" t="b">
        <v>1</v>
      </c>
      <c r="X1090" s="8" t="b">
        <v>0</v>
      </c>
      <c r="Y1090" s="8" t="b">
        <v>0</v>
      </c>
      <c r="Z1090" s="8" t="b">
        <v>0</v>
      </c>
      <c r="AA1090" s="8" t="b">
        <v>0</v>
      </c>
      <c r="AB1090" s="8" t="b">
        <v>0</v>
      </c>
      <c r="AC1090" s="8" t="b">
        <v>0</v>
      </c>
      <c r="AD1090" s="8" t="b">
        <v>1</v>
      </c>
      <c r="AE1090" s="8" t="b">
        <v>0</v>
      </c>
      <c r="AG1090" s="11" t="b" cm="1">
        <f t="array" ref="AG1090">IF(OR(Y1090:AA1090="TRUE", AE1090="true"), "Threatened")</f>
        <v>0</v>
      </c>
      <c r="AH1090" s="11" t="s">
        <v>2955</v>
      </c>
      <c r="AI1090" s="8" t="b">
        <v>1</v>
      </c>
    </row>
    <row r="1091" spans="1:35" ht="31.2">
      <c r="A1091" s="8">
        <v>-73.967767370000004</v>
      </c>
      <c r="B1091" s="8">
        <v>40.784702629999998</v>
      </c>
      <c r="C1091" s="8" t="s">
        <v>2956</v>
      </c>
      <c r="D1091" s="8" t="s">
        <v>2184</v>
      </c>
      <c r="E1091" s="8" t="b">
        <f t="shared" ref="E1091:E1154" si="17">OR(D1091 = "05D", D1091 = "07D", D1091 = "06C", D1091 = "06E")</f>
        <v>0</v>
      </c>
      <c r="F1091" s="8" t="str" cm="1">
        <f t="array" ref="F1091">_xlfn._xlws.FILTER(E1091:E4289, C1091:C4289= "6D-PM-1020-01", "No Squirrels Found")</f>
        <v>No Squirrels Found</v>
      </c>
      <c r="G1091" s="8" t="s">
        <v>34</v>
      </c>
      <c r="H1091" s="10">
        <v>10122018</v>
      </c>
      <c r="I1091" s="10">
        <v>7</v>
      </c>
      <c r="J1091" s="8" t="s">
        <v>39</v>
      </c>
      <c r="K1091" s="8" t="s">
        <v>40</v>
      </c>
      <c r="L1091" s="8" t="s">
        <v>41</v>
      </c>
      <c r="M1091" s="8" t="s">
        <v>42</v>
      </c>
      <c r="O1091" s="8" t="s">
        <v>43</v>
      </c>
      <c r="P1091" s="8" t="b">
        <v>0</v>
      </c>
      <c r="R1091" s="8" t="b">
        <v>1</v>
      </c>
      <c r="S1091" s="8" t="b">
        <v>0</v>
      </c>
      <c r="T1091" s="8" t="b">
        <v>0</v>
      </c>
      <c r="U1091" s="8" t="b">
        <v>0</v>
      </c>
      <c r="V1091" s="8" t="b">
        <v>0</v>
      </c>
      <c r="X1091" s="8" t="b">
        <v>0</v>
      </c>
      <c r="Y1091" s="8" t="b">
        <v>0</v>
      </c>
      <c r="Z1091" s="8" t="b">
        <v>0</v>
      </c>
      <c r="AA1091" s="8" t="b">
        <v>0</v>
      </c>
      <c r="AB1091" s="8" t="b">
        <v>1</v>
      </c>
      <c r="AC1091" s="8" t="b">
        <v>0</v>
      </c>
      <c r="AD1091" s="8" t="b">
        <v>0</v>
      </c>
      <c r="AE1091" s="8" t="b">
        <v>1</v>
      </c>
      <c r="AG1091" s="11" t="b" cm="1">
        <f t="array" ref="AG1091">IF(OR(Y1091:AA1091="TRUE", AE1091="true"), "Threatened")</f>
        <v>0</v>
      </c>
      <c r="AH1091" s="11" t="s">
        <v>2957</v>
      </c>
      <c r="AI1091" s="8" t="b">
        <v>1</v>
      </c>
    </row>
    <row r="1092" spans="1:35" ht="31.2">
      <c r="A1092" s="8">
        <v>-73.970556009999996</v>
      </c>
      <c r="B1092" s="8">
        <v>40.769849919999999</v>
      </c>
      <c r="C1092" s="8" t="s">
        <v>2958</v>
      </c>
      <c r="D1092" s="8" t="s">
        <v>113</v>
      </c>
      <c r="E1092" s="8" t="b">
        <f t="shared" si="17"/>
        <v>0</v>
      </c>
      <c r="F1092" s="8" t="str" cm="1">
        <f t="array" ref="F1092">_xlfn._xlws.FILTER(E1092:E4290, C1092:C4290= "6D-PM-1020-01", "No Squirrels Found")</f>
        <v>No Squirrels Found</v>
      </c>
      <c r="G1092" s="8" t="s">
        <v>48</v>
      </c>
      <c r="H1092" s="10">
        <v>10062018</v>
      </c>
      <c r="I1092" s="10">
        <v>7</v>
      </c>
      <c r="J1092" s="8" t="s">
        <v>39</v>
      </c>
      <c r="K1092" s="8" t="s">
        <v>40</v>
      </c>
      <c r="L1092" s="8" t="s">
        <v>41</v>
      </c>
      <c r="M1092" s="8" t="s">
        <v>42</v>
      </c>
      <c r="R1092" s="8" t="b">
        <v>0</v>
      </c>
      <c r="S1092" s="8" t="b">
        <v>0</v>
      </c>
      <c r="T1092" s="8" t="b">
        <v>0</v>
      </c>
      <c r="U1092" s="8" t="b">
        <v>1</v>
      </c>
      <c r="V1092" s="8" t="b">
        <v>0</v>
      </c>
      <c r="X1092" s="8" t="b">
        <v>0</v>
      </c>
      <c r="Y1092" s="8" t="b">
        <v>0</v>
      </c>
      <c r="Z1092" s="8" t="b">
        <v>0</v>
      </c>
      <c r="AA1092" s="8" t="b">
        <v>0</v>
      </c>
      <c r="AB1092" s="8" t="b">
        <v>1</v>
      </c>
      <c r="AC1092" s="8" t="b">
        <v>0</v>
      </c>
      <c r="AD1092" s="8" t="b">
        <v>1</v>
      </c>
      <c r="AE1092" s="8" t="b">
        <v>0</v>
      </c>
      <c r="AG1092" s="11" t="b" cm="1">
        <f t="array" ref="AG1092">IF(OR(Y1092:AA1092="TRUE", AE1092="true"), "Threatened")</f>
        <v>0</v>
      </c>
      <c r="AH1092" s="11" t="s">
        <v>2959</v>
      </c>
      <c r="AI1092" s="8" t="b">
        <v>1</v>
      </c>
    </row>
    <row r="1093" spans="1:35" ht="31.2">
      <c r="A1093" s="8">
        <v>-73.971131929999999</v>
      </c>
      <c r="B1093" s="8">
        <v>40.776032489999999</v>
      </c>
      <c r="C1093" s="8" t="s">
        <v>2960</v>
      </c>
      <c r="D1093" s="8" t="s">
        <v>426</v>
      </c>
      <c r="E1093" s="8" t="b">
        <f t="shared" si="17"/>
        <v>0</v>
      </c>
      <c r="F1093" s="8" t="str" cm="1">
        <f t="array" ref="F1093">_xlfn._xlws.FILTER(E1093:E4291, C1093:C4291= "6D-PM-1020-01", "No Squirrels Found")</f>
        <v>No Squirrels Found</v>
      </c>
      <c r="G1093" s="8" t="s">
        <v>34</v>
      </c>
      <c r="H1093" s="10">
        <v>10182018</v>
      </c>
      <c r="I1093" s="10">
        <v>12</v>
      </c>
      <c r="J1093" s="8" t="s">
        <v>39</v>
      </c>
      <c r="K1093" s="8" t="s">
        <v>40</v>
      </c>
      <c r="L1093" s="8" t="s">
        <v>84</v>
      </c>
      <c r="M1093" s="8" t="s">
        <v>103</v>
      </c>
      <c r="O1093" s="8" t="s">
        <v>43</v>
      </c>
      <c r="P1093" s="8" t="b">
        <v>0</v>
      </c>
      <c r="R1093" s="8" t="b">
        <v>0</v>
      </c>
      <c r="S1093" s="8" t="b">
        <v>0</v>
      </c>
      <c r="T1093" s="8" t="b">
        <v>0</v>
      </c>
      <c r="U1093" s="8" t="b">
        <v>0</v>
      </c>
      <c r="V1093" s="8" t="b">
        <v>1</v>
      </c>
      <c r="X1093" s="8" t="b">
        <v>0</v>
      </c>
      <c r="Y1093" s="8" t="b">
        <v>0</v>
      </c>
      <c r="Z1093" s="8" t="b">
        <v>0</v>
      </c>
      <c r="AA1093" s="8" t="b">
        <v>0</v>
      </c>
      <c r="AB1093" s="8" t="b">
        <v>0</v>
      </c>
      <c r="AC1093" s="8" t="b">
        <v>0</v>
      </c>
      <c r="AD1093" s="8" t="b">
        <v>1</v>
      </c>
      <c r="AE1093" s="8" t="b">
        <v>0</v>
      </c>
      <c r="AG1093" s="11" t="b" cm="1">
        <f t="array" ref="AG1093">IF(OR(Y1093:AA1093="TRUE", AE1093="true"), "Threatened")</f>
        <v>0</v>
      </c>
      <c r="AH1093" s="11" t="s">
        <v>2961</v>
      </c>
      <c r="AI1093" s="8" t="b">
        <v>1</v>
      </c>
    </row>
    <row r="1094" spans="1:35" ht="31.2">
      <c r="A1094" s="8">
        <v>-73.95841068</v>
      </c>
      <c r="B1094" s="8">
        <v>40.790277760000002</v>
      </c>
      <c r="C1094" s="8" t="s">
        <v>2962</v>
      </c>
      <c r="D1094" s="8" t="s">
        <v>144</v>
      </c>
      <c r="E1094" s="8" t="b">
        <f t="shared" si="17"/>
        <v>0</v>
      </c>
      <c r="F1094" s="8" t="str" cm="1">
        <f t="array" ref="F1094">_xlfn._xlws.FILTER(E1094:E4292, C1094:C4292= "6D-PM-1020-01", "No Squirrels Found")</f>
        <v>No Squirrels Found</v>
      </c>
      <c r="G1094" s="8" t="s">
        <v>34</v>
      </c>
      <c r="H1094" s="10">
        <v>10082018</v>
      </c>
      <c r="I1094" s="10">
        <v>2</v>
      </c>
      <c r="J1094" s="8" t="s">
        <v>39</v>
      </c>
      <c r="K1094" s="8" t="s">
        <v>40</v>
      </c>
      <c r="L1094" s="8" t="s">
        <v>84</v>
      </c>
      <c r="M1094" s="8" t="s">
        <v>103</v>
      </c>
      <c r="O1094" s="8" t="s">
        <v>43</v>
      </c>
      <c r="P1094" s="8" t="b">
        <v>0</v>
      </c>
      <c r="R1094" s="8" t="b">
        <v>0</v>
      </c>
      <c r="S1094" s="8" t="b">
        <v>0</v>
      </c>
      <c r="T1094" s="8" t="b">
        <v>1</v>
      </c>
      <c r="U1094" s="8" t="b">
        <v>1</v>
      </c>
      <c r="V1094" s="8" t="b">
        <v>1</v>
      </c>
      <c r="X1094" s="8" t="b">
        <v>0</v>
      </c>
      <c r="Y1094" s="8" t="b">
        <v>0</v>
      </c>
      <c r="Z1094" s="8" t="b">
        <v>0</v>
      </c>
      <c r="AA1094" s="8" t="b">
        <v>0</v>
      </c>
      <c r="AB1094" s="8" t="b">
        <v>0</v>
      </c>
      <c r="AC1094" s="8" t="b">
        <v>0</v>
      </c>
      <c r="AD1094" s="8" t="b">
        <v>1</v>
      </c>
      <c r="AE1094" s="8" t="b">
        <v>0</v>
      </c>
      <c r="AG1094" s="11" t="b" cm="1">
        <f t="array" ref="AG1094">IF(OR(Y1094:AA1094="TRUE", AE1094="true"), "Threatened")</f>
        <v>0</v>
      </c>
      <c r="AH1094" s="11" t="s">
        <v>2963</v>
      </c>
      <c r="AI1094" s="8" t="b">
        <v>1</v>
      </c>
    </row>
    <row r="1095" spans="1:35" ht="31.2">
      <c r="A1095" s="8">
        <v>-73.977389830000007</v>
      </c>
      <c r="B1095" s="8">
        <v>40.770858160000003</v>
      </c>
      <c r="C1095" s="8" t="s">
        <v>2964</v>
      </c>
      <c r="D1095" s="8" t="s">
        <v>2864</v>
      </c>
      <c r="E1095" s="8" t="b">
        <f t="shared" si="17"/>
        <v>0</v>
      </c>
      <c r="F1095" s="8" t="str" cm="1">
        <f t="array" ref="F1095">_xlfn._xlws.FILTER(E1095:E4293, C1095:C4293= "6D-PM-1020-01", "No Squirrels Found")</f>
        <v>No Squirrels Found</v>
      </c>
      <c r="G1095" s="8" t="s">
        <v>48</v>
      </c>
      <c r="H1095" s="10">
        <v>10082018</v>
      </c>
      <c r="I1095" s="10">
        <v>1</v>
      </c>
      <c r="J1095" s="8" t="s">
        <v>39</v>
      </c>
      <c r="K1095" s="8" t="s">
        <v>40</v>
      </c>
      <c r="L1095" s="8" t="s">
        <v>41</v>
      </c>
      <c r="M1095" s="8" t="s">
        <v>42</v>
      </c>
      <c r="O1095" s="8" t="s">
        <v>43</v>
      </c>
      <c r="P1095" s="8" t="b">
        <v>0</v>
      </c>
      <c r="R1095" s="8" t="b">
        <v>1</v>
      </c>
      <c r="S1095" s="8" t="b">
        <v>0</v>
      </c>
      <c r="T1095" s="8" t="b">
        <v>0</v>
      </c>
      <c r="U1095" s="8" t="b">
        <v>1</v>
      </c>
      <c r="V1095" s="8" t="b">
        <v>1</v>
      </c>
      <c r="W1095" s="11" t="s">
        <v>2965</v>
      </c>
      <c r="X1095" s="8" t="b">
        <v>0</v>
      </c>
      <c r="Y1095" s="8" t="b">
        <v>0</v>
      </c>
      <c r="Z1095" s="8" t="b">
        <v>0</v>
      </c>
      <c r="AA1095" s="8" t="b">
        <v>0</v>
      </c>
      <c r="AB1095" s="8" t="b">
        <v>0</v>
      </c>
      <c r="AC1095" s="8" t="b">
        <v>0</v>
      </c>
      <c r="AD1095" s="8" t="b">
        <v>1</v>
      </c>
      <c r="AE1095" s="8" t="b">
        <v>0</v>
      </c>
      <c r="AG1095" s="11" t="b" cm="1">
        <f t="array" ref="AG1095">IF(OR(Y1095:AA1095="TRUE", AE1095="true"), "Threatened")</f>
        <v>0</v>
      </c>
      <c r="AH1095" s="11" t="s">
        <v>2966</v>
      </c>
      <c r="AI1095" s="8" t="b">
        <v>0</v>
      </c>
    </row>
    <row r="1096" spans="1:35" ht="31.2">
      <c r="A1096" s="8">
        <v>-73.973554789999994</v>
      </c>
      <c r="B1096" s="8">
        <v>40.772342010000003</v>
      </c>
      <c r="C1096" s="8" t="s">
        <v>2967</v>
      </c>
      <c r="D1096" s="8" t="s">
        <v>2088</v>
      </c>
      <c r="E1096" s="8" t="b">
        <f t="shared" si="17"/>
        <v>0</v>
      </c>
      <c r="F1096" s="8" t="str" cm="1">
        <f t="array" ref="F1096">_xlfn._xlws.FILTER(E1096:E4294, C1096:C4294= "6D-PM-1020-01", "No Squirrels Found")</f>
        <v>No Squirrels Found</v>
      </c>
      <c r="G1096" s="8" t="s">
        <v>48</v>
      </c>
      <c r="H1096" s="10">
        <v>10072018</v>
      </c>
      <c r="I1096" s="10">
        <v>2</v>
      </c>
      <c r="J1096" s="8" t="s">
        <v>39</v>
      </c>
      <c r="K1096" s="8" t="s">
        <v>40</v>
      </c>
      <c r="M1096" s="8" t="s">
        <v>55</v>
      </c>
      <c r="O1096" s="8" t="s">
        <v>50</v>
      </c>
      <c r="P1096" s="8">
        <v>12</v>
      </c>
      <c r="R1096" s="8" t="b">
        <v>0</v>
      </c>
      <c r="S1096" s="8" t="b">
        <v>0</v>
      </c>
      <c r="T1096" s="8" t="b">
        <v>1</v>
      </c>
      <c r="U1096" s="8" t="b">
        <v>0</v>
      </c>
      <c r="V1096" s="8" t="b">
        <v>0</v>
      </c>
      <c r="X1096" s="8" t="b">
        <v>0</v>
      </c>
      <c r="Y1096" s="8" t="b">
        <v>0</v>
      </c>
      <c r="Z1096" s="8" t="b">
        <v>0</v>
      </c>
      <c r="AA1096" s="8" t="b">
        <v>0</v>
      </c>
      <c r="AB1096" s="8" t="b">
        <v>0</v>
      </c>
      <c r="AC1096" s="8" t="b">
        <v>0</v>
      </c>
      <c r="AD1096" s="8" t="b">
        <v>1</v>
      </c>
      <c r="AE1096" s="8" t="b">
        <v>0</v>
      </c>
      <c r="AG1096" s="11" t="b" cm="1">
        <f t="array" ref="AG1096">IF(OR(Y1096:AA1096="TRUE", AE1096="true"), "Threatened")</f>
        <v>0</v>
      </c>
      <c r="AH1096" s="11" t="s">
        <v>2968</v>
      </c>
      <c r="AI1096" s="8" t="b">
        <v>1</v>
      </c>
    </row>
    <row r="1097" spans="1:35" ht="31.2">
      <c r="A1097" s="8">
        <v>-73.956830089999997</v>
      </c>
      <c r="B1097" s="8">
        <v>40.793585569999998</v>
      </c>
      <c r="C1097" s="8" t="s">
        <v>2969</v>
      </c>
      <c r="D1097" s="8" t="s">
        <v>1045</v>
      </c>
      <c r="E1097" s="8" t="b">
        <f t="shared" si="17"/>
        <v>0</v>
      </c>
      <c r="F1097" s="8" t="str" cm="1">
        <f t="array" ref="F1097">_xlfn._xlws.FILTER(E1097:E4295, C1097:C4295= "6D-PM-1020-01", "No Squirrels Found")</f>
        <v>No Squirrels Found</v>
      </c>
      <c r="G1097" s="8" t="s">
        <v>48</v>
      </c>
      <c r="H1097" s="10">
        <v>10132018</v>
      </c>
      <c r="I1097" s="10">
        <v>1</v>
      </c>
      <c r="J1097" s="8" t="s">
        <v>54</v>
      </c>
      <c r="K1097" s="8" t="s">
        <v>40</v>
      </c>
      <c r="M1097" s="8" t="s">
        <v>55</v>
      </c>
      <c r="O1097" s="8" t="s">
        <v>43</v>
      </c>
      <c r="P1097" s="8" t="b">
        <v>0</v>
      </c>
      <c r="R1097" s="8" t="b">
        <v>1</v>
      </c>
      <c r="S1097" s="8" t="b">
        <v>0</v>
      </c>
      <c r="T1097" s="8" t="b">
        <v>0</v>
      </c>
      <c r="U1097" s="8" t="b">
        <v>0</v>
      </c>
      <c r="V1097" s="8" t="b">
        <v>0</v>
      </c>
      <c r="X1097" s="8" t="b">
        <v>0</v>
      </c>
      <c r="Y1097" s="8" t="b">
        <v>0</v>
      </c>
      <c r="Z1097" s="8" t="b">
        <v>0</v>
      </c>
      <c r="AA1097" s="8" t="b">
        <v>0</v>
      </c>
      <c r="AB1097" s="8" t="b">
        <v>0</v>
      </c>
      <c r="AC1097" s="8" t="b">
        <v>0</v>
      </c>
      <c r="AD1097" s="8" t="b">
        <v>0</v>
      </c>
      <c r="AE1097" s="8" t="b">
        <v>1</v>
      </c>
      <c r="AF1097" s="11" t="s">
        <v>2970</v>
      </c>
      <c r="AG1097" s="11" t="b" cm="1">
        <f t="array" ref="AG1097">IF(OR(Y1097:AA1097="TRUE", AE1097="true"), "Threatened")</f>
        <v>0</v>
      </c>
      <c r="AH1097" s="11" t="s">
        <v>2971</v>
      </c>
      <c r="AI1097" s="8" t="b">
        <v>1</v>
      </c>
    </row>
    <row r="1098" spans="1:35" ht="31.2">
      <c r="A1098" s="8">
        <v>-73.976157950000001</v>
      </c>
      <c r="B1098" s="8">
        <v>40.775587729999998</v>
      </c>
      <c r="C1098" s="8" t="s">
        <v>2972</v>
      </c>
      <c r="D1098" s="8" t="s">
        <v>167</v>
      </c>
      <c r="E1098" s="8" t="b">
        <f t="shared" si="17"/>
        <v>0</v>
      </c>
      <c r="F1098" s="8" t="str" cm="1">
        <f t="array" ref="F1098">_xlfn._xlws.FILTER(E1098:E4296, C1098:C4296= "6D-PM-1020-01", "No Squirrels Found")</f>
        <v>No Squirrels Found</v>
      </c>
      <c r="G1098" s="8" t="s">
        <v>34</v>
      </c>
      <c r="H1098" s="10">
        <v>10142018</v>
      </c>
      <c r="I1098" s="10">
        <v>2</v>
      </c>
      <c r="J1098" s="8" t="s">
        <v>39</v>
      </c>
      <c r="K1098" s="8" t="s">
        <v>40</v>
      </c>
      <c r="L1098" s="8" t="s">
        <v>1924</v>
      </c>
      <c r="M1098" s="8" t="s">
        <v>1925</v>
      </c>
      <c r="O1098" s="8" t="s">
        <v>43</v>
      </c>
      <c r="P1098" s="8" t="b">
        <v>0</v>
      </c>
      <c r="Q1098" s="8" t="s">
        <v>2973</v>
      </c>
      <c r="R1098" s="8" t="b">
        <v>0</v>
      </c>
      <c r="S1098" s="8" t="b">
        <v>0</v>
      </c>
      <c r="T1098" s="8" t="b">
        <v>0</v>
      </c>
      <c r="U1098" s="8" t="b">
        <v>1</v>
      </c>
      <c r="V1098" s="8" t="b">
        <v>1</v>
      </c>
      <c r="X1098" s="8" t="b">
        <v>0</v>
      </c>
      <c r="Y1098" s="8" t="b">
        <v>0</v>
      </c>
      <c r="Z1098" s="8" t="b">
        <v>0</v>
      </c>
      <c r="AA1098" s="8" t="b">
        <v>0</v>
      </c>
      <c r="AB1098" s="8" t="b">
        <v>1</v>
      </c>
      <c r="AC1098" s="8" t="b">
        <v>0</v>
      </c>
      <c r="AD1098" s="8" t="b">
        <v>1</v>
      </c>
      <c r="AE1098" s="8" t="b">
        <v>0</v>
      </c>
      <c r="AG1098" s="11" t="b" cm="1">
        <f t="array" ref="AG1098">IF(OR(Y1098:AA1098="TRUE", AE1098="true"), "Threatened")</f>
        <v>0</v>
      </c>
      <c r="AH1098" s="11" t="s">
        <v>2974</v>
      </c>
      <c r="AI1098" s="8" t="b">
        <v>1</v>
      </c>
    </row>
    <row r="1099" spans="1:35" ht="31.2">
      <c r="A1099" s="8">
        <v>-73.960495429999995</v>
      </c>
      <c r="B1099" s="8">
        <v>40.796568219999997</v>
      </c>
      <c r="C1099" s="8" t="s">
        <v>2975</v>
      </c>
      <c r="D1099" s="8" t="s">
        <v>2574</v>
      </c>
      <c r="E1099" s="8" t="b">
        <f t="shared" si="17"/>
        <v>0</v>
      </c>
      <c r="F1099" s="8" t="str" cm="1">
        <f t="array" ref="F1099">_xlfn._xlws.FILTER(E1099:E4297, C1099:C4297= "6D-PM-1020-01", "No Squirrels Found")</f>
        <v>No Squirrels Found</v>
      </c>
      <c r="G1099" s="8" t="s">
        <v>48</v>
      </c>
      <c r="H1099" s="10">
        <v>10122018</v>
      </c>
      <c r="I1099" s="10">
        <v>1</v>
      </c>
      <c r="J1099" s="8" t="s">
        <v>39</v>
      </c>
      <c r="K1099" s="8" t="s">
        <v>41</v>
      </c>
      <c r="L1099" s="8" t="s">
        <v>40</v>
      </c>
      <c r="M1099" s="8" t="s">
        <v>110</v>
      </c>
      <c r="N1099" s="11" t="s">
        <v>2976</v>
      </c>
      <c r="O1099" s="8" t="s">
        <v>43</v>
      </c>
      <c r="P1099" s="8" t="b">
        <v>0</v>
      </c>
      <c r="R1099" s="8" t="b">
        <v>0</v>
      </c>
      <c r="S1099" s="8" t="b">
        <v>0</v>
      </c>
      <c r="T1099" s="8" t="b">
        <v>0</v>
      </c>
      <c r="U1099" s="8" t="b">
        <v>0</v>
      </c>
      <c r="V1099" s="8" t="b">
        <v>1</v>
      </c>
      <c r="W1099" s="11" t="s">
        <v>2977</v>
      </c>
      <c r="X1099" s="8" t="b">
        <v>0</v>
      </c>
      <c r="Y1099" s="8" t="b">
        <v>0</v>
      </c>
      <c r="Z1099" s="8" t="b">
        <v>0</v>
      </c>
      <c r="AA1099" s="8" t="b">
        <v>0</v>
      </c>
      <c r="AB1099" s="8" t="b">
        <v>0</v>
      </c>
      <c r="AC1099" s="8" t="b">
        <v>0</v>
      </c>
      <c r="AD1099" s="8" t="b">
        <v>0</v>
      </c>
      <c r="AE1099" s="8" t="b">
        <v>1</v>
      </c>
      <c r="AG1099" s="11" t="b" cm="1">
        <f t="array" ref="AG1099">IF(OR(Y1099:AA1099="TRUE", AE1099="true"), "Threatened")</f>
        <v>0</v>
      </c>
      <c r="AH1099" s="11" t="s">
        <v>2978</v>
      </c>
      <c r="AI1099" s="8" t="b">
        <v>0</v>
      </c>
    </row>
    <row r="1100" spans="1:35" ht="31.2">
      <c r="A1100" s="8">
        <v>-73.97615279</v>
      </c>
      <c r="B1100" s="8">
        <v>40.770960700000003</v>
      </c>
      <c r="C1100" s="8" t="s">
        <v>2979</v>
      </c>
      <c r="D1100" s="8" t="s">
        <v>2799</v>
      </c>
      <c r="E1100" s="8" t="b">
        <f t="shared" si="17"/>
        <v>1</v>
      </c>
      <c r="F1100" s="8" t="str" cm="1">
        <f t="array" ref="F1100">_xlfn._xlws.FILTER(E1100:E4298, C1100:C4298= "6D-PM-1020-01", "No Squirrels Found")</f>
        <v>No Squirrels Found</v>
      </c>
      <c r="G1100" s="8" t="s">
        <v>48</v>
      </c>
      <c r="H1100" s="10">
        <v>10072018</v>
      </c>
      <c r="I1100" s="10">
        <v>6</v>
      </c>
      <c r="J1100" s="8" t="s">
        <v>39</v>
      </c>
      <c r="K1100" s="8" t="s">
        <v>40</v>
      </c>
      <c r="L1100" s="8" t="s">
        <v>41</v>
      </c>
      <c r="M1100" s="8" t="s">
        <v>42</v>
      </c>
      <c r="O1100" s="8" t="s">
        <v>50</v>
      </c>
      <c r="P1100" s="8">
        <v>7</v>
      </c>
      <c r="R1100" s="8" t="b">
        <v>0</v>
      </c>
      <c r="S1100" s="8" t="b">
        <v>0</v>
      </c>
      <c r="T1100" s="8" t="b">
        <v>1</v>
      </c>
      <c r="U1100" s="8" t="b">
        <v>0</v>
      </c>
      <c r="V1100" s="8" t="b">
        <v>0</v>
      </c>
      <c r="X1100" s="8" t="b">
        <v>0</v>
      </c>
      <c r="Y1100" s="8" t="b">
        <v>0</v>
      </c>
      <c r="Z1100" s="8" t="b">
        <v>0</v>
      </c>
      <c r="AA1100" s="8" t="b">
        <v>0</v>
      </c>
      <c r="AB1100" s="8" t="b">
        <v>0</v>
      </c>
      <c r="AC1100" s="8" t="b">
        <v>0</v>
      </c>
      <c r="AD1100" s="8" t="b">
        <v>0</v>
      </c>
      <c r="AE1100" s="8" t="b">
        <v>0</v>
      </c>
      <c r="AF1100" s="11" t="s">
        <v>2980</v>
      </c>
      <c r="AG1100" s="11" t="b" cm="1">
        <f t="array" ref="AG1100">IF(OR(Y1100:AA1100="TRUE", AE1100="true"), "Threatened")</f>
        <v>0</v>
      </c>
      <c r="AH1100" s="11" t="s">
        <v>2981</v>
      </c>
      <c r="AI1100" s="8" t="b">
        <v>1</v>
      </c>
    </row>
    <row r="1101" spans="1:35" ht="31.2">
      <c r="A1101" s="8">
        <v>-73.980542389999997</v>
      </c>
      <c r="B1101" s="8">
        <v>40.768204879999999</v>
      </c>
      <c r="C1101" s="8" t="s">
        <v>2982</v>
      </c>
      <c r="D1101" s="8" t="s">
        <v>855</v>
      </c>
      <c r="E1101" s="8" t="b">
        <f t="shared" si="17"/>
        <v>0</v>
      </c>
      <c r="F1101" s="8" t="str" cm="1">
        <f t="array" ref="F1101">_xlfn._xlws.FILTER(E1101:E4299, C1101:C4299= "6D-PM-1020-01", "No Squirrels Found")</f>
        <v>No Squirrels Found</v>
      </c>
      <c r="G1101" s="8" t="s">
        <v>48</v>
      </c>
      <c r="H1101" s="10">
        <v>10122018</v>
      </c>
      <c r="I1101" s="10">
        <v>14</v>
      </c>
      <c r="K1101" s="8" t="s">
        <v>40</v>
      </c>
      <c r="L1101" s="8" t="s">
        <v>41</v>
      </c>
      <c r="M1101" s="8" t="s">
        <v>42</v>
      </c>
      <c r="O1101" s="8" t="s">
        <v>43</v>
      </c>
      <c r="P1101" s="8" t="b">
        <v>0</v>
      </c>
      <c r="R1101" s="8" t="b">
        <v>0</v>
      </c>
      <c r="S1101" s="8" t="b">
        <v>1</v>
      </c>
      <c r="T1101" s="8" t="b">
        <v>0</v>
      </c>
      <c r="U1101" s="8" t="b">
        <v>0</v>
      </c>
      <c r="V1101" s="8" t="b">
        <v>0</v>
      </c>
      <c r="X1101" s="8" t="b">
        <v>0</v>
      </c>
      <c r="Y1101" s="8" t="b">
        <v>0</v>
      </c>
      <c r="Z1101" s="8" t="b">
        <v>0</v>
      </c>
      <c r="AA1101" s="8" t="b">
        <v>0</v>
      </c>
      <c r="AB1101" s="8" t="b">
        <v>0</v>
      </c>
      <c r="AC1101" s="8" t="b">
        <v>0</v>
      </c>
      <c r="AD1101" s="8" t="b">
        <v>1</v>
      </c>
      <c r="AE1101" s="8" t="b">
        <v>0</v>
      </c>
      <c r="AG1101" s="11" t="b" cm="1">
        <f t="array" ref="AG1101">IF(OR(Y1101:AA1101="TRUE", AE1101="true"), "Threatened")</f>
        <v>0</v>
      </c>
      <c r="AH1101" s="11" t="s">
        <v>2983</v>
      </c>
      <c r="AI1101" s="8" t="b">
        <v>1</v>
      </c>
    </row>
    <row r="1102" spans="1:35" ht="31.2">
      <c r="A1102" s="8">
        <v>-73.959129250000004</v>
      </c>
      <c r="B1102" s="8">
        <v>40.792553030000001</v>
      </c>
      <c r="C1102" s="8" t="s">
        <v>2984</v>
      </c>
      <c r="D1102" s="8" t="s">
        <v>1173</v>
      </c>
      <c r="E1102" s="8" t="b">
        <f t="shared" si="17"/>
        <v>0</v>
      </c>
      <c r="F1102" s="8" t="str" cm="1">
        <f t="array" ref="F1102">_xlfn._xlws.FILTER(E1102:E4300, C1102:C4300= "6D-PM-1020-01", "No Squirrels Found")</f>
        <v>No Squirrels Found</v>
      </c>
      <c r="G1102" s="8" t="s">
        <v>48</v>
      </c>
      <c r="H1102" s="10">
        <v>10082018</v>
      </c>
      <c r="I1102" s="10">
        <v>1</v>
      </c>
      <c r="J1102" s="8" t="s">
        <v>39</v>
      </c>
      <c r="K1102" s="8" t="s">
        <v>192</v>
      </c>
      <c r="M1102" s="8" t="s">
        <v>193</v>
      </c>
      <c r="O1102" s="8" t="s">
        <v>43</v>
      </c>
      <c r="P1102" s="8" t="b">
        <v>0</v>
      </c>
      <c r="R1102" s="8" t="b">
        <v>0</v>
      </c>
      <c r="S1102" s="8" t="b">
        <v>0</v>
      </c>
      <c r="T1102" s="8" t="b">
        <v>0</v>
      </c>
      <c r="U1102" s="8" t="b">
        <v>0</v>
      </c>
      <c r="V1102" s="8" t="b">
        <v>1</v>
      </c>
      <c r="X1102" s="8" t="b">
        <v>0</v>
      </c>
      <c r="Y1102" s="8" t="b">
        <v>0</v>
      </c>
      <c r="Z1102" s="8" t="b">
        <v>0</v>
      </c>
      <c r="AA1102" s="8" t="b">
        <v>0</v>
      </c>
      <c r="AB1102" s="8" t="b">
        <v>0</v>
      </c>
      <c r="AC1102" s="8" t="b">
        <v>0</v>
      </c>
      <c r="AD1102" s="8" t="b">
        <v>0</v>
      </c>
      <c r="AE1102" s="8" t="b">
        <v>0</v>
      </c>
      <c r="AF1102" s="11" t="s">
        <v>2985</v>
      </c>
      <c r="AG1102" s="11" t="b" cm="1">
        <f t="array" ref="AG1102">IF(OR(Y1102:AA1102="TRUE", AE1102="true"), "Threatened")</f>
        <v>0</v>
      </c>
      <c r="AH1102" s="11" t="s">
        <v>2986</v>
      </c>
      <c r="AI1102" s="8" t="b">
        <v>1</v>
      </c>
    </row>
    <row r="1103" spans="1:35" ht="31.2">
      <c r="A1103" s="8">
        <v>-73.968817349999995</v>
      </c>
      <c r="B1103" s="8">
        <v>40.778200980000001</v>
      </c>
      <c r="C1103" s="8" t="s">
        <v>2987</v>
      </c>
      <c r="D1103" s="8" t="s">
        <v>271</v>
      </c>
      <c r="E1103" s="8" t="b">
        <f t="shared" si="17"/>
        <v>0</v>
      </c>
      <c r="F1103" s="8" t="str" cm="1">
        <f t="array" ref="F1103">_xlfn._xlws.FILTER(E1103:E4301, C1103:C4301= "6D-PM-1020-01", "No Squirrels Found")</f>
        <v>No Squirrels Found</v>
      </c>
      <c r="G1103" s="8" t="s">
        <v>48</v>
      </c>
      <c r="H1103" s="10">
        <v>10142018</v>
      </c>
      <c r="I1103" s="10">
        <v>8</v>
      </c>
      <c r="J1103" s="8" t="s">
        <v>39</v>
      </c>
      <c r="K1103" s="8" t="s">
        <v>40</v>
      </c>
      <c r="M1103" s="8" t="s">
        <v>55</v>
      </c>
      <c r="O1103" s="8" t="s">
        <v>43</v>
      </c>
      <c r="P1103" s="8" t="b">
        <v>0</v>
      </c>
      <c r="R1103" s="8" t="b">
        <v>1</v>
      </c>
      <c r="S1103" s="8" t="b">
        <v>0</v>
      </c>
      <c r="T1103" s="8" t="b">
        <v>0</v>
      </c>
      <c r="U1103" s="8" t="b">
        <v>0</v>
      </c>
      <c r="V1103" s="8" t="b">
        <v>0</v>
      </c>
      <c r="X1103" s="8" t="b">
        <v>0</v>
      </c>
      <c r="Y1103" s="8" t="b">
        <v>0</v>
      </c>
      <c r="Z1103" s="8" t="b">
        <v>0</v>
      </c>
      <c r="AA1103" s="8" t="b">
        <v>0</v>
      </c>
      <c r="AB1103" s="8" t="b">
        <v>0</v>
      </c>
      <c r="AC1103" s="8" t="b">
        <v>0</v>
      </c>
      <c r="AD1103" s="8" t="b">
        <v>0</v>
      </c>
      <c r="AE1103" s="8" t="b">
        <v>1</v>
      </c>
      <c r="AF1103" s="11" t="s">
        <v>1294</v>
      </c>
      <c r="AG1103" s="11" t="b" cm="1">
        <f t="array" ref="AG1103">IF(OR(Y1103:AA1103="TRUE", AE1103="true"), "Threatened")</f>
        <v>0</v>
      </c>
      <c r="AH1103" s="11" t="s">
        <v>2988</v>
      </c>
      <c r="AI1103" s="8" t="b">
        <v>1</v>
      </c>
    </row>
    <row r="1104" spans="1:35" ht="31.2">
      <c r="A1104" s="8">
        <v>-73.954150089999999</v>
      </c>
      <c r="B1104" s="8">
        <v>40.792033000000004</v>
      </c>
      <c r="C1104" s="8" t="s">
        <v>2989</v>
      </c>
      <c r="D1104" s="8" t="s">
        <v>2990</v>
      </c>
      <c r="E1104" s="8" t="b">
        <f t="shared" si="17"/>
        <v>0</v>
      </c>
      <c r="F1104" s="8" t="str" cm="1">
        <f t="array" ref="F1104">_xlfn._xlws.FILTER(E1104:E4302, C1104:C4302= "6D-PM-1020-01", "No Squirrels Found")</f>
        <v>No Squirrels Found</v>
      </c>
      <c r="G1104" s="8" t="s">
        <v>48</v>
      </c>
      <c r="H1104" s="10">
        <v>10132018</v>
      </c>
      <c r="I1104" s="10">
        <v>2</v>
      </c>
      <c r="J1104" s="8" t="s">
        <v>54</v>
      </c>
      <c r="K1104" s="8" t="s">
        <v>41</v>
      </c>
      <c r="L1104" s="8" t="s">
        <v>40</v>
      </c>
      <c r="M1104" s="8" t="s">
        <v>110</v>
      </c>
      <c r="O1104" s="8" t="s">
        <v>50</v>
      </c>
      <c r="P1104" s="8">
        <v>10</v>
      </c>
      <c r="Q1104" s="8" t="s">
        <v>2991</v>
      </c>
      <c r="R1104" s="8" t="b">
        <v>0</v>
      </c>
      <c r="S1104" s="8" t="b">
        <v>0</v>
      </c>
      <c r="T1104" s="8" t="b">
        <v>0</v>
      </c>
      <c r="U1104" s="8" t="b">
        <v>0</v>
      </c>
      <c r="V1104" s="8" t="b">
        <v>0</v>
      </c>
      <c r="W1104" s="11" t="s">
        <v>141</v>
      </c>
      <c r="X1104" s="8" t="b">
        <v>0</v>
      </c>
      <c r="Y1104" s="8" t="b">
        <v>0</v>
      </c>
      <c r="Z1104" s="8" t="b">
        <v>0</v>
      </c>
      <c r="AA1104" s="8" t="b">
        <v>0</v>
      </c>
      <c r="AB1104" s="8" t="b">
        <v>0</v>
      </c>
      <c r="AC1104" s="8" t="b">
        <v>0</v>
      </c>
      <c r="AD1104" s="8" t="b">
        <v>1</v>
      </c>
      <c r="AE1104" s="8" t="b">
        <v>0</v>
      </c>
      <c r="AF1104" s="11" t="s">
        <v>2992</v>
      </c>
      <c r="AG1104" s="11" t="b" cm="1">
        <f t="array" ref="AG1104">IF(OR(Y1104:AA1104="TRUE", AE1104="true"), "Threatened")</f>
        <v>0</v>
      </c>
      <c r="AH1104" s="11" t="s">
        <v>2993</v>
      </c>
      <c r="AI1104" s="8" t="b">
        <v>0</v>
      </c>
    </row>
    <row r="1105" spans="1:35" ht="31.2">
      <c r="A1105" s="8">
        <v>-73.958985299999995</v>
      </c>
      <c r="B1105" s="8">
        <v>40.791271999999999</v>
      </c>
      <c r="C1105" s="8" t="s">
        <v>2994</v>
      </c>
      <c r="D1105" s="8" t="s">
        <v>1214</v>
      </c>
      <c r="E1105" s="8" t="b">
        <f t="shared" si="17"/>
        <v>0</v>
      </c>
      <c r="F1105" s="8" t="str" cm="1">
        <f t="array" ref="F1105">_xlfn._xlws.FILTER(E1105:E4303, C1105:C4303= "6D-PM-1020-01", "No Squirrels Found")</f>
        <v>No Squirrels Found</v>
      </c>
      <c r="G1105" s="8" t="s">
        <v>48</v>
      </c>
      <c r="H1105" s="10">
        <v>10142018</v>
      </c>
      <c r="I1105" s="10">
        <v>7</v>
      </c>
      <c r="J1105" s="8" t="s">
        <v>39</v>
      </c>
      <c r="K1105" s="8" t="s">
        <v>40</v>
      </c>
      <c r="L1105" s="8" t="s">
        <v>117</v>
      </c>
      <c r="M1105" s="8" t="s">
        <v>118</v>
      </c>
      <c r="O1105" s="8" t="s">
        <v>50</v>
      </c>
      <c r="P1105" s="8">
        <v>15</v>
      </c>
      <c r="R1105" s="8" t="b">
        <v>0</v>
      </c>
      <c r="S1105" s="8" t="b">
        <v>0</v>
      </c>
      <c r="T1105" s="8" t="b">
        <v>1</v>
      </c>
      <c r="U1105" s="8" t="b">
        <v>0</v>
      </c>
      <c r="V1105" s="8" t="b">
        <v>0</v>
      </c>
      <c r="X1105" s="8" t="b">
        <v>0</v>
      </c>
      <c r="Y1105" s="8" t="b">
        <v>0</v>
      </c>
      <c r="Z1105" s="8" t="b">
        <v>0</v>
      </c>
      <c r="AA1105" s="8" t="b">
        <v>0</v>
      </c>
      <c r="AB1105" s="8" t="b">
        <v>0</v>
      </c>
      <c r="AC1105" s="8" t="b">
        <v>0</v>
      </c>
      <c r="AD1105" s="8" t="b">
        <v>1</v>
      </c>
      <c r="AE1105" s="8" t="b">
        <v>0</v>
      </c>
      <c r="AG1105" s="11" t="b" cm="1">
        <f t="array" ref="AG1105">IF(OR(Y1105:AA1105="TRUE", AE1105="true"), "Threatened")</f>
        <v>0</v>
      </c>
      <c r="AH1105" s="11" t="s">
        <v>2995</v>
      </c>
      <c r="AI1105" s="8" t="b">
        <v>1</v>
      </c>
    </row>
    <row r="1106" spans="1:35" ht="31.2">
      <c r="A1106" s="8">
        <v>-73.981121880000003</v>
      </c>
      <c r="B1106" s="8">
        <v>40.76844062</v>
      </c>
      <c r="C1106" s="8" t="s">
        <v>2996</v>
      </c>
      <c r="D1106" s="8" t="s">
        <v>1780</v>
      </c>
      <c r="E1106" s="8" t="b">
        <f t="shared" si="17"/>
        <v>0</v>
      </c>
      <c r="F1106" s="8" t="str" cm="1">
        <f t="array" ref="F1106">_xlfn._xlws.FILTER(E1106:E4304, C1106:C4304= "6D-PM-1020-01", "No Squirrels Found")</f>
        <v>No Squirrels Found</v>
      </c>
      <c r="G1106" s="8" t="s">
        <v>34</v>
      </c>
      <c r="H1106" s="10">
        <v>10142018</v>
      </c>
      <c r="I1106" s="10">
        <v>7</v>
      </c>
      <c r="J1106" s="8" t="s">
        <v>39</v>
      </c>
      <c r="K1106" s="8" t="s">
        <v>40</v>
      </c>
      <c r="L1106" s="8" t="s">
        <v>41</v>
      </c>
      <c r="M1106" s="8" t="s">
        <v>42</v>
      </c>
      <c r="O1106" s="8" t="s">
        <v>43</v>
      </c>
      <c r="P1106" s="8" t="b">
        <v>0</v>
      </c>
      <c r="R1106" s="8" t="b">
        <v>0</v>
      </c>
      <c r="S1106" s="8" t="b">
        <v>0</v>
      </c>
      <c r="T1106" s="8" t="b">
        <v>0</v>
      </c>
      <c r="U1106" s="8" t="b">
        <v>0</v>
      </c>
      <c r="V1106" s="8" t="b">
        <v>1</v>
      </c>
      <c r="X1106" s="8" t="b">
        <v>0</v>
      </c>
      <c r="Y1106" s="8" t="b">
        <v>0</v>
      </c>
      <c r="Z1106" s="8" t="b">
        <v>0</v>
      </c>
      <c r="AA1106" s="8" t="b">
        <v>0</v>
      </c>
      <c r="AB1106" s="8" t="b">
        <v>0</v>
      </c>
      <c r="AC1106" s="8" t="b">
        <v>0</v>
      </c>
      <c r="AD1106" s="8" t="b">
        <v>1</v>
      </c>
      <c r="AE1106" s="8" t="b">
        <v>0</v>
      </c>
      <c r="AG1106" s="11" t="b" cm="1">
        <f t="array" ref="AG1106">IF(OR(Y1106:AA1106="TRUE", AE1106="true"), "Threatened")</f>
        <v>0</v>
      </c>
      <c r="AH1106" s="11" t="s">
        <v>2997</v>
      </c>
      <c r="AI1106" s="8" t="b">
        <v>1</v>
      </c>
    </row>
    <row r="1107" spans="1:35" ht="31.2">
      <c r="A1107" s="8">
        <v>-73.970297090000003</v>
      </c>
      <c r="B1107" s="8">
        <v>40.769688309999999</v>
      </c>
      <c r="C1107" s="8" t="s">
        <v>2998</v>
      </c>
      <c r="D1107" s="8" t="s">
        <v>113</v>
      </c>
      <c r="E1107" s="8" t="b">
        <f t="shared" si="17"/>
        <v>0</v>
      </c>
      <c r="F1107" s="8" t="str" cm="1">
        <f t="array" ref="F1107">_xlfn._xlws.FILTER(E1107:E4305, C1107:C4305= "6D-PM-1020-01", "No Squirrels Found")</f>
        <v>No Squirrels Found</v>
      </c>
      <c r="G1107" s="8" t="s">
        <v>34</v>
      </c>
      <c r="H1107" s="10">
        <v>10062018</v>
      </c>
      <c r="I1107" s="10">
        <v>8</v>
      </c>
      <c r="J1107" s="8" t="s">
        <v>39</v>
      </c>
      <c r="K1107" s="8" t="s">
        <v>40</v>
      </c>
      <c r="L1107" s="8" t="s">
        <v>84</v>
      </c>
      <c r="M1107" s="8" t="s">
        <v>103</v>
      </c>
      <c r="O1107" s="8" t="s">
        <v>43</v>
      </c>
      <c r="P1107" s="8" t="b">
        <v>0</v>
      </c>
      <c r="Q1107" s="8" t="s">
        <v>2999</v>
      </c>
      <c r="R1107" s="8" t="b">
        <v>0</v>
      </c>
      <c r="S1107" s="8" t="b">
        <v>0</v>
      </c>
      <c r="T1107" s="8" t="b">
        <v>0</v>
      </c>
      <c r="U1107" s="8" t="b">
        <v>0</v>
      </c>
      <c r="V1107" s="8" t="b">
        <v>1</v>
      </c>
      <c r="X1107" s="8" t="b">
        <v>0</v>
      </c>
      <c r="Y1107" s="8" t="b">
        <v>0</v>
      </c>
      <c r="Z1107" s="8" t="b">
        <v>0</v>
      </c>
      <c r="AA1107" s="8" t="b">
        <v>0</v>
      </c>
      <c r="AB1107" s="8" t="b">
        <v>1</v>
      </c>
      <c r="AC1107" s="8" t="b">
        <v>1</v>
      </c>
      <c r="AD1107" s="8" t="b">
        <v>0</v>
      </c>
      <c r="AE1107" s="8" t="b">
        <v>1</v>
      </c>
      <c r="AG1107" s="11" t="b" cm="1">
        <f t="array" ref="AG1107">IF(OR(Y1107:AA1107="TRUE", AE1107="true"), "Threatened")</f>
        <v>0</v>
      </c>
      <c r="AH1107" s="11" t="s">
        <v>3000</v>
      </c>
      <c r="AI1107" s="8" t="b">
        <v>1</v>
      </c>
    </row>
    <row r="1108" spans="1:35" ht="31.2">
      <c r="A1108" s="8">
        <v>-73.953073959999998</v>
      </c>
      <c r="B1108" s="8">
        <v>40.793203439999999</v>
      </c>
      <c r="C1108" s="8" t="s">
        <v>3001</v>
      </c>
      <c r="D1108" s="8" t="s">
        <v>867</v>
      </c>
      <c r="E1108" s="8" t="b">
        <f t="shared" si="17"/>
        <v>0</v>
      </c>
      <c r="F1108" s="8" t="str" cm="1">
        <f t="array" ref="F1108">_xlfn._xlws.FILTER(E1108:E4306, C1108:C4306= "6D-PM-1020-01", "No Squirrels Found")</f>
        <v>No Squirrels Found</v>
      </c>
      <c r="G1108" s="8" t="s">
        <v>34</v>
      </c>
      <c r="H1108" s="10">
        <v>10062018</v>
      </c>
      <c r="I1108" s="10">
        <v>1</v>
      </c>
      <c r="J1108" s="8" t="s">
        <v>54</v>
      </c>
      <c r="K1108" s="8" t="s">
        <v>40</v>
      </c>
      <c r="L1108" s="8" t="s">
        <v>84</v>
      </c>
      <c r="M1108" s="8" t="s">
        <v>103</v>
      </c>
      <c r="O1108" s="8" t="s">
        <v>43</v>
      </c>
      <c r="P1108" s="8" t="b">
        <v>0</v>
      </c>
      <c r="R1108" s="8" t="b">
        <v>0</v>
      </c>
      <c r="S1108" s="8" t="b">
        <v>0</v>
      </c>
      <c r="T1108" s="8" t="b">
        <v>0</v>
      </c>
      <c r="U1108" s="8" t="b">
        <v>1</v>
      </c>
      <c r="V1108" s="8" t="b">
        <v>1</v>
      </c>
      <c r="X1108" s="8" t="b">
        <v>0</v>
      </c>
      <c r="Y1108" s="8" t="b">
        <v>0</v>
      </c>
      <c r="Z1108" s="8" t="b">
        <v>0</v>
      </c>
      <c r="AA1108" s="8" t="b">
        <v>0</v>
      </c>
      <c r="AB1108" s="8" t="b">
        <v>0</v>
      </c>
      <c r="AC1108" s="8" t="b">
        <v>0</v>
      </c>
      <c r="AD1108" s="8" t="b">
        <v>0</v>
      </c>
      <c r="AE1108" s="8" t="b">
        <v>1</v>
      </c>
      <c r="AF1108" s="11" t="s">
        <v>3002</v>
      </c>
      <c r="AG1108" s="11" t="b" cm="1">
        <f t="array" ref="AG1108">IF(OR(Y1108:AA1108="TRUE", AE1108="true"), "Threatened")</f>
        <v>0</v>
      </c>
      <c r="AH1108" s="11" t="s">
        <v>3003</v>
      </c>
      <c r="AI1108" s="8" t="b">
        <v>1</v>
      </c>
    </row>
    <row r="1109" spans="1:35" ht="62.4">
      <c r="A1109" s="8">
        <v>-73.963839780000001</v>
      </c>
      <c r="B1109" s="8">
        <v>40.782895029999999</v>
      </c>
      <c r="C1109" s="8" t="s">
        <v>3004</v>
      </c>
      <c r="D1109" s="8" t="s">
        <v>588</v>
      </c>
      <c r="E1109" s="8" t="b">
        <f t="shared" si="17"/>
        <v>0</v>
      </c>
      <c r="F1109" s="8" t="str" cm="1">
        <f t="array" ref="F1109">_xlfn._xlws.FILTER(E1109:E4307, C1109:C4307= "6D-PM-1020-01", "No Squirrels Found")</f>
        <v>No Squirrels Found</v>
      </c>
      <c r="G1109" s="8" t="s">
        <v>34</v>
      </c>
      <c r="H1109" s="10">
        <v>10132018</v>
      </c>
      <c r="I1109" s="10">
        <v>2</v>
      </c>
      <c r="J1109" s="8" t="s">
        <v>39</v>
      </c>
      <c r="K1109" s="8" t="s">
        <v>40</v>
      </c>
      <c r="L1109" s="8" t="s">
        <v>117</v>
      </c>
      <c r="M1109" s="8" t="s">
        <v>118</v>
      </c>
      <c r="O1109" s="8" t="s">
        <v>43</v>
      </c>
      <c r="P1109" s="8" t="b">
        <v>0</v>
      </c>
      <c r="R1109" s="8" t="b">
        <v>1</v>
      </c>
      <c r="S1109" s="8" t="b">
        <v>0</v>
      </c>
      <c r="T1109" s="8" t="b">
        <v>0</v>
      </c>
      <c r="U1109" s="8" t="b">
        <v>1</v>
      </c>
      <c r="V1109" s="8" t="b">
        <v>1</v>
      </c>
      <c r="X1109" s="8" t="b">
        <v>0</v>
      </c>
      <c r="Y1109" s="8" t="b">
        <v>1</v>
      </c>
      <c r="Z1109" s="8" t="b">
        <v>0</v>
      </c>
      <c r="AA1109" s="8" t="b">
        <v>0</v>
      </c>
      <c r="AB1109" s="8" t="b">
        <v>1</v>
      </c>
      <c r="AC1109" s="8" t="b">
        <v>0</v>
      </c>
      <c r="AD1109" s="8" t="b">
        <v>1</v>
      </c>
      <c r="AE1109" s="8" t="b">
        <v>0</v>
      </c>
      <c r="AF1109" s="11" t="s">
        <v>3005</v>
      </c>
      <c r="AG1109" s="11" t="b" cm="1">
        <f t="array" ref="AG1109">IF(OR(Y1109:AA1109="TRUE", AE1109="true"), "Threatened")</f>
        <v>0</v>
      </c>
      <c r="AH1109" s="11" t="s">
        <v>3006</v>
      </c>
      <c r="AI1109" s="8" t="b">
        <v>1</v>
      </c>
    </row>
    <row r="1110" spans="1:35" ht="31.2">
      <c r="A1110" s="8">
        <v>-73.967815400000006</v>
      </c>
      <c r="B1110" s="8">
        <v>40.774278350000003</v>
      </c>
      <c r="C1110" s="8" t="s">
        <v>3007</v>
      </c>
      <c r="D1110" s="8" t="s">
        <v>1391</v>
      </c>
      <c r="E1110" s="8" t="b">
        <f t="shared" si="17"/>
        <v>0</v>
      </c>
      <c r="F1110" s="8" t="str" cm="1">
        <f t="array" ref="F1110">_xlfn._xlws.FILTER(E1110:E4308, C1110:C4308= "6D-PM-1020-01", "No Squirrels Found")</f>
        <v>No Squirrels Found</v>
      </c>
      <c r="G1110" s="8" t="s">
        <v>34</v>
      </c>
      <c r="H1110" s="10">
        <v>10072018</v>
      </c>
      <c r="I1110" s="10">
        <v>1</v>
      </c>
      <c r="J1110" s="8" t="s">
        <v>39</v>
      </c>
      <c r="K1110" s="8" t="s">
        <v>40</v>
      </c>
      <c r="L1110" s="8" t="s">
        <v>41</v>
      </c>
      <c r="M1110" s="8" t="s">
        <v>42</v>
      </c>
      <c r="O1110" s="8" t="s">
        <v>50</v>
      </c>
      <c r="P1110" s="8">
        <v>10</v>
      </c>
      <c r="Q1110" s="8" t="s">
        <v>466</v>
      </c>
      <c r="R1110" s="8" t="b">
        <v>0</v>
      </c>
      <c r="S1110" s="8" t="b">
        <v>0</v>
      </c>
      <c r="T1110" s="8" t="b">
        <v>0</v>
      </c>
      <c r="U1110" s="8" t="b">
        <v>1</v>
      </c>
      <c r="V1110" s="8" t="b">
        <v>0</v>
      </c>
      <c r="X1110" s="8" t="b">
        <v>0</v>
      </c>
      <c r="Y1110" s="8" t="b">
        <v>0</v>
      </c>
      <c r="Z1110" s="8" t="b">
        <v>0</v>
      </c>
      <c r="AA1110" s="8" t="b">
        <v>0</v>
      </c>
      <c r="AB1110" s="8" t="b">
        <v>0</v>
      </c>
      <c r="AC1110" s="8" t="b">
        <v>0</v>
      </c>
      <c r="AD1110" s="8" t="b">
        <v>0</v>
      </c>
      <c r="AE1110" s="8" t="b">
        <v>0</v>
      </c>
      <c r="AG1110" s="11" t="b" cm="1">
        <f t="array" ref="AG1110">IF(OR(Y1110:AA1110="TRUE", AE1110="true"), "Threatened")</f>
        <v>0</v>
      </c>
      <c r="AH1110" s="11" t="s">
        <v>3008</v>
      </c>
      <c r="AI1110" s="8" t="b">
        <v>1</v>
      </c>
    </row>
    <row r="1111" spans="1:35" ht="31.2">
      <c r="A1111" s="8">
        <v>-73.967643429999995</v>
      </c>
      <c r="B1111" s="8">
        <v>40.786233660000001</v>
      </c>
      <c r="C1111" s="8" t="s">
        <v>3009</v>
      </c>
      <c r="D1111" s="8" t="s">
        <v>1444</v>
      </c>
      <c r="E1111" s="8" t="b">
        <f t="shared" si="17"/>
        <v>0</v>
      </c>
      <c r="F1111" s="8" t="str" cm="1">
        <f t="array" ref="F1111">_xlfn._xlws.FILTER(E1111:E4309, C1111:C4309= "6D-PM-1020-01", "No Squirrels Found")</f>
        <v>No Squirrels Found</v>
      </c>
      <c r="G1111" s="8" t="s">
        <v>34</v>
      </c>
      <c r="H1111" s="10">
        <v>10072018</v>
      </c>
      <c r="I1111" s="10">
        <v>4</v>
      </c>
      <c r="J1111" s="8" t="s">
        <v>39</v>
      </c>
      <c r="K1111" s="8" t="s">
        <v>40</v>
      </c>
      <c r="M1111" s="8" t="s">
        <v>55</v>
      </c>
      <c r="O1111" s="8" t="s">
        <v>50</v>
      </c>
      <c r="P1111" s="8">
        <v>50</v>
      </c>
      <c r="Q1111" s="8" t="s">
        <v>466</v>
      </c>
      <c r="R1111" s="8" t="b">
        <v>0</v>
      </c>
      <c r="S1111" s="8" t="b">
        <v>0</v>
      </c>
      <c r="T1111" s="8" t="b">
        <v>1</v>
      </c>
      <c r="U1111" s="8" t="b">
        <v>0</v>
      </c>
      <c r="V1111" s="8" t="b">
        <v>0</v>
      </c>
      <c r="X1111" s="8" t="b">
        <v>0</v>
      </c>
      <c r="Y1111" s="8" t="b">
        <v>0</v>
      </c>
      <c r="Z1111" s="8" t="b">
        <v>0</v>
      </c>
      <c r="AA1111" s="8" t="b">
        <v>0</v>
      </c>
      <c r="AB1111" s="8" t="b">
        <v>0</v>
      </c>
      <c r="AC1111" s="8" t="b">
        <v>0</v>
      </c>
      <c r="AD1111" s="8" t="b">
        <v>0</v>
      </c>
      <c r="AE1111" s="8" t="b">
        <v>0</v>
      </c>
      <c r="AG1111" s="11" t="b" cm="1">
        <f t="array" ref="AG1111">IF(OR(Y1111:AA1111="TRUE", AE1111="true"), "Threatened")</f>
        <v>0</v>
      </c>
      <c r="AH1111" s="11" t="s">
        <v>3010</v>
      </c>
      <c r="AI1111" s="8" t="b">
        <v>1</v>
      </c>
    </row>
    <row r="1112" spans="1:35" ht="31.2">
      <c r="A1112" s="8">
        <v>-73.963279929999999</v>
      </c>
      <c r="B1112" s="8">
        <v>40.780831640000002</v>
      </c>
      <c r="C1112" s="8" t="s">
        <v>3011</v>
      </c>
      <c r="D1112" s="8" t="s">
        <v>1662</v>
      </c>
      <c r="E1112" s="8" t="b">
        <f t="shared" si="17"/>
        <v>0</v>
      </c>
      <c r="F1112" s="8" t="str" cm="1">
        <f t="array" ref="F1112">_xlfn._xlws.FILTER(E1112:E4310, C1112:C4310= "6D-PM-1020-01", "No Squirrels Found")</f>
        <v>No Squirrels Found</v>
      </c>
      <c r="G1112" s="8" t="s">
        <v>34</v>
      </c>
      <c r="H1112" s="10">
        <v>10182018</v>
      </c>
      <c r="I1112" s="10">
        <v>1</v>
      </c>
      <c r="J1112" s="8" t="s">
        <v>54</v>
      </c>
      <c r="K1112" s="8" t="s">
        <v>40</v>
      </c>
      <c r="L1112" s="8" t="s">
        <v>41</v>
      </c>
      <c r="M1112" s="8" t="s">
        <v>42</v>
      </c>
      <c r="O1112" s="8" t="s">
        <v>43</v>
      </c>
      <c r="P1112" s="8" t="b">
        <v>0</v>
      </c>
      <c r="R1112" s="8" t="b">
        <v>0</v>
      </c>
      <c r="S1112" s="8" t="b">
        <v>0</v>
      </c>
      <c r="T1112" s="8" t="b">
        <v>0</v>
      </c>
      <c r="U1112" s="8" t="b">
        <v>0</v>
      </c>
      <c r="V1112" s="8" t="b">
        <v>0</v>
      </c>
      <c r="W1112" s="11" t="s">
        <v>1433</v>
      </c>
      <c r="X1112" s="8" t="b">
        <v>0</v>
      </c>
      <c r="Y1112" s="8" t="b">
        <v>0</v>
      </c>
      <c r="Z1112" s="8" t="b">
        <v>0</v>
      </c>
      <c r="AA1112" s="8" t="b">
        <v>0</v>
      </c>
      <c r="AB1112" s="8" t="b">
        <v>1</v>
      </c>
      <c r="AC1112" s="8" t="b">
        <v>1</v>
      </c>
      <c r="AD1112" s="8" t="b">
        <v>0</v>
      </c>
      <c r="AE1112" s="8" t="b">
        <v>0</v>
      </c>
      <c r="AG1112" s="11" t="b" cm="1">
        <f t="array" ref="AG1112">IF(OR(Y1112:AA1112="TRUE", AE1112="true"), "Threatened")</f>
        <v>0</v>
      </c>
      <c r="AH1112" s="11" t="s">
        <v>3012</v>
      </c>
      <c r="AI1112" s="8" t="b">
        <v>0</v>
      </c>
    </row>
    <row r="1113" spans="1:35" ht="31.2">
      <c r="A1113" s="8">
        <v>-73.958393430000001</v>
      </c>
      <c r="B1113" s="8">
        <v>40.785474219999998</v>
      </c>
      <c r="C1113" s="8" t="s">
        <v>3013</v>
      </c>
      <c r="D1113" s="8" t="s">
        <v>1086</v>
      </c>
      <c r="E1113" s="8" t="b">
        <f t="shared" si="17"/>
        <v>0</v>
      </c>
      <c r="F1113" s="8" t="str" cm="1">
        <f t="array" ref="F1113">_xlfn._xlws.FILTER(E1113:E4311, C1113:C4311= "6D-PM-1020-01", "No Squirrels Found")</f>
        <v>No Squirrels Found</v>
      </c>
      <c r="G1113" s="8" t="s">
        <v>48</v>
      </c>
      <c r="H1113" s="10">
        <v>10072018</v>
      </c>
      <c r="I1113" s="10">
        <v>2</v>
      </c>
      <c r="M1113" s="8" t="s">
        <v>35</v>
      </c>
      <c r="R1113" s="8" t="b">
        <v>0</v>
      </c>
      <c r="S1113" s="8" t="b">
        <v>0</v>
      </c>
      <c r="T1113" s="8" t="b">
        <v>0</v>
      </c>
      <c r="U1113" s="8" t="b">
        <v>0</v>
      </c>
      <c r="V1113" s="8" t="b">
        <v>0</v>
      </c>
      <c r="X1113" s="8" t="b">
        <v>1</v>
      </c>
      <c r="Y1113" s="8" t="b">
        <v>0</v>
      </c>
      <c r="Z1113" s="8" t="b">
        <v>0</v>
      </c>
      <c r="AA1113" s="8" t="b">
        <v>0</v>
      </c>
      <c r="AB1113" s="8" t="b">
        <v>0</v>
      </c>
      <c r="AC1113" s="8" t="b">
        <v>0</v>
      </c>
      <c r="AD1113" s="8" t="b">
        <v>0</v>
      </c>
      <c r="AE1113" s="8" t="b">
        <v>0</v>
      </c>
      <c r="AG1113" s="11" t="b" cm="1">
        <f t="array" ref="AG1113">IF(OR(Y1113:AA1113="TRUE", AE1113="true"), "Threatened")</f>
        <v>0</v>
      </c>
      <c r="AH1113" s="11" t="s">
        <v>3014</v>
      </c>
      <c r="AI1113" s="8" t="b">
        <v>1</v>
      </c>
    </row>
    <row r="1114" spans="1:35" ht="31.2">
      <c r="A1114" s="8">
        <v>-73.967930910000007</v>
      </c>
      <c r="B1114" s="8">
        <v>40.779243780000002</v>
      </c>
      <c r="C1114" s="8" t="s">
        <v>3015</v>
      </c>
      <c r="D1114" s="8" t="s">
        <v>215</v>
      </c>
      <c r="E1114" s="8" t="b">
        <f t="shared" si="17"/>
        <v>0</v>
      </c>
      <c r="F1114" s="8" t="str" cm="1">
        <f t="array" ref="F1114">_xlfn._xlws.FILTER(E1114:E4312, C1114:C4312= "6D-PM-1020-01", "No Squirrels Found")</f>
        <v>No Squirrels Found</v>
      </c>
      <c r="G1114" s="8" t="s">
        <v>48</v>
      </c>
      <c r="H1114" s="10">
        <v>10172018</v>
      </c>
      <c r="I1114" s="10">
        <v>4</v>
      </c>
      <c r="J1114" s="8" t="s">
        <v>39</v>
      </c>
      <c r="K1114" s="8" t="s">
        <v>40</v>
      </c>
      <c r="M1114" s="8" t="s">
        <v>55</v>
      </c>
      <c r="O1114" s="8" t="s">
        <v>43</v>
      </c>
      <c r="P1114" s="8" t="b">
        <v>0</v>
      </c>
      <c r="Q1114" s="8" t="s">
        <v>3016</v>
      </c>
      <c r="R1114" s="8" t="b">
        <v>0</v>
      </c>
      <c r="S1114" s="8" t="b">
        <v>0</v>
      </c>
      <c r="T1114" s="8" t="b">
        <v>0</v>
      </c>
      <c r="U1114" s="8" t="b">
        <v>0</v>
      </c>
      <c r="V1114" s="8" t="b">
        <v>1</v>
      </c>
      <c r="X1114" s="8" t="b">
        <v>0</v>
      </c>
      <c r="Y1114" s="8" t="b">
        <v>0</v>
      </c>
      <c r="Z1114" s="8" t="b">
        <v>0</v>
      </c>
      <c r="AA1114" s="8" t="b">
        <v>0</v>
      </c>
      <c r="AB1114" s="8" t="b">
        <v>0</v>
      </c>
      <c r="AC1114" s="8" t="b">
        <v>0</v>
      </c>
      <c r="AD1114" s="8" t="b">
        <v>0</v>
      </c>
      <c r="AE1114" s="8" t="b">
        <v>0</v>
      </c>
      <c r="AG1114" s="11" t="b" cm="1">
        <f t="array" ref="AG1114">IF(OR(Y1114:AA1114="TRUE", AE1114="true"), "Threatened")</f>
        <v>0</v>
      </c>
      <c r="AH1114" s="11" t="s">
        <v>3017</v>
      </c>
      <c r="AI1114" s="8" t="b">
        <v>1</v>
      </c>
    </row>
    <row r="1115" spans="1:35" ht="31.2">
      <c r="A1115" s="8">
        <v>-73.959650510000003</v>
      </c>
      <c r="B1115" s="8">
        <v>40.794036769999998</v>
      </c>
      <c r="C1115" s="8" t="s">
        <v>3018</v>
      </c>
      <c r="D1115" s="8" t="s">
        <v>69</v>
      </c>
      <c r="E1115" s="8" t="b">
        <f t="shared" si="17"/>
        <v>0</v>
      </c>
      <c r="F1115" s="8" t="str" cm="1">
        <f t="array" ref="F1115">_xlfn._xlws.FILTER(E1115:E4313, C1115:C4313= "6D-PM-1020-01", "No Squirrels Found")</f>
        <v>No Squirrels Found</v>
      </c>
      <c r="G1115" s="8" t="s">
        <v>34</v>
      </c>
      <c r="H1115" s="10">
        <v>10132018</v>
      </c>
      <c r="I1115" s="10">
        <v>6</v>
      </c>
      <c r="J1115" s="8" t="s">
        <v>39</v>
      </c>
      <c r="K1115" s="8" t="s">
        <v>40</v>
      </c>
      <c r="L1115" s="8" t="s">
        <v>41</v>
      </c>
      <c r="M1115" s="8" t="s">
        <v>42</v>
      </c>
      <c r="O1115" s="8" t="s">
        <v>43</v>
      </c>
      <c r="P1115" s="8" t="b">
        <v>0</v>
      </c>
      <c r="R1115" s="8" t="b">
        <v>0</v>
      </c>
      <c r="S1115" s="8" t="b">
        <v>0</v>
      </c>
      <c r="T1115" s="8" t="b">
        <v>0</v>
      </c>
      <c r="U1115" s="8" t="b">
        <v>0</v>
      </c>
      <c r="V1115" s="8" t="b">
        <v>1</v>
      </c>
      <c r="X1115" s="8" t="b">
        <v>0</v>
      </c>
      <c r="Y1115" s="8" t="b">
        <v>0</v>
      </c>
      <c r="Z1115" s="8" t="b">
        <v>0</v>
      </c>
      <c r="AA1115" s="8" t="b">
        <v>0</v>
      </c>
      <c r="AB1115" s="8" t="b">
        <v>0</v>
      </c>
      <c r="AC1115" s="8" t="b">
        <v>0</v>
      </c>
      <c r="AD1115" s="8" t="b">
        <v>0</v>
      </c>
      <c r="AE1115" s="8" t="b">
        <v>0</v>
      </c>
      <c r="AG1115" s="11" t="b" cm="1">
        <f t="array" ref="AG1115">IF(OR(Y1115:AA1115="TRUE", AE1115="true"), "Threatened")</f>
        <v>0</v>
      </c>
      <c r="AH1115" s="11" t="s">
        <v>3019</v>
      </c>
      <c r="AI1115" s="8" t="b">
        <v>1</v>
      </c>
    </row>
    <row r="1116" spans="1:35" ht="31.2">
      <c r="A1116" s="8">
        <v>-73.954521459999995</v>
      </c>
      <c r="B1116" s="8">
        <v>40.794380109999999</v>
      </c>
      <c r="C1116" s="8" t="s">
        <v>3020</v>
      </c>
      <c r="D1116" s="8" t="s">
        <v>939</v>
      </c>
      <c r="E1116" s="8" t="b">
        <f t="shared" si="17"/>
        <v>0</v>
      </c>
      <c r="F1116" s="8" t="str" cm="1">
        <f t="array" ref="F1116">_xlfn._xlws.FILTER(E1116:E4314, C1116:C4314= "6D-PM-1020-01", "No Squirrels Found")</f>
        <v>No Squirrels Found</v>
      </c>
      <c r="G1116" s="8" t="s">
        <v>34</v>
      </c>
      <c r="H1116" s="10">
        <v>10072018</v>
      </c>
      <c r="I1116" s="10">
        <v>1</v>
      </c>
      <c r="J1116" s="8" t="s">
        <v>39</v>
      </c>
      <c r="K1116" s="8" t="s">
        <v>40</v>
      </c>
      <c r="L1116" s="8" t="s">
        <v>41</v>
      </c>
      <c r="M1116" s="8" t="s">
        <v>42</v>
      </c>
      <c r="O1116" s="8" t="s">
        <v>43</v>
      </c>
      <c r="P1116" s="8" t="b">
        <v>0</v>
      </c>
      <c r="R1116" s="8" t="b">
        <v>0</v>
      </c>
      <c r="S1116" s="8" t="b">
        <v>0</v>
      </c>
      <c r="T1116" s="8" t="b">
        <v>0</v>
      </c>
      <c r="U1116" s="8" t="b">
        <v>1</v>
      </c>
      <c r="V1116" s="8" t="b">
        <v>1</v>
      </c>
      <c r="X1116" s="8" t="b">
        <v>0</v>
      </c>
      <c r="Y1116" s="8" t="b">
        <v>0</v>
      </c>
      <c r="Z1116" s="8" t="b">
        <v>0</v>
      </c>
      <c r="AA1116" s="8" t="b">
        <v>0</v>
      </c>
      <c r="AB1116" s="8" t="b">
        <v>0</v>
      </c>
      <c r="AC1116" s="8" t="b">
        <v>0</v>
      </c>
      <c r="AD1116" s="8" t="b">
        <v>0</v>
      </c>
      <c r="AE1116" s="8" t="b">
        <v>1</v>
      </c>
      <c r="AG1116" s="11" t="b" cm="1">
        <f t="array" ref="AG1116">IF(OR(Y1116:AA1116="TRUE", AE1116="true"), "Threatened")</f>
        <v>0</v>
      </c>
      <c r="AH1116" s="11" t="s">
        <v>3021</v>
      </c>
      <c r="AI1116" s="8" t="b">
        <v>1</v>
      </c>
    </row>
    <row r="1117" spans="1:35" ht="31.2">
      <c r="A1117" s="8">
        <v>-73.972984710000006</v>
      </c>
      <c r="B1117" s="8">
        <v>40.774070899999998</v>
      </c>
      <c r="C1117" s="8" t="s">
        <v>3022</v>
      </c>
      <c r="D1117" s="8" t="s">
        <v>2256</v>
      </c>
      <c r="E1117" s="8" t="b">
        <f t="shared" si="17"/>
        <v>0</v>
      </c>
      <c r="F1117" s="8" t="str" cm="1">
        <f t="array" ref="F1117">_xlfn._xlws.FILTER(E1117:E4315, C1117:C4315= "6D-PM-1020-01", "No Squirrels Found")</f>
        <v>No Squirrels Found</v>
      </c>
      <c r="G1117" s="8" t="s">
        <v>48</v>
      </c>
      <c r="H1117" s="10">
        <v>10082018</v>
      </c>
      <c r="I1117" s="10">
        <v>3</v>
      </c>
      <c r="J1117" s="8" t="s">
        <v>39</v>
      </c>
      <c r="K1117" s="8" t="s">
        <v>40</v>
      </c>
      <c r="L1117" s="8" t="s">
        <v>84</v>
      </c>
      <c r="M1117" s="8" t="s">
        <v>103</v>
      </c>
      <c r="O1117" s="8" t="s">
        <v>50</v>
      </c>
      <c r="P1117" s="8">
        <v>10</v>
      </c>
      <c r="R1117" s="8" t="b">
        <v>0</v>
      </c>
      <c r="S1117" s="8" t="b">
        <v>0</v>
      </c>
      <c r="T1117" s="8" t="b">
        <v>1</v>
      </c>
      <c r="U1117" s="8" t="b">
        <v>0</v>
      </c>
      <c r="V1117" s="8" t="b">
        <v>0</v>
      </c>
      <c r="X1117" s="8" t="b">
        <v>0</v>
      </c>
      <c r="Y1117" s="8" t="b">
        <v>0</v>
      </c>
      <c r="Z1117" s="8" t="b">
        <v>0</v>
      </c>
      <c r="AA1117" s="8" t="b">
        <v>0</v>
      </c>
      <c r="AB1117" s="8" t="b">
        <v>0</v>
      </c>
      <c r="AC1117" s="8" t="b">
        <v>0</v>
      </c>
      <c r="AD1117" s="8" t="b">
        <v>0</v>
      </c>
      <c r="AE1117" s="8" t="b">
        <v>0</v>
      </c>
      <c r="AG1117" s="11" t="b" cm="1">
        <f t="array" ref="AG1117">IF(OR(Y1117:AA1117="TRUE", AE1117="true"), "Threatened")</f>
        <v>0</v>
      </c>
      <c r="AH1117" s="11" t="s">
        <v>3023</v>
      </c>
      <c r="AI1117" s="8" t="b">
        <v>1</v>
      </c>
    </row>
    <row r="1118" spans="1:35" ht="31.2">
      <c r="A1118" s="8">
        <v>-73.969346540000004</v>
      </c>
      <c r="B1118" s="8">
        <v>40.774499630000001</v>
      </c>
      <c r="C1118" s="8" t="s">
        <v>3024</v>
      </c>
      <c r="D1118" s="8" t="s">
        <v>655</v>
      </c>
      <c r="E1118" s="8" t="b">
        <f t="shared" si="17"/>
        <v>0</v>
      </c>
      <c r="F1118" s="8" t="str" cm="1">
        <f t="array" ref="F1118">_xlfn._xlws.FILTER(E1118:E4316, C1118:C4316= "6D-PM-1020-01", "No Squirrels Found")</f>
        <v>No Squirrels Found</v>
      </c>
      <c r="G1118" s="8" t="s">
        <v>34</v>
      </c>
      <c r="H1118" s="10">
        <v>10072018</v>
      </c>
      <c r="I1118" s="10">
        <v>1</v>
      </c>
      <c r="J1118" s="8" t="s">
        <v>39</v>
      </c>
      <c r="K1118" s="8" t="s">
        <v>41</v>
      </c>
      <c r="L1118" s="8" t="s">
        <v>40</v>
      </c>
      <c r="M1118" s="8" t="s">
        <v>110</v>
      </c>
      <c r="O1118" s="8" t="s">
        <v>43</v>
      </c>
      <c r="P1118" s="8" t="b">
        <v>0</v>
      </c>
      <c r="R1118" s="8" t="b">
        <v>0</v>
      </c>
      <c r="S1118" s="8" t="b">
        <v>0</v>
      </c>
      <c r="T1118" s="8" t="b">
        <v>0</v>
      </c>
      <c r="U1118" s="8" t="b">
        <v>1</v>
      </c>
      <c r="V1118" s="8" t="b">
        <v>1</v>
      </c>
      <c r="X1118" s="8" t="b">
        <v>0</v>
      </c>
      <c r="Y1118" s="8" t="b">
        <v>0</v>
      </c>
      <c r="Z1118" s="8" t="b">
        <v>0</v>
      </c>
      <c r="AA1118" s="8" t="b">
        <v>0</v>
      </c>
      <c r="AB1118" s="8" t="b">
        <v>0</v>
      </c>
      <c r="AC1118" s="8" t="b">
        <v>0</v>
      </c>
      <c r="AD1118" s="8" t="b">
        <v>0</v>
      </c>
      <c r="AE1118" s="8" t="b">
        <v>1</v>
      </c>
      <c r="AG1118" s="11" t="b" cm="1">
        <f t="array" ref="AG1118">IF(OR(Y1118:AA1118="TRUE", AE1118="true"), "Threatened")</f>
        <v>0</v>
      </c>
      <c r="AH1118" s="11" t="s">
        <v>3025</v>
      </c>
      <c r="AI1118" s="8" t="b">
        <v>1</v>
      </c>
    </row>
    <row r="1119" spans="1:35" ht="31.2">
      <c r="A1119" s="8">
        <v>-73.971946029999998</v>
      </c>
      <c r="B1119" s="8">
        <v>40.781050819999997</v>
      </c>
      <c r="C1119" s="8" t="s">
        <v>3026</v>
      </c>
      <c r="D1119" s="8" t="s">
        <v>183</v>
      </c>
      <c r="E1119" s="8" t="b">
        <f t="shared" si="17"/>
        <v>0</v>
      </c>
      <c r="F1119" s="8" t="str" cm="1">
        <f t="array" ref="F1119">_xlfn._xlws.FILTER(E1119:E4317, C1119:C4317= "6D-PM-1020-01", "No Squirrels Found")</f>
        <v>No Squirrels Found</v>
      </c>
      <c r="G1119" s="8" t="s">
        <v>48</v>
      </c>
      <c r="H1119" s="10">
        <v>10122018</v>
      </c>
      <c r="I1119" s="10">
        <v>1</v>
      </c>
      <c r="J1119" s="8" t="s">
        <v>39</v>
      </c>
      <c r="K1119" s="8" t="s">
        <v>40</v>
      </c>
      <c r="L1119" s="8" t="s">
        <v>117</v>
      </c>
      <c r="M1119" s="8" t="s">
        <v>118</v>
      </c>
      <c r="N1119" s="11" t="s">
        <v>1899</v>
      </c>
      <c r="O1119" s="8" t="s">
        <v>50</v>
      </c>
      <c r="P1119" s="8">
        <v>3</v>
      </c>
      <c r="Q1119" s="8" t="s">
        <v>206</v>
      </c>
      <c r="R1119" s="8" t="b">
        <v>1</v>
      </c>
      <c r="S1119" s="8" t="b">
        <v>0</v>
      </c>
      <c r="T1119" s="8" t="b">
        <v>1</v>
      </c>
      <c r="U1119" s="8" t="b">
        <v>0</v>
      </c>
      <c r="V1119" s="8" t="b">
        <v>1</v>
      </c>
      <c r="X1119" s="8" t="b">
        <v>0</v>
      </c>
      <c r="Y1119" s="8" t="b">
        <v>0</v>
      </c>
      <c r="Z1119" s="8" t="b">
        <v>0</v>
      </c>
      <c r="AA1119" s="8" t="b">
        <v>0</v>
      </c>
      <c r="AB1119" s="8" t="b">
        <v>1</v>
      </c>
      <c r="AC1119" s="8" t="b">
        <v>0</v>
      </c>
      <c r="AD1119" s="8" t="b">
        <v>0</v>
      </c>
      <c r="AE1119" s="8" t="b">
        <v>1</v>
      </c>
      <c r="AG1119" s="11" t="b" cm="1">
        <f t="array" ref="AG1119">IF(OR(Y1119:AA1119="TRUE", AE1119="true"), "Threatened")</f>
        <v>0</v>
      </c>
      <c r="AH1119" s="11" t="s">
        <v>3027</v>
      </c>
      <c r="AI1119" s="8" t="b">
        <v>1</v>
      </c>
    </row>
    <row r="1120" spans="1:35" ht="31.2">
      <c r="A1120" s="8">
        <v>-73.959755779999995</v>
      </c>
      <c r="B1120" s="8">
        <v>40.79499182</v>
      </c>
      <c r="C1120" s="8" t="s">
        <v>3028</v>
      </c>
      <c r="D1120" s="8" t="s">
        <v>1262</v>
      </c>
      <c r="E1120" s="8" t="b">
        <f t="shared" si="17"/>
        <v>0</v>
      </c>
      <c r="F1120" s="8" t="str" cm="1">
        <f t="array" ref="F1120">_xlfn._xlws.FILTER(E1120:E4318, C1120:C4318= "6D-PM-1020-01", "No Squirrels Found")</f>
        <v>No Squirrels Found</v>
      </c>
      <c r="G1120" s="8" t="s">
        <v>48</v>
      </c>
      <c r="H1120" s="10">
        <v>10142018</v>
      </c>
      <c r="I1120" s="10">
        <v>1</v>
      </c>
      <c r="J1120" s="8" t="s">
        <v>39</v>
      </c>
      <c r="K1120" s="8" t="s">
        <v>40</v>
      </c>
      <c r="L1120" s="8" t="s">
        <v>41</v>
      </c>
      <c r="M1120" s="8" t="s">
        <v>42</v>
      </c>
      <c r="N1120" s="11" t="s">
        <v>452</v>
      </c>
      <c r="O1120" s="8" t="s">
        <v>43</v>
      </c>
      <c r="P1120" s="8" t="b">
        <v>0</v>
      </c>
      <c r="R1120" s="8" t="b">
        <v>0</v>
      </c>
      <c r="S1120" s="8" t="b">
        <v>0</v>
      </c>
      <c r="T1120" s="8" t="b">
        <v>0</v>
      </c>
      <c r="U1120" s="8" t="b">
        <v>0</v>
      </c>
      <c r="V1120" s="8" t="b">
        <v>1</v>
      </c>
      <c r="X1120" s="8" t="b">
        <v>0</v>
      </c>
      <c r="Y1120" s="8" t="b">
        <v>0</v>
      </c>
      <c r="Z1120" s="8" t="b">
        <v>0</v>
      </c>
      <c r="AA1120" s="8" t="b">
        <v>0</v>
      </c>
      <c r="AB1120" s="8" t="b">
        <v>0</v>
      </c>
      <c r="AC1120" s="8" t="b">
        <v>0</v>
      </c>
      <c r="AD1120" s="8" t="b">
        <v>0</v>
      </c>
      <c r="AE1120" s="8" t="b">
        <v>1</v>
      </c>
      <c r="AG1120" s="11" t="b" cm="1">
        <f t="array" ref="AG1120">IF(OR(Y1120:AA1120="TRUE", AE1120="true"), "Threatened")</f>
        <v>0</v>
      </c>
      <c r="AH1120" s="11" t="s">
        <v>3029</v>
      </c>
      <c r="AI1120" s="8" t="b">
        <v>1</v>
      </c>
    </row>
    <row r="1121" spans="1:35" ht="31.2">
      <c r="A1121" s="8">
        <v>-73.956407929999997</v>
      </c>
      <c r="B1121" s="8">
        <v>40.793934010000001</v>
      </c>
      <c r="C1121" s="8" t="s">
        <v>3030</v>
      </c>
      <c r="D1121" s="8" t="s">
        <v>702</v>
      </c>
      <c r="E1121" s="8" t="b">
        <f t="shared" si="17"/>
        <v>0</v>
      </c>
      <c r="F1121" s="8" t="str" cm="1">
        <f t="array" ref="F1121">_xlfn._xlws.FILTER(E1121:E4319, C1121:C4319= "6D-PM-1020-01", "No Squirrels Found")</f>
        <v>No Squirrels Found</v>
      </c>
      <c r="G1121" s="8" t="s">
        <v>48</v>
      </c>
      <c r="H1121" s="10">
        <v>10172018</v>
      </c>
      <c r="I1121" s="10">
        <v>2</v>
      </c>
      <c r="J1121" s="8" t="s">
        <v>39</v>
      </c>
      <c r="K1121" s="8" t="s">
        <v>40</v>
      </c>
      <c r="L1121" s="8" t="s">
        <v>41</v>
      </c>
      <c r="M1121" s="8" t="s">
        <v>42</v>
      </c>
      <c r="N1121" s="11" t="s">
        <v>3031</v>
      </c>
      <c r="O1121" s="8" t="s">
        <v>43</v>
      </c>
      <c r="P1121" s="8" t="b">
        <v>0</v>
      </c>
      <c r="R1121" s="8" t="b">
        <v>0</v>
      </c>
      <c r="S1121" s="8" t="b">
        <v>0</v>
      </c>
      <c r="T1121" s="8" t="b">
        <v>0</v>
      </c>
      <c r="U1121" s="8" t="b">
        <v>1</v>
      </c>
      <c r="V1121" s="8" t="b">
        <v>1</v>
      </c>
      <c r="X1121" s="8" t="b">
        <v>0</v>
      </c>
      <c r="Y1121" s="8" t="b">
        <v>0</v>
      </c>
      <c r="Z1121" s="8" t="b">
        <v>0</v>
      </c>
      <c r="AA1121" s="8" t="b">
        <v>0</v>
      </c>
      <c r="AB1121" s="8" t="b">
        <v>0</v>
      </c>
      <c r="AC1121" s="8" t="b">
        <v>0</v>
      </c>
      <c r="AD1121" s="8" t="b">
        <v>1</v>
      </c>
      <c r="AE1121" s="8" t="b">
        <v>0</v>
      </c>
      <c r="AG1121" s="11" t="b" cm="1">
        <f t="array" ref="AG1121">IF(OR(Y1121:AA1121="TRUE", AE1121="true"), "Threatened")</f>
        <v>0</v>
      </c>
      <c r="AH1121" s="11" t="s">
        <v>3032</v>
      </c>
      <c r="AI1121" s="8" t="b">
        <v>1</v>
      </c>
    </row>
    <row r="1122" spans="1:35" ht="31.2">
      <c r="A1122" s="8">
        <v>-73.964506040000003</v>
      </c>
      <c r="B1122" s="8">
        <v>40.776832210000002</v>
      </c>
      <c r="C1122" s="8" t="s">
        <v>3033</v>
      </c>
      <c r="D1122" s="8" t="s">
        <v>134</v>
      </c>
      <c r="E1122" s="8" t="b">
        <f t="shared" si="17"/>
        <v>0</v>
      </c>
      <c r="F1122" s="8" t="str" cm="1">
        <f t="array" ref="F1122">_xlfn._xlws.FILTER(E1122:E4320, C1122:C4320= "6D-PM-1020-01", "No Squirrels Found")</f>
        <v>No Squirrels Found</v>
      </c>
      <c r="G1122" s="8" t="s">
        <v>48</v>
      </c>
      <c r="H1122" s="10">
        <v>10082018</v>
      </c>
      <c r="I1122" s="10">
        <v>3</v>
      </c>
      <c r="J1122" s="8" t="s">
        <v>39</v>
      </c>
      <c r="K1122" s="8" t="s">
        <v>41</v>
      </c>
      <c r="L1122" s="8" t="s">
        <v>135</v>
      </c>
      <c r="M1122" s="8" t="s">
        <v>136</v>
      </c>
      <c r="O1122" s="8" t="s">
        <v>43</v>
      </c>
      <c r="P1122" s="8" t="b">
        <v>0</v>
      </c>
      <c r="R1122" s="8" t="b">
        <v>0</v>
      </c>
      <c r="S1122" s="8" t="b">
        <v>0</v>
      </c>
      <c r="T1122" s="8" t="b">
        <v>0</v>
      </c>
      <c r="U1122" s="8" t="b">
        <v>0</v>
      </c>
      <c r="V1122" s="8" t="b">
        <v>1</v>
      </c>
      <c r="X1122" s="8" t="b">
        <v>0</v>
      </c>
      <c r="Y1122" s="8" t="b">
        <v>0</v>
      </c>
      <c r="Z1122" s="8" t="b">
        <v>0</v>
      </c>
      <c r="AA1122" s="8" t="b">
        <v>0</v>
      </c>
      <c r="AB1122" s="8" t="b">
        <v>1</v>
      </c>
      <c r="AC1122" s="8" t="b">
        <v>0</v>
      </c>
      <c r="AD1122" s="8" t="b">
        <v>1</v>
      </c>
      <c r="AE1122" s="8" t="b">
        <v>0</v>
      </c>
      <c r="AG1122" s="11" t="b" cm="1">
        <f t="array" ref="AG1122">IF(OR(Y1122:AA1122="TRUE", AE1122="true"), "Threatened")</f>
        <v>0</v>
      </c>
      <c r="AH1122" s="11" t="s">
        <v>3034</v>
      </c>
      <c r="AI1122" s="8" t="b">
        <v>1</v>
      </c>
    </row>
    <row r="1123" spans="1:35" ht="31.2">
      <c r="A1123" s="8">
        <v>-73.972870040000004</v>
      </c>
      <c r="B1123" s="8">
        <v>40.765984269999997</v>
      </c>
      <c r="C1123" s="8" t="s">
        <v>3035</v>
      </c>
      <c r="D1123" s="8" t="s">
        <v>1902</v>
      </c>
      <c r="E1123" s="8" t="b">
        <f t="shared" si="17"/>
        <v>0</v>
      </c>
      <c r="F1123" s="8" t="str" cm="1">
        <f t="array" ref="F1123">_xlfn._xlws.FILTER(E1123:E4321, C1123:C4321= "6D-PM-1020-01", "No Squirrels Found")</f>
        <v>No Squirrels Found</v>
      </c>
      <c r="G1123" s="8" t="s">
        <v>34</v>
      </c>
      <c r="H1123" s="10">
        <v>10142018</v>
      </c>
      <c r="I1123" s="10">
        <v>5</v>
      </c>
      <c r="J1123" s="8" t="s">
        <v>39</v>
      </c>
      <c r="K1123" s="8" t="s">
        <v>40</v>
      </c>
      <c r="L1123" s="8" t="s">
        <v>84</v>
      </c>
      <c r="M1123" s="8" t="s">
        <v>103</v>
      </c>
      <c r="O1123" s="8" t="s">
        <v>43</v>
      </c>
      <c r="P1123" s="8" t="b">
        <v>0</v>
      </c>
      <c r="R1123" s="8" t="b">
        <v>0</v>
      </c>
      <c r="S1123" s="8" t="b">
        <v>0</v>
      </c>
      <c r="T1123" s="8" t="b">
        <v>0</v>
      </c>
      <c r="U1123" s="8" t="b">
        <v>1</v>
      </c>
      <c r="V1123" s="8" t="b">
        <v>0</v>
      </c>
      <c r="X1123" s="8" t="b">
        <v>0</v>
      </c>
      <c r="Y1123" s="8" t="b">
        <v>0</v>
      </c>
      <c r="Z1123" s="8" t="b">
        <v>0</v>
      </c>
      <c r="AA1123" s="8" t="b">
        <v>0</v>
      </c>
      <c r="AB1123" s="8" t="b">
        <v>0</v>
      </c>
      <c r="AC1123" s="8" t="b">
        <v>0</v>
      </c>
      <c r="AD1123" s="8" t="b">
        <v>1</v>
      </c>
      <c r="AE1123" s="8" t="b">
        <v>0</v>
      </c>
      <c r="AG1123" s="11" t="b" cm="1">
        <f t="array" ref="AG1123">IF(OR(Y1123:AA1123="TRUE", AE1123="true"), "Threatened")</f>
        <v>0</v>
      </c>
      <c r="AH1123" s="11" t="s">
        <v>3036</v>
      </c>
      <c r="AI1123" s="8" t="b">
        <v>1</v>
      </c>
    </row>
    <row r="1124" spans="1:35" ht="31.2">
      <c r="A1124" s="8">
        <v>-73.967085890000007</v>
      </c>
      <c r="B1124" s="8">
        <v>40.775350500000002</v>
      </c>
      <c r="C1124" s="8" t="s">
        <v>3037</v>
      </c>
      <c r="D1124" s="8" t="s">
        <v>1320</v>
      </c>
      <c r="E1124" s="8" t="b">
        <f t="shared" si="17"/>
        <v>0</v>
      </c>
      <c r="F1124" s="8" t="str" cm="1">
        <f t="array" ref="F1124">_xlfn._xlws.FILTER(E1124:E4322, C1124:C4322= "6D-PM-1020-01", "No Squirrels Found")</f>
        <v>No Squirrels Found</v>
      </c>
      <c r="G1124" s="8" t="s">
        <v>34</v>
      </c>
      <c r="H1124" s="10">
        <v>10122018</v>
      </c>
      <c r="I1124" s="10">
        <v>2</v>
      </c>
      <c r="J1124" s="8" t="s">
        <v>39</v>
      </c>
      <c r="K1124" s="8" t="s">
        <v>40</v>
      </c>
      <c r="L1124" s="8" t="s">
        <v>117</v>
      </c>
      <c r="M1124" s="8" t="s">
        <v>118</v>
      </c>
      <c r="O1124" s="8" t="s">
        <v>50</v>
      </c>
      <c r="P1124" s="8">
        <v>20</v>
      </c>
      <c r="R1124" s="8" t="b">
        <v>1</v>
      </c>
      <c r="S1124" s="8" t="b">
        <v>0</v>
      </c>
      <c r="T1124" s="8" t="b">
        <v>0</v>
      </c>
      <c r="U1124" s="8" t="b">
        <v>1</v>
      </c>
      <c r="V1124" s="8" t="b">
        <v>1</v>
      </c>
      <c r="X1124" s="8" t="b">
        <v>0</v>
      </c>
      <c r="Y1124" s="8" t="b">
        <v>0</v>
      </c>
      <c r="Z1124" s="8" t="b">
        <v>0</v>
      </c>
      <c r="AA1124" s="8" t="b">
        <v>0</v>
      </c>
      <c r="AB1124" s="8" t="b">
        <v>0</v>
      </c>
      <c r="AC1124" s="8" t="b">
        <v>0</v>
      </c>
      <c r="AD1124" s="8" t="b">
        <v>1</v>
      </c>
      <c r="AE1124" s="8" t="b">
        <v>0</v>
      </c>
      <c r="AG1124" s="11" t="b" cm="1">
        <f t="array" ref="AG1124">IF(OR(Y1124:AA1124="TRUE", AE1124="true"), "Threatened")</f>
        <v>0</v>
      </c>
      <c r="AH1124" s="11" t="s">
        <v>3038</v>
      </c>
      <c r="AI1124" s="8" t="b">
        <v>1</v>
      </c>
    </row>
    <row r="1125" spans="1:35" ht="31.2">
      <c r="A1125" s="8">
        <v>-73.95951676</v>
      </c>
      <c r="B1125" s="8">
        <v>40.795254589999999</v>
      </c>
      <c r="C1125" s="8" t="s">
        <v>3039</v>
      </c>
      <c r="D1125" s="8" t="s">
        <v>1262</v>
      </c>
      <c r="E1125" s="8" t="b">
        <f t="shared" si="17"/>
        <v>0</v>
      </c>
      <c r="F1125" s="8" t="str" cm="1">
        <f t="array" ref="F1125">_xlfn._xlws.FILTER(E1125:E4323, C1125:C4323= "6D-PM-1020-01", "No Squirrels Found")</f>
        <v>No Squirrels Found</v>
      </c>
      <c r="G1125" s="8" t="s">
        <v>34</v>
      </c>
      <c r="H1125" s="10">
        <v>10132018</v>
      </c>
      <c r="I1125" s="10">
        <v>4</v>
      </c>
      <c r="J1125" s="8" t="s">
        <v>39</v>
      </c>
      <c r="K1125" s="8" t="s">
        <v>40</v>
      </c>
      <c r="M1125" s="8" t="s">
        <v>55</v>
      </c>
      <c r="O1125" s="8" t="s">
        <v>43</v>
      </c>
      <c r="P1125" s="8" t="b">
        <v>0</v>
      </c>
      <c r="Q1125" s="8" t="s">
        <v>3040</v>
      </c>
      <c r="R1125" s="8" t="b">
        <v>1</v>
      </c>
      <c r="S1125" s="8" t="b">
        <v>0</v>
      </c>
      <c r="T1125" s="8" t="b">
        <v>0</v>
      </c>
      <c r="U1125" s="8" t="b">
        <v>0</v>
      </c>
      <c r="V1125" s="8" t="b">
        <v>1</v>
      </c>
      <c r="X1125" s="8" t="b">
        <v>0</v>
      </c>
      <c r="Y1125" s="8" t="b">
        <v>0</v>
      </c>
      <c r="Z1125" s="8" t="b">
        <v>0</v>
      </c>
      <c r="AA1125" s="8" t="b">
        <v>0</v>
      </c>
      <c r="AB1125" s="8" t="b">
        <v>0</v>
      </c>
      <c r="AC1125" s="8" t="b">
        <v>0</v>
      </c>
      <c r="AD1125" s="8" t="b">
        <v>0</v>
      </c>
      <c r="AE1125" s="8" t="b">
        <v>1</v>
      </c>
      <c r="AG1125" s="11" t="b" cm="1">
        <f t="array" ref="AG1125">IF(OR(Y1125:AA1125="TRUE", AE1125="true"), "Threatened")</f>
        <v>0</v>
      </c>
      <c r="AH1125" s="11" t="s">
        <v>3041</v>
      </c>
      <c r="AI1125" s="8" t="b">
        <v>1</v>
      </c>
    </row>
    <row r="1126" spans="1:35" ht="31.2">
      <c r="A1126" s="8">
        <v>-73.977573509999999</v>
      </c>
      <c r="B1126" s="8">
        <v>40.769287210000002</v>
      </c>
      <c r="C1126" s="8" t="s">
        <v>3042</v>
      </c>
      <c r="D1126" s="8" t="s">
        <v>1586</v>
      </c>
      <c r="E1126" s="8" t="b">
        <f t="shared" si="17"/>
        <v>0</v>
      </c>
      <c r="F1126" s="8" t="str" cm="1">
        <f t="array" ref="F1126">_xlfn._xlws.FILTER(E1126:E4324, C1126:C4324= "6D-PM-1020-01", "No Squirrels Found")</f>
        <v>No Squirrels Found</v>
      </c>
      <c r="G1126" s="8" t="s">
        <v>34</v>
      </c>
      <c r="H1126" s="10">
        <v>10102018</v>
      </c>
      <c r="I1126" s="10">
        <v>8</v>
      </c>
      <c r="J1126" s="8" t="s">
        <v>39</v>
      </c>
      <c r="K1126" s="8" t="s">
        <v>40</v>
      </c>
      <c r="L1126" s="8" t="s">
        <v>117</v>
      </c>
      <c r="M1126" s="8" t="s">
        <v>118</v>
      </c>
      <c r="O1126" s="8" t="s">
        <v>50</v>
      </c>
      <c r="P1126" s="8">
        <v>10</v>
      </c>
      <c r="Q1126" s="8" t="s">
        <v>3043</v>
      </c>
      <c r="R1126" s="8" t="b">
        <v>1</v>
      </c>
      <c r="S1126" s="8" t="b">
        <v>0</v>
      </c>
      <c r="T1126" s="8" t="b">
        <v>1</v>
      </c>
      <c r="U1126" s="8" t="b">
        <v>0</v>
      </c>
      <c r="V1126" s="8" t="b">
        <v>0</v>
      </c>
      <c r="X1126" s="8" t="b">
        <v>0</v>
      </c>
      <c r="Y1126" s="8" t="b">
        <v>0</v>
      </c>
      <c r="Z1126" s="8" t="b">
        <v>0</v>
      </c>
      <c r="AA1126" s="8" t="b">
        <v>0</v>
      </c>
      <c r="AB1126" s="8" t="b">
        <v>0</v>
      </c>
      <c r="AC1126" s="8" t="b">
        <v>0</v>
      </c>
      <c r="AD1126" s="8" t="b">
        <v>0</v>
      </c>
      <c r="AE1126" s="8" t="b">
        <v>1</v>
      </c>
      <c r="AG1126" s="11" t="b" cm="1">
        <f t="array" ref="AG1126">IF(OR(Y1126:AA1126="TRUE", AE1126="true"), "Threatened")</f>
        <v>0</v>
      </c>
      <c r="AH1126" s="11" t="s">
        <v>3044</v>
      </c>
      <c r="AI1126" s="8" t="b">
        <v>1</v>
      </c>
    </row>
    <row r="1127" spans="1:35" ht="31.2">
      <c r="A1127" s="8">
        <v>-73.970018600000003</v>
      </c>
      <c r="B1127" s="8">
        <v>40.782605220000001</v>
      </c>
      <c r="C1127" s="8" t="s">
        <v>3045</v>
      </c>
      <c r="D1127" s="8" t="s">
        <v>102</v>
      </c>
      <c r="E1127" s="8" t="b">
        <f t="shared" si="17"/>
        <v>0</v>
      </c>
      <c r="F1127" s="8" t="str" cm="1">
        <f t="array" ref="F1127">_xlfn._xlws.FILTER(E1127:E4325, C1127:C4325= "6D-PM-1020-01", "No Squirrels Found")</f>
        <v>No Squirrels Found</v>
      </c>
      <c r="G1127" s="8" t="s">
        <v>48</v>
      </c>
      <c r="H1127" s="10">
        <v>10072018</v>
      </c>
      <c r="I1127" s="10">
        <v>3</v>
      </c>
      <c r="J1127" s="8" t="s">
        <v>39</v>
      </c>
      <c r="K1127" s="8" t="s">
        <v>40</v>
      </c>
      <c r="L1127" s="8" t="s">
        <v>84</v>
      </c>
      <c r="M1127" s="8" t="s">
        <v>103</v>
      </c>
      <c r="O1127" s="8" t="s">
        <v>50</v>
      </c>
      <c r="R1127" s="8" t="b">
        <v>0</v>
      </c>
      <c r="S1127" s="8" t="b">
        <v>0</v>
      </c>
      <c r="T1127" s="8" t="b">
        <v>0</v>
      </c>
      <c r="U1127" s="8" t="b">
        <v>0</v>
      </c>
      <c r="V1127" s="8" t="b">
        <v>1</v>
      </c>
      <c r="X1127" s="8" t="b">
        <v>0</v>
      </c>
      <c r="Y1127" s="8" t="b">
        <v>0</v>
      </c>
      <c r="Z1127" s="8" t="b">
        <v>0</v>
      </c>
      <c r="AA1127" s="8" t="b">
        <v>1</v>
      </c>
      <c r="AB1127" s="8" t="b">
        <v>0</v>
      </c>
      <c r="AC1127" s="8" t="b">
        <v>0</v>
      </c>
      <c r="AD1127" s="8" t="b">
        <v>0</v>
      </c>
      <c r="AE1127" s="8" t="b">
        <v>1</v>
      </c>
      <c r="AG1127" s="11" t="b" cm="1">
        <f t="array" ref="AG1127">IF(OR(Y1127:AA1127="TRUE", AE1127="true"), "Threatened")</f>
        <v>0</v>
      </c>
      <c r="AH1127" s="11" t="s">
        <v>3046</v>
      </c>
      <c r="AI1127" s="8" t="b">
        <v>1</v>
      </c>
    </row>
    <row r="1128" spans="1:35" ht="31.2">
      <c r="A1128" s="8">
        <v>-73.977644560000002</v>
      </c>
      <c r="B1128" s="8">
        <v>40.768119110000001</v>
      </c>
      <c r="C1128" s="8" t="s">
        <v>3047</v>
      </c>
      <c r="D1128" s="8" t="s">
        <v>512</v>
      </c>
      <c r="E1128" s="8" t="b">
        <f t="shared" si="17"/>
        <v>0</v>
      </c>
      <c r="F1128" s="8" t="str" cm="1">
        <f t="array" ref="F1128">_xlfn._xlws.FILTER(E1128:E4326, C1128:C4326= "6D-PM-1020-01", "No Squirrels Found")</f>
        <v>No Squirrels Found</v>
      </c>
      <c r="G1128" s="8" t="s">
        <v>34</v>
      </c>
      <c r="H1128" s="10">
        <v>10102018</v>
      </c>
      <c r="I1128" s="10">
        <v>7</v>
      </c>
      <c r="J1128" s="8" t="s">
        <v>39</v>
      </c>
      <c r="K1128" s="8" t="s">
        <v>41</v>
      </c>
      <c r="L1128" s="8" t="s">
        <v>84</v>
      </c>
      <c r="M1128" s="8" t="s">
        <v>85</v>
      </c>
      <c r="O1128" s="8" t="s">
        <v>43</v>
      </c>
      <c r="P1128" s="8" t="b">
        <v>0</v>
      </c>
      <c r="R1128" s="8" t="b">
        <v>0</v>
      </c>
      <c r="S1128" s="8" t="b">
        <v>0</v>
      </c>
      <c r="T1128" s="8" t="b">
        <v>0</v>
      </c>
      <c r="U1128" s="8" t="b">
        <v>0</v>
      </c>
      <c r="V1128" s="8" t="b">
        <v>1</v>
      </c>
      <c r="X1128" s="8" t="b">
        <v>0</v>
      </c>
      <c r="Y1128" s="8" t="b">
        <v>0</v>
      </c>
      <c r="Z1128" s="8" t="b">
        <v>0</v>
      </c>
      <c r="AA1128" s="8" t="b">
        <v>0</v>
      </c>
      <c r="AB1128" s="8" t="b">
        <v>0</v>
      </c>
      <c r="AC1128" s="8" t="b">
        <v>0</v>
      </c>
      <c r="AD1128" s="8" t="b">
        <v>0</v>
      </c>
      <c r="AE1128" s="8" t="b">
        <v>0</v>
      </c>
      <c r="AG1128" s="11" t="b" cm="1">
        <f t="array" ref="AG1128">IF(OR(Y1128:AA1128="TRUE", AE1128="true"), "Threatened")</f>
        <v>0</v>
      </c>
      <c r="AH1128" s="11" t="s">
        <v>3048</v>
      </c>
      <c r="AI1128" s="8" t="b">
        <v>1</v>
      </c>
    </row>
    <row r="1129" spans="1:35" ht="31.2">
      <c r="A1129" s="8">
        <v>-73.963859900000003</v>
      </c>
      <c r="B1129" s="8">
        <v>40.780928879999998</v>
      </c>
      <c r="C1129" s="8" t="s">
        <v>3049</v>
      </c>
      <c r="D1129" s="8" t="s">
        <v>358</v>
      </c>
      <c r="E1129" s="8" t="b">
        <f t="shared" si="17"/>
        <v>0</v>
      </c>
      <c r="F1129" s="8" t="str" cm="1">
        <f t="array" ref="F1129">_xlfn._xlws.FILTER(E1129:E4327, C1129:C4327= "6D-PM-1020-01", "No Squirrels Found")</f>
        <v>No Squirrels Found</v>
      </c>
      <c r="G1129" s="8" t="s">
        <v>48</v>
      </c>
      <c r="H1129" s="10">
        <v>10142018</v>
      </c>
      <c r="I1129" s="10">
        <v>6</v>
      </c>
      <c r="J1129" s="8" t="s">
        <v>39</v>
      </c>
      <c r="K1129" s="8" t="s">
        <v>40</v>
      </c>
      <c r="L1129" s="8" t="s">
        <v>41</v>
      </c>
      <c r="M1129" s="8" t="s">
        <v>42</v>
      </c>
      <c r="O1129" s="8" t="s">
        <v>50</v>
      </c>
      <c r="P1129" s="8">
        <v>5</v>
      </c>
      <c r="R1129" s="8" t="b">
        <v>0</v>
      </c>
      <c r="S1129" s="8" t="b">
        <v>1</v>
      </c>
      <c r="T1129" s="8" t="b">
        <v>1</v>
      </c>
      <c r="U1129" s="8" t="b">
        <v>0</v>
      </c>
      <c r="V1129" s="8" t="b">
        <v>0</v>
      </c>
      <c r="X1129" s="8" t="b">
        <v>0</v>
      </c>
      <c r="Y1129" s="8" t="b">
        <v>0</v>
      </c>
      <c r="Z1129" s="8" t="b">
        <v>0</v>
      </c>
      <c r="AA1129" s="8" t="b">
        <v>0</v>
      </c>
      <c r="AB1129" s="8" t="b">
        <v>0</v>
      </c>
      <c r="AC1129" s="8" t="b">
        <v>0</v>
      </c>
      <c r="AD1129" s="8" t="b">
        <v>0</v>
      </c>
      <c r="AE1129" s="8" t="b">
        <v>0</v>
      </c>
      <c r="AG1129" s="11" t="b" cm="1">
        <f t="array" ref="AG1129">IF(OR(Y1129:AA1129="TRUE", AE1129="true"), "Threatened")</f>
        <v>0</v>
      </c>
      <c r="AH1129" s="11" t="s">
        <v>3050</v>
      </c>
      <c r="AI1129" s="8" t="b">
        <v>1</v>
      </c>
    </row>
    <row r="1130" spans="1:35" ht="31.2">
      <c r="A1130" s="8">
        <v>-73.974490680000002</v>
      </c>
      <c r="B1130" s="8">
        <v>40.769994869999998</v>
      </c>
      <c r="C1130" s="8" t="s">
        <v>3051</v>
      </c>
      <c r="D1130" s="8" t="s">
        <v>3052</v>
      </c>
      <c r="E1130" s="8" t="b">
        <f t="shared" si="17"/>
        <v>1</v>
      </c>
      <c r="F1130" s="8" t="str" cm="1">
        <f t="array" ref="F1130">_xlfn._xlws.FILTER(E1130:E4328, C1130:C4328= "6D-PM-1020-01", "No Squirrels Found")</f>
        <v>No Squirrels Found</v>
      </c>
      <c r="G1130" s="8" t="s">
        <v>34</v>
      </c>
      <c r="H1130" s="10">
        <v>10102018</v>
      </c>
      <c r="I1130" s="10">
        <v>5</v>
      </c>
      <c r="J1130" s="8" t="s">
        <v>39</v>
      </c>
      <c r="K1130" s="8" t="s">
        <v>41</v>
      </c>
      <c r="L1130" s="8" t="s">
        <v>84</v>
      </c>
      <c r="M1130" s="8" t="s">
        <v>85</v>
      </c>
      <c r="N1130" s="11" t="s">
        <v>3053</v>
      </c>
      <c r="O1130" s="8" t="s">
        <v>43</v>
      </c>
      <c r="P1130" s="8" t="b">
        <v>0</v>
      </c>
      <c r="R1130" s="8" t="b">
        <v>0</v>
      </c>
      <c r="S1130" s="8" t="b">
        <v>0</v>
      </c>
      <c r="T1130" s="8" t="b">
        <v>0</v>
      </c>
      <c r="U1130" s="8" t="b">
        <v>1</v>
      </c>
      <c r="V1130" s="8" t="b">
        <v>0</v>
      </c>
      <c r="W1130" s="11" t="s">
        <v>3054</v>
      </c>
      <c r="X1130" s="8" t="b">
        <v>0</v>
      </c>
      <c r="Y1130" s="8" t="b">
        <v>0</v>
      </c>
      <c r="Z1130" s="8" t="b">
        <v>0</v>
      </c>
      <c r="AA1130" s="8" t="b">
        <v>0</v>
      </c>
      <c r="AB1130" s="8" t="b">
        <v>0</v>
      </c>
      <c r="AC1130" s="8" t="b">
        <v>0</v>
      </c>
      <c r="AD1130" s="8" t="b">
        <v>1</v>
      </c>
      <c r="AE1130" s="8" t="b">
        <v>0</v>
      </c>
      <c r="AG1130" s="11" t="b" cm="1">
        <f t="array" ref="AG1130">IF(OR(Y1130:AA1130="TRUE", AE1130="true"), "Threatened")</f>
        <v>0</v>
      </c>
      <c r="AH1130" s="11" t="s">
        <v>3055</v>
      </c>
      <c r="AI1130" s="8" t="b">
        <v>0</v>
      </c>
    </row>
    <row r="1131" spans="1:35" ht="31.2">
      <c r="A1131" s="8">
        <v>-73.951908160000002</v>
      </c>
      <c r="B1131" s="8">
        <v>40.797314870000001</v>
      </c>
      <c r="C1131" s="8" t="s">
        <v>3056</v>
      </c>
      <c r="D1131" s="8" t="s">
        <v>3057</v>
      </c>
      <c r="E1131" s="8" t="b">
        <f t="shared" si="17"/>
        <v>0</v>
      </c>
      <c r="F1131" s="8" t="str" cm="1">
        <f t="array" ref="F1131">_xlfn._xlws.FILTER(E1131:E4329, C1131:C4329= "6D-PM-1020-01", "No Squirrels Found")</f>
        <v>No Squirrels Found</v>
      </c>
      <c r="G1131" s="8" t="s">
        <v>48</v>
      </c>
      <c r="H1131" s="10">
        <v>10132018</v>
      </c>
      <c r="I1131" s="10">
        <v>2</v>
      </c>
      <c r="J1131" s="8" t="s">
        <v>39</v>
      </c>
      <c r="K1131" s="8" t="s">
        <v>40</v>
      </c>
      <c r="L1131" s="8" t="s">
        <v>117</v>
      </c>
      <c r="M1131" s="8" t="s">
        <v>118</v>
      </c>
      <c r="O1131" s="8" t="s">
        <v>43</v>
      </c>
      <c r="P1131" s="8" t="b">
        <v>0</v>
      </c>
      <c r="R1131" s="8" t="b">
        <v>0</v>
      </c>
      <c r="S1131" s="8" t="b">
        <v>0</v>
      </c>
      <c r="T1131" s="8" t="b">
        <v>0</v>
      </c>
      <c r="U1131" s="8" t="b">
        <v>0</v>
      </c>
      <c r="V1131" s="8" t="b">
        <v>1</v>
      </c>
      <c r="X1131" s="8" t="b">
        <v>0</v>
      </c>
      <c r="Y1131" s="8" t="b">
        <v>0</v>
      </c>
      <c r="Z1131" s="8" t="b">
        <v>0</v>
      </c>
      <c r="AA1131" s="8" t="b">
        <v>0</v>
      </c>
      <c r="AB1131" s="8" t="b">
        <v>0</v>
      </c>
      <c r="AC1131" s="8" t="b">
        <v>0</v>
      </c>
      <c r="AD1131" s="8" t="b">
        <v>1</v>
      </c>
      <c r="AE1131" s="8" t="b">
        <v>0</v>
      </c>
      <c r="AG1131" s="11" t="b" cm="1">
        <f t="array" ref="AG1131">IF(OR(Y1131:AA1131="TRUE", AE1131="true"), "Threatened")</f>
        <v>0</v>
      </c>
      <c r="AH1131" s="11" t="s">
        <v>3058</v>
      </c>
      <c r="AI1131" s="8" t="b">
        <v>1</v>
      </c>
    </row>
    <row r="1132" spans="1:35" ht="31.2">
      <c r="A1132" s="8">
        <v>-73.979308270000004</v>
      </c>
      <c r="B1132" s="8">
        <v>40.767993060000002</v>
      </c>
      <c r="C1132" s="8" t="s">
        <v>3059</v>
      </c>
      <c r="D1132" s="8" t="s">
        <v>1235</v>
      </c>
      <c r="E1132" s="8" t="b">
        <f t="shared" si="17"/>
        <v>0</v>
      </c>
      <c r="F1132" s="8" t="str" cm="1">
        <f t="array" ref="F1132">_xlfn._xlws.FILTER(E1132:E4330, C1132:C4330= "6D-PM-1020-01", "No Squirrels Found")</f>
        <v>No Squirrels Found</v>
      </c>
      <c r="G1132" s="8" t="s">
        <v>34</v>
      </c>
      <c r="H1132" s="10">
        <v>10132018</v>
      </c>
      <c r="I1132" s="10">
        <v>11</v>
      </c>
      <c r="J1132" s="8" t="s">
        <v>39</v>
      </c>
      <c r="K1132" s="8" t="s">
        <v>40</v>
      </c>
      <c r="L1132" s="8" t="s">
        <v>84</v>
      </c>
      <c r="M1132" s="8" t="s">
        <v>103</v>
      </c>
      <c r="O1132" s="8" t="s">
        <v>43</v>
      </c>
      <c r="P1132" s="8" t="b">
        <v>0</v>
      </c>
      <c r="R1132" s="8" t="b">
        <v>0</v>
      </c>
      <c r="S1132" s="8" t="b">
        <v>0</v>
      </c>
      <c r="T1132" s="8" t="b">
        <v>0</v>
      </c>
      <c r="U1132" s="8" t="b">
        <v>0</v>
      </c>
      <c r="V1132" s="8" t="b">
        <v>0</v>
      </c>
      <c r="X1132" s="8" t="b">
        <v>0</v>
      </c>
      <c r="Y1132" s="8" t="b">
        <v>0</v>
      </c>
      <c r="Z1132" s="8" t="b">
        <v>0</v>
      </c>
      <c r="AA1132" s="8" t="b">
        <v>0</v>
      </c>
      <c r="AB1132" s="8" t="b">
        <v>0</v>
      </c>
      <c r="AC1132" s="8" t="b">
        <v>0</v>
      </c>
      <c r="AD1132" s="8" t="b">
        <v>0</v>
      </c>
      <c r="AE1132" s="8" t="b">
        <v>0</v>
      </c>
      <c r="AG1132" s="11" t="b" cm="1">
        <f t="array" ref="AG1132">IF(OR(Y1132:AA1132="TRUE", AE1132="true"), "Threatened")</f>
        <v>0</v>
      </c>
      <c r="AH1132" s="11" t="s">
        <v>3060</v>
      </c>
      <c r="AI1132" s="8" t="b">
        <v>1</v>
      </c>
    </row>
    <row r="1133" spans="1:35" ht="31.2">
      <c r="A1133" s="8">
        <v>-73.979839040000002</v>
      </c>
      <c r="B1133" s="8">
        <v>40.770076109999998</v>
      </c>
      <c r="C1133" s="8" t="s">
        <v>3061</v>
      </c>
      <c r="D1133" s="8" t="s">
        <v>253</v>
      </c>
      <c r="E1133" s="8" t="b">
        <f t="shared" si="17"/>
        <v>0</v>
      </c>
      <c r="F1133" s="8" t="str" cm="1">
        <f t="array" ref="F1133">_xlfn._xlws.FILTER(E1133:E4331, C1133:C4331= "6D-PM-1020-01", "No Squirrels Found")</f>
        <v>No Squirrels Found</v>
      </c>
      <c r="G1133" s="8" t="s">
        <v>34</v>
      </c>
      <c r="H1133" s="10">
        <v>10172018</v>
      </c>
      <c r="I1133" s="10">
        <v>7</v>
      </c>
      <c r="J1133" s="8" t="s">
        <v>39</v>
      </c>
      <c r="K1133" s="8" t="s">
        <v>41</v>
      </c>
      <c r="L1133" s="8" t="s">
        <v>84</v>
      </c>
      <c r="M1133" s="8" t="s">
        <v>85</v>
      </c>
      <c r="O1133" s="8" t="s">
        <v>43</v>
      </c>
      <c r="P1133" s="8" t="b">
        <v>0</v>
      </c>
      <c r="R1133" s="8" t="b">
        <v>0</v>
      </c>
      <c r="S1133" s="8" t="b">
        <v>0</v>
      </c>
      <c r="T1133" s="8" t="b">
        <v>0</v>
      </c>
      <c r="U1133" s="8" t="b">
        <v>0</v>
      </c>
      <c r="V1133" s="8" t="b">
        <v>1</v>
      </c>
      <c r="X1133" s="8" t="b">
        <v>0</v>
      </c>
      <c r="Y1133" s="8" t="b">
        <v>0</v>
      </c>
      <c r="Z1133" s="8" t="b">
        <v>0</v>
      </c>
      <c r="AA1133" s="8" t="b">
        <v>0</v>
      </c>
      <c r="AB1133" s="8" t="b">
        <v>0</v>
      </c>
      <c r="AC1133" s="8" t="b">
        <v>1</v>
      </c>
      <c r="AD1133" s="8" t="b">
        <v>0</v>
      </c>
      <c r="AE1133" s="8" t="b">
        <v>0</v>
      </c>
      <c r="AG1133" s="11" t="b" cm="1">
        <f t="array" ref="AG1133">IF(OR(Y1133:AA1133="TRUE", AE1133="true"), "Threatened")</f>
        <v>0</v>
      </c>
      <c r="AH1133" s="11" t="s">
        <v>3062</v>
      </c>
      <c r="AI1133" s="8" t="b">
        <v>1</v>
      </c>
    </row>
    <row r="1134" spans="1:35" ht="31.2">
      <c r="A1134" s="8">
        <v>-73.971255060000004</v>
      </c>
      <c r="B1134" s="8">
        <v>40.776427349999999</v>
      </c>
      <c r="C1134" s="8" t="s">
        <v>3063</v>
      </c>
      <c r="D1134" s="8" t="s">
        <v>426</v>
      </c>
      <c r="E1134" s="8" t="b">
        <f t="shared" si="17"/>
        <v>0</v>
      </c>
      <c r="F1134" s="8" t="str" cm="1">
        <f t="array" ref="F1134">_xlfn._xlws.FILTER(E1134:E4332, C1134:C4332= "6D-PM-1020-01", "No Squirrels Found")</f>
        <v>No Squirrels Found</v>
      </c>
      <c r="G1134" s="8" t="s">
        <v>34</v>
      </c>
      <c r="H1134" s="10">
        <v>10182018</v>
      </c>
      <c r="I1134" s="10">
        <v>6</v>
      </c>
      <c r="J1134" s="8" t="s">
        <v>39</v>
      </c>
      <c r="K1134" s="8" t="s">
        <v>40</v>
      </c>
      <c r="L1134" s="8" t="s">
        <v>84</v>
      </c>
      <c r="M1134" s="8" t="s">
        <v>103</v>
      </c>
      <c r="O1134" s="8" t="s">
        <v>50</v>
      </c>
      <c r="P1134" s="8">
        <v>10</v>
      </c>
      <c r="R1134" s="8" t="b">
        <v>0</v>
      </c>
      <c r="S1134" s="8" t="b">
        <v>0</v>
      </c>
      <c r="T1134" s="8" t="b">
        <v>1</v>
      </c>
      <c r="U1134" s="8" t="b">
        <v>0</v>
      </c>
      <c r="V1134" s="8" t="b">
        <v>0</v>
      </c>
      <c r="W1134" s="11" t="s">
        <v>3064</v>
      </c>
      <c r="X1134" s="8" t="b">
        <v>0</v>
      </c>
      <c r="Y1134" s="8" t="b">
        <v>0</v>
      </c>
      <c r="Z1134" s="8" t="b">
        <v>0</v>
      </c>
      <c r="AA1134" s="8" t="b">
        <v>0</v>
      </c>
      <c r="AB1134" s="8" t="b">
        <v>0</v>
      </c>
      <c r="AC1134" s="8" t="b">
        <v>0</v>
      </c>
      <c r="AD1134" s="8" t="b">
        <v>1</v>
      </c>
      <c r="AE1134" s="8" t="b">
        <v>0</v>
      </c>
      <c r="AG1134" s="11" t="b" cm="1">
        <f t="array" ref="AG1134">IF(OR(Y1134:AA1134="TRUE", AE1134="true"), "Threatened")</f>
        <v>0</v>
      </c>
      <c r="AH1134" s="11" t="s">
        <v>3065</v>
      </c>
      <c r="AI1134" s="8" t="b">
        <v>0</v>
      </c>
    </row>
    <row r="1135" spans="1:35" ht="31.2">
      <c r="A1135" s="8">
        <v>-73.971699549999997</v>
      </c>
      <c r="B1135" s="8">
        <v>40.779767130000003</v>
      </c>
      <c r="C1135" s="8" t="s">
        <v>3066</v>
      </c>
      <c r="D1135" s="8" t="s">
        <v>1637</v>
      </c>
      <c r="E1135" s="8" t="b">
        <f t="shared" si="17"/>
        <v>0</v>
      </c>
      <c r="F1135" s="8" t="str" cm="1">
        <f t="array" ref="F1135">_xlfn._xlws.FILTER(E1135:E4333, C1135:C4333= "6D-PM-1020-01", "No Squirrels Found")</f>
        <v>No Squirrels Found</v>
      </c>
      <c r="G1135" s="8" t="s">
        <v>48</v>
      </c>
      <c r="H1135" s="10">
        <v>10142018</v>
      </c>
      <c r="I1135" s="10">
        <v>2</v>
      </c>
      <c r="J1135" s="8" t="s">
        <v>39</v>
      </c>
      <c r="K1135" s="8" t="s">
        <v>40</v>
      </c>
      <c r="L1135" s="8" t="s">
        <v>41</v>
      </c>
      <c r="M1135" s="8" t="s">
        <v>42</v>
      </c>
      <c r="O1135" s="8" t="s">
        <v>43</v>
      </c>
      <c r="P1135" s="8" t="b">
        <v>0</v>
      </c>
      <c r="R1135" s="8" t="b">
        <v>0</v>
      </c>
      <c r="S1135" s="8" t="b">
        <v>0</v>
      </c>
      <c r="T1135" s="8" t="b">
        <v>0</v>
      </c>
      <c r="U1135" s="8" t="b">
        <v>0</v>
      </c>
      <c r="V1135" s="8" t="b">
        <v>1</v>
      </c>
      <c r="X1135" s="8" t="b">
        <v>0</v>
      </c>
      <c r="Y1135" s="8" t="b">
        <v>0</v>
      </c>
      <c r="Z1135" s="8" t="b">
        <v>0</v>
      </c>
      <c r="AA1135" s="8" t="b">
        <v>0</v>
      </c>
      <c r="AB1135" s="8" t="b">
        <v>0</v>
      </c>
      <c r="AC1135" s="8" t="b">
        <v>0</v>
      </c>
      <c r="AD1135" s="8" t="b">
        <v>0</v>
      </c>
      <c r="AE1135" s="8" t="b">
        <v>1</v>
      </c>
      <c r="AG1135" s="11" t="b" cm="1">
        <f t="array" ref="AG1135">IF(OR(Y1135:AA1135="TRUE", AE1135="true"), "Threatened")</f>
        <v>0</v>
      </c>
      <c r="AH1135" s="11" t="s">
        <v>3067</v>
      </c>
      <c r="AI1135" s="8" t="b">
        <v>1</v>
      </c>
    </row>
    <row r="1136" spans="1:35" ht="31.2">
      <c r="A1136" s="8">
        <v>-73.96674745</v>
      </c>
      <c r="B1136" s="8">
        <v>40.77606437</v>
      </c>
      <c r="C1136" s="8" t="s">
        <v>3068</v>
      </c>
      <c r="D1136" s="8" t="s">
        <v>672</v>
      </c>
      <c r="E1136" s="8" t="b">
        <f t="shared" si="17"/>
        <v>0</v>
      </c>
      <c r="F1136" s="8" t="str" cm="1">
        <f t="array" ref="F1136">_xlfn._xlws.FILTER(E1136:E4334, C1136:C4334= "6D-PM-1020-01", "No Squirrels Found")</f>
        <v>No Squirrels Found</v>
      </c>
      <c r="G1136" s="8" t="s">
        <v>34</v>
      </c>
      <c r="H1136" s="10">
        <v>10082018</v>
      </c>
      <c r="I1136" s="10">
        <v>1</v>
      </c>
      <c r="J1136" s="8" t="s">
        <v>39</v>
      </c>
      <c r="K1136" s="8" t="s">
        <v>41</v>
      </c>
      <c r="L1136" s="8" t="s">
        <v>40</v>
      </c>
      <c r="M1136" s="8" t="s">
        <v>110</v>
      </c>
      <c r="O1136" s="8" t="s">
        <v>50</v>
      </c>
      <c r="P1136" s="8">
        <v>10</v>
      </c>
      <c r="Q1136" s="8" t="s">
        <v>3069</v>
      </c>
      <c r="R1136" s="8" t="b">
        <v>0</v>
      </c>
      <c r="S1136" s="8" t="b">
        <v>1</v>
      </c>
      <c r="T1136" s="8" t="b">
        <v>0</v>
      </c>
      <c r="U1136" s="8" t="b">
        <v>0</v>
      </c>
      <c r="V1136" s="8" t="b">
        <v>0</v>
      </c>
      <c r="W1136" s="11" t="s">
        <v>498</v>
      </c>
      <c r="X1136" s="8" t="b">
        <v>0</v>
      </c>
      <c r="Y1136" s="8" t="b">
        <v>1</v>
      </c>
      <c r="Z1136" s="8" t="b">
        <v>0</v>
      </c>
      <c r="AA1136" s="8" t="b">
        <v>1</v>
      </c>
      <c r="AB1136" s="8" t="b">
        <v>0</v>
      </c>
      <c r="AC1136" s="8" t="b">
        <v>0</v>
      </c>
      <c r="AD1136" s="8" t="b">
        <v>0</v>
      </c>
      <c r="AE1136" s="8" t="b">
        <v>0</v>
      </c>
      <c r="AF1136" s="11" t="s">
        <v>3070</v>
      </c>
      <c r="AG1136" s="11" t="b" cm="1">
        <f t="array" ref="AG1136">IF(OR(Y1136:AA1136="TRUE", AE1136="true"), "Threatened")</f>
        <v>0</v>
      </c>
      <c r="AH1136" s="11" t="s">
        <v>3071</v>
      </c>
      <c r="AI1136" s="8" t="b">
        <v>0</v>
      </c>
    </row>
    <row r="1137" spans="1:35" ht="31.2">
      <c r="A1137" s="8">
        <v>-73.951590780000004</v>
      </c>
      <c r="B1137" s="8">
        <v>40.795268419999999</v>
      </c>
      <c r="C1137" s="8" t="s">
        <v>3072</v>
      </c>
      <c r="D1137" s="8" t="s">
        <v>3073</v>
      </c>
      <c r="E1137" s="8" t="b">
        <f t="shared" si="17"/>
        <v>0</v>
      </c>
      <c r="F1137" s="8" t="str" cm="1">
        <f t="array" ref="F1137">_xlfn._xlws.FILTER(E1137:E4335, C1137:C4335= "6D-PM-1020-01", "No Squirrels Found")</f>
        <v>No Squirrels Found</v>
      </c>
      <c r="G1137" s="8" t="s">
        <v>48</v>
      </c>
      <c r="H1137" s="10">
        <v>10172018</v>
      </c>
      <c r="I1137" s="10">
        <v>2</v>
      </c>
      <c r="J1137" s="8" t="s">
        <v>39</v>
      </c>
      <c r="K1137" s="8" t="s">
        <v>40</v>
      </c>
      <c r="M1137" s="8" t="s">
        <v>55</v>
      </c>
      <c r="O1137" s="8" t="s">
        <v>43</v>
      </c>
      <c r="P1137" s="8" t="b">
        <v>0</v>
      </c>
      <c r="R1137" s="8" t="b">
        <v>0</v>
      </c>
      <c r="S1137" s="8" t="b">
        <v>0</v>
      </c>
      <c r="T1137" s="8" t="b">
        <v>0</v>
      </c>
      <c r="U1137" s="8" t="b">
        <v>0</v>
      </c>
      <c r="V1137" s="8" t="b">
        <v>1</v>
      </c>
      <c r="X1137" s="8" t="b">
        <v>0</v>
      </c>
      <c r="Y1137" s="8" t="b">
        <v>0</v>
      </c>
      <c r="Z1137" s="8" t="b">
        <v>0</v>
      </c>
      <c r="AA1137" s="8" t="b">
        <v>0</v>
      </c>
      <c r="AB1137" s="8" t="b">
        <v>0</v>
      </c>
      <c r="AC1137" s="8" t="b">
        <v>0</v>
      </c>
      <c r="AD1137" s="8" t="b">
        <v>1</v>
      </c>
      <c r="AE1137" s="8" t="b">
        <v>0</v>
      </c>
      <c r="AG1137" s="11" t="b" cm="1">
        <f t="array" ref="AG1137">IF(OR(Y1137:AA1137="TRUE", AE1137="true"), "Threatened")</f>
        <v>0</v>
      </c>
      <c r="AH1137" s="11" t="s">
        <v>3074</v>
      </c>
      <c r="AI1137" s="8" t="b">
        <v>1</v>
      </c>
    </row>
    <row r="1138" spans="1:35" ht="31.2">
      <c r="A1138" s="8">
        <v>-73.952027999999999</v>
      </c>
      <c r="B1138" s="8">
        <v>40.794634500000001</v>
      </c>
      <c r="C1138" s="8" t="s">
        <v>3075</v>
      </c>
      <c r="D1138" s="8" t="s">
        <v>3076</v>
      </c>
      <c r="E1138" s="8" t="b">
        <f t="shared" si="17"/>
        <v>0</v>
      </c>
      <c r="F1138" s="8" t="str" cm="1">
        <f t="array" ref="F1138">_xlfn._xlws.FILTER(E1138:E4336, C1138:C4336= "6D-PM-1020-01", "No Squirrels Found")</f>
        <v>No Squirrels Found</v>
      </c>
      <c r="G1138" s="8" t="s">
        <v>34</v>
      </c>
      <c r="H1138" s="10">
        <v>10132018</v>
      </c>
      <c r="I1138" s="10">
        <v>3</v>
      </c>
      <c r="J1138" s="8" t="s">
        <v>39</v>
      </c>
      <c r="K1138" s="8" t="s">
        <v>40</v>
      </c>
      <c r="M1138" s="8" t="s">
        <v>55</v>
      </c>
      <c r="O1138" s="8" t="s">
        <v>43</v>
      </c>
      <c r="P1138" s="8" t="b">
        <v>0</v>
      </c>
      <c r="R1138" s="8" t="b">
        <v>0</v>
      </c>
      <c r="S1138" s="8" t="b">
        <v>0</v>
      </c>
      <c r="T1138" s="8" t="b">
        <v>0</v>
      </c>
      <c r="U1138" s="8" t="b">
        <v>0</v>
      </c>
      <c r="V1138" s="8" t="b">
        <v>0</v>
      </c>
      <c r="W1138" s="11" t="s">
        <v>1369</v>
      </c>
      <c r="X1138" s="8" t="b">
        <v>0</v>
      </c>
      <c r="Y1138" s="8" t="b">
        <v>0</v>
      </c>
      <c r="Z1138" s="8" t="b">
        <v>0</v>
      </c>
      <c r="AA1138" s="8" t="b">
        <v>0</v>
      </c>
      <c r="AB1138" s="8" t="b">
        <v>0</v>
      </c>
      <c r="AC1138" s="8" t="b">
        <v>1</v>
      </c>
      <c r="AD1138" s="8" t="b">
        <v>0</v>
      </c>
      <c r="AE1138" s="8" t="b">
        <v>0</v>
      </c>
      <c r="AG1138" s="11" t="b" cm="1">
        <f t="array" ref="AG1138">IF(OR(Y1138:AA1138="TRUE", AE1138="true"), "Threatened")</f>
        <v>0</v>
      </c>
      <c r="AH1138" s="11" t="s">
        <v>3077</v>
      </c>
      <c r="AI1138" s="8" t="b">
        <v>0</v>
      </c>
    </row>
    <row r="1139" spans="1:35" ht="31.2">
      <c r="A1139" s="8">
        <v>-73.9594357</v>
      </c>
      <c r="B1139" s="8">
        <v>40.784067890000003</v>
      </c>
      <c r="C1139" s="8" t="s">
        <v>3078</v>
      </c>
      <c r="D1139" s="8" t="s">
        <v>2570</v>
      </c>
      <c r="E1139" s="8" t="b">
        <f t="shared" si="17"/>
        <v>0</v>
      </c>
      <c r="F1139" s="8" t="str" cm="1">
        <f t="array" ref="F1139">_xlfn._xlws.FILTER(E1139:E4337, C1139:C4337= "6D-PM-1020-01", "No Squirrels Found")</f>
        <v>No Squirrels Found</v>
      </c>
      <c r="G1139" s="8" t="s">
        <v>48</v>
      </c>
      <c r="H1139" s="10">
        <v>10122018</v>
      </c>
      <c r="I1139" s="10">
        <v>1</v>
      </c>
      <c r="J1139" s="8" t="s">
        <v>39</v>
      </c>
      <c r="K1139" s="8" t="s">
        <v>41</v>
      </c>
      <c r="M1139" s="8" t="s">
        <v>49</v>
      </c>
      <c r="O1139" s="8" t="s">
        <v>50</v>
      </c>
      <c r="P1139" s="8">
        <v>4</v>
      </c>
      <c r="Q1139" s="8" t="s">
        <v>3079</v>
      </c>
      <c r="R1139" s="8" t="b">
        <v>0</v>
      </c>
      <c r="S1139" s="8" t="b">
        <v>0</v>
      </c>
      <c r="T1139" s="8" t="b">
        <v>0</v>
      </c>
      <c r="U1139" s="8" t="b">
        <v>1</v>
      </c>
      <c r="V1139" s="8" t="b">
        <v>0</v>
      </c>
      <c r="X1139" s="8" t="b">
        <v>0</v>
      </c>
      <c r="Y1139" s="8" t="b">
        <v>0</v>
      </c>
      <c r="Z1139" s="8" t="b">
        <v>0</v>
      </c>
      <c r="AA1139" s="8" t="b">
        <v>1</v>
      </c>
      <c r="AB1139" s="8" t="b">
        <v>1</v>
      </c>
      <c r="AC1139" s="8" t="b">
        <v>1</v>
      </c>
      <c r="AD1139" s="8" t="b">
        <v>0</v>
      </c>
      <c r="AE1139" s="8" t="b">
        <v>0</v>
      </c>
      <c r="AG1139" s="11" t="b" cm="1">
        <f t="array" ref="AG1139">IF(OR(Y1139:AA1139="TRUE", AE1139="true"), "Threatened")</f>
        <v>0</v>
      </c>
      <c r="AH1139" s="11" t="s">
        <v>3080</v>
      </c>
      <c r="AI1139" s="8" t="b">
        <v>1</v>
      </c>
    </row>
    <row r="1140" spans="1:35" ht="31.2">
      <c r="A1140" s="8">
        <v>-73.971627150000003</v>
      </c>
      <c r="B1140" s="8">
        <v>40.77964626</v>
      </c>
      <c r="C1140" s="8" t="s">
        <v>3081</v>
      </c>
      <c r="D1140" s="8" t="s">
        <v>1637</v>
      </c>
      <c r="E1140" s="8" t="b">
        <f t="shared" si="17"/>
        <v>0</v>
      </c>
      <c r="F1140" s="8" t="str" cm="1">
        <f t="array" ref="F1140">_xlfn._xlws.FILTER(E1140:E4338, C1140:C4338= "6D-PM-1020-01", "No Squirrels Found")</f>
        <v>No Squirrels Found</v>
      </c>
      <c r="G1140" s="8" t="s">
        <v>34</v>
      </c>
      <c r="H1140" s="10">
        <v>10172018</v>
      </c>
      <c r="I1140" s="10">
        <v>2</v>
      </c>
      <c r="J1140" s="8" t="s">
        <v>39</v>
      </c>
      <c r="K1140" s="8" t="s">
        <v>40</v>
      </c>
      <c r="L1140" s="8" t="s">
        <v>84</v>
      </c>
      <c r="M1140" s="8" t="s">
        <v>103</v>
      </c>
      <c r="O1140" s="8" t="s">
        <v>43</v>
      </c>
      <c r="P1140" s="8" t="b">
        <v>0</v>
      </c>
      <c r="R1140" s="8" t="b">
        <v>1</v>
      </c>
      <c r="S1140" s="8" t="b">
        <v>1</v>
      </c>
      <c r="T1140" s="8" t="b">
        <v>0</v>
      </c>
      <c r="U1140" s="8" t="b">
        <v>1</v>
      </c>
      <c r="V1140" s="8" t="b">
        <v>0</v>
      </c>
      <c r="X1140" s="8" t="b">
        <v>0</v>
      </c>
      <c r="Y1140" s="8" t="b">
        <v>0</v>
      </c>
      <c r="Z1140" s="8" t="b">
        <v>0</v>
      </c>
      <c r="AA1140" s="8" t="b">
        <v>0</v>
      </c>
      <c r="AB1140" s="8" t="b">
        <v>0</v>
      </c>
      <c r="AC1140" s="8" t="b">
        <v>0</v>
      </c>
      <c r="AD1140" s="8" t="b">
        <v>1</v>
      </c>
      <c r="AE1140" s="8" t="b">
        <v>0</v>
      </c>
      <c r="AG1140" s="11" t="b" cm="1">
        <f t="array" ref="AG1140">IF(OR(Y1140:AA1140="TRUE", AE1140="true"), "Threatened")</f>
        <v>0</v>
      </c>
      <c r="AH1140" s="11" t="s">
        <v>3082</v>
      </c>
      <c r="AI1140" s="8" t="b">
        <v>1</v>
      </c>
    </row>
    <row r="1141" spans="1:35" ht="31.2">
      <c r="A1141" s="8">
        <v>-73.961581789999997</v>
      </c>
      <c r="B1141" s="8">
        <v>40.794583969999998</v>
      </c>
      <c r="C1141" s="8" t="s">
        <v>3083</v>
      </c>
      <c r="D1141" s="8" t="s">
        <v>301</v>
      </c>
      <c r="E1141" s="8" t="b">
        <f t="shared" si="17"/>
        <v>0</v>
      </c>
      <c r="F1141" s="8" t="str" cm="1">
        <f t="array" ref="F1141">_xlfn._xlws.FILTER(E1141:E4339, C1141:C4339= "6D-PM-1020-01", "No Squirrels Found")</f>
        <v>No Squirrels Found</v>
      </c>
      <c r="G1141" s="8" t="s">
        <v>48</v>
      </c>
      <c r="H1141" s="10">
        <v>10142018</v>
      </c>
      <c r="I1141" s="10">
        <v>8</v>
      </c>
      <c r="J1141" s="8" t="s">
        <v>39</v>
      </c>
      <c r="K1141" s="8" t="s">
        <v>41</v>
      </c>
      <c r="L1141" s="8" t="s">
        <v>84</v>
      </c>
      <c r="M1141" s="8" t="s">
        <v>85</v>
      </c>
      <c r="O1141" s="8" t="s">
        <v>43</v>
      </c>
      <c r="P1141" s="8" t="b">
        <v>0</v>
      </c>
      <c r="R1141" s="8" t="b">
        <v>0</v>
      </c>
      <c r="S1141" s="8" t="b">
        <v>0</v>
      </c>
      <c r="T1141" s="8" t="b">
        <v>1</v>
      </c>
      <c r="U1141" s="8" t="b">
        <v>0</v>
      </c>
      <c r="V1141" s="8" t="b">
        <v>0</v>
      </c>
      <c r="X1141" s="8" t="b">
        <v>0</v>
      </c>
      <c r="Y1141" s="8" t="b">
        <v>0</v>
      </c>
      <c r="Z1141" s="8" t="b">
        <v>0</v>
      </c>
      <c r="AA1141" s="8" t="b">
        <v>0</v>
      </c>
      <c r="AB1141" s="8" t="b">
        <v>0</v>
      </c>
      <c r="AC1141" s="8" t="b">
        <v>0</v>
      </c>
      <c r="AD1141" s="8" t="b">
        <v>1</v>
      </c>
      <c r="AE1141" s="8" t="b">
        <v>0</v>
      </c>
      <c r="AG1141" s="11" t="b" cm="1">
        <f t="array" ref="AG1141">IF(OR(Y1141:AA1141="TRUE", AE1141="true"), "Threatened")</f>
        <v>0</v>
      </c>
      <c r="AH1141" s="11" t="s">
        <v>3084</v>
      </c>
      <c r="AI1141" s="8" t="b">
        <v>1</v>
      </c>
    </row>
    <row r="1142" spans="1:35" ht="31.2">
      <c r="A1142" s="8">
        <v>-73.966466940000004</v>
      </c>
      <c r="B1142" s="8">
        <v>40.777408540000003</v>
      </c>
      <c r="C1142" s="8" t="s">
        <v>3085</v>
      </c>
      <c r="D1142" s="8" t="s">
        <v>296</v>
      </c>
      <c r="E1142" s="8" t="b">
        <f t="shared" si="17"/>
        <v>0</v>
      </c>
      <c r="F1142" s="8" t="str" cm="1">
        <f t="array" ref="F1142">_xlfn._xlws.FILTER(E1142:E4340, C1142:C4340= "6D-PM-1020-01", "No Squirrels Found")</f>
        <v>No Squirrels Found</v>
      </c>
      <c r="G1142" s="8" t="s">
        <v>48</v>
      </c>
      <c r="H1142" s="10">
        <v>10102018</v>
      </c>
      <c r="I1142" s="10">
        <v>5</v>
      </c>
      <c r="J1142" s="8" t="s">
        <v>39</v>
      </c>
      <c r="K1142" s="8" t="s">
        <v>40</v>
      </c>
      <c r="L1142" s="8" t="s">
        <v>84</v>
      </c>
      <c r="M1142" s="8" t="s">
        <v>103</v>
      </c>
      <c r="O1142" s="8" t="s">
        <v>43</v>
      </c>
      <c r="P1142" s="8" t="b">
        <v>0</v>
      </c>
      <c r="R1142" s="8" t="b">
        <v>1</v>
      </c>
      <c r="S1142" s="8" t="b">
        <v>0</v>
      </c>
      <c r="T1142" s="8" t="b">
        <v>0</v>
      </c>
      <c r="U1142" s="8" t="b">
        <v>0</v>
      </c>
      <c r="V1142" s="8" t="b">
        <v>0</v>
      </c>
      <c r="X1142" s="8" t="b">
        <v>0</v>
      </c>
      <c r="Y1142" s="8" t="b">
        <v>0</v>
      </c>
      <c r="Z1142" s="8" t="b">
        <v>0</v>
      </c>
      <c r="AA1142" s="8" t="b">
        <v>0</v>
      </c>
      <c r="AB1142" s="8" t="b">
        <v>0</v>
      </c>
      <c r="AC1142" s="8" t="b">
        <v>0</v>
      </c>
      <c r="AD1142" s="8" t="b">
        <v>1</v>
      </c>
      <c r="AE1142" s="8" t="b">
        <v>0</v>
      </c>
      <c r="AG1142" s="11" t="b" cm="1">
        <f t="array" ref="AG1142">IF(OR(Y1142:AA1142="TRUE", AE1142="true"), "Threatened")</f>
        <v>0</v>
      </c>
      <c r="AH1142" s="11" t="s">
        <v>3086</v>
      </c>
      <c r="AI1142" s="8" t="b">
        <v>1</v>
      </c>
    </row>
    <row r="1143" spans="1:35" ht="31.2">
      <c r="A1143" s="8">
        <v>-73.976580560000002</v>
      </c>
      <c r="B1143" s="8">
        <v>40.769280780000003</v>
      </c>
      <c r="C1143" s="8" t="s">
        <v>3087</v>
      </c>
      <c r="D1143" s="8" t="s">
        <v>544</v>
      </c>
      <c r="E1143" s="8" t="b">
        <f t="shared" si="17"/>
        <v>0</v>
      </c>
      <c r="F1143" s="8" t="str" cm="1">
        <f t="array" ref="F1143">_xlfn._xlws.FILTER(E1143:E4341, C1143:C4341= "6D-PM-1020-01", "No Squirrels Found")</f>
        <v>No Squirrels Found</v>
      </c>
      <c r="G1143" s="8" t="s">
        <v>34</v>
      </c>
      <c r="H1143" s="10">
        <v>10082018</v>
      </c>
      <c r="I1143" s="10">
        <v>7</v>
      </c>
      <c r="J1143" s="8" t="s">
        <v>39</v>
      </c>
      <c r="K1143" s="8" t="s">
        <v>41</v>
      </c>
      <c r="L1143" s="8" t="s">
        <v>135</v>
      </c>
      <c r="M1143" s="8" t="s">
        <v>136</v>
      </c>
      <c r="O1143" s="8" t="s">
        <v>43</v>
      </c>
      <c r="P1143" s="8" t="b">
        <v>0</v>
      </c>
      <c r="Q1143" s="8" t="s">
        <v>3088</v>
      </c>
      <c r="R1143" s="8" t="b">
        <v>1</v>
      </c>
      <c r="S1143" s="8" t="b">
        <v>1</v>
      </c>
      <c r="T1143" s="8" t="b">
        <v>0</v>
      </c>
      <c r="U1143" s="8" t="b">
        <v>0</v>
      </c>
      <c r="V1143" s="8" t="b">
        <v>0</v>
      </c>
      <c r="X1143" s="8" t="b">
        <v>0</v>
      </c>
      <c r="Y1143" s="8" t="b">
        <v>0</v>
      </c>
      <c r="Z1143" s="8" t="b">
        <v>0</v>
      </c>
      <c r="AA1143" s="8" t="b">
        <v>0</v>
      </c>
      <c r="AB1143" s="8" t="b">
        <v>0</v>
      </c>
      <c r="AC1143" s="8" t="b">
        <v>0</v>
      </c>
      <c r="AD1143" s="8" t="b">
        <v>1</v>
      </c>
      <c r="AE1143" s="8" t="b">
        <v>0</v>
      </c>
      <c r="AG1143" s="11" t="b" cm="1">
        <f t="array" ref="AG1143">IF(OR(Y1143:AA1143="TRUE", AE1143="true"), "Threatened")</f>
        <v>0</v>
      </c>
      <c r="AH1143" s="11" t="s">
        <v>3089</v>
      </c>
      <c r="AI1143" s="8" t="b">
        <v>1</v>
      </c>
    </row>
    <row r="1144" spans="1:35" ht="31.2">
      <c r="A1144" s="8">
        <v>-73.962834979999997</v>
      </c>
      <c r="B1144" s="8">
        <v>40.793887009999999</v>
      </c>
      <c r="C1144" s="8" t="s">
        <v>3090</v>
      </c>
      <c r="D1144" s="8" t="s">
        <v>2657</v>
      </c>
      <c r="E1144" s="8" t="b">
        <f t="shared" si="17"/>
        <v>0</v>
      </c>
      <c r="F1144" s="8" t="str" cm="1">
        <f t="array" ref="F1144">_xlfn._xlws.FILTER(E1144:E4342, C1144:C4342= "6D-PM-1020-01", "No Squirrels Found")</f>
        <v>No Squirrels Found</v>
      </c>
      <c r="G1144" s="8" t="s">
        <v>34</v>
      </c>
      <c r="H1144" s="10">
        <v>10132018</v>
      </c>
      <c r="I1144" s="10">
        <v>3</v>
      </c>
      <c r="J1144" s="8" t="s">
        <v>39</v>
      </c>
      <c r="K1144" s="8" t="s">
        <v>40</v>
      </c>
      <c r="L1144" s="8" t="s">
        <v>41</v>
      </c>
      <c r="M1144" s="8" t="s">
        <v>42</v>
      </c>
      <c r="O1144" s="8" t="s">
        <v>43</v>
      </c>
      <c r="P1144" s="8" t="b">
        <v>0</v>
      </c>
      <c r="R1144" s="8" t="b">
        <v>0</v>
      </c>
      <c r="S1144" s="8" t="b">
        <v>1</v>
      </c>
      <c r="T1144" s="8" t="b">
        <v>0</v>
      </c>
      <c r="U1144" s="8" t="b">
        <v>0</v>
      </c>
      <c r="V1144" s="8" t="b">
        <v>1</v>
      </c>
      <c r="X1144" s="8" t="b">
        <v>0</v>
      </c>
      <c r="Y1144" s="8" t="b">
        <v>0</v>
      </c>
      <c r="Z1144" s="8" t="b">
        <v>0</v>
      </c>
      <c r="AA1144" s="8" t="b">
        <v>0</v>
      </c>
      <c r="AB1144" s="8" t="b">
        <v>0</v>
      </c>
      <c r="AC1144" s="8" t="b">
        <v>0</v>
      </c>
      <c r="AD1144" s="8" t="b">
        <v>0</v>
      </c>
      <c r="AE1144" s="8" t="b">
        <v>0</v>
      </c>
      <c r="AG1144" s="11" t="b" cm="1">
        <f t="array" ref="AG1144">IF(OR(Y1144:AA1144="TRUE", AE1144="true"), "Threatened")</f>
        <v>0</v>
      </c>
      <c r="AH1144" s="11" t="s">
        <v>3091</v>
      </c>
      <c r="AI1144" s="8" t="b">
        <v>1</v>
      </c>
    </row>
    <row r="1145" spans="1:35" ht="31.2">
      <c r="A1145" s="8">
        <v>-73.97431847</v>
      </c>
      <c r="B1145" s="8">
        <v>40.766793300000003</v>
      </c>
      <c r="C1145" s="8" t="s">
        <v>3092</v>
      </c>
      <c r="D1145" s="8" t="s">
        <v>669</v>
      </c>
      <c r="E1145" s="8" t="b">
        <f t="shared" si="17"/>
        <v>0</v>
      </c>
      <c r="F1145" s="8" t="str" cm="1">
        <f t="array" ref="F1145">_xlfn._xlws.FILTER(E1145:E4343, C1145:C4343= "6D-PM-1020-01", "No Squirrels Found")</f>
        <v>No Squirrels Found</v>
      </c>
      <c r="G1145" s="8" t="s">
        <v>48</v>
      </c>
      <c r="H1145" s="10">
        <v>10082018</v>
      </c>
      <c r="I1145" s="10">
        <v>1</v>
      </c>
      <c r="J1145" s="8" t="s">
        <v>39</v>
      </c>
      <c r="K1145" s="8" t="s">
        <v>40</v>
      </c>
      <c r="M1145" s="8" t="s">
        <v>55</v>
      </c>
      <c r="O1145" s="8" t="s">
        <v>50</v>
      </c>
      <c r="P1145" s="8">
        <v>30</v>
      </c>
      <c r="R1145" s="8" t="b">
        <v>0</v>
      </c>
      <c r="S1145" s="8" t="b">
        <v>0</v>
      </c>
      <c r="T1145" s="8" t="b">
        <v>1</v>
      </c>
      <c r="U1145" s="8" t="b">
        <v>0</v>
      </c>
      <c r="V1145" s="8" t="b">
        <v>0</v>
      </c>
      <c r="X1145" s="8" t="b">
        <v>1</v>
      </c>
      <c r="Y1145" s="8" t="b">
        <v>0</v>
      </c>
      <c r="Z1145" s="8" t="b">
        <v>0</v>
      </c>
      <c r="AA1145" s="8" t="b">
        <v>0</v>
      </c>
      <c r="AB1145" s="8" t="b">
        <v>0</v>
      </c>
      <c r="AC1145" s="8" t="b">
        <v>0</v>
      </c>
      <c r="AD1145" s="8" t="b">
        <v>0</v>
      </c>
      <c r="AE1145" s="8" t="b">
        <v>0</v>
      </c>
      <c r="AG1145" s="11" t="b" cm="1">
        <f t="array" ref="AG1145">IF(OR(Y1145:AA1145="TRUE", AE1145="true"), "Threatened")</f>
        <v>0</v>
      </c>
      <c r="AH1145" s="11" t="s">
        <v>3093</v>
      </c>
      <c r="AI1145" s="8" t="b">
        <v>1</v>
      </c>
    </row>
    <row r="1146" spans="1:35" ht="31.2">
      <c r="A1146" s="8">
        <v>-73.961144630000007</v>
      </c>
      <c r="B1146" s="8">
        <v>40.79110034</v>
      </c>
      <c r="C1146" s="8" t="s">
        <v>3094</v>
      </c>
      <c r="D1146" s="8" t="s">
        <v>309</v>
      </c>
      <c r="E1146" s="8" t="b">
        <f t="shared" si="17"/>
        <v>0</v>
      </c>
      <c r="F1146" s="8" t="str" cm="1">
        <f t="array" ref="F1146">_xlfn._xlws.FILTER(E1146:E4344, C1146:C4344= "6D-PM-1020-01", "No Squirrels Found")</f>
        <v>No Squirrels Found</v>
      </c>
      <c r="G1146" s="8" t="s">
        <v>48</v>
      </c>
      <c r="H1146" s="10">
        <v>10132018</v>
      </c>
      <c r="I1146" s="10">
        <v>3</v>
      </c>
      <c r="J1146" s="8" t="s">
        <v>39</v>
      </c>
      <c r="K1146" s="8" t="s">
        <v>41</v>
      </c>
      <c r="L1146" s="8" t="s">
        <v>40</v>
      </c>
      <c r="M1146" s="8" t="s">
        <v>110</v>
      </c>
      <c r="O1146" s="8" t="s">
        <v>50</v>
      </c>
      <c r="P1146" s="8">
        <v>15</v>
      </c>
      <c r="R1146" s="8" t="b">
        <v>0</v>
      </c>
      <c r="S1146" s="8" t="b">
        <v>0</v>
      </c>
      <c r="T1146" s="8" t="b">
        <v>1</v>
      </c>
      <c r="U1146" s="8" t="b">
        <v>0</v>
      </c>
      <c r="V1146" s="8" t="b">
        <v>0</v>
      </c>
      <c r="X1146" s="8" t="b">
        <v>0</v>
      </c>
      <c r="Y1146" s="8" t="b">
        <v>0</v>
      </c>
      <c r="Z1146" s="8" t="b">
        <v>0</v>
      </c>
      <c r="AA1146" s="8" t="b">
        <v>0</v>
      </c>
      <c r="AB1146" s="8" t="b">
        <v>0</v>
      </c>
      <c r="AC1146" s="8" t="b">
        <v>0</v>
      </c>
      <c r="AD1146" s="8" t="b">
        <v>1</v>
      </c>
      <c r="AE1146" s="8" t="b">
        <v>0</v>
      </c>
      <c r="AG1146" s="11" t="b" cm="1">
        <f t="array" ref="AG1146">IF(OR(Y1146:AA1146="TRUE", AE1146="true"), "Threatened")</f>
        <v>0</v>
      </c>
      <c r="AH1146" s="11" t="s">
        <v>3095</v>
      </c>
      <c r="AI1146" s="8" t="b">
        <v>1</v>
      </c>
    </row>
    <row r="1147" spans="1:35" ht="31.2">
      <c r="A1147" s="8">
        <v>-73.979436710000002</v>
      </c>
      <c r="B1147" s="8">
        <v>40.767272060000003</v>
      </c>
      <c r="C1147" s="8" t="s">
        <v>3096</v>
      </c>
      <c r="D1147" s="8" t="s">
        <v>1301</v>
      </c>
      <c r="E1147" s="8" t="b">
        <f t="shared" si="17"/>
        <v>0</v>
      </c>
      <c r="F1147" s="8" t="str" cm="1">
        <f t="array" ref="F1147">_xlfn._xlws.FILTER(E1147:E4345, C1147:C4345= "6D-PM-1020-01", "No Squirrels Found")</f>
        <v>No Squirrels Found</v>
      </c>
      <c r="G1147" s="8" t="s">
        <v>34</v>
      </c>
      <c r="H1147" s="10">
        <v>10132018</v>
      </c>
      <c r="I1147" s="10">
        <v>4</v>
      </c>
      <c r="J1147" s="8" t="s">
        <v>39</v>
      </c>
      <c r="K1147" s="8" t="s">
        <v>41</v>
      </c>
      <c r="L1147" s="8" t="s">
        <v>84</v>
      </c>
      <c r="M1147" s="8" t="s">
        <v>85</v>
      </c>
      <c r="O1147" s="8" t="s">
        <v>43</v>
      </c>
      <c r="P1147" s="8" t="b">
        <v>0</v>
      </c>
      <c r="R1147" s="8" t="b">
        <v>0</v>
      </c>
      <c r="S1147" s="8" t="b">
        <v>0</v>
      </c>
      <c r="T1147" s="8" t="b">
        <v>0</v>
      </c>
      <c r="U1147" s="8" t="b">
        <v>0</v>
      </c>
      <c r="V1147" s="8" t="b">
        <v>1</v>
      </c>
      <c r="X1147" s="8" t="b">
        <v>0</v>
      </c>
      <c r="Y1147" s="8" t="b">
        <v>0</v>
      </c>
      <c r="Z1147" s="8" t="b">
        <v>0</v>
      </c>
      <c r="AA1147" s="8" t="b">
        <v>0</v>
      </c>
      <c r="AB1147" s="8" t="b">
        <v>0</v>
      </c>
      <c r="AC1147" s="8" t="b">
        <v>0</v>
      </c>
      <c r="AD1147" s="8" t="b">
        <v>0</v>
      </c>
      <c r="AE1147" s="8" t="b">
        <v>0</v>
      </c>
      <c r="AG1147" s="11" t="b" cm="1">
        <f t="array" ref="AG1147">IF(OR(Y1147:AA1147="TRUE", AE1147="true"), "Threatened")</f>
        <v>0</v>
      </c>
      <c r="AH1147" s="11" t="s">
        <v>3097</v>
      </c>
      <c r="AI1147" s="8" t="b">
        <v>1</v>
      </c>
    </row>
    <row r="1148" spans="1:35" ht="31.2">
      <c r="A1148" s="8">
        <v>-73.963181849999998</v>
      </c>
      <c r="B1148" s="8">
        <v>40.792533220000003</v>
      </c>
      <c r="C1148" s="8" t="s">
        <v>3098</v>
      </c>
      <c r="D1148" s="8" t="s">
        <v>125</v>
      </c>
      <c r="E1148" s="8" t="b">
        <f t="shared" si="17"/>
        <v>0</v>
      </c>
      <c r="F1148" s="8" t="str" cm="1">
        <f t="array" ref="F1148">_xlfn._xlws.FILTER(E1148:E4346, C1148:C4346= "6D-PM-1020-01", "No Squirrels Found")</f>
        <v>No Squirrels Found</v>
      </c>
      <c r="G1148" s="8" t="s">
        <v>48</v>
      </c>
      <c r="H1148" s="10">
        <v>10182018</v>
      </c>
      <c r="I1148" s="10">
        <v>1</v>
      </c>
      <c r="J1148" s="8" t="s">
        <v>39</v>
      </c>
      <c r="K1148" s="8" t="s">
        <v>40</v>
      </c>
      <c r="M1148" s="8" t="s">
        <v>55</v>
      </c>
      <c r="O1148" s="8" t="s">
        <v>50</v>
      </c>
      <c r="P1148" s="8">
        <v>15</v>
      </c>
      <c r="R1148" s="8" t="b">
        <v>1</v>
      </c>
      <c r="S1148" s="8" t="b">
        <v>1</v>
      </c>
      <c r="T1148" s="8" t="b">
        <v>0</v>
      </c>
      <c r="U1148" s="8" t="b">
        <v>0</v>
      </c>
      <c r="V1148" s="8" t="b">
        <v>0</v>
      </c>
      <c r="X1148" s="8" t="b">
        <v>0</v>
      </c>
      <c r="Y1148" s="8" t="b">
        <v>0</v>
      </c>
      <c r="Z1148" s="8" t="b">
        <v>0</v>
      </c>
      <c r="AA1148" s="8" t="b">
        <v>0</v>
      </c>
      <c r="AB1148" s="8" t="b">
        <v>0</v>
      </c>
      <c r="AC1148" s="8" t="b">
        <v>0</v>
      </c>
      <c r="AD1148" s="8" t="b">
        <v>1</v>
      </c>
      <c r="AE1148" s="8" t="b">
        <v>0</v>
      </c>
      <c r="AG1148" s="11" t="b" cm="1">
        <f t="array" ref="AG1148">IF(OR(Y1148:AA1148="TRUE", AE1148="true"), "Threatened")</f>
        <v>0</v>
      </c>
      <c r="AH1148" s="11" t="s">
        <v>3099</v>
      </c>
      <c r="AI1148" s="8" t="b">
        <v>1</v>
      </c>
    </row>
    <row r="1149" spans="1:35" ht="31.2">
      <c r="A1149" s="8">
        <v>-73.970733920000001</v>
      </c>
      <c r="B1149" s="8">
        <v>40.779633339999997</v>
      </c>
      <c r="C1149" s="8" t="s">
        <v>3100</v>
      </c>
      <c r="D1149" s="8" t="s">
        <v>163</v>
      </c>
      <c r="E1149" s="8" t="b">
        <f t="shared" si="17"/>
        <v>0</v>
      </c>
      <c r="F1149" s="8" t="str" cm="1">
        <f t="array" ref="F1149">_xlfn._xlws.FILTER(E1149:E4347, C1149:C4347= "6D-PM-1020-01", "No Squirrels Found")</f>
        <v>No Squirrels Found</v>
      </c>
      <c r="G1149" s="8" t="s">
        <v>34</v>
      </c>
      <c r="H1149" s="10">
        <v>10132018</v>
      </c>
      <c r="I1149" s="10">
        <v>3</v>
      </c>
      <c r="J1149" s="8" t="s">
        <v>39</v>
      </c>
      <c r="K1149" s="8" t="s">
        <v>40</v>
      </c>
      <c r="M1149" s="8" t="s">
        <v>55</v>
      </c>
      <c r="O1149" s="8" t="s">
        <v>50</v>
      </c>
      <c r="P1149" s="8">
        <v>20</v>
      </c>
      <c r="Q1149" s="8" t="s">
        <v>3101</v>
      </c>
      <c r="R1149" s="8" t="b">
        <v>0</v>
      </c>
      <c r="S1149" s="8" t="b">
        <v>0</v>
      </c>
      <c r="T1149" s="8" t="b">
        <v>0</v>
      </c>
      <c r="U1149" s="8" t="b">
        <v>0</v>
      </c>
      <c r="V1149" s="8" t="b">
        <v>0</v>
      </c>
      <c r="X1149" s="8" t="b">
        <v>0</v>
      </c>
      <c r="Y1149" s="8" t="b">
        <v>0</v>
      </c>
      <c r="Z1149" s="8" t="b">
        <v>0</v>
      </c>
      <c r="AA1149" s="8" t="b">
        <v>0</v>
      </c>
      <c r="AB1149" s="8" t="b">
        <v>0</v>
      </c>
      <c r="AC1149" s="8" t="b">
        <v>0</v>
      </c>
      <c r="AD1149" s="8" t="b">
        <v>0</v>
      </c>
      <c r="AE1149" s="8" t="b">
        <v>0</v>
      </c>
      <c r="AG1149" s="11" t="b" cm="1">
        <f t="array" ref="AG1149">IF(OR(Y1149:AA1149="TRUE", AE1149="true"), "Threatened")</f>
        <v>0</v>
      </c>
      <c r="AH1149" s="11" t="s">
        <v>3102</v>
      </c>
      <c r="AI1149" s="8" t="b">
        <v>1</v>
      </c>
    </row>
    <row r="1150" spans="1:35" ht="31.2">
      <c r="A1150" s="8">
        <v>-73.960237789999994</v>
      </c>
      <c r="B1150" s="8">
        <v>40.790783159999997</v>
      </c>
      <c r="C1150" s="8" t="s">
        <v>3103</v>
      </c>
      <c r="D1150" s="8" t="s">
        <v>75</v>
      </c>
      <c r="E1150" s="8" t="b">
        <f t="shared" si="17"/>
        <v>0</v>
      </c>
      <c r="F1150" s="8" t="str" cm="1">
        <f t="array" ref="F1150">_xlfn._xlws.FILTER(E1150:E4348, C1150:C4348= "6D-PM-1020-01", "No Squirrels Found")</f>
        <v>No Squirrels Found</v>
      </c>
      <c r="G1150" s="8" t="s">
        <v>34</v>
      </c>
      <c r="H1150" s="10">
        <v>10172018</v>
      </c>
      <c r="I1150" s="10">
        <v>16</v>
      </c>
      <c r="J1150" s="8" t="s">
        <v>39</v>
      </c>
      <c r="K1150" s="8" t="s">
        <v>192</v>
      </c>
      <c r="M1150" s="8" t="s">
        <v>193</v>
      </c>
      <c r="O1150" s="8" t="s">
        <v>43</v>
      </c>
      <c r="P1150" s="8" t="b">
        <v>0</v>
      </c>
      <c r="Q1150" s="8" t="s">
        <v>3104</v>
      </c>
      <c r="R1150" s="8" t="b">
        <v>0</v>
      </c>
      <c r="S1150" s="8" t="b">
        <v>0</v>
      </c>
      <c r="T1150" s="8" t="b">
        <v>0</v>
      </c>
      <c r="U1150" s="8" t="b">
        <v>0</v>
      </c>
      <c r="V1150" s="8" t="b">
        <v>1</v>
      </c>
      <c r="X1150" s="8" t="b">
        <v>0</v>
      </c>
      <c r="Y1150" s="8" t="b">
        <v>0</v>
      </c>
      <c r="Z1150" s="8" t="b">
        <v>0</v>
      </c>
      <c r="AA1150" s="8" t="b">
        <v>0</v>
      </c>
      <c r="AB1150" s="8" t="b">
        <v>0</v>
      </c>
      <c r="AC1150" s="8" t="b">
        <v>0</v>
      </c>
      <c r="AD1150" s="8" t="b">
        <v>0</v>
      </c>
      <c r="AE1150" s="8" t="b">
        <v>1</v>
      </c>
      <c r="AG1150" s="11" t="b" cm="1">
        <f t="array" ref="AG1150">IF(OR(Y1150:AA1150="TRUE", AE1150="true"), "Threatened")</f>
        <v>0</v>
      </c>
      <c r="AH1150" s="11" t="s">
        <v>3105</v>
      </c>
      <c r="AI1150" s="8" t="b">
        <v>1</v>
      </c>
    </row>
    <row r="1151" spans="1:35" ht="31.2">
      <c r="A1151" s="8">
        <v>-73.974472640000002</v>
      </c>
      <c r="B1151" s="8">
        <v>40.776729629999998</v>
      </c>
      <c r="C1151" s="8" t="s">
        <v>3106</v>
      </c>
      <c r="D1151" s="8" t="s">
        <v>1031</v>
      </c>
      <c r="E1151" s="8" t="b">
        <f t="shared" si="17"/>
        <v>0</v>
      </c>
      <c r="F1151" s="8" t="str" cm="1">
        <f t="array" ref="F1151">_xlfn._xlws.FILTER(E1151:E4349, C1151:C4349= "6D-PM-1020-01", "No Squirrels Found")</f>
        <v>No Squirrels Found</v>
      </c>
      <c r="G1151" s="8" t="s">
        <v>34</v>
      </c>
      <c r="H1151" s="10">
        <v>10132018</v>
      </c>
      <c r="I1151" s="10">
        <v>3</v>
      </c>
      <c r="K1151" s="8" t="s">
        <v>40</v>
      </c>
      <c r="L1151" s="8" t="s">
        <v>41</v>
      </c>
      <c r="M1151" s="8" t="s">
        <v>42</v>
      </c>
      <c r="O1151" s="8" t="s">
        <v>50</v>
      </c>
      <c r="P1151" s="8">
        <v>3</v>
      </c>
      <c r="R1151" s="8" t="b">
        <v>1</v>
      </c>
      <c r="S1151" s="8" t="b">
        <v>0</v>
      </c>
      <c r="T1151" s="8" t="b">
        <v>0</v>
      </c>
      <c r="U1151" s="8" t="b">
        <v>0</v>
      </c>
      <c r="V1151" s="8" t="b">
        <v>0</v>
      </c>
      <c r="W1151" s="11" t="s">
        <v>3107</v>
      </c>
      <c r="X1151" s="8" t="b">
        <v>0</v>
      </c>
      <c r="Y1151" s="8" t="b">
        <v>0</v>
      </c>
      <c r="Z1151" s="8" t="b">
        <v>0</v>
      </c>
      <c r="AA1151" s="8" t="b">
        <v>0</v>
      </c>
      <c r="AB1151" s="8" t="b">
        <v>0</v>
      </c>
      <c r="AC1151" s="8" t="b">
        <v>0</v>
      </c>
      <c r="AD1151" s="8" t="b">
        <v>1</v>
      </c>
      <c r="AE1151" s="8" t="b">
        <v>0</v>
      </c>
      <c r="AG1151" s="11" t="b" cm="1">
        <f t="array" ref="AG1151">IF(OR(Y1151:AA1151="TRUE", AE1151="true"), "Threatened")</f>
        <v>0</v>
      </c>
      <c r="AH1151" s="11" t="s">
        <v>3108</v>
      </c>
      <c r="AI1151" s="8" t="b">
        <v>0</v>
      </c>
    </row>
    <row r="1152" spans="1:35" ht="31.2">
      <c r="A1152" s="8">
        <v>-73.955760249999997</v>
      </c>
      <c r="B1152" s="8">
        <v>40.795645239999999</v>
      </c>
      <c r="C1152" s="8" t="s">
        <v>3109</v>
      </c>
      <c r="D1152" s="8" t="s">
        <v>530</v>
      </c>
      <c r="E1152" s="8" t="b">
        <f t="shared" si="17"/>
        <v>0</v>
      </c>
      <c r="F1152" s="8" t="str" cm="1">
        <f t="array" ref="F1152">_xlfn._xlws.FILTER(E1152:E4350, C1152:C4350= "6D-PM-1020-01", "No Squirrels Found")</f>
        <v>No Squirrels Found</v>
      </c>
      <c r="G1152" s="8" t="s">
        <v>34</v>
      </c>
      <c r="H1152" s="10">
        <v>10142018</v>
      </c>
      <c r="I1152" s="10">
        <v>1</v>
      </c>
      <c r="J1152" s="8" t="s">
        <v>39</v>
      </c>
      <c r="K1152" s="8" t="s">
        <v>40</v>
      </c>
      <c r="L1152" s="8" t="s">
        <v>84</v>
      </c>
      <c r="M1152" s="8" t="s">
        <v>103</v>
      </c>
      <c r="O1152" s="8" t="s">
        <v>43</v>
      </c>
      <c r="P1152" s="8" t="b">
        <v>0</v>
      </c>
      <c r="R1152" s="8" t="b">
        <v>0</v>
      </c>
      <c r="S1152" s="8" t="b">
        <v>0</v>
      </c>
      <c r="T1152" s="8" t="b">
        <v>0</v>
      </c>
      <c r="U1152" s="8" t="b">
        <v>0</v>
      </c>
      <c r="V1152" s="8" t="b">
        <v>1</v>
      </c>
      <c r="X1152" s="8" t="b">
        <v>0</v>
      </c>
      <c r="Y1152" s="8" t="b">
        <v>0</v>
      </c>
      <c r="Z1152" s="8" t="b">
        <v>0</v>
      </c>
      <c r="AA1152" s="8" t="b">
        <v>0</v>
      </c>
      <c r="AB1152" s="8" t="b">
        <v>0</v>
      </c>
      <c r="AC1152" s="8" t="b">
        <v>0</v>
      </c>
      <c r="AD1152" s="8" t="b">
        <v>1</v>
      </c>
      <c r="AE1152" s="8" t="b">
        <v>0</v>
      </c>
      <c r="AG1152" s="11" t="b" cm="1">
        <f t="array" ref="AG1152">IF(OR(Y1152:AA1152="TRUE", AE1152="true"), "Threatened")</f>
        <v>0</v>
      </c>
      <c r="AH1152" s="11" t="s">
        <v>3110</v>
      </c>
      <c r="AI1152" s="8" t="b">
        <v>1</v>
      </c>
    </row>
    <row r="1153" spans="1:35" ht="46.8">
      <c r="A1153" s="8">
        <v>-73.960839899999996</v>
      </c>
      <c r="B1153" s="8">
        <v>40.781770450000003</v>
      </c>
      <c r="C1153" s="8" t="s">
        <v>3111</v>
      </c>
      <c r="D1153" s="8" t="s">
        <v>3112</v>
      </c>
      <c r="E1153" s="8" t="b">
        <f t="shared" si="17"/>
        <v>0</v>
      </c>
      <c r="F1153" s="8" t="str" cm="1">
        <f t="array" ref="F1153">_xlfn._xlws.FILTER(E1153:E4351, C1153:C4351= "6D-PM-1020-01", "No Squirrels Found")</f>
        <v>No Squirrels Found</v>
      </c>
      <c r="G1153" s="8" t="s">
        <v>48</v>
      </c>
      <c r="H1153" s="10">
        <v>10192018</v>
      </c>
      <c r="I1153" s="10">
        <v>1</v>
      </c>
      <c r="J1153" s="8" t="s">
        <v>39</v>
      </c>
      <c r="K1153" s="8" t="s">
        <v>40</v>
      </c>
      <c r="L1153" s="8" t="s">
        <v>41</v>
      </c>
      <c r="M1153" s="8" t="s">
        <v>42</v>
      </c>
      <c r="O1153" s="8" t="s">
        <v>50</v>
      </c>
      <c r="P1153" s="8">
        <v>18</v>
      </c>
      <c r="Q1153" s="8" t="s">
        <v>1075</v>
      </c>
      <c r="R1153" s="8" t="b">
        <v>0</v>
      </c>
      <c r="S1153" s="8" t="b">
        <v>0</v>
      </c>
      <c r="T1153" s="8" t="b">
        <v>1</v>
      </c>
      <c r="U1153" s="8" t="b">
        <v>0</v>
      </c>
      <c r="V1153" s="8" t="b">
        <v>0</v>
      </c>
      <c r="X1153" s="8" t="b">
        <v>0</v>
      </c>
      <c r="Y1153" s="8" t="b">
        <v>0</v>
      </c>
      <c r="Z1153" s="8" t="b">
        <v>0</v>
      </c>
      <c r="AA1153" s="8" t="b">
        <v>0</v>
      </c>
      <c r="AB1153" s="8" t="b">
        <v>0</v>
      </c>
      <c r="AC1153" s="8" t="b">
        <v>0</v>
      </c>
      <c r="AD1153" s="8" t="b">
        <v>0</v>
      </c>
      <c r="AE1153" s="8" t="b">
        <v>0</v>
      </c>
      <c r="AF1153" s="11" t="s">
        <v>3113</v>
      </c>
      <c r="AG1153" s="11" t="b" cm="1">
        <f t="array" ref="AG1153">IF(OR(Y1153:AA1153="TRUE", AE1153="true"), "Threatened")</f>
        <v>0</v>
      </c>
      <c r="AH1153" s="11" t="s">
        <v>3114</v>
      </c>
      <c r="AI1153" s="8" t="b">
        <v>1</v>
      </c>
    </row>
    <row r="1154" spans="1:35" ht="31.2">
      <c r="A1154" s="8">
        <v>-73.968852389999995</v>
      </c>
      <c r="B1154" s="8">
        <v>40.784401799999998</v>
      </c>
      <c r="C1154" s="8" t="s">
        <v>3115</v>
      </c>
      <c r="D1154" s="8" t="s">
        <v>313</v>
      </c>
      <c r="E1154" s="8" t="b">
        <f t="shared" si="17"/>
        <v>0</v>
      </c>
      <c r="F1154" s="8" t="str" cm="1">
        <f t="array" ref="F1154">_xlfn._xlws.FILTER(E1154:E4352, C1154:C4352= "6D-PM-1020-01", "No Squirrels Found")</f>
        <v>No Squirrels Found</v>
      </c>
      <c r="G1154" s="8" t="s">
        <v>48</v>
      </c>
      <c r="H1154" s="10">
        <v>10082018</v>
      </c>
      <c r="I1154" s="10">
        <v>2</v>
      </c>
      <c r="J1154" s="8" t="s">
        <v>39</v>
      </c>
      <c r="K1154" s="8" t="s">
        <v>40</v>
      </c>
      <c r="M1154" s="8" t="s">
        <v>55</v>
      </c>
      <c r="O1154" s="8" t="s">
        <v>43</v>
      </c>
      <c r="P1154" s="8" t="b">
        <v>0</v>
      </c>
      <c r="R1154" s="8" t="b">
        <v>0</v>
      </c>
      <c r="S1154" s="8" t="b">
        <v>0</v>
      </c>
      <c r="T1154" s="8" t="b">
        <v>0</v>
      </c>
      <c r="U1154" s="8" t="b">
        <v>0</v>
      </c>
      <c r="V1154" s="8" t="b">
        <v>1</v>
      </c>
      <c r="X1154" s="8" t="b">
        <v>0</v>
      </c>
      <c r="Y1154" s="8" t="b">
        <v>0</v>
      </c>
      <c r="Z1154" s="8" t="b">
        <v>0</v>
      </c>
      <c r="AA1154" s="8" t="b">
        <v>0</v>
      </c>
      <c r="AB1154" s="8" t="b">
        <v>0</v>
      </c>
      <c r="AC1154" s="8" t="b">
        <v>0</v>
      </c>
      <c r="AD1154" s="8" t="b">
        <v>0</v>
      </c>
      <c r="AE1154" s="8" t="b">
        <v>1</v>
      </c>
      <c r="AG1154" s="11" t="b" cm="1">
        <f t="array" ref="AG1154">IF(OR(Y1154:AA1154="TRUE", AE1154="true"), "Threatened")</f>
        <v>0</v>
      </c>
      <c r="AH1154" s="11" t="s">
        <v>3116</v>
      </c>
      <c r="AI1154" s="8" t="b">
        <v>1</v>
      </c>
    </row>
    <row r="1155" spans="1:35" ht="31.2">
      <c r="A1155" s="8">
        <v>-73.978693699999994</v>
      </c>
      <c r="B1155" s="8">
        <v>40.771394370000003</v>
      </c>
      <c r="C1155" s="8" t="s">
        <v>3117</v>
      </c>
      <c r="D1155" s="8" t="s">
        <v>342</v>
      </c>
      <c r="E1155" s="8" t="b">
        <f t="shared" ref="E1155:E1218" si="18">OR(D1155 = "05D", D1155 = "07D", D1155 = "06C", D1155 = "06E")</f>
        <v>0</v>
      </c>
      <c r="F1155" s="8" t="str" cm="1">
        <f t="array" ref="F1155">_xlfn._xlws.FILTER(E1155:E4353, C1155:C4353= "6D-PM-1020-01", "No Squirrels Found")</f>
        <v>No Squirrels Found</v>
      </c>
      <c r="G1155" s="8" t="s">
        <v>34</v>
      </c>
      <c r="H1155" s="10">
        <v>10102018</v>
      </c>
      <c r="I1155" s="10">
        <v>2</v>
      </c>
      <c r="J1155" s="8" t="s">
        <v>39</v>
      </c>
      <c r="K1155" s="8" t="s">
        <v>40</v>
      </c>
      <c r="L1155" s="8" t="s">
        <v>84</v>
      </c>
      <c r="M1155" s="8" t="s">
        <v>103</v>
      </c>
      <c r="O1155" s="8" t="s">
        <v>50</v>
      </c>
      <c r="P1155" s="8">
        <v>50</v>
      </c>
      <c r="R1155" s="8" t="b">
        <v>0</v>
      </c>
      <c r="S1155" s="8" t="b">
        <v>0</v>
      </c>
      <c r="T1155" s="8" t="b">
        <v>1</v>
      </c>
      <c r="U1155" s="8" t="b">
        <v>0</v>
      </c>
      <c r="V1155" s="8" t="b">
        <v>0</v>
      </c>
      <c r="X1155" s="8" t="b">
        <v>0</v>
      </c>
      <c r="Y1155" s="8" t="b">
        <v>0</v>
      </c>
      <c r="Z1155" s="8" t="b">
        <v>0</v>
      </c>
      <c r="AA1155" s="8" t="b">
        <v>0</v>
      </c>
      <c r="AB1155" s="8" t="b">
        <v>0</v>
      </c>
      <c r="AC1155" s="8" t="b">
        <v>0</v>
      </c>
      <c r="AD1155" s="8" t="b">
        <v>0</v>
      </c>
      <c r="AE1155" s="8" t="b">
        <v>0</v>
      </c>
      <c r="AG1155" s="11" t="b" cm="1">
        <f t="array" ref="AG1155">IF(OR(Y1155:AA1155="TRUE", AE1155="true"), "Threatened")</f>
        <v>0</v>
      </c>
      <c r="AH1155" s="11" t="s">
        <v>3118</v>
      </c>
      <c r="AI1155" s="8" t="b">
        <v>1</v>
      </c>
    </row>
    <row r="1156" spans="1:35" ht="31.2">
      <c r="A1156" s="8">
        <v>-73.964572180000005</v>
      </c>
      <c r="B1156" s="8">
        <v>40.781120870000002</v>
      </c>
      <c r="C1156" s="8" t="s">
        <v>3119</v>
      </c>
      <c r="D1156" s="8" t="s">
        <v>1202</v>
      </c>
      <c r="E1156" s="8" t="b">
        <f t="shared" si="18"/>
        <v>0</v>
      </c>
      <c r="F1156" s="8" t="str" cm="1">
        <f t="array" ref="F1156">_xlfn._xlws.FILTER(E1156:E4354, C1156:C4354= "6D-PM-1020-01", "No Squirrels Found")</f>
        <v>No Squirrels Found</v>
      </c>
      <c r="G1156" s="8" t="s">
        <v>34</v>
      </c>
      <c r="H1156" s="10">
        <v>10182018</v>
      </c>
      <c r="I1156" s="10">
        <v>1</v>
      </c>
      <c r="J1156" s="8" t="s">
        <v>39</v>
      </c>
      <c r="K1156" s="8" t="s">
        <v>41</v>
      </c>
      <c r="L1156" s="8" t="s">
        <v>40</v>
      </c>
      <c r="M1156" s="8" t="s">
        <v>110</v>
      </c>
      <c r="O1156" s="8" t="s">
        <v>43</v>
      </c>
      <c r="P1156" s="8" t="b">
        <v>0</v>
      </c>
      <c r="R1156" s="8" t="b">
        <v>0</v>
      </c>
      <c r="S1156" s="8" t="b">
        <v>0</v>
      </c>
      <c r="T1156" s="8" t="b">
        <v>0</v>
      </c>
      <c r="U1156" s="8" t="b">
        <v>0</v>
      </c>
      <c r="V1156" s="8" t="b">
        <v>1</v>
      </c>
      <c r="X1156" s="8" t="b">
        <v>0</v>
      </c>
      <c r="Y1156" s="8" t="b">
        <v>0</v>
      </c>
      <c r="Z1156" s="8" t="b">
        <v>0</v>
      </c>
      <c r="AA1156" s="8" t="b">
        <v>0</v>
      </c>
      <c r="AB1156" s="8" t="b">
        <v>0</v>
      </c>
      <c r="AC1156" s="8" t="b">
        <v>0</v>
      </c>
      <c r="AD1156" s="8" t="b">
        <v>0</v>
      </c>
      <c r="AE1156" s="8" t="b">
        <v>1</v>
      </c>
      <c r="AG1156" s="11" t="b" cm="1">
        <f t="array" ref="AG1156">IF(OR(Y1156:AA1156="TRUE", AE1156="true"), "Threatened")</f>
        <v>0</v>
      </c>
      <c r="AH1156" s="11" t="s">
        <v>3120</v>
      </c>
      <c r="AI1156" s="8" t="b">
        <v>1</v>
      </c>
    </row>
    <row r="1157" spans="1:35" ht="31.2">
      <c r="A1157" s="8">
        <v>-73.968892929999996</v>
      </c>
      <c r="B1157" s="8">
        <v>40.776889949999997</v>
      </c>
      <c r="C1157" s="8" t="s">
        <v>3121</v>
      </c>
      <c r="D1157" s="8" t="s">
        <v>246</v>
      </c>
      <c r="E1157" s="8" t="b">
        <f t="shared" si="18"/>
        <v>0</v>
      </c>
      <c r="F1157" s="8" t="str" cm="1">
        <f t="array" ref="F1157">_xlfn._xlws.FILTER(E1157:E4355, C1157:C4355= "6D-PM-1020-01", "No Squirrels Found")</f>
        <v>No Squirrels Found</v>
      </c>
      <c r="G1157" s="8" t="s">
        <v>34</v>
      </c>
      <c r="H1157" s="10">
        <v>10102018</v>
      </c>
      <c r="I1157" s="10">
        <v>1</v>
      </c>
      <c r="J1157" s="8" t="s">
        <v>39</v>
      </c>
      <c r="K1157" s="8" t="s">
        <v>40</v>
      </c>
      <c r="M1157" s="8" t="s">
        <v>55</v>
      </c>
      <c r="O1157" s="8" t="s">
        <v>43</v>
      </c>
      <c r="P1157" s="8" t="b">
        <v>0</v>
      </c>
      <c r="R1157" s="8" t="b">
        <v>0</v>
      </c>
      <c r="S1157" s="8" t="b">
        <v>0</v>
      </c>
      <c r="T1157" s="8" t="b">
        <v>0</v>
      </c>
      <c r="U1157" s="8" t="b">
        <v>0</v>
      </c>
      <c r="V1157" s="8" t="b">
        <v>1</v>
      </c>
      <c r="X1157" s="8" t="b">
        <v>0</v>
      </c>
      <c r="Y1157" s="8" t="b">
        <v>0</v>
      </c>
      <c r="Z1157" s="8" t="b">
        <v>0</v>
      </c>
      <c r="AA1157" s="8" t="b">
        <v>0</v>
      </c>
      <c r="AB1157" s="8" t="b">
        <v>0</v>
      </c>
      <c r="AC1157" s="8" t="b">
        <v>0</v>
      </c>
      <c r="AD1157" s="8" t="b">
        <v>1</v>
      </c>
      <c r="AE1157" s="8" t="b">
        <v>0</v>
      </c>
      <c r="AG1157" s="11" t="b" cm="1">
        <f t="array" ref="AG1157">IF(OR(Y1157:AA1157="TRUE", AE1157="true"), "Threatened")</f>
        <v>0</v>
      </c>
      <c r="AH1157" s="11" t="s">
        <v>3122</v>
      </c>
      <c r="AI1157" s="8" t="b">
        <v>1</v>
      </c>
    </row>
    <row r="1158" spans="1:35" ht="31.2">
      <c r="A1158" s="8">
        <v>-73.970444909999998</v>
      </c>
      <c r="B1158" s="8">
        <v>40.768997079999998</v>
      </c>
      <c r="C1158" s="8" t="s">
        <v>3123</v>
      </c>
      <c r="D1158" s="8" t="s">
        <v>242</v>
      </c>
      <c r="E1158" s="8" t="b">
        <f t="shared" si="18"/>
        <v>0</v>
      </c>
      <c r="F1158" s="8" t="str" cm="1">
        <f t="array" ref="F1158">_xlfn._xlws.FILTER(E1158:E4356, C1158:C4356= "6D-PM-1020-01", "No Squirrels Found")</f>
        <v>No Squirrels Found</v>
      </c>
      <c r="G1158" s="8" t="s">
        <v>34</v>
      </c>
      <c r="H1158" s="10">
        <v>10132018</v>
      </c>
      <c r="I1158" s="10">
        <v>5</v>
      </c>
      <c r="J1158" s="8" t="s">
        <v>39</v>
      </c>
      <c r="K1158" s="8" t="s">
        <v>40</v>
      </c>
      <c r="L1158" s="8" t="s">
        <v>84</v>
      </c>
      <c r="M1158" s="8" t="s">
        <v>103</v>
      </c>
      <c r="O1158" s="8" t="s">
        <v>43</v>
      </c>
      <c r="P1158" s="8" t="b">
        <v>0</v>
      </c>
      <c r="R1158" s="8" t="b">
        <v>0</v>
      </c>
      <c r="S1158" s="8" t="b">
        <v>0</v>
      </c>
      <c r="T1158" s="8" t="b">
        <v>0</v>
      </c>
      <c r="U1158" s="8" t="b">
        <v>0</v>
      </c>
      <c r="V1158" s="8" t="b">
        <v>0</v>
      </c>
      <c r="W1158" s="11" t="s">
        <v>3124</v>
      </c>
      <c r="X1158" s="8" t="b">
        <v>0</v>
      </c>
      <c r="Y1158" s="8" t="b">
        <v>0</v>
      </c>
      <c r="Z1158" s="8" t="b">
        <v>0</v>
      </c>
      <c r="AA1158" s="8" t="b">
        <v>0</v>
      </c>
      <c r="AB1158" s="8" t="b">
        <v>1</v>
      </c>
      <c r="AC1158" s="8" t="b">
        <v>0</v>
      </c>
      <c r="AD1158" s="8" t="b">
        <v>0</v>
      </c>
      <c r="AE1158" s="8" t="b">
        <v>0</v>
      </c>
      <c r="AG1158" s="11" t="b" cm="1">
        <f t="array" ref="AG1158">IF(OR(Y1158:AA1158="TRUE", AE1158="true"), "Threatened")</f>
        <v>0</v>
      </c>
      <c r="AH1158" s="11" t="s">
        <v>3125</v>
      </c>
      <c r="AI1158" s="8" t="b">
        <v>0</v>
      </c>
    </row>
    <row r="1159" spans="1:35" ht="31.2">
      <c r="A1159" s="8">
        <v>-73.976389479999995</v>
      </c>
      <c r="B1159" s="8">
        <v>40.770552340000002</v>
      </c>
      <c r="C1159" s="8" t="s">
        <v>3126</v>
      </c>
      <c r="D1159" s="8" t="s">
        <v>109</v>
      </c>
      <c r="E1159" s="8" t="b">
        <f t="shared" si="18"/>
        <v>0</v>
      </c>
      <c r="F1159" s="8" t="str" cm="1">
        <f t="array" ref="F1159">_xlfn._xlws.FILTER(E1159:E4357, C1159:C4357= "6D-PM-1020-01", "No Squirrels Found")</f>
        <v>No Squirrels Found</v>
      </c>
      <c r="G1159" s="8" t="s">
        <v>34</v>
      </c>
      <c r="H1159" s="10">
        <v>10102018</v>
      </c>
      <c r="I1159" s="10">
        <v>12</v>
      </c>
      <c r="J1159" s="8" t="s">
        <v>39</v>
      </c>
      <c r="K1159" s="8" t="s">
        <v>41</v>
      </c>
      <c r="L1159" s="8" t="s">
        <v>84</v>
      </c>
      <c r="M1159" s="8" t="s">
        <v>85</v>
      </c>
      <c r="O1159" s="8" t="s">
        <v>43</v>
      </c>
      <c r="P1159" s="8" t="b">
        <v>0</v>
      </c>
      <c r="R1159" s="8" t="b">
        <v>0</v>
      </c>
      <c r="S1159" s="8" t="b">
        <v>0</v>
      </c>
      <c r="T1159" s="8" t="b">
        <v>0</v>
      </c>
      <c r="U1159" s="8" t="b">
        <v>1</v>
      </c>
      <c r="V1159" s="8" t="b">
        <v>1</v>
      </c>
      <c r="X1159" s="8" t="b">
        <v>0</v>
      </c>
      <c r="Y1159" s="8" t="b">
        <v>0</v>
      </c>
      <c r="Z1159" s="8" t="b">
        <v>0</v>
      </c>
      <c r="AA1159" s="8" t="b">
        <v>0</v>
      </c>
      <c r="AB1159" s="8" t="b">
        <v>0</v>
      </c>
      <c r="AC1159" s="8" t="b">
        <v>0</v>
      </c>
      <c r="AD1159" s="8" t="b">
        <v>0</v>
      </c>
      <c r="AE1159" s="8" t="b">
        <v>0</v>
      </c>
      <c r="AG1159" s="11" t="b" cm="1">
        <f t="array" ref="AG1159">IF(OR(Y1159:AA1159="TRUE", AE1159="true"), "Threatened")</f>
        <v>0</v>
      </c>
      <c r="AH1159" s="11" t="s">
        <v>3127</v>
      </c>
      <c r="AI1159" s="8" t="b">
        <v>1</v>
      </c>
    </row>
    <row r="1160" spans="1:35" ht="31.2">
      <c r="A1160" s="8">
        <v>-73.968212930000007</v>
      </c>
      <c r="B1160" s="8">
        <v>40.775423240000002</v>
      </c>
      <c r="C1160" s="8" t="s">
        <v>3128</v>
      </c>
      <c r="D1160" s="8" t="s">
        <v>677</v>
      </c>
      <c r="E1160" s="8" t="b">
        <f t="shared" si="18"/>
        <v>0</v>
      </c>
      <c r="F1160" s="8" t="str" cm="1">
        <f t="array" ref="F1160">_xlfn._xlws.FILTER(E1160:E4358, C1160:C4358= "6D-PM-1020-01", "No Squirrels Found")</f>
        <v>No Squirrels Found</v>
      </c>
      <c r="G1160" s="8" t="s">
        <v>48</v>
      </c>
      <c r="H1160" s="10">
        <v>10122018</v>
      </c>
      <c r="I1160" s="10">
        <v>3</v>
      </c>
      <c r="J1160" s="8" t="s">
        <v>39</v>
      </c>
      <c r="K1160" s="8" t="s">
        <v>40</v>
      </c>
      <c r="L1160" s="8" t="s">
        <v>41</v>
      </c>
      <c r="M1160" s="8" t="s">
        <v>42</v>
      </c>
      <c r="O1160" s="8" t="s">
        <v>43</v>
      </c>
      <c r="P1160" s="8" t="b">
        <v>0</v>
      </c>
      <c r="R1160" s="8" t="b">
        <v>0</v>
      </c>
      <c r="S1160" s="8" t="b">
        <v>0</v>
      </c>
      <c r="T1160" s="8" t="b">
        <v>0</v>
      </c>
      <c r="U1160" s="8" t="b">
        <v>0</v>
      </c>
      <c r="V1160" s="8" t="b">
        <v>1</v>
      </c>
      <c r="X1160" s="8" t="b">
        <v>0</v>
      </c>
      <c r="Y1160" s="8" t="b">
        <v>0</v>
      </c>
      <c r="Z1160" s="8" t="b">
        <v>0</v>
      </c>
      <c r="AA1160" s="8" t="b">
        <v>0</v>
      </c>
      <c r="AB1160" s="8" t="b">
        <v>1</v>
      </c>
      <c r="AC1160" s="8" t="b">
        <v>0</v>
      </c>
      <c r="AD1160" s="8" t="b">
        <v>0</v>
      </c>
      <c r="AE1160" s="8" t="b">
        <v>1</v>
      </c>
      <c r="AG1160" s="11" t="b" cm="1">
        <f t="array" ref="AG1160">IF(OR(Y1160:AA1160="TRUE", AE1160="true"), "Threatened")</f>
        <v>0</v>
      </c>
      <c r="AH1160" s="11" t="s">
        <v>3129</v>
      </c>
      <c r="AI1160" s="8" t="b">
        <v>1</v>
      </c>
    </row>
    <row r="1161" spans="1:35" ht="31.2">
      <c r="A1161" s="8">
        <v>-73.977725699999993</v>
      </c>
      <c r="B1161" s="8">
        <v>40.766623699999997</v>
      </c>
      <c r="C1161" s="8" t="s">
        <v>3130</v>
      </c>
      <c r="D1161" s="8" t="s">
        <v>2590</v>
      </c>
      <c r="E1161" s="8" t="b">
        <f t="shared" si="18"/>
        <v>0</v>
      </c>
      <c r="F1161" s="8" t="str" cm="1">
        <f t="array" ref="F1161">_xlfn._xlws.FILTER(E1161:E4359, C1161:C4359= "6D-PM-1020-01", "No Squirrels Found")</f>
        <v>No Squirrels Found</v>
      </c>
      <c r="G1161" s="8" t="s">
        <v>48</v>
      </c>
      <c r="H1161" s="10">
        <v>10062018</v>
      </c>
      <c r="I1161" s="10">
        <v>3</v>
      </c>
      <c r="J1161" s="8" t="s">
        <v>39</v>
      </c>
      <c r="K1161" s="8" t="s">
        <v>40</v>
      </c>
      <c r="M1161" s="8" t="s">
        <v>55</v>
      </c>
      <c r="O1161" s="8" t="s">
        <v>43</v>
      </c>
      <c r="P1161" s="8" t="b">
        <v>0</v>
      </c>
      <c r="R1161" s="8" t="b">
        <v>0</v>
      </c>
      <c r="S1161" s="8" t="b">
        <v>0</v>
      </c>
      <c r="T1161" s="8" t="b">
        <v>0</v>
      </c>
      <c r="U1161" s="8" t="b">
        <v>0</v>
      </c>
      <c r="V1161" s="8" t="b">
        <v>1</v>
      </c>
      <c r="X1161" s="8" t="b">
        <v>0</v>
      </c>
      <c r="Y1161" s="8" t="b">
        <v>0</v>
      </c>
      <c r="Z1161" s="8" t="b">
        <v>0</v>
      </c>
      <c r="AA1161" s="8" t="b">
        <v>0</v>
      </c>
      <c r="AB1161" s="8" t="b">
        <v>1</v>
      </c>
      <c r="AC1161" s="8" t="b">
        <v>0</v>
      </c>
      <c r="AD1161" s="8" t="b">
        <v>0</v>
      </c>
      <c r="AE1161" s="8" t="b">
        <v>0</v>
      </c>
      <c r="AG1161" s="11" t="b" cm="1">
        <f t="array" ref="AG1161">IF(OR(Y1161:AA1161="TRUE", AE1161="true"), "Threatened")</f>
        <v>0</v>
      </c>
      <c r="AH1161" s="11" t="s">
        <v>3131</v>
      </c>
      <c r="AI1161" s="8" t="b">
        <v>1</v>
      </c>
    </row>
    <row r="1162" spans="1:35" ht="31.2">
      <c r="A1162" s="8">
        <v>-73.969406660000004</v>
      </c>
      <c r="B1162" s="8">
        <v>40.780566219999997</v>
      </c>
      <c r="C1162" s="8" t="s">
        <v>3132</v>
      </c>
      <c r="D1162" s="8" t="s">
        <v>631</v>
      </c>
      <c r="E1162" s="8" t="b">
        <f t="shared" si="18"/>
        <v>0</v>
      </c>
      <c r="F1162" s="8" t="str" cm="1">
        <f t="array" ref="F1162">_xlfn._xlws.FILTER(E1162:E4360, C1162:C4360= "6D-PM-1020-01", "No Squirrels Found")</f>
        <v>No Squirrels Found</v>
      </c>
      <c r="G1162" s="8" t="s">
        <v>34</v>
      </c>
      <c r="H1162" s="10">
        <v>10182018</v>
      </c>
      <c r="I1162" s="10">
        <v>6</v>
      </c>
      <c r="J1162" s="8" t="s">
        <v>54</v>
      </c>
      <c r="K1162" s="8" t="s">
        <v>40</v>
      </c>
      <c r="L1162" s="8" t="s">
        <v>117</v>
      </c>
      <c r="M1162" s="8" t="s">
        <v>118</v>
      </c>
      <c r="O1162" s="8" t="s">
        <v>50</v>
      </c>
      <c r="P1162" s="8">
        <v>1</v>
      </c>
      <c r="R1162" s="8" t="b">
        <v>0</v>
      </c>
      <c r="S1162" s="8" t="b">
        <v>0</v>
      </c>
      <c r="T1162" s="8" t="b">
        <v>1</v>
      </c>
      <c r="U1162" s="8" t="b">
        <v>1</v>
      </c>
      <c r="V1162" s="8" t="b">
        <v>1</v>
      </c>
      <c r="X1162" s="8" t="b">
        <v>0</v>
      </c>
      <c r="Y1162" s="8" t="b">
        <v>0</v>
      </c>
      <c r="Z1162" s="8" t="b">
        <v>0</v>
      </c>
      <c r="AA1162" s="8" t="b">
        <v>0</v>
      </c>
      <c r="AB1162" s="8" t="b">
        <v>0</v>
      </c>
      <c r="AC1162" s="8" t="b">
        <v>0</v>
      </c>
      <c r="AD1162" s="8" t="b">
        <v>1</v>
      </c>
      <c r="AE1162" s="8" t="b">
        <v>0</v>
      </c>
      <c r="AG1162" s="11" t="b" cm="1">
        <f t="array" ref="AG1162">IF(OR(Y1162:AA1162="TRUE", AE1162="true"), "Threatened")</f>
        <v>0</v>
      </c>
      <c r="AH1162" s="11" t="s">
        <v>3133</v>
      </c>
      <c r="AI1162" s="8" t="b">
        <v>1</v>
      </c>
    </row>
    <row r="1163" spans="1:35" ht="31.2">
      <c r="A1163" s="8">
        <v>-73.956854430000007</v>
      </c>
      <c r="B1163" s="8">
        <v>40.797251729999999</v>
      </c>
      <c r="C1163" s="8" t="s">
        <v>3134</v>
      </c>
      <c r="D1163" s="8" t="s">
        <v>1948</v>
      </c>
      <c r="E1163" s="8" t="b">
        <f t="shared" si="18"/>
        <v>0</v>
      </c>
      <c r="F1163" s="8" t="str" cm="1">
        <f t="array" ref="F1163">_xlfn._xlws.FILTER(E1163:E4361, C1163:C4361= "6D-PM-1020-01", "No Squirrels Found")</f>
        <v>No Squirrels Found</v>
      </c>
      <c r="G1163" s="8" t="s">
        <v>48</v>
      </c>
      <c r="H1163" s="10">
        <v>10082018</v>
      </c>
      <c r="I1163" s="10">
        <v>6</v>
      </c>
      <c r="J1163" s="8" t="s">
        <v>39</v>
      </c>
      <c r="K1163" s="8" t="s">
        <v>40</v>
      </c>
      <c r="M1163" s="8" t="s">
        <v>55</v>
      </c>
      <c r="O1163" s="8" t="s">
        <v>50</v>
      </c>
      <c r="P1163" s="8">
        <v>3</v>
      </c>
      <c r="Q1163" s="8" t="s">
        <v>3135</v>
      </c>
      <c r="R1163" s="8" t="b">
        <v>0</v>
      </c>
      <c r="S1163" s="8" t="b">
        <v>0</v>
      </c>
      <c r="T1163" s="8" t="b">
        <v>0</v>
      </c>
      <c r="U1163" s="8" t="b">
        <v>0</v>
      </c>
      <c r="V1163" s="8" t="b">
        <v>0</v>
      </c>
      <c r="X1163" s="8" t="b">
        <v>0</v>
      </c>
      <c r="Y1163" s="8" t="b">
        <v>0</v>
      </c>
      <c r="Z1163" s="8" t="b">
        <v>0</v>
      </c>
      <c r="AA1163" s="8" t="b">
        <v>0</v>
      </c>
      <c r="AB1163" s="8" t="b">
        <v>0</v>
      </c>
      <c r="AC1163" s="8" t="b">
        <v>0</v>
      </c>
      <c r="AD1163" s="8" t="b">
        <v>0</v>
      </c>
      <c r="AE1163" s="8" t="b">
        <v>1</v>
      </c>
      <c r="AG1163" s="11" t="b" cm="1">
        <f t="array" ref="AG1163">IF(OR(Y1163:AA1163="TRUE", AE1163="true"), "Threatened")</f>
        <v>0</v>
      </c>
      <c r="AH1163" s="11" t="s">
        <v>3136</v>
      </c>
      <c r="AI1163" s="8" t="b">
        <v>1</v>
      </c>
    </row>
    <row r="1164" spans="1:35" ht="31.2">
      <c r="A1164" s="8">
        <v>-73.9677097</v>
      </c>
      <c r="B1164" s="8">
        <v>40.782535840000001</v>
      </c>
      <c r="C1164" s="8" t="s">
        <v>3137</v>
      </c>
      <c r="D1164" s="8" t="s">
        <v>95</v>
      </c>
      <c r="E1164" s="8" t="b">
        <f t="shared" si="18"/>
        <v>0</v>
      </c>
      <c r="F1164" s="8" t="str" cm="1">
        <f t="array" ref="F1164">_xlfn._xlws.FILTER(E1164:E4362, C1164:C4362= "6D-PM-1020-01", "No Squirrels Found")</f>
        <v>No Squirrels Found</v>
      </c>
      <c r="G1164" s="8" t="s">
        <v>48</v>
      </c>
      <c r="H1164" s="10">
        <v>10142018</v>
      </c>
      <c r="I1164" s="10">
        <v>2</v>
      </c>
      <c r="J1164" s="8" t="s">
        <v>39</v>
      </c>
      <c r="K1164" s="8" t="s">
        <v>40</v>
      </c>
      <c r="L1164" s="8" t="s">
        <v>41</v>
      </c>
      <c r="M1164" s="8" t="s">
        <v>42</v>
      </c>
      <c r="O1164" s="8" t="s">
        <v>50</v>
      </c>
      <c r="P1164" s="8">
        <v>50</v>
      </c>
      <c r="R1164" s="8" t="b">
        <v>1</v>
      </c>
      <c r="S1164" s="8" t="b">
        <v>1</v>
      </c>
      <c r="T1164" s="8" t="b">
        <v>1</v>
      </c>
      <c r="U1164" s="8" t="b">
        <v>0</v>
      </c>
      <c r="V1164" s="8" t="b">
        <v>1</v>
      </c>
      <c r="X1164" s="8" t="b">
        <v>0</v>
      </c>
      <c r="Y1164" s="8" t="b">
        <v>1</v>
      </c>
      <c r="Z1164" s="8" t="b">
        <v>0</v>
      </c>
      <c r="AA1164" s="8" t="b">
        <v>0</v>
      </c>
      <c r="AB1164" s="8" t="b">
        <v>0</v>
      </c>
      <c r="AC1164" s="8" t="b">
        <v>0</v>
      </c>
      <c r="AD1164" s="8" t="b">
        <v>0</v>
      </c>
      <c r="AE1164" s="8" t="b">
        <v>0</v>
      </c>
      <c r="AF1164" s="11" t="s">
        <v>3138</v>
      </c>
      <c r="AG1164" s="11" t="b" cm="1">
        <f t="array" ref="AG1164">IF(OR(Y1164:AA1164="TRUE", AE1164="true"), "Threatened")</f>
        <v>0</v>
      </c>
      <c r="AH1164" s="11" t="s">
        <v>3139</v>
      </c>
      <c r="AI1164" s="8" t="b">
        <v>1</v>
      </c>
    </row>
    <row r="1165" spans="1:35" ht="31.2">
      <c r="A1165" s="8">
        <v>-73.979022639999997</v>
      </c>
      <c r="B1165" s="8">
        <v>40.769899770000002</v>
      </c>
      <c r="C1165" s="8" t="s">
        <v>3140</v>
      </c>
      <c r="D1165" s="8" t="s">
        <v>889</v>
      </c>
      <c r="E1165" s="8" t="b">
        <f t="shared" si="18"/>
        <v>0</v>
      </c>
      <c r="F1165" s="8" t="str" cm="1">
        <f t="array" ref="F1165">_xlfn._xlws.FILTER(E1165:E4363, C1165:C4363= "6D-PM-1020-01", "No Squirrels Found")</f>
        <v>No Squirrels Found</v>
      </c>
      <c r="G1165" s="8" t="s">
        <v>48</v>
      </c>
      <c r="H1165" s="10">
        <v>10102018</v>
      </c>
      <c r="I1165" s="10">
        <v>1</v>
      </c>
      <c r="J1165" s="8" t="s">
        <v>39</v>
      </c>
      <c r="K1165" s="8" t="s">
        <v>40</v>
      </c>
      <c r="L1165" s="8" t="s">
        <v>1924</v>
      </c>
      <c r="M1165" s="8" t="s">
        <v>1925</v>
      </c>
      <c r="O1165" s="8" t="s">
        <v>50</v>
      </c>
      <c r="P1165" s="8">
        <v>2</v>
      </c>
      <c r="R1165" s="8" t="b">
        <v>0</v>
      </c>
      <c r="S1165" s="8" t="b">
        <v>0</v>
      </c>
      <c r="T1165" s="8" t="b">
        <v>1</v>
      </c>
      <c r="U1165" s="8" t="b">
        <v>0</v>
      </c>
      <c r="V1165" s="8" t="b">
        <v>0</v>
      </c>
      <c r="X1165" s="8" t="b">
        <v>0</v>
      </c>
      <c r="Y1165" s="8" t="b">
        <v>0</v>
      </c>
      <c r="Z1165" s="8" t="b">
        <v>0</v>
      </c>
      <c r="AA1165" s="8" t="b">
        <v>0</v>
      </c>
      <c r="AB1165" s="8" t="b">
        <v>1</v>
      </c>
      <c r="AC1165" s="8" t="b">
        <v>0</v>
      </c>
      <c r="AD1165" s="8" t="b">
        <v>1</v>
      </c>
      <c r="AE1165" s="8" t="b">
        <v>0</v>
      </c>
      <c r="AG1165" s="11" t="b" cm="1">
        <f t="array" ref="AG1165">IF(OR(Y1165:AA1165="TRUE", AE1165="true"), "Threatened")</f>
        <v>0</v>
      </c>
      <c r="AH1165" s="11" t="s">
        <v>3141</v>
      </c>
      <c r="AI1165" s="8" t="b">
        <v>1</v>
      </c>
    </row>
    <row r="1166" spans="1:35" ht="31.2">
      <c r="A1166" s="8">
        <v>-73.968950410000005</v>
      </c>
      <c r="B1166" s="8">
        <v>40.776677020000001</v>
      </c>
      <c r="C1166" s="8" t="s">
        <v>3142</v>
      </c>
      <c r="D1166" s="8" t="s">
        <v>239</v>
      </c>
      <c r="E1166" s="8" t="b">
        <f t="shared" si="18"/>
        <v>0</v>
      </c>
      <c r="F1166" s="8" t="str" cm="1">
        <f t="array" ref="F1166">_xlfn._xlws.FILTER(E1166:E4364, C1166:C4364= "6D-PM-1020-01", "No Squirrels Found")</f>
        <v>No Squirrels Found</v>
      </c>
      <c r="G1166" s="8" t="s">
        <v>34</v>
      </c>
      <c r="H1166" s="10">
        <v>10122018</v>
      </c>
      <c r="I1166" s="10">
        <v>5</v>
      </c>
      <c r="J1166" s="8" t="s">
        <v>39</v>
      </c>
      <c r="K1166" s="8" t="s">
        <v>41</v>
      </c>
      <c r="L1166" s="8" t="s">
        <v>135</v>
      </c>
      <c r="M1166" s="8" t="s">
        <v>136</v>
      </c>
      <c r="O1166" s="8" t="s">
        <v>50</v>
      </c>
      <c r="P1166" s="8">
        <v>2</v>
      </c>
      <c r="Q1166" s="8" t="s">
        <v>3143</v>
      </c>
      <c r="R1166" s="8" t="b">
        <v>1</v>
      </c>
      <c r="S1166" s="8" t="b">
        <v>0</v>
      </c>
      <c r="T1166" s="8" t="b">
        <v>0</v>
      </c>
      <c r="U1166" s="8" t="b">
        <v>1</v>
      </c>
      <c r="V1166" s="8" t="b">
        <v>0</v>
      </c>
      <c r="W1166" s="11" t="s">
        <v>141</v>
      </c>
      <c r="X1166" s="8" t="b">
        <v>0</v>
      </c>
      <c r="Y1166" s="8" t="b">
        <v>0</v>
      </c>
      <c r="Z1166" s="8" t="b">
        <v>0</v>
      </c>
      <c r="AA1166" s="8" t="b">
        <v>0</v>
      </c>
      <c r="AB1166" s="8" t="b">
        <v>0</v>
      </c>
      <c r="AC1166" s="8" t="b">
        <v>0</v>
      </c>
      <c r="AD1166" s="8" t="b">
        <v>0</v>
      </c>
      <c r="AE1166" s="8" t="b">
        <v>0</v>
      </c>
      <c r="AF1166" s="11" t="s">
        <v>3144</v>
      </c>
      <c r="AG1166" s="11" t="b" cm="1">
        <f t="array" ref="AG1166">IF(OR(Y1166:AA1166="TRUE", AE1166="true"), "Threatened")</f>
        <v>0</v>
      </c>
      <c r="AH1166" s="11" t="s">
        <v>3145</v>
      </c>
      <c r="AI1166" s="8" t="b">
        <v>0</v>
      </c>
    </row>
    <row r="1167" spans="1:35" ht="31.2">
      <c r="A1167" s="8">
        <v>-73.980048120000006</v>
      </c>
      <c r="B1167" s="8">
        <v>40.76766387</v>
      </c>
      <c r="C1167" s="8" t="s">
        <v>3146</v>
      </c>
      <c r="D1167" s="8" t="s">
        <v>855</v>
      </c>
      <c r="E1167" s="8" t="b">
        <f t="shared" si="18"/>
        <v>0</v>
      </c>
      <c r="F1167" s="8" t="str" cm="1">
        <f t="array" ref="F1167">_xlfn._xlws.FILTER(E1167:E4365, C1167:C4365= "6D-PM-1020-01", "No Squirrels Found")</f>
        <v>No Squirrels Found</v>
      </c>
      <c r="G1167" s="8" t="s">
        <v>48</v>
      </c>
      <c r="H1167" s="10">
        <v>10122018</v>
      </c>
      <c r="I1167" s="10">
        <v>6</v>
      </c>
      <c r="J1167" s="8" t="s">
        <v>39</v>
      </c>
      <c r="K1167" s="8" t="s">
        <v>40</v>
      </c>
      <c r="L1167" s="8" t="s">
        <v>41</v>
      </c>
      <c r="M1167" s="8" t="s">
        <v>42</v>
      </c>
      <c r="O1167" s="8" t="s">
        <v>43</v>
      </c>
      <c r="P1167" s="8" t="b">
        <v>0</v>
      </c>
      <c r="R1167" s="8" t="b">
        <v>0</v>
      </c>
      <c r="S1167" s="8" t="b">
        <v>1</v>
      </c>
      <c r="T1167" s="8" t="b">
        <v>1</v>
      </c>
      <c r="U1167" s="8" t="b">
        <v>0</v>
      </c>
      <c r="V1167" s="8" t="b">
        <v>0</v>
      </c>
      <c r="X1167" s="8" t="b">
        <v>0</v>
      </c>
      <c r="Y1167" s="8" t="b">
        <v>0</v>
      </c>
      <c r="Z1167" s="8" t="b">
        <v>0</v>
      </c>
      <c r="AA1167" s="8" t="b">
        <v>0</v>
      </c>
      <c r="AB1167" s="8" t="b">
        <v>0</v>
      </c>
      <c r="AC1167" s="8" t="b">
        <v>0</v>
      </c>
      <c r="AD1167" s="8" t="b">
        <v>1</v>
      </c>
      <c r="AE1167" s="8" t="b">
        <v>0</v>
      </c>
      <c r="AG1167" s="11" t="b" cm="1">
        <f t="array" ref="AG1167">IF(OR(Y1167:AA1167="TRUE", AE1167="true"), "Threatened")</f>
        <v>0</v>
      </c>
      <c r="AH1167" s="11" t="s">
        <v>3147</v>
      </c>
      <c r="AI1167" s="8" t="b">
        <v>1</v>
      </c>
    </row>
    <row r="1168" spans="1:35" ht="31.2">
      <c r="A1168" s="8">
        <v>-73.959324440000003</v>
      </c>
      <c r="B1168" s="8">
        <v>40.794964729999997</v>
      </c>
      <c r="C1168" s="8" t="s">
        <v>3148</v>
      </c>
      <c r="D1168" s="8" t="s">
        <v>1262</v>
      </c>
      <c r="E1168" s="8" t="b">
        <f t="shared" si="18"/>
        <v>0</v>
      </c>
      <c r="F1168" s="8" t="str" cm="1">
        <f t="array" ref="F1168">_xlfn._xlws.FILTER(E1168:E4366, C1168:C4366= "6D-PM-1020-01", "No Squirrels Found")</f>
        <v>No Squirrels Found</v>
      </c>
      <c r="G1168" s="8" t="s">
        <v>34</v>
      </c>
      <c r="H1168" s="10">
        <v>10132018</v>
      </c>
      <c r="I1168" s="10">
        <v>3</v>
      </c>
      <c r="J1168" s="8" t="s">
        <v>39</v>
      </c>
      <c r="K1168" s="8" t="s">
        <v>40</v>
      </c>
      <c r="M1168" s="8" t="s">
        <v>55</v>
      </c>
      <c r="O1168" s="8" t="s">
        <v>43</v>
      </c>
      <c r="P1168" s="8" t="b">
        <v>0</v>
      </c>
      <c r="Q1168" s="8" t="s">
        <v>2450</v>
      </c>
      <c r="R1168" s="8" t="b">
        <v>0</v>
      </c>
      <c r="S1168" s="8" t="b">
        <v>1</v>
      </c>
      <c r="T1168" s="8" t="b">
        <v>0</v>
      </c>
      <c r="U1168" s="8" t="b">
        <v>1</v>
      </c>
      <c r="V1168" s="8" t="b">
        <v>1</v>
      </c>
      <c r="X1168" s="8" t="b">
        <v>0</v>
      </c>
      <c r="Y1168" s="8" t="b">
        <v>0</v>
      </c>
      <c r="Z1168" s="8" t="b">
        <v>0</v>
      </c>
      <c r="AA1168" s="8" t="b">
        <v>0</v>
      </c>
      <c r="AB1168" s="8" t="b">
        <v>1</v>
      </c>
      <c r="AC1168" s="8" t="b">
        <v>0</v>
      </c>
      <c r="AD1168" s="8" t="b">
        <v>1</v>
      </c>
      <c r="AE1168" s="8" t="b">
        <v>0</v>
      </c>
      <c r="AG1168" s="11" t="b" cm="1">
        <f t="array" ref="AG1168">IF(OR(Y1168:AA1168="TRUE", AE1168="true"), "Threatened")</f>
        <v>0</v>
      </c>
      <c r="AH1168" s="11" t="s">
        <v>3149</v>
      </c>
      <c r="AI1168" s="8" t="b">
        <v>1</v>
      </c>
    </row>
    <row r="1169" spans="1:35" ht="31.2">
      <c r="A1169" s="8">
        <v>-73.977987440000007</v>
      </c>
      <c r="B1169" s="8">
        <v>40.773076539999998</v>
      </c>
      <c r="C1169" s="8" t="s">
        <v>3150</v>
      </c>
      <c r="D1169" s="8" t="s">
        <v>503</v>
      </c>
      <c r="E1169" s="8" t="b">
        <f t="shared" si="18"/>
        <v>0</v>
      </c>
      <c r="F1169" s="8" t="str" cm="1">
        <f t="array" ref="F1169">_xlfn._xlws.FILTER(E1169:E4367, C1169:C4367= "6D-PM-1020-01", "No Squirrels Found")</f>
        <v>No Squirrels Found</v>
      </c>
      <c r="G1169" s="8" t="s">
        <v>34</v>
      </c>
      <c r="H1169" s="10">
        <v>10072018</v>
      </c>
      <c r="I1169" s="10">
        <v>2</v>
      </c>
      <c r="J1169" s="8" t="s">
        <v>39</v>
      </c>
      <c r="K1169" s="8" t="s">
        <v>40</v>
      </c>
      <c r="L1169" s="8" t="s">
        <v>41</v>
      </c>
      <c r="M1169" s="8" t="s">
        <v>42</v>
      </c>
      <c r="O1169" s="8" t="s">
        <v>50</v>
      </c>
      <c r="P1169" s="8">
        <v>10</v>
      </c>
      <c r="R1169" s="8" t="b">
        <v>0</v>
      </c>
      <c r="S1169" s="8" t="b">
        <v>0</v>
      </c>
      <c r="T1169" s="8" t="b">
        <v>1</v>
      </c>
      <c r="U1169" s="8" t="b">
        <v>0</v>
      </c>
      <c r="V1169" s="8" t="b">
        <v>0</v>
      </c>
      <c r="X1169" s="8" t="b">
        <v>0</v>
      </c>
      <c r="Y1169" s="8" t="b">
        <v>0</v>
      </c>
      <c r="Z1169" s="8" t="b">
        <v>0</v>
      </c>
      <c r="AA1169" s="8" t="b">
        <v>0</v>
      </c>
      <c r="AB1169" s="8" t="b">
        <v>0</v>
      </c>
      <c r="AC1169" s="8" t="b">
        <v>0</v>
      </c>
      <c r="AD1169" s="8" t="b">
        <v>0</v>
      </c>
      <c r="AE1169" s="8" t="b">
        <v>0</v>
      </c>
      <c r="AG1169" s="11" t="b" cm="1">
        <f t="array" ref="AG1169">IF(OR(Y1169:AA1169="TRUE", AE1169="true"), "Threatened")</f>
        <v>0</v>
      </c>
      <c r="AH1169" s="11" t="s">
        <v>3151</v>
      </c>
      <c r="AI1169" s="8" t="b">
        <v>1</v>
      </c>
    </row>
    <row r="1170" spans="1:35" ht="31.2">
      <c r="A1170" s="8">
        <v>-73.957039190000003</v>
      </c>
      <c r="B1170" s="8">
        <v>40.793069719999998</v>
      </c>
      <c r="C1170" s="8" t="s">
        <v>3152</v>
      </c>
      <c r="D1170" s="8" t="s">
        <v>2049</v>
      </c>
      <c r="E1170" s="8" t="b">
        <f t="shared" si="18"/>
        <v>0</v>
      </c>
      <c r="F1170" s="8" t="str" cm="1">
        <f t="array" ref="F1170">_xlfn._xlws.FILTER(E1170:E4368, C1170:C4368= "6D-PM-1020-01", "No Squirrels Found")</f>
        <v>No Squirrels Found</v>
      </c>
      <c r="G1170" s="8" t="s">
        <v>48</v>
      </c>
      <c r="H1170" s="10">
        <v>10072018</v>
      </c>
      <c r="I1170" s="10">
        <v>1</v>
      </c>
      <c r="J1170" s="8" t="s">
        <v>39</v>
      </c>
      <c r="K1170" s="8" t="s">
        <v>40</v>
      </c>
      <c r="L1170" s="8" t="s">
        <v>41</v>
      </c>
      <c r="M1170" s="8" t="s">
        <v>42</v>
      </c>
      <c r="O1170" s="8" t="s">
        <v>43</v>
      </c>
      <c r="P1170" s="8" t="b">
        <v>0</v>
      </c>
      <c r="R1170" s="8" t="b">
        <v>0</v>
      </c>
      <c r="S1170" s="8" t="b">
        <v>0</v>
      </c>
      <c r="T1170" s="8" t="b">
        <v>0</v>
      </c>
      <c r="U1170" s="8" t="b">
        <v>1</v>
      </c>
      <c r="V1170" s="8" t="b">
        <v>1</v>
      </c>
      <c r="X1170" s="8" t="b">
        <v>0</v>
      </c>
      <c r="Y1170" s="8" t="b">
        <v>0</v>
      </c>
      <c r="Z1170" s="8" t="b">
        <v>0</v>
      </c>
      <c r="AA1170" s="8" t="b">
        <v>0</v>
      </c>
      <c r="AB1170" s="8" t="b">
        <v>1</v>
      </c>
      <c r="AC1170" s="8" t="b">
        <v>0</v>
      </c>
      <c r="AD1170" s="8" t="b">
        <v>1</v>
      </c>
      <c r="AE1170" s="8" t="b">
        <v>0</v>
      </c>
      <c r="AG1170" s="11" t="b" cm="1">
        <f t="array" ref="AG1170">IF(OR(Y1170:AA1170="TRUE", AE1170="true"), "Threatened")</f>
        <v>0</v>
      </c>
      <c r="AH1170" s="11" t="s">
        <v>3153</v>
      </c>
      <c r="AI1170" s="8" t="b">
        <v>1</v>
      </c>
    </row>
    <row r="1171" spans="1:35" ht="31.2">
      <c r="A1171" s="8">
        <v>-73.964790410000006</v>
      </c>
      <c r="B1171" s="8">
        <v>40.791158899999999</v>
      </c>
      <c r="C1171" s="8" t="s">
        <v>3154</v>
      </c>
      <c r="D1171" s="8" t="s">
        <v>1613</v>
      </c>
      <c r="E1171" s="8" t="b">
        <f t="shared" si="18"/>
        <v>0</v>
      </c>
      <c r="F1171" s="8" t="str" cm="1">
        <f t="array" ref="F1171">_xlfn._xlws.FILTER(E1171:E4369, C1171:C4369= "6D-PM-1020-01", "No Squirrels Found")</f>
        <v>No Squirrels Found</v>
      </c>
      <c r="G1171" s="8" t="s">
        <v>34</v>
      </c>
      <c r="H1171" s="10">
        <v>10202018</v>
      </c>
      <c r="I1171" s="10">
        <v>2</v>
      </c>
      <c r="J1171" s="8" t="s">
        <v>39</v>
      </c>
      <c r="K1171" s="8" t="s">
        <v>40</v>
      </c>
      <c r="L1171" s="8" t="s">
        <v>117</v>
      </c>
      <c r="M1171" s="8" t="s">
        <v>118</v>
      </c>
      <c r="N1171" s="11" t="s">
        <v>3155</v>
      </c>
      <c r="O1171" s="8" t="s">
        <v>43</v>
      </c>
      <c r="P1171" s="8" t="b">
        <v>0</v>
      </c>
      <c r="Q1171" s="8" t="s">
        <v>1311</v>
      </c>
      <c r="R1171" s="8" t="b">
        <v>0</v>
      </c>
      <c r="S1171" s="8" t="b">
        <v>0</v>
      </c>
      <c r="T1171" s="8" t="b">
        <v>0</v>
      </c>
      <c r="U1171" s="8" t="b">
        <v>1</v>
      </c>
      <c r="V1171" s="8" t="b">
        <v>0</v>
      </c>
      <c r="X1171" s="8" t="b">
        <v>0</v>
      </c>
      <c r="Y1171" s="8" t="b">
        <v>0</v>
      </c>
      <c r="Z1171" s="8" t="b">
        <v>0</v>
      </c>
      <c r="AA1171" s="8" t="b">
        <v>0</v>
      </c>
      <c r="AB1171" s="8" t="b">
        <v>0</v>
      </c>
      <c r="AC1171" s="8" t="b">
        <v>0</v>
      </c>
      <c r="AD1171" s="8" t="b">
        <v>0</v>
      </c>
      <c r="AE1171" s="8" t="b">
        <v>1</v>
      </c>
      <c r="AG1171" s="11" t="b" cm="1">
        <f t="array" ref="AG1171">IF(OR(Y1171:AA1171="TRUE", AE1171="true"), "Threatened")</f>
        <v>0</v>
      </c>
      <c r="AH1171" s="11" t="s">
        <v>3156</v>
      </c>
      <c r="AI1171" s="8" t="b">
        <v>1</v>
      </c>
    </row>
    <row r="1172" spans="1:35" ht="31.2">
      <c r="A1172" s="8">
        <v>-73.957347760000005</v>
      </c>
      <c r="B1172" s="8">
        <v>40.797173409999999</v>
      </c>
      <c r="C1172" s="8" t="s">
        <v>3157</v>
      </c>
      <c r="D1172" s="8" t="s">
        <v>233</v>
      </c>
      <c r="E1172" s="8" t="b">
        <f t="shared" si="18"/>
        <v>0</v>
      </c>
      <c r="F1172" s="8" t="str" cm="1">
        <f t="array" ref="F1172">_xlfn._xlws.FILTER(E1172:E4370, C1172:C4370= "6D-PM-1020-01", "No Squirrels Found")</f>
        <v>No Squirrels Found</v>
      </c>
      <c r="G1172" s="8" t="s">
        <v>48</v>
      </c>
      <c r="H1172" s="10">
        <v>10172018</v>
      </c>
      <c r="I1172" s="10">
        <v>1</v>
      </c>
      <c r="J1172" s="8" t="s">
        <v>39</v>
      </c>
      <c r="K1172" s="8" t="s">
        <v>40</v>
      </c>
      <c r="M1172" s="8" t="s">
        <v>55</v>
      </c>
      <c r="O1172" s="8" t="s">
        <v>43</v>
      </c>
      <c r="P1172" s="8" t="b">
        <v>0</v>
      </c>
      <c r="R1172" s="8" t="b">
        <v>1</v>
      </c>
      <c r="S1172" s="8" t="b">
        <v>0</v>
      </c>
      <c r="T1172" s="8" t="b">
        <v>0</v>
      </c>
      <c r="U1172" s="8" t="b">
        <v>0</v>
      </c>
      <c r="V1172" s="8" t="b">
        <v>0</v>
      </c>
      <c r="X1172" s="8" t="b">
        <v>0</v>
      </c>
      <c r="Y1172" s="8" t="b">
        <v>0</v>
      </c>
      <c r="Z1172" s="8" t="b">
        <v>0</v>
      </c>
      <c r="AA1172" s="8" t="b">
        <v>0</v>
      </c>
      <c r="AB1172" s="8" t="b">
        <v>0</v>
      </c>
      <c r="AC1172" s="8" t="b">
        <v>0</v>
      </c>
      <c r="AD1172" s="8" t="b">
        <v>1</v>
      </c>
      <c r="AE1172" s="8" t="b">
        <v>0</v>
      </c>
      <c r="AG1172" s="11" t="b" cm="1">
        <f t="array" ref="AG1172">IF(OR(Y1172:AA1172="TRUE", AE1172="true"), "Threatened")</f>
        <v>0</v>
      </c>
      <c r="AH1172" s="11" t="s">
        <v>3158</v>
      </c>
      <c r="AI1172" s="8" t="b">
        <v>1</v>
      </c>
    </row>
    <row r="1173" spans="1:35" ht="31.2">
      <c r="A1173" s="8">
        <v>-73.970692929999998</v>
      </c>
      <c r="B1173" s="8">
        <v>40.772784110000003</v>
      </c>
      <c r="C1173" s="8" t="s">
        <v>3159</v>
      </c>
      <c r="D1173" s="8" t="s">
        <v>609</v>
      </c>
      <c r="E1173" s="8" t="b">
        <f t="shared" si="18"/>
        <v>0</v>
      </c>
      <c r="F1173" s="8" t="str" cm="1">
        <f t="array" ref="F1173">_xlfn._xlws.FILTER(E1173:E4371, C1173:C4371= "6D-PM-1020-01", "No Squirrels Found")</f>
        <v>No Squirrels Found</v>
      </c>
      <c r="G1173" s="8" t="s">
        <v>48</v>
      </c>
      <c r="H1173" s="10">
        <v>10062018</v>
      </c>
      <c r="I1173" s="10">
        <v>6</v>
      </c>
      <c r="J1173" s="8" t="s">
        <v>54</v>
      </c>
      <c r="K1173" s="8" t="s">
        <v>40</v>
      </c>
      <c r="M1173" s="8" t="s">
        <v>55</v>
      </c>
      <c r="N1173" s="11" t="s">
        <v>3160</v>
      </c>
      <c r="O1173" s="8" t="s">
        <v>43</v>
      </c>
      <c r="P1173" s="8" t="b">
        <v>0</v>
      </c>
      <c r="R1173" s="8" t="b">
        <v>0</v>
      </c>
      <c r="S1173" s="8" t="b">
        <v>1</v>
      </c>
      <c r="T1173" s="8" t="b">
        <v>0</v>
      </c>
      <c r="U1173" s="8" t="b">
        <v>0</v>
      </c>
      <c r="V1173" s="8" t="b">
        <v>0</v>
      </c>
      <c r="W1173" s="11" t="s">
        <v>3161</v>
      </c>
      <c r="X1173" s="8" t="b">
        <v>1</v>
      </c>
      <c r="Y1173" s="8" t="b">
        <v>0</v>
      </c>
      <c r="Z1173" s="8" t="b">
        <v>0</v>
      </c>
      <c r="AA1173" s="8" t="b">
        <v>0</v>
      </c>
      <c r="AB1173" s="8" t="b">
        <v>0</v>
      </c>
      <c r="AC1173" s="8" t="b">
        <v>0</v>
      </c>
      <c r="AD1173" s="8" t="b">
        <v>0</v>
      </c>
      <c r="AE1173" s="8" t="b">
        <v>0</v>
      </c>
      <c r="AG1173" s="11" t="b" cm="1">
        <f t="array" ref="AG1173">IF(OR(Y1173:AA1173="TRUE", AE1173="true"), "Threatened")</f>
        <v>0</v>
      </c>
      <c r="AH1173" s="11" t="s">
        <v>3162</v>
      </c>
      <c r="AI1173" s="8" t="b">
        <v>0</v>
      </c>
    </row>
    <row r="1174" spans="1:35" ht="31.2">
      <c r="A1174" s="8">
        <v>-73.959070749999995</v>
      </c>
      <c r="B1174" s="8">
        <v>40.790667509999999</v>
      </c>
      <c r="C1174" s="8" t="s">
        <v>3163</v>
      </c>
      <c r="D1174" s="8" t="s">
        <v>75</v>
      </c>
      <c r="E1174" s="8" t="b">
        <f t="shared" si="18"/>
        <v>0</v>
      </c>
      <c r="F1174" s="8" t="str" cm="1">
        <f t="array" ref="F1174">_xlfn._xlws.FILTER(E1174:E4372, C1174:C4372= "6D-PM-1020-01", "No Squirrels Found")</f>
        <v>No Squirrels Found</v>
      </c>
      <c r="G1174" s="8" t="s">
        <v>34</v>
      </c>
      <c r="H1174" s="10">
        <v>10172018</v>
      </c>
      <c r="I1174" s="10">
        <v>7</v>
      </c>
      <c r="J1174" s="8" t="s">
        <v>39</v>
      </c>
      <c r="K1174" s="8" t="s">
        <v>40</v>
      </c>
      <c r="M1174" s="8" t="s">
        <v>55</v>
      </c>
      <c r="O1174" s="8" t="s">
        <v>43</v>
      </c>
      <c r="P1174" s="8" t="b">
        <v>0</v>
      </c>
      <c r="Q1174" s="8" t="s">
        <v>823</v>
      </c>
      <c r="R1174" s="8" t="b">
        <v>0</v>
      </c>
      <c r="S1174" s="8" t="b">
        <v>0</v>
      </c>
      <c r="T1174" s="8" t="b">
        <v>1</v>
      </c>
      <c r="U1174" s="8" t="b">
        <v>0</v>
      </c>
      <c r="V1174" s="8" t="b">
        <v>0</v>
      </c>
      <c r="X1174" s="8" t="b">
        <v>0</v>
      </c>
      <c r="Y1174" s="8" t="b">
        <v>0</v>
      </c>
      <c r="Z1174" s="8" t="b">
        <v>0</v>
      </c>
      <c r="AA1174" s="8" t="b">
        <v>0</v>
      </c>
      <c r="AB1174" s="8" t="b">
        <v>0</v>
      </c>
      <c r="AC1174" s="8" t="b">
        <v>0</v>
      </c>
      <c r="AD1174" s="8" t="b">
        <v>0</v>
      </c>
      <c r="AE1174" s="8" t="b">
        <v>1</v>
      </c>
      <c r="AG1174" s="11" t="b" cm="1">
        <f t="array" ref="AG1174">IF(OR(Y1174:AA1174="TRUE", AE1174="true"), "Threatened")</f>
        <v>0</v>
      </c>
      <c r="AH1174" s="11" t="s">
        <v>3164</v>
      </c>
      <c r="AI1174" s="8" t="b">
        <v>1</v>
      </c>
    </row>
    <row r="1175" spans="1:35" ht="31.2">
      <c r="A1175" s="8">
        <v>-73.968206710000004</v>
      </c>
      <c r="B1175" s="8">
        <v>40.777991120000003</v>
      </c>
      <c r="C1175" s="8" t="s">
        <v>3165</v>
      </c>
      <c r="D1175" s="8" t="s">
        <v>271</v>
      </c>
      <c r="E1175" s="8" t="b">
        <f t="shared" si="18"/>
        <v>0</v>
      </c>
      <c r="F1175" s="8" t="str" cm="1">
        <f t="array" ref="F1175">_xlfn._xlws.FILTER(E1175:E4373, C1175:C4373= "6D-PM-1020-01", "No Squirrels Found")</f>
        <v>No Squirrels Found</v>
      </c>
      <c r="G1175" s="8" t="s">
        <v>34</v>
      </c>
      <c r="H1175" s="10">
        <v>10182018</v>
      </c>
      <c r="I1175" s="10">
        <v>5</v>
      </c>
      <c r="J1175" s="8" t="s">
        <v>39</v>
      </c>
      <c r="K1175" s="8" t="s">
        <v>40</v>
      </c>
      <c r="L1175" s="8" t="s">
        <v>41</v>
      </c>
      <c r="M1175" s="8" t="s">
        <v>42</v>
      </c>
      <c r="O1175" s="8" t="s">
        <v>43</v>
      </c>
      <c r="P1175" s="8" t="b">
        <v>0</v>
      </c>
      <c r="R1175" s="8" t="b">
        <v>0</v>
      </c>
      <c r="S1175" s="8" t="b">
        <v>0</v>
      </c>
      <c r="T1175" s="8" t="b">
        <v>0</v>
      </c>
      <c r="U1175" s="8" t="b">
        <v>0</v>
      </c>
      <c r="V1175" s="8" t="b">
        <v>0</v>
      </c>
      <c r="W1175" s="11" t="s">
        <v>1433</v>
      </c>
      <c r="X1175" s="8" t="b">
        <v>0</v>
      </c>
      <c r="Y1175" s="8" t="b">
        <v>0</v>
      </c>
      <c r="Z1175" s="8" t="b">
        <v>0</v>
      </c>
      <c r="AA1175" s="8" t="b">
        <v>1</v>
      </c>
      <c r="AB1175" s="8" t="b">
        <v>0</v>
      </c>
      <c r="AC1175" s="8" t="b">
        <v>1</v>
      </c>
      <c r="AD1175" s="8" t="b">
        <v>0</v>
      </c>
      <c r="AE1175" s="8" t="b">
        <v>0</v>
      </c>
      <c r="AF1175" s="11" t="s">
        <v>3166</v>
      </c>
      <c r="AG1175" s="11" t="b" cm="1">
        <f t="array" ref="AG1175">IF(OR(Y1175:AA1175="TRUE", AE1175="true"), "Threatened")</f>
        <v>0</v>
      </c>
      <c r="AH1175" s="11" t="s">
        <v>3167</v>
      </c>
      <c r="AI1175" s="8" t="b">
        <v>0</v>
      </c>
    </row>
    <row r="1176" spans="1:35" ht="31.2">
      <c r="A1176" s="8">
        <v>-73.980328270000001</v>
      </c>
      <c r="B1176" s="8">
        <v>40.768080990000001</v>
      </c>
      <c r="C1176" s="8" t="s">
        <v>3168</v>
      </c>
      <c r="D1176" s="8" t="s">
        <v>855</v>
      </c>
      <c r="E1176" s="8" t="b">
        <f t="shared" si="18"/>
        <v>0</v>
      </c>
      <c r="F1176" s="8" t="str" cm="1">
        <f t="array" ref="F1176">_xlfn._xlws.FILTER(E1176:E4374, C1176:C4374= "6D-PM-1020-01", "No Squirrels Found")</f>
        <v>No Squirrels Found</v>
      </c>
      <c r="G1176" s="8" t="s">
        <v>34</v>
      </c>
      <c r="H1176" s="10">
        <v>10192018</v>
      </c>
      <c r="I1176" s="10">
        <v>9</v>
      </c>
      <c r="J1176" s="8" t="s">
        <v>39</v>
      </c>
      <c r="K1176" s="8" t="s">
        <v>40</v>
      </c>
      <c r="L1176" s="8" t="s">
        <v>84</v>
      </c>
      <c r="M1176" s="8" t="s">
        <v>103</v>
      </c>
      <c r="O1176" s="8" t="s">
        <v>43</v>
      </c>
      <c r="P1176" s="8" t="b">
        <v>0</v>
      </c>
      <c r="Q1176" s="8" t="s">
        <v>3169</v>
      </c>
      <c r="R1176" s="8" t="b">
        <v>0</v>
      </c>
      <c r="S1176" s="8" t="b">
        <v>0</v>
      </c>
      <c r="T1176" s="8" t="b">
        <v>0</v>
      </c>
      <c r="U1176" s="8" t="b">
        <v>0</v>
      </c>
      <c r="V1176" s="8" t="b">
        <v>1</v>
      </c>
      <c r="X1176" s="8" t="b">
        <v>0</v>
      </c>
      <c r="Y1176" s="8" t="b">
        <v>0</v>
      </c>
      <c r="Z1176" s="8" t="b">
        <v>0</v>
      </c>
      <c r="AA1176" s="8" t="b">
        <v>1</v>
      </c>
      <c r="AB1176" s="8" t="b">
        <v>0</v>
      </c>
      <c r="AC1176" s="8" t="b">
        <v>0</v>
      </c>
      <c r="AD1176" s="8" t="b">
        <v>1</v>
      </c>
      <c r="AE1176" s="8" t="b">
        <v>0</v>
      </c>
      <c r="AG1176" s="11" t="b" cm="1">
        <f t="array" ref="AG1176">IF(OR(Y1176:AA1176="TRUE", AE1176="true"), "Threatened")</f>
        <v>0</v>
      </c>
      <c r="AH1176" s="11" t="s">
        <v>3170</v>
      </c>
      <c r="AI1176" s="8" t="b">
        <v>1</v>
      </c>
    </row>
    <row r="1177" spans="1:35" ht="31.2">
      <c r="A1177" s="8">
        <v>-73.955326319999998</v>
      </c>
      <c r="B1177" s="8">
        <v>40.797559210000003</v>
      </c>
      <c r="C1177" s="8" t="s">
        <v>3171</v>
      </c>
      <c r="D1177" s="8" t="s">
        <v>439</v>
      </c>
      <c r="E1177" s="8" t="b">
        <f t="shared" si="18"/>
        <v>0</v>
      </c>
      <c r="F1177" s="8" t="str" cm="1">
        <f t="array" ref="F1177">_xlfn._xlws.FILTER(E1177:E4375, C1177:C4375= "6D-PM-1020-01", "No Squirrels Found")</f>
        <v>No Squirrels Found</v>
      </c>
      <c r="G1177" s="8" t="s">
        <v>34</v>
      </c>
      <c r="H1177" s="10">
        <v>10132018</v>
      </c>
      <c r="I1177" s="10">
        <v>4</v>
      </c>
      <c r="J1177" s="8" t="s">
        <v>39</v>
      </c>
      <c r="K1177" s="8" t="s">
        <v>40</v>
      </c>
      <c r="L1177" s="8" t="s">
        <v>41</v>
      </c>
      <c r="M1177" s="8" t="s">
        <v>42</v>
      </c>
      <c r="O1177" s="8" t="s">
        <v>43</v>
      </c>
      <c r="P1177" s="8" t="b">
        <v>0</v>
      </c>
      <c r="R1177" s="8" t="b">
        <v>1</v>
      </c>
      <c r="S1177" s="8" t="b">
        <v>0</v>
      </c>
      <c r="T1177" s="8" t="b">
        <v>0</v>
      </c>
      <c r="U1177" s="8" t="b">
        <v>0</v>
      </c>
      <c r="V1177" s="8" t="b">
        <v>0</v>
      </c>
      <c r="X1177" s="8" t="b">
        <v>0</v>
      </c>
      <c r="Y1177" s="8" t="b">
        <v>0</v>
      </c>
      <c r="Z1177" s="8" t="b">
        <v>0</v>
      </c>
      <c r="AA1177" s="8" t="b">
        <v>0</v>
      </c>
      <c r="AB1177" s="8" t="b">
        <v>0</v>
      </c>
      <c r="AC1177" s="8" t="b">
        <v>0</v>
      </c>
      <c r="AD1177" s="8" t="b">
        <v>0</v>
      </c>
      <c r="AE1177" s="8" t="b">
        <v>1</v>
      </c>
      <c r="AG1177" s="11" t="b" cm="1">
        <f t="array" ref="AG1177">IF(OR(Y1177:AA1177="TRUE", AE1177="true"), "Threatened")</f>
        <v>0</v>
      </c>
      <c r="AH1177" s="11" t="s">
        <v>3172</v>
      </c>
      <c r="AI1177" s="8" t="b">
        <v>1</v>
      </c>
    </row>
    <row r="1178" spans="1:35" ht="31.2">
      <c r="A1178" s="8">
        <v>-73.980789819999998</v>
      </c>
      <c r="B1178" s="8">
        <v>40.768215820000002</v>
      </c>
      <c r="C1178" s="8" t="s">
        <v>3173</v>
      </c>
      <c r="D1178" s="8" t="s">
        <v>1780</v>
      </c>
      <c r="E1178" s="8" t="b">
        <f t="shared" si="18"/>
        <v>0</v>
      </c>
      <c r="F1178" s="8" t="str" cm="1">
        <f t="array" ref="F1178">_xlfn._xlws.FILTER(E1178:E4376, C1178:C4376= "6D-PM-1020-01", "No Squirrels Found")</f>
        <v>No Squirrels Found</v>
      </c>
      <c r="G1178" s="8" t="s">
        <v>34</v>
      </c>
      <c r="H1178" s="10">
        <v>10142018</v>
      </c>
      <c r="I1178" s="10">
        <v>4</v>
      </c>
      <c r="J1178" s="8" t="s">
        <v>39</v>
      </c>
      <c r="K1178" s="8" t="s">
        <v>41</v>
      </c>
      <c r="L1178" s="8" t="s">
        <v>84</v>
      </c>
      <c r="M1178" s="8" t="s">
        <v>85</v>
      </c>
      <c r="O1178" s="8" t="s">
        <v>43</v>
      </c>
      <c r="P1178" s="8" t="b">
        <v>0</v>
      </c>
      <c r="R1178" s="8" t="b">
        <v>0</v>
      </c>
      <c r="S1178" s="8" t="b">
        <v>0</v>
      </c>
      <c r="T1178" s="8" t="b">
        <v>0</v>
      </c>
      <c r="U1178" s="8" t="b">
        <v>0</v>
      </c>
      <c r="V1178" s="8" t="b">
        <v>1</v>
      </c>
      <c r="X1178" s="8" t="b">
        <v>0</v>
      </c>
      <c r="Y1178" s="8" t="b">
        <v>0</v>
      </c>
      <c r="Z1178" s="8" t="b">
        <v>0</v>
      </c>
      <c r="AA1178" s="8" t="b">
        <v>0</v>
      </c>
      <c r="AB1178" s="8" t="b">
        <v>0</v>
      </c>
      <c r="AC1178" s="8" t="b">
        <v>0</v>
      </c>
      <c r="AD1178" s="8" t="b">
        <v>1</v>
      </c>
      <c r="AE1178" s="8" t="b">
        <v>0</v>
      </c>
      <c r="AG1178" s="11" t="b" cm="1">
        <f t="array" ref="AG1178">IF(OR(Y1178:AA1178="TRUE", AE1178="true"), "Threatened")</f>
        <v>0</v>
      </c>
      <c r="AH1178" s="11" t="s">
        <v>3174</v>
      </c>
      <c r="AI1178" s="8" t="b">
        <v>1</v>
      </c>
    </row>
    <row r="1179" spans="1:35" ht="31.2">
      <c r="A1179" s="8">
        <v>-73.950777299999999</v>
      </c>
      <c r="B1179" s="8">
        <v>40.794918899999999</v>
      </c>
      <c r="C1179" s="8" t="s">
        <v>3175</v>
      </c>
      <c r="D1179" s="8" t="s">
        <v>446</v>
      </c>
      <c r="E1179" s="8" t="b">
        <f t="shared" si="18"/>
        <v>0</v>
      </c>
      <c r="F1179" s="8" t="str" cm="1">
        <f t="array" ref="F1179">_xlfn._xlws.FILTER(E1179:E4377, C1179:C4377= "6D-PM-1020-01", "No Squirrels Found")</f>
        <v>No Squirrels Found</v>
      </c>
      <c r="G1179" s="8" t="s">
        <v>34</v>
      </c>
      <c r="H1179" s="10">
        <v>10132018</v>
      </c>
      <c r="I1179" s="10">
        <v>1</v>
      </c>
      <c r="J1179" s="8" t="s">
        <v>39</v>
      </c>
      <c r="K1179" s="8" t="s">
        <v>40</v>
      </c>
      <c r="L1179" s="8" t="s">
        <v>41</v>
      </c>
      <c r="M1179" s="8" t="s">
        <v>42</v>
      </c>
      <c r="O1179" s="8" t="s">
        <v>50</v>
      </c>
      <c r="P1179" s="8">
        <v>7</v>
      </c>
      <c r="R1179" s="8" t="b">
        <v>0</v>
      </c>
      <c r="S1179" s="8" t="b">
        <v>0</v>
      </c>
      <c r="T1179" s="8" t="b">
        <v>0</v>
      </c>
      <c r="U1179" s="8" t="b">
        <v>1</v>
      </c>
      <c r="V1179" s="8" t="b">
        <v>0</v>
      </c>
      <c r="W1179" s="11" t="s">
        <v>3176</v>
      </c>
      <c r="X1179" s="8" t="b">
        <v>0</v>
      </c>
      <c r="Y1179" s="8" t="b">
        <v>0</v>
      </c>
      <c r="Z1179" s="8" t="b">
        <v>0</v>
      </c>
      <c r="AA1179" s="8" t="b">
        <v>0</v>
      </c>
      <c r="AB1179" s="8" t="b">
        <v>0</v>
      </c>
      <c r="AC1179" s="8" t="b">
        <v>0</v>
      </c>
      <c r="AD1179" s="8" t="b">
        <v>1</v>
      </c>
      <c r="AE1179" s="8" t="b">
        <v>0</v>
      </c>
      <c r="AG1179" s="11" t="b" cm="1">
        <f t="array" ref="AG1179">IF(OR(Y1179:AA1179="TRUE", AE1179="true"), "Threatened")</f>
        <v>0</v>
      </c>
      <c r="AH1179" s="11" t="s">
        <v>3177</v>
      </c>
      <c r="AI1179" s="8" t="b">
        <v>0</v>
      </c>
    </row>
    <row r="1180" spans="1:35" ht="31.2">
      <c r="A1180" s="8">
        <v>-73.969676199999995</v>
      </c>
      <c r="B1180" s="8">
        <v>40.770488350000001</v>
      </c>
      <c r="C1180" s="8" t="s">
        <v>3178</v>
      </c>
      <c r="D1180" s="8" t="s">
        <v>199</v>
      </c>
      <c r="E1180" s="8" t="b">
        <f t="shared" si="18"/>
        <v>0</v>
      </c>
      <c r="F1180" s="8" t="str" cm="1">
        <f t="array" ref="F1180">_xlfn._xlws.FILTER(E1180:E4378, C1180:C4378= "6D-PM-1020-01", "No Squirrels Found")</f>
        <v>No Squirrels Found</v>
      </c>
      <c r="G1180" s="8" t="s">
        <v>48</v>
      </c>
      <c r="H1180" s="10">
        <v>10172018</v>
      </c>
      <c r="I1180" s="10">
        <v>2</v>
      </c>
      <c r="J1180" s="8" t="s">
        <v>39</v>
      </c>
      <c r="K1180" s="8" t="s">
        <v>40</v>
      </c>
      <c r="L1180" s="8" t="s">
        <v>41</v>
      </c>
      <c r="M1180" s="8" t="s">
        <v>42</v>
      </c>
      <c r="O1180" s="8" t="s">
        <v>50</v>
      </c>
      <c r="P1180" s="8">
        <v>7</v>
      </c>
      <c r="Q1180" s="8" t="s">
        <v>3179</v>
      </c>
      <c r="R1180" s="8" t="b">
        <v>1</v>
      </c>
      <c r="S1180" s="8" t="b">
        <v>0</v>
      </c>
      <c r="T1180" s="8" t="b">
        <v>0</v>
      </c>
      <c r="U1180" s="8" t="b">
        <v>0</v>
      </c>
      <c r="V1180" s="8" t="b">
        <v>1</v>
      </c>
      <c r="X1180" s="8" t="b">
        <v>0</v>
      </c>
      <c r="Y1180" s="8" t="b">
        <v>0</v>
      </c>
      <c r="Z1180" s="8" t="b">
        <v>0</v>
      </c>
      <c r="AA1180" s="8" t="b">
        <v>0</v>
      </c>
      <c r="AB1180" s="8" t="b">
        <v>0</v>
      </c>
      <c r="AC1180" s="8" t="b">
        <v>0</v>
      </c>
      <c r="AD1180" s="8" t="b">
        <v>1</v>
      </c>
      <c r="AE1180" s="8" t="b">
        <v>0</v>
      </c>
      <c r="AG1180" s="11" t="b" cm="1">
        <f t="array" ref="AG1180">IF(OR(Y1180:AA1180="TRUE", AE1180="true"), "Threatened")</f>
        <v>0</v>
      </c>
      <c r="AH1180" s="11" t="s">
        <v>3180</v>
      </c>
      <c r="AI1180" s="8" t="b">
        <v>1</v>
      </c>
    </row>
    <row r="1181" spans="1:35" ht="93.6">
      <c r="A1181" s="8">
        <v>-73.963972679999998</v>
      </c>
      <c r="B1181" s="8">
        <v>40.78290835</v>
      </c>
      <c r="C1181" s="8" t="s">
        <v>3181</v>
      </c>
      <c r="D1181" s="8" t="s">
        <v>588</v>
      </c>
      <c r="E1181" s="8" t="b">
        <f t="shared" si="18"/>
        <v>0</v>
      </c>
      <c r="F1181" s="8" t="str" cm="1">
        <f t="array" ref="F1181">_xlfn._xlws.FILTER(E1181:E4379, C1181:C4379= "6D-PM-1020-01", "No Squirrels Found")</f>
        <v>No Squirrels Found</v>
      </c>
      <c r="G1181" s="8" t="s">
        <v>34</v>
      </c>
      <c r="H1181" s="10">
        <v>10132018</v>
      </c>
      <c r="I1181" s="10">
        <v>1</v>
      </c>
      <c r="J1181" s="8" t="s">
        <v>39</v>
      </c>
      <c r="K1181" s="8" t="s">
        <v>40</v>
      </c>
      <c r="L1181" s="8" t="s">
        <v>117</v>
      </c>
      <c r="M1181" s="8" t="s">
        <v>118</v>
      </c>
      <c r="O1181" s="8" t="s">
        <v>43</v>
      </c>
      <c r="P1181" s="8" t="b">
        <v>0</v>
      </c>
      <c r="R1181" s="8" t="b">
        <v>1</v>
      </c>
      <c r="S1181" s="8" t="b">
        <v>0</v>
      </c>
      <c r="T1181" s="8" t="b">
        <v>0</v>
      </c>
      <c r="U1181" s="8" t="b">
        <v>0</v>
      </c>
      <c r="V1181" s="8" t="b">
        <v>0</v>
      </c>
      <c r="X1181" s="8" t="b">
        <v>0</v>
      </c>
      <c r="Y1181" s="8" t="b">
        <v>0</v>
      </c>
      <c r="Z1181" s="8" t="b">
        <v>0</v>
      </c>
      <c r="AA1181" s="8" t="b">
        <v>0</v>
      </c>
      <c r="AB1181" s="8" t="b">
        <v>0</v>
      </c>
      <c r="AC1181" s="8" t="b">
        <v>0</v>
      </c>
      <c r="AD1181" s="8" t="b">
        <v>0</v>
      </c>
      <c r="AE1181" s="8" t="b">
        <v>1</v>
      </c>
      <c r="AF1181" s="11" t="s">
        <v>3182</v>
      </c>
      <c r="AG1181" s="11" t="b" cm="1">
        <f t="array" ref="AG1181">IF(OR(Y1181:AA1181="TRUE", AE1181="true"), "Threatened")</f>
        <v>0</v>
      </c>
      <c r="AH1181" s="11" t="s">
        <v>3183</v>
      </c>
      <c r="AI1181" s="8" t="b">
        <v>1</v>
      </c>
    </row>
    <row r="1182" spans="1:35" ht="31.2">
      <c r="A1182" s="8">
        <v>-73.969039539999997</v>
      </c>
      <c r="B1182" s="8">
        <v>40.771128210000001</v>
      </c>
      <c r="C1182" s="8" t="s">
        <v>3184</v>
      </c>
      <c r="D1182" s="8" t="s">
        <v>1785</v>
      </c>
      <c r="E1182" s="8" t="b">
        <f t="shared" si="18"/>
        <v>0</v>
      </c>
      <c r="F1182" s="8" t="str" cm="1">
        <f t="array" ref="F1182">_xlfn._xlws.FILTER(E1182:E4380, C1182:C4380= "6D-PM-1020-01", "No Squirrels Found")</f>
        <v>No Squirrels Found</v>
      </c>
      <c r="G1182" s="8" t="s">
        <v>34</v>
      </c>
      <c r="H1182" s="10">
        <v>10102018</v>
      </c>
      <c r="I1182" s="10">
        <v>1</v>
      </c>
      <c r="J1182" s="8" t="s">
        <v>39</v>
      </c>
      <c r="K1182" s="8" t="s">
        <v>40</v>
      </c>
      <c r="L1182" s="8" t="s">
        <v>117</v>
      </c>
      <c r="M1182" s="8" t="s">
        <v>118</v>
      </c>
      <c r="N1182" s="11" t="s">
        <v>3185</v>
      </c>
      <c r="O1182" s="8" t="s">
        <v>43</v>
      </c>
      <c r="P1182" s="8" t="b">
        <v>0</v>
      </c>
      <c r="R1182" s="8" t="b">
        <v>0</v>
      </c>
      <c r="S1182" s="8" t="b">
        <v>0</v>
      </c>
      <c r="T1182" s="8" t="b">
        <v>0</v>
      </c>
      <c r="U1182" s="8" t="b">
        <v>0</v>
      </c>
      <c r="V1182" s="8" t="b">
        <v>1</v>
      </c>
      <c r="X1182" s="8" t="b">
        <v>0</v>
      </c>
      <c r="Y1182" s="8" t="b">
        <v>0</v>
      </c>
      <c r="Z1182" s="8" t="b">
        <v>0</v>
      </c>
      <c r="AA1182" s="8" t="b">
        <v>0</v>
      </c>
      <c r="AB1182" s="8" t="b">
        <v>0</v>
      </c>
      <c r="AC1182" s="8" t="b">
        <v>0</v>
      </c>
      <c r="AD1182" s="8" t="b">
        <v>1</v>
      </c>
      <c r="AE1182" s="8" t="b">
        <v>0</v>
      </c>
      <c r="AG1182" s="11" t="b" cm="1">
        <f t="array" ref="AG1182">IF(OR(Y1182:AA1182="TRUE", AE1182="true"), "Threatened")</f>
        <v>0</v>
      </c>
      <c r="AH1182" s="11" t="s">
        <v>3186</v>
      </c>
      <c r="AI1182" s="8" t="b">
        <v>1</v>
      </c>
    </row>
    <row r="1183" spans="1:35" ht="31.2">
      <c r="A1183" s="8">
        <v>-73.966720600000002</v>
      </c>
      <c r="B1183" s="8">
        <v>40.777999360000003</v>
      </c>
      <c r="C1183" s="8" t="s">
        <v>3187</v>
      </c>
      <c r="D1183" s="8" t="s">
        <v>2220</v>
      </c>
      <c r="E1183" s="8" t="b">
        <f t="shared" si="18"/>
        <v>0</v>
      </c>
      <c r="F1183" s="8" t="str" cm="1">
        <f t="array" ref="F1183">_xlfn._xlws.FILTER(E1183:E4381, C1183:C4381= "6D-PM-1020-01", "No Squirrels Found")</f>
        <v>No Squirrels Found</v>
      </c>
      <c r="G1183" s="8" t="s">
        <v>34</v>
      </c>
      <c r="H1183" s="10">
        <v>10172018</v>
      </c>
      <c r="I1183" s="10">
        <v>4</v>
      </c>
      <c r="J1183" s="8" t="s">
        <v>39</v>
      </c>
      <c r="K1183" s="8" t="s">
        <v>40</v>
      </c>
      <c r="L1183" s="8" t="s">
        <v>84</v>
      </c>
      <c r="M1183" s="8" t="s">
        <v>103</v>
      </c>
      <c r="O1183" s="8" t="s">
        <v>50</v>
      </c>
      <c r="P1183" s="8">
        <v>10</v>
      </c>
      <c r="Q1183" s="8" t="s">
        <v>3188</v>
      </c>
      <c r="R1183" s="8" t="b">
        <v>1</v>
      </c>
      <c r="S1183" s="8" t="b">
        <v>1</v>
      </c>
      <c r="T1183" s="8" t="b">
        <v>1</v>
      </c>
      <c r="U1183" s="8" t="b">
        <v>0</v>
      </c>
      <c r="V1183" s="8" t="b">
        <v>0</v>
      </c>
      <c r="X1183" s="8" t="b">
        <v>0</v>
      </c>
      <c r="Y1183" s="8" t="b">
        <v>0</v>
      </c>
      <c r="Z1183" s="8" t="b">
        <v>0</v>
      </c>
      <c r="AA1183" s="8" t="b">
        <v>0</v>
      </c>
      <c r="AB1183" s="8" t="b">
        <v>0</v>
      </c>
      <c r="AC1183" s="8" t="b">
        <v>0</v>
      </c>
      <c r="AD1183" s="8" t="b">
        <v>1</v>
      </c>
      <c r="AE1183" s="8" t="b">
        <v>0</v>
      </c>
      <c r="AG1183" s="11" t="b" cm="1">
        <f t="array" ref="AG1183">IF(OR(Y1183:AA1183="TRUE", AE1183="true"), "Threatened")</f>
        <v>0</v>
      </c>
      <c r="AH1183" s="11" t="s">
        <v>3189</v>
      </c>
      <c r="AI1183" s="8" t="b">
        <v>1</v>
      </c>
    </row>
    <row r="1184" spans="1:35" ht="31.2">
      <c r="A1184" s="8">
        <v>-73.952569909999994</v>
      </c>
      <c r="B1184" s="8">
        <v>40.793712579999998</v>
      </c>
      <c r="C1184" s="8" t="s">
        <v>3190</v>
      </c>
      <c r="D1184" s="8" t="s">
        <v>2056</v>
      </c>
      <c r="E1184" s="8" t="b">
        <f t="shared" si="18"/>
        <v>0</v>
      </c>
      <c r="F1184" s="8" t="str" cm="1">
        <f t="array" ref="F1184">_xlfn._xlws.FILTER(E1184:E4382, C1184:C4382= "6D-PM-1020-01", "No Squirrels Found")</f>
        <v>No Squirrels Found</v>
      </c>
      <c r="G1184" s="8" t="s">
        <v>34</v>
      </c>
      <c r="H1184" s="10">
        <v>10142018</v>
      </c>
      <c r="I1184" s="10">
        <v>1</v>
      </c>
      <c r="J1184" s="8" t="s">
        <v>39</v>
      </c>
      <c r="K1184" s="8" t="s">
        <v>40</v>
      </c>
      <c r="L1184" s="8" t="s">
        <v>117</v>
      </c>
      <c r="M1184" s="8" t="s">
        <v>118</v>
      </c>
      <c r="O1184" s="8" t="s">
        <v>43</v>
      </c>
      <c r="P1184" s="8" t="b">
        <v>0</v>
      </c>
      <c r="Q1184" s="8" t="s">
        <v>3191</v>
      </c>
      <c r="R1184" s="8" t="b">
        <v>0</v>
      </c>
      <c r="S1184" s="8" t="b">
        <v>0</v>
      </c>
      <c r="T1184" s="8" t="b">
        <v>0</v>
      </c>
      <c r="U1184" s="8" t="b">
        <v>0</v>
      </c>
      <c r="V1184" s="8" t="b">
        <v>0</v>
      </c>
      <c r="W1184" s="11" t="s">
        <v>3192</v>
      </c>
      <c r="X1184" s="8" t="b">
        <v>0</v>
      </c>
      <c r="Y1184" s="8" t="b">
        <v>0</v>
      </c>
      <c r="Z1184" s="8" t="b">
        <v>0</v>
      </c>
      <c r="AA1184" s="8" t="b">
        <v>0</v>
      </c>
      <c r="AB1184" s="8" t="b">
        <v>1</v>
      </c>
      <c r="AC1184" s="8" t="b">
        <v>0</v>
      </c>
      <c r="AD1184" s="8" t="b">
        <v>0</v>
      </c>
      <c r="AE1184" s="8" t="b">
        <v>1</v>
      </c>
      <c r="AG1184" s="11" t="b" cm="1">
        <f t="array" ref="AG1184">IF(OR(Y1184:AA1184="TRUE", AE1184="true"), "Threatened")</f>
        <v>0</v>
      </c>
      <c r="AH1184" s="11" t="s">
        <v>3193</v>
      </c>
      <c r="AI1184" s="8" t="b">
        <v>0</v>
      </c>
    </row>
    <row r="1185" spans="1:35" ht="31.2">
      <c r="A1185" s="8">
        <v>-73.980798269999994</v>
      </c>
      <c r="B1185" s="8">
        <v>40.767879600000001</v>
      </c>
      <c r="C1185" s="8" t="s">
        <v>3194</v>
      </c>
      <c r="D1185" s="8" t="s">
        <v>855</v>
      </c>
      <c r="E1185" s="8" t="b">
        <f t="shared" si="18"/>
        <v>0</v>
      </c>
      <c r="F1185" s="8" t="str" cm="1">
        <f t="array" ref="F1185">_xlfn._xlws.FILTER(E1185:E4383, C1185:C4383= "6D-PM-1020-01", "No Squirrels Found")</f>
        <v>No Squirrels Found</v>
      </c>
      <c r="G1185" s="8" t="s">
        <v>34</v>
      </c>
      <c r="H1185" s="10">
        <v>10192018</v>
      </c>
      <c r="I1185" s="10">
        <v>1</v>
      </c>
      <c r="J1185" s="8" t="s">
        <v>39</v>
      </c>
      <c r="K1185" s="8" t="s">
        <v>40</v>
      </c>
      <c r="L1185" s="8" t="s">
        <v>84</v>
      </c>
      <c r="M1185" s="8" t="s">
        <v>103</v>
      </c>
      <c r="O1185" s="8" t="s">
        <v>43</v>
      </c>
      <c r="P1185" s="8" t="b">
        <v>0</v>
      </c>
      <c r="R1185" s="8" t="b">
        <v>0</v>
      </c>
      <c r="S1185" s="8" t="b">
        <v>0</v>
      </c>
      <c r="T1185" s="8" t="b">
        <v>0</v>
      </c>
      <c r="U1185" s="8" t="b">
        <v>0</v>
      </c>
      <c r="V1185" s="8" t="b">
        <v>1</v>
      </c>
      <c r="X1185" s="8" t="b">
        <v>0</v>
      </c>
      <c r="Y1185" s="8" t="b">
        <v>0</v>
      </c>
      <c r="Z1185" s="8" t="b">
        <v>0</v>
      </c>
      <c r="AA1185" s="8" t="b">
        <v>0</v>
      </c>
      <c r="AB1185" s="8" t="b">
        <v>0</v>
      </c>
      <c r="AC1185" s="8" t="b">
        <v>0</v>
      </c>
      <c r="AD1185" s="8" t="b">
        <v>1</v>
      </c>
      <c r="AE1185" s="8" t="b">
        <v>0</v>
      </c>
      <c r="AG1185" s="11" t="b" cm="1">
        <f t="array" ref="AG1185">IF(OR(Y1185:AA1185="TRUE", AE1185="true"), "Threatened")</f>
        <v>0</v>
      </c>
      <c r="AH1185" s="11" t="s">
        <v>3195</v>
      </c>
      <c r="AI1185" s="8" t="b">
        <v>1</v>
      </c>
    </row>
    <row r="1186" spans="1:35" ht="31.2">
      <c r="A1186" s="8">
        <v>-73.958230670000006</v>
      </c>
      <c r="B1186" s="8">
        <v>40.79892684</v>
      </c>
      <c r="C1186" s="8" t="s">
        <v>3196</v>
      </c>
      <c r="D1186" s="8" t="s">
        <v>227</v>
      </c>
      <c r="E1186" s="8" t="b">
        <f t="shared" si="18"/>
        <v>0</v>
      </c>
      <c r="F1186" s="8" t="str" cm="1">
        <f t="array" ref="F1186">_xlfn._xlws.FILTER(E1186:E4384, C1186:C4384= "6D-PM-1020-01", "No Squirrels Found")</f>
        <v>No Squirrels Found</v>
      </c>
      <c r="G1186" s="8" t="s">
        <v>48</v>
      </c>
      <c r="H1186" s="10">
        <v>10192018</v>
      </c>
      <c r="I1186" s="10">
        <v>8</v>
      </c>
      <c r="J1186" s="8" t="s">
        <v>39</v>
      </c>
      <c r="K1186" s="8" t="s">
        <v>40</v>
      </c>
      <c r="L1186" s="8" t="s">
        <v>84</v>
      </c>
      <c r="M1186" s="8" t="s">
        <v>103</v>
      </c>
      <c r="O1186" s="8" t="s">
        <v>43</v>
      </c>
      <c r="P1186" s="8" t="b">
        <v>0</v>
      </c>
      <c r="R1186" s="8" t="b">
        <v>0</v>
      </c>
      <c r="S1186" s="8" t="b">
        <v>0</v>
      </c>
      <c r="T1186" s="8" t="b">
        <v>1</v>
      </c>
      <c r="U1186" s="8" t="b">
        <v>0</v>
      </c>
      <c r="V1186" s="8" t="b">
        <v>1</v>
      </c>
      <c r="X1186" s="8" t="b">
        <v>0</v>
      </c>
      <c r="Y1186" s="8" t="b">
        <v>0</v>
      </c>
      <c r="Z1186" s="8" t="b">
        <v>0</v>
      </c>
      <c r="AA1186" s="8" t="b">
        <v>0</v>
      </c>
      <c r="AB1186" s="8" t="b">
        <v>0</v>
      </c>
      <c r="AC1186" s="8" t="b">
        <v>0</v>
      </c>
      <c r="AD1186" s="8" t="b">
        <v>1</v>
      </c>
      <c r="AE1186" s="8" t="b">
        <v>1</v>
      </c>
      <c r="AG1186" s="11" t="b" cm="1">
        <f t="array" ref="AG1186">IF(OR(Y1186:AA1186="TRUE", AE1186="true"), "Threatened")</f>
        <v>0</v>
      </c>
      <c r="AH1186" s="11" t="s">
        <v>3197</v>
      </c>
      <c r="AI1186" s="8" t="b">
        <v>1</v>
      </c>
    </row>
    <row r="1187" spans="1:35" ht="31.2">
      <c r="A1187" s="8">
        <v>-73.967403309999995</v>
      </c>
      <c r="B1187" s="8">
        <v>40.776913290000003</v>
      </c>
      <c r="C1187" s="8" t="s">
        <v>3198</v>
      </c>
      <c r="D1187" s="8" t="s">
        <v>326</v>
      </c>
      <c r="E1187" s="8" t="b">
        <f t="shared" si="18"/>
        <v>0</v>
      </c>
      <c r="F1187" s="8" t="str" cm="1">
        <f t="array" ref="F1187">_xlfn._xlws.FILTER(E1187:E4385, C1187:C4385= "6D-PM-1020-01", "No Squirrels Found")</f>
        <v>No Squirrels Found</v>
      </c>
      <c r="G1187" s="8" t="s">
        <v>34</v>
      </c>
      <c r="H1187" s="10">
        <v>10192018</v>
      </c>
      <c r="I1187" s="10">
        <v>2</v>
      </c>
      <c r="J1187" s="8" t="s">
        <v>39</v>
      </c>
      <c r="K1187" s="8" t="s">
        <v>40</v>
      </c>
      <c r="L1187" s="8" t="s">
        <v>41</v>
      </c>
      <c r="M1187" s="8" t="s">
        <v>42</v>
      </c>
      <c r="O1187" s="8" t="s">
        <v>43</v>
      </c>
      <c r="P1187" s="8" t="b">
        <v>0</v>
      </c>
      <c r="R1187" s="8" t="b">
        <v>1</v>
      </c>
      <c r="S1187" s="8" t="b">
        <v>0</v>
      </c>
      <c r="T1187" s="8" t="b">
        <v>0</v>
      </c>
      <c r="U1187" s="8" t="b">
        <v>0</v>
      </c>
      <c r="V1187" s="8" t="b">
        <v>0</v>
      </c>
      <c r="X1187" s="8" t="b">
        <v>0</v>
      </c>
      <c r="Y1187" s="8" t="b">
        <v>0</v>
      </c>
      <c r="Z1187" s="8" t="b">
        <v>0</v>
      </c>
      <c r="AA1187" s="8" t="b">
        <v>0</v>
      </c>
      <c r="AB1187" s="8" t="b">
        <v>0</v>
      </c>
      <c r="AC1187" s="8" t="b">
        <v>0</v>
      </c>
      <c r="AD1187" s="8" t="b">
        <v>0</v>
      </c>
      <c r="AE1187" s="8" t="b">
        <v>1</v>
      </c>
      <c r="AG1187" s="11" t="b" cm="1">
        <f t="array" ref="AG1187">IF(OR(Y1187:AA1187="TRUE", AE1187="true"), "Threatened")</f>
        <v>0</v>
      </c>
      <c r="AH1187" s="11" t="s">
        <v>3199</v>
      </c>
      <c r="AI1187" s="8" t="b">
        <v>1</v>
      </c>
    </row>
    <row r="1188" spans="1:35" ht="31.2">
      <c r="A1188" s="8">
        <v>-73.979333440000005</v>
      </c>
      <c r="B1188" s="8">
        <v>40.767414209999998</v>
      </c>
      <c r="C1188" s="8" t="s">
        <v>3200</v>
      </c>
      <c r="D1188" s="8" t="s">
        <v>1301</v>
      </c>
      <c r="E1188" s="8" t="b">
        <f t="shared" si="18"/>
        <v>0</v>
      </c>
      <c r="F1188" s="8" t="str" cm="1">
        <f t="array" ref="F1188">_xlfn._xlws.FILTER(E1188:E4386, C1188:C4386= "6D-PM-1020-01", "No Squirrels Found")</f>
        <v>No Squirrels Found</v>
      </c>
      <c r="G1188" s="8" t="s">
        <v>34</v>
      </c>
      <c r="H1188" s="10">
        <v>10132018</v>
      </c>
      <c r="I1188" s="10">
        <v>2</v>
      </c>
      <c r="J1188" s="8" t="s">
        <v>39</v>
      </c>
      <c r="K1188" s="8" t="s">
        <v>41</v>
      </c>
      <c r="L1188" s="8" t="s">
        <v>84</v>
      </c>
      <c r="M1188" s="8" t="s">
        <v>85</v>
      </c>
      <c r="O1188" s="8" t="s">
        <v>43</v>
      </c>
      <c r="P1188" s="8" t="b">
        <v>0</v>
      </c>
      <c r="R1188" s="8" t="b">
        <v>0</v>
      </c>
      <c r="S1188" s="8" t="b">
        <v>0</v>
      </c>
      <c r="T1188" s="8" t="b">
        <v>0</v>
      </c>
      <c r="U1188" s="8" t="b">
        <v>0</v>
      </c>
      <c r="V1188" s="8" t="b">
        <v>1</v>
      </c>
      <c r="W1188" s="11" t="s">
        <v>355</v>
      </c>
      <c r="X1188" s="8" t="b">
        <v>0</v>
      </c>
      <c r="Y1188" s="8" t="b">
        <v>0</v>
      </c>
      <c r="Z1188" s="8" t="b">
        <v>0</v>
      </c>
      <c r="AA1188" s="8" t="b">
        <v>0</v>
      </c>
      <c r="AB1188" s="8" t="b">
        <v>0</v>
      </c>
      <c r="AC1188" s="8" t="b">
        <v>0</v>
      </c>
      <c r="AD1188" s="8" t="b">
        <v>0</v>
      </c>
      <c r="AE1188" s="8" t="b">
        <v>0</v>
      </c>
      <c r="AG1188" s="11" t="b" cm="1">
        <f t="array" ref="AG1188">IF(OR(Y1188:AA1188="TRUE", AE1188="true"), "Threatened")</f>
        <v>0</v>
      </c>
      <c r="AH1188" s="11" t="s">
        <v>3201</v>
      </c>
      <c r="AI1188" s="8" t="b">
        <v>0</v>
      </c>
    </row>
    <row r="1189" spans="1:35" ht="31.2">
      <c r="A1189" s="8">
        <v>-73.966952980000002</v>
      </c>
      <c r="B1189" s="8">
        <v>40.787186419999998</v>
      </c>
      <c r="C1189" s="8" t="s">
        <v>3202</v>
      </c>
      <c r="D1189" s="8" t="s">
        <v>147</v>
      </c>
      <c r="E1189" s="8" t="b">
        <f t="shared" si="18"/>
        <v>0</v>
      </c>
      <c r="F1189" s="8" t="str" cm="1">
        <f t="array" ref="F1189">_xlfn._xlws.FILTER(E1189:E4387, C1189:C4387= "6D-PM-1020-01", "No Squirrels Found")</f>
        <v>No Squirrels Found</v>
      </c>
      <c r="G1189" s="8" t="s">
        <v>48</v>
      </c>
      <c r="H1189" s="10">
        <v>10132018</v>
      </c>
      <c r="I1189" s="10">
        <v>5</v>
      </c>
      <c r="K1189" s="8" t="s">
        <v>40</v>
      </c>
      <c r="M1189" s="8" t="s">
        <v>55</v>
      </c>
      <c r="O1189" s="8" t="s">
        <v>43</v>
      </c>
      <c r="P1189" s="8" t="b">
        <v>0</v>
      </c>
      <c r="Q1189" s="8" t="s">
        <v>3203</v>
      </c>
      <c r="R1189" s="8" t="b">
        <v>1</v>
      </c>
      <c r="S1189" s="8" t="b">
        <v>0</v>
      </c>
      <c r="T1189" s="8" t="b">
        <v>1</v>
      </c>
      <c r="U1189" s="8" t="b">
        <v>0</v>
      </c>
      <c r="V1189" s="8" t="b">
        <v>0</v>
      </c>
      <c r="W1189" s="11" t="s">
        <v>3204</v>
      </c>
      <c r="X1189" s="8" t="b">
        <v>0</v>
      </c>
      <c r="Y1189" s="8" t="b">
        <v>0</v>
      </c>
      <c r="Z1189" s="8" t="b">
        <v>0</v>
      </c>
      <c r="AA1189" s="8" t="b">
        <v>1</v>
      </c>
      <c r="AB1189" s="8" t="b">
        <v>1</v>
      </c>
      <c r="AC1189" s="8" t="b">
        <v>0</v>
      </c>
      <c r="AD1189" s="8" t="b">
        <v>1</v>
      </c>
      <c r="AE1189" s="8" t="b">
        <v>0</v>
      </c>
      <c r="AF1189" s="11" t="s">
        <v>3205</v>
      </c>
      <c r="AG1189" s="11" t="b" cm="1">
        <f t="array" ref="AG1189">IF(OR(Y1189:AA1189="TRUE", AE1189="true"), "Threatened")</f>
        <v>0</v>
      </c>
      <c r="AH1189" s="11" t="s">
        <v>3206</v>
      </c>
      <c r="AI1189" s="8" t="b">
        <v>0</v>
      </c>
    </row>
    <row r="1190" spans="1:35" ht="46.8">
      <c r="A1190" s="8">
        <v>-73.957762970000005</v>
      </c>
      <c r="B1190" s="8">
        <v>40.78974608</v>
      </c>
      <c r="C1190" s="8" t="s">
        <v>3207</v>
      </c>
      <c r="D1190" s="8" t="s">
        <v>540</v>
      </c>
      <c r="E1190" s="8" t="b">
        <f t="shared" si="18"/>
        <v>0</v>
      </c>
      <c r="F1190" s="8" t="str" cm="1">
        <f t="array" ref="F1190">_xlfn._xlws.FILTER(E1190:E4388, C1190:C4388= "6D-PM-1020-01", "No Squirrels Found")</f>
        <v>No Squirrels Found</v>
      </c>
      <c r="G1190" s="8" t="s">
        <v>34</v>
      </c>
      <c r="H1190" s="10">
        <v>10132018</v>
      </c>
      <c r="I1190" s="10">
        <v>1</v>
      </c>
      <c r="J1190" s="8" t="s">
        <v>54</v>
      </c>
      <c r="K1190" s="8" t="s">
        <v>40</v>
      </c>
      <c r="L1190" s="8" t="s">
        <v>41</v>
      </c>
      <c r="M1190" s="8" t="s">
        <v>42</v>
      </c>
      <c r="N1190" s="11" t="s">
        <v>541</v>
      </c>
      <c r="O1190" s="8" t="s">
        <v>43</v>
      </c>
      <c r="P1190" s="8" t="b">
        <v>0</v>
      </c>
      <c r="R1190" s="8" t="b">
        <v>0</v>
      </c>
      <c r="S1190" s="8" t="b">
        <v>0</v>
      </c>
      <c r="T1190" s="8" t="b">
        <v>0</v>
      </c>
      <c r="U1190" s="8" t="b">
        <v>0</v>
      </c>
      <c r="V1190" s="8" t="b">
        <v>1</v>
      </c>
      <c r="X1190" s="8" t="b">
        <v>0</v>
      </c>
      <c r="Y1190" s="8" t="b">
        <v>0</v>
      </c>
      <c r="Z1190" s="8" t="b">
        <v>0</v>
      </c>
      <c r="AA1190" s="8" t="b">
        <v>0</v>
      </c>
      <c r="AB1190" s="8" t="b">
        <v>0</v>
      </c>
      <c r="AC1190" s="8" t="b">
        <v>0</v>
      </c>
      <c r="AD1190" s="8" t="b">
        <v>1</v>
      </c>
      <c r="AE1190" s="8" t="b">
        <v>0</v>
      </c>
      <c r="AF1190" s="11" t="s">
        <v>3208</v>
      </c>
      <c r="AG1190" s="11" t="b" cm="1">
        <f t="array" ref="AG1190">IF(OR(Y1190:AA1190="TRUE", AE1190="true"), "Threatened")</f>
        <v>0</v>
      </c>
      <c r="AH1190" s="11" t="s">
        <v>3209</v>
      </c>
      <c r="AI1190" s="8" t="b">
        <v>1</v>
      </c>
    </row>
    <row r="1191" spans="1:35" ht="31.2">
      <c r="A1191" s="8">
        <v>-73.972806939999998</v>
      </c>
      <c r="B1191" s="8">
        <v>40.779445809999999</v>
      </c>
      <c r="C1191" s="8" t="s">
        <v>3210</v>
      </c>
      <c r="D1191" s="8" t="s">
        <v>949</v>
      </c>
      <c r="E1191" s="8" t="b">
        <f t="shared" si="18"/>
        <v>0</v>
      </c>
      <c r="F1191" s="8" t="str" cm="1">
        <f t="array" ref="F1191">_xlfn._xlws.FILTER(E1191:E4389, C1191:C4389= "6D-PM-1020-01", "No Squirrels Found")</f>
        <v>No Squirrels Found</v>
      </c>
      <c r="G1191" s="8" t="s">
        <v>48</v>
      </c>
      <c r="H1191" s="10">
        <v>10072018</v>
      </c>
      <c r="I1191" s="10">
        <v>1</v>
      </c>
      <c r="J1191" s="8" t="s">
        <v>39</v>
      </c>
      <c r="K1191" s="8" t="s">
        <v>40</v>
      </c>
      <c r="M1191" s="8" t="s">
        <v>55</v>
      </c>
      <c r="N1191" s="11" t="s">
        <v>3211</v>
      </c>
      <c r="O1191" s="8" t="s">
        <v>43</v>
      </c>
      <c r="P1191" s="8" t="b">
        <v>0</v>
      </c>
      <c r="R1191" s="8" t="b">
        <v>0</v>
      </c>
      <c r="S1191" s="8" t="b">
        <v>0</v>
      </c>
      <c r="T1191" s="8" t="b">
        <v>0</v>
      </c>
      <c r="U1191" s="8" t="b">
        <v>0</v>
      </c>
      <c r="V1191" s="8" t="b">
        <v>1</v>
      </c>
      <c r="W1191" s="11" t="s">
        <v>2134</v>
      </c>
      <c r="X1191" s="8" t="b">
        <v>0</v>
      </c>
      <c r="Y1191" s="8" t="b">
        <v>0</v>
      </c>
      <c r="Z1191" s="8" t="b">
        <v>0</v>
      </c>
      <c r="AA1191" s="8" t="b">
        <v>0</v>
      </c>
      <c r="AB1191" s="8" t="b">
        <v>0</v>
      </c>
      <c r="AC1191" s="8" t="b">
        <v>0</v>
      </c>
      <c r="AD1191" s="8" t="b">
        <v>1</v>
      </c>
      <c r="AE1191" s="8" t="b">
        <v>0</v>
      </c>
      <c r="AF1191" s="11" t="s">
        <v>3212</v>
      </c>
      <c r="AG1191" s="11" t="b" cm="1">
        <f t="array" ref="AG1191">IF(OR(Y1191:AA1191="TRUE", AE1191="true"), "Threatened")</f>
        <v>0</v>
      </c>
      <c r="AH1191" s="11" t="s">
        <v>3213</v>
      </c>
      <c r="AI1191" s="8" t="b">
        <v>0</v>
      </c>
    </row>
    <row r="1192" spans="1:35" ht="31.2">
      <c r="A1192" s="8">
        <v>-73.963483530000005</v>
      </c>
      <c r="B1192" s="8">
        <v>40.791824429999998</v>
      </c>
      <c r="C1192" s="8" t="s">
        <v>3214</v>
      </c>
      <c r="D1192" s="8" t="s">
        <v>398</v>
      </c>
      <c r="E1192" s="8" t="b">
        <f t="shared" si="18"/>
        <v>0</v>
      </c>
      <c r="F1192" s="8" t="str" cm="1">
        <f t="array" ref="F1192">_xlfn._xlws.FILTER(E1192:E4390, C1192:C4390= "6D-PM-1020-01", "No Squirrels Found")</f>
        <v>No Squirrels Found</v>
      </c>
      <c r="G1192" s="8" t="s">
        <v>34</v>
      </c>
      <c r="H1192" s="10">
        <v>10172018</v>
      </c>
      <c r="I1192" s="10">
        <v>3</v>
      </c>
      <c r="J1192" s="8" t="s">
        <v>39</v>
      </c>
      <c r="K1192" s="8" t="s">
        <v>40</v>
      </c>
      <c r="L1192" s="8" t="s">
        <v>117</v>
      </c>
      <c r="M1192" s="8" t="s">
        <v>118</v>
      </c>
      <c r="O1192" s="8" t="s">
        <v>43</v>
      </c>
      <c r="P1192" s="8" t="b">
        <v>0</v>
      </c>
      <c r="R1192" s="8" t="b">
        <v>0</v>
      </c>
      <c r="S1192" s="8" t="b">
        <v>0</v>
      </c>
      <c r="T1192" s="8" t="b">
        <v>0</v>
      </c>
      <c r="U1192" s="8" t="b">
        <v>1</v>
      </c>
      <c r="V1192" s="8" t="b">
        <v>0</v>
      </c>
      <c r="X1192" s="8" t="b">
        <v>0</v>
      </c>
      <c r="Y1192" s="8" t="b">
        <v>0</v>
      </c>
      <c r="Z1192" s="8" t="b">
        <v>0</v>
      </c>
      <c r="AA1192" s="8" t="b">
        <v>0</v>
      </c>
      <c r="AB1192" s="8" t="b">
        <v>0</v>
      </c>
      <c r="AC1192" s="8" t="b">
        <v>0</v>
      </c>
      <c r="AD1192" s="8" t="b">
        <v>0</v>
      </c>
      <c r="AE1192" s="8" t="b">
        <v>0</v>
      </c>
      <c r="AG1192" s="11" t="b" cm="1">
        <f t="array" ref="AG1192">IF(OR(Y1192:AA1192="TRUE", AE1192="true"), "Threatened")</f>
        <v>0</v>
      </c>
      <c r="AH1192" s="11" t="s">
        <v>3215</v>
      </c>
      <c r="AI1192" s="8" t="b">
        <v>1</v>
      </c>
    </row>
    <row r="1193" spans="1:35" ht="31.2">
      <c r="A1193" s="8">
        <v>-73.963481150000007</v>
      </c>
      <c r="B1193" s="8">
        <v>40.790705590000002</v>
      </c>
      <c r="C1193" s="8" t="s">
        <v>3216</v>
      </c>
      <c r="D1193" s="8" t="s">
        <v>911</v>
      </c>
      <c r="E1193" s="8" t="b">
        <f t="shared" si="18"/>
        <v>0</v>
      </c>
      <c r="F1193" s="8" t="str" cm="1">
        <f t="array" ref="F1193">_xlfn._xlws.FILTER(E1193:E4391, C1193:C4391= "6D-PM-1020-01", "No Squirrels Found")</f>
        <v>No Squirrels Found</v>
      </c>
      <c r="G1193" s="8" t="s">
        <v>48</v>
      </c>
      <c r="H1193" s="10">
        <v>10072018</v>
      </c>
      <c r="I1193" s="10">
        <v>10</v>
      </c>
      <c r="J1193" s="8" t="s">
        <v>39</v>
      </c>
      <c r="K1193" s="8" t="s">
        <v>40</v>
      </c>
      <c r="M1193" s="8" t="s">
        <v>55</v>
      </c>
      <c r="O1193" s="8" t="s">
        <v>43</v>
      </c>
      <c r="P1193" s="8" t="b">
        <v>0</v>
      </c>
      <c r="R1193" s="8" t="b">
        <v>1</v>
      </c>
      <c r="S1193" s="8" t="b">
        <v>0</v>
      </c>
      <c r="T1193" s="8" t="b">
        <v>1</v>
      </c>
      <c r="U1193" s="8" t="b">
        <v>0</v>
      </c>
      <c r="V1193" s="8" t="b">
        <v>1</v>
      </c>
      <c r="X1193" s="8" t="b">
        <v>0</v>
      </c>
      <c r="Y1193" s="8" t="b">
        <v>0</v>
      </c>
      <c r="Z1193" s="8" t="b">
        <v>0</v>
      </c>
      <c r="AA1193" s="8" t="b">
        <v>0</v>
      </c>
      <c r="AB1193" s="8" t="b">
        <v>0</v>
      </c>
      <c r="AC1193" s="8" t="b">
        <v>0</v>
      </c>
      <c r="AD1193" s="8" t="b">
        <v>0</v>
      </c>
      <c r="AE1193" s="8" t="b">
        <v>1</v>
      </c>
      <c r="AG1193" s="11" t="b" cm="1">
        <f t="array" ref="AG1193">IF(OR(Y1193:AA1193="TRUE", AE1193="true"), "Threatened")</f>
        <v>0</v>
      </c>
      <c r="AH1193" s="11" t="s">
        <v>3217</v>
      </c>
      <c r="AI1193" s="8" t="b">
        <v>1</v>
      </c>
    </row>
    <row r="1194" spans="1:35" ht="31.2">
      <c r="A1194" s="8">
        <v>-73.973188070000006</v>
      </c>
      <c r="B1194" s="8">
        <v>40.766002620000002</v>
      </c>
      <c r="C1194" s="8" t="s">
        <v>3218</v>
      </c>
      <c r="D1194" s="8" t="s">
        <v>779</v>
      </c>
      <c r="E1194" s="8" t="b">
        <f t="shared" si="18"/>
        <v>0</v>
      </c>
      <c r="F1194" s="8" t="str" cm="1">
        <f t="array" ref="F1194">_xlfn._xlws.FILTER(E1194:E4392, C1194:C4392= "6D-PM-1020-01", "No Squirrels Found")</f>
        <v>No Squirrels Found</v>
      </c>
      <c r="G1194" s="8" t="s">
        <v>48</v>
      </c>
      <c r="H1194" s="10">
        <v>10062018</v>
      </c>
      <c r="I1194" s="10">
        <v>1</v>
      </c>
      <c r="J1194" s="8" t="s">
        <v>39</v>
      </c>
      <c r="K1194" s="8" t="s">
        <v>192</v>
      </c>
      <c r="M1194" s="8" t="s">
        <v>193</v>
      </c>
      <c r="O1194" s="8" t="s">
        <v>43</v>
      </c>
      <c r="P1194" s="8" t="b">
        <v>0</v>
      </c>
      <c r="R1194" s="8" t="b">
        <v>1</v>
      </c>
      <c r="S1194" s="8" t="b">
        <v>0</v>
      </c>
      <c r="T1194" s="8" t="b">
        <v>1</v>
      </c>
      <c r="U1194" s="8" t="b">
        <v>0</v>
      </c>
      <c r="V1194" s="8" t="b">
        <v>0</v>
      </c>
      <c r="X1194" s="8" t="b">
        <v>0</v>
      </c>
      <c r="Y1194" s="8" t="b">
        <v>0</v>
      </c>
      <c r="Z1194" s="8" t="b">
        <v>0</v>
      </c>
      <c r="AA1194" s="8" t="b">
        <v>0</v>
      </c>
      <c r="AB1194" s="8" t="b">
        <v>0</v>
      </c>
      <c r="AC1194" s="8" t="b">
        <v>0</v>
      </c>
      <c r="AD1194" s="8" t="b">
        <v>1</v>
      </c>
      <c r="AE1194" s="8" t="b">
        <v>0</v>
      </c>
      <c r="AG1194" s="11" t="b" cm="1">
        <f t="array" ref="AG1194">IF(OR(Y1194:AA1194="TRUE", AE1194="true"), "Threatened")</f>
        <v>0</v>
      </c>
      <c r="AH1194" s="11" t="s">
        <v>3219</v>
      </c>
      <c r="AI1194" s="8" t="b">
        <v>1</v>
      </c>
    </row>
    <row r="1195" spans="1:35" ht="31.2">
      <c r="A1195" s="8">
        <v>-73.968746260000003</v>
      </c>
      <c r="B1195" s="8">
        <v>40.783898989999997</v>
      </c>
      <c r="C1195" s="8" t="s">
        <v>3220</v>
      </c>
      <c r="D1195" s="8" t="s">
        <v>335</v>
      </c>
      <c r="E1195" s="8" t="b">
        <f t="shared" si="18"/>
        <v>0</v>
      </c>
      <c r="F1195" s="8" t="str" cm="1">
        <f t="array" ref="F1195">_xlfn._xlws.FILTER(E1195:E4393, C1195:C4393= "6D-PM-1020-01", "No Squirrels Found")</f>
        <v>No Squirrels Found</v>
      </c>
      <c r="G1195" s="8" t="s">
        <v>34</v>
      </c>
      <c r="H1195" s="10">
        <v>10142018</v>
      </c>
      <c r="I1195" s="10">
        <v>6</v>
      </c>
      <c r="K1195" s="8" t="s">
        <v>40</v>
      </c>
      <c r="L1195" s="8" t="s">
        <v>41</v>
      </c>
      <c r="M1195" s="8" t="s">
        <v>42</v>
      </c>
      <c r="O1195" s="8" t="s">
        <v>50</v>
      </c>
      <c r="P1195" s="8">
        <v>10</v>
      </c>
      <c r="R1195" s="8" t="b">
        <v>0</v>
      </c>
      <c r="S1195" s="8" t="b">
        <v>0</v>
      </c>
      <c r="T1195" s="8" t="b">
        <v>0</v>
      </c>
      <c r="U1195" s="8" t="b">
        <v>0</v>
      </c>
      <c r="V1195" s="8" t="b">
        <v>0</v>
      </c>
      <c r="W1195" s="11" t="s">
        <v>355</v>
      </c>
      <c r="X1195" s="8" t="b">
        <v>0</v>
      </c>
      <c r="Y1195" s="8" t="b">
        <v>0</v>
      </c>
      <c r="Z1195" s="8" t="b">
        <v>0</v>
      </c>
      <c r="AA1195" s="8" t="b">
        <v>0</v>
      </c>
      <c r="AB1195" s="8" t="b">
        <v>0</v>
      </c>
      <c r="AC1195" s="8" t="b">
        <v>0</v>
      </c>
      <c r="AD1195" s="8" t="b">
        <v>0</v>
      </c>
      <c r="AE1195" s="8" t="b">
        <v>0</v>
      </c>
      <c r="AG1195" s="11" t="b" cm="1">
        <f t="array" ref="AG1195">IF(OR(Y1195:AA1195="TRUE", AE1195="true"), "Threatened")</f>
        <v>0</v>
      </c>
      <c r="AH1195" s="11" t="s">
        <v>3221</v>
      </c>
      <c r="AI1195" s="8" t="b">
        <v>0</v>
      </c>
    </row>
    <row r="1196" spans="1:35" ht="31.2">
      <c r="A1196" s="8">
        <v>-73.980169889999999</v>
      </c>
      <c r="B1196" s="8">
        <v>40.768372159999998</v>
      </c>
      <c r="C1196" s="8" t="s">
        <v>3222</v>
      </c>
      <c r="D1196" s="8" t="s">
        <v>219</v>
      </c>
      <c r="E1196" s="8" t="b">
        <f t="shared" si="18"/>
        <v>0</v>
      </c>
      <c r="F1196" s="8" t="str" cm="1">
        <f t="array" ref="F1196">_xlfn._xlws.FILTER(E1196:E4394, C1196:C4394= "6D-PM-1020-01", "No Squirrels Found")</f>
        <v>No Squirrels Found</v>
      </c>
      <c r="G1196" s="8" t="s">
        <v>48</v>
      </c>
      <c r="H1196" s="10">
        <v>10102018</v>
      </c>
      <c r="I1196" s="10">
        <v>4</v>
      </c>
      <c r="J1196" s="8" t="s">
        <v>39</v>
      </c>
      <c r="K1196" s="8" t="s">
        <v>40</v>
      </c>
      <c r="M1196" s="8" t="s">
        <v>55</v>
      </c>
      <c r="O1196" s="8" t="s">
        <v>43</v>
      </c>
      <c r="P1196" s="8" t="b">
        <v>0</v>
      </c>
      <c r="R1196" s="8" t="b">
        <v>0</v>
      </c>
      <c r="S1196" s="8" t="b">
        <v>0</v>
      </c>
      <c r="T1196" s="8" t="b">
        <v>0</v>
      </c>
      <c r="U1196" s="8" t="b">
        <v>0</v>
      </c>
      <c r="V1196" s="8" t="b">
        <v>1</v>
      </c>
      <c r="X1196" s="8" t="b">
        <v>0</v>
      </c>
      <c r="Y1196" s="8" t="b">
        <v>0</v>
      </c>
      <c r="Z1196" s="8" t="b">
        <v>0</v>
      </c>
      <c r="AA1196" s="8" t="b">
        <v>0</v>
      </c>
      <c r="AB1196" s="8" t="b">
        <v>0</v>
      </c>
      <c r="AC1196" s="8" t="b">
        <v>0</v>
      </c>
      <c r="AD1196" s="8" t="b">
        <v>1</v>
      </c>
      <c r="AE1196" s="8" t="b">
        <v>0</v>
      </c>
      <c r="AG1196" s="11" t="b" cm="1">
        <f t="array" ref="AG1196">IF(OR(Y1196:AA1196="TRUE", AE1196="true"), "Threatened")</f>
        <v>0</v>
      </c>
      <c r="AH1196" s="11" t="s">
        <v>3223</v>
      </c>
      <c r="AI1196" s="8" t="b">
        <v>1</v>
      </c>
    </row>
    <row r="1197" spans="1:35" ht="31.2">
      <c r="A1197" s="8">
        <v>-73.958011150000004</v>
      </c>
      <c r="B1197" s="8">
        <v>40.798536599999998</v>
      </c>
      <c r="C1197" s="8" t="s">
        <v>3224</v>
      </c>
      <c r="D1197" s="8" t="s">
        <v>227</v>
      </c>
      <c r="E1197" s="8" t="b">
        <f t="shared" si="18"/>
        <v>0</v>
      </c>
      <c r="F1197" s="8" t="str" cm="1">
        <f t="array" ref="F1197">_xlfn._xlws.FILTER(E1197:E4395, C1197:C4395= "6D-PM-1020-01", "No Squirrels Found")</f>
        <v>No Squirrels Found</v>
      </c>
      <c r="G1197" s="8" t="s">
        <v>48</v>
      </c>
      <c r="H1197" s="10">
        <v>10192018</v>
      </c>
      <c r="I1197" s="10">
        <v>5</v>
      </c>
      <c r="J1197" s="8" t="s">
        <v>39</v>
      </c>
      <c r="K1197" s="8" t="s">
        <v>40</v>
      </c>
      <c r="L1197" s="8" t="s">
        <v>117</v>
      </c>
      <c r="M1197" s="8" t="s">
        <v>118</v>
      </c>
      <c r="O1197" s="8" t="s">
        <v>43</v>
      </c>
      <c r="P1197" s="8" t="b">
        <v>0</v>
      </c>
      <c r="R1197" s="8" t="b">
        <v>0</v>
      </c>
      <c r="S1197" s="8" t="b">
        <v>0</v>
      </c>
      <c r="T1197" s="8" t="b">
        <v>0</v>
      </c>
      <c r="U1197" s="8" t="b">
        <v>0</v>
      </c>
      <c r="V1197" s="8" t="b">
        <v>1</v>
      </c>
      <c r="X1197" s="8" t="b">
        <v>0</v>
      </c>
      <c r="Y1197" s="8" t="b">
        <v>0</v>
      </c>
      <c r="Z1197" s="8" t="b">
        <v>0</v>
      </c>
      <c r="AA1197" s="8" t="b">
        <v>0</v>
      </c>
      <c r="AB1197" s="8" t="b">
        <v>1</v>
      </c>
      <c r="AC1197" s="8" t="b">
        <v>1</v>
      </c>
      <c r="AD1197" s="8" t="b">
        <v>1</v>
      </c>
      <c r="AE1197" s="8" t="b">
        <v>0</v>
      </c>
      <c r="AG1197" s="11" t="b" cm="1">
        <f t="array" ref="AG1197">IF(OR(Y1197:AA1197="TRUE", AE1197="true"), "Threatened")</f>
        <v>0</v>
      </c>
      <c r="AH1197" s="11" t="s">
        <v>3225</v>
      </c>
      <c r="AI1197" s="8" t="b">
        <v>1</v>
      </c>
    </row>
    <row r="1198" spans="1:35" ht="31.2">
      <c r="A1198" s="8">
        <v>-73.959086869999993</v>
      </c>
      <c r="B1198" s="8">
        <v>40.790604760000001</v>
      </c>
      <c r="C1198" s="8" t="s">
        <v>3226</v>
      </c>
      <c r="D1198" s="8" t="s">
        <v>75</v>
      </c>
      <c r="E1198" s="8" t="b">
        <f t="shared" si="18"/>
        <v>0</v>
      </c>
      <c r="F1198" s="8" t="str" cm="1">
        <f t="array" ref="F1198">_xlfn._xlws.FILTER(E1198:E4396, C1198:C4396= "6D-PM-1020-01", "No Squirrels Found")</f>
        <v>No Squirrels Found</v>
      </c>
      <c r="G1198" s="8" t="s">
        <v>34</v>
      </c>
      <c r="H1198" s="10">
        <v>10172018</v>
      </c>
      <c r="I1198" s="10">
        <v>9</v>
      </c>
      <c r="J1198" s="8" t="s">
        <v>39</v>
      </c>
      <c r="K1198" s="8" t="s">
        <v>40</v>
      </c>
      <c r="M1198" s="8" t="s">
        <v>55</v>
      </c>
      <c r="O1198" s="8" t="s">
        <v>43</v>
      </c>
      <c r="P1198" s="8" t="b">
        <v>0</v>
      </c>
      <c r="Q1198" s="8" t="s">
        <v>823</v>
      </c>
      <c r="R1198" s="8" t="b">
        <v>0</v>
      </c>
      <c r="S1198" s="8" t="b">
        <v>0</v>
      </c>
      <c r="T1198" s="8" t="b">
        <v>0</v>
      </c>
      <c r="U1198" s="8" t="b">
        <v>1</v>
      </c>
      <c r="V1198" s="8" t="b">
        <v>1</v>
      </c>
      <c r="X1198" s="8" t="b">
        <v>0</v>
      </c>
      <c r="Y1198" s="8" t="b">
        <v>0</v>
      </c>
      <c r="Z1198" s="8" t="b">
        <v>0</v>
      </c>
      <c r="AA1198" s="8" t="b">
        <v>0</v>
      </c>
      <c r="AB1198" s="8" t="b">
        <v>0</v>
      </c>
      <c r="AC1198" s="8" t="b">
        <v>0</v>
      </c>
      <c r="AD1198" s="8" t="b">
        <v>0</v>
      </c>
      <c r="AE1198" s="8" t="b">
        <v>1</v>
      </c>
      <c r="AG1198" s="11" t="b" cm="1">
        <f t="array" ref="AG1198">IF(OR(Y1198:AA1198="TRUE", AE1198="true"), "Threatened")</f>
        <v>0</v>
      </c>
      <c r="AH1198" s="11" t="s">
        <v>3227</v>
      </c>
      <c r="AI1198" s="8" t="b">
        <v>1</v>
      </c>
    </row>
    <row r="1199" spans="1:35" ht="31.2">
      <c r="A1199" s="8">
        <v>-73.976218770000003</v>
      </c>
      <c r="B1199" s="8">
        <v>40.773928300000001</v>
      </c>
      <c r="C1199" s="8" t="s">
        <v>3228</v>
      </c>
      <c r="D1199" s="8" t="s">
        <v>802</v>
      </c>
      <c r="E1199" s="8" t="b">
        <f t="shared" si="18"/>
        <v>0</v>
      </c>
      <c r="F1199" s="8" t="str" cm="1">
        <f t="array" ref="F1199">_xlfn._xlws.FILTER(E1199:E4397, C1199:C4397= "6D-PM-1020-01", "No Squirrels Found")</f>
        <v>No Squirrels Found</v>
      </c>
      <c r="G1199" s="8" t="s">
        <v>34</v>
      </c>
      <c r="H1199" s="10">
        <v>10132018</v>
      </c>
      <c r="I1199" s="10">
        <v>8</v>
      </c>
      <c r="J1199" s="8" t="s">
        <v>54</v>
      </c>
      <c r="K1199" s="8" t="s">
        <v>41</v>
      </c>
      <c r="L1199" s="8" t="s">
        <v>749</v>
      </c>
      <c r="M1199" s="8" t="s">
        <v>3229</v>
      </c>
      <c r="O1199" s="8" t="s">
        <v>43</v>
      </c>
      <c r="P1199" s="8" t="b">
        <v>0</v>
      </c>
      <c r="R1199" s="8" t="b">
        <v>0</v>
      </c>
      <c r="S1199" s="8" t="b">
        <v>0</v>
      </c>
      <c r="T1199" s="8" t="b">
        <v>0</v>
      </c>
      <c r="U1199" s="8" t="b">
        <v>0</v>
      </c>
      <c r="V1199" s="8" t="b">
        <v>1</v>
      </c>
      <c r="X1199" s="8" t="b">
        <v>0</v>
      </c>
      <c r="Y1199" s="8" t="b">
        <v>0</v>
      </c>
      <c r="Z1199" s="8" t="b">
        <v>0</v>
      </c>
      <c r="AA1199" s="8" t="b">
        <v>1</v>
      </c>
      <c r="AB1199" s="8" t="b">
        <v>0</v>
      </c>
      <c r="AC1199" s="8" t="b">
        <v>0</v>
      </c>
      <c r="AD1199" s="8" t="b">
        <v>1</v>
      </c>
      <c r="AE1199" s="8" t="b">
        <v>0</v>
      </c>
      <c r="AG1199" s="11" t="b" cm="1">
        <f t="array" ref="AG1199">IF(OR(Y1199:AA1199="TRUE", AE1199="true"), "Threatened")</f>
        <v>0</v>
      </c>
      <c r="AH1199" s="11" t="s">
        <v>3230</v>
      </c>
      <c r="AI1199" s="8" t="b">
        <v>1</v>
      </c>
    </row>
    <row r="1200" spans="1:35" ht="31.2">
      <c r="A1200" s="8">
        <v>-73.975699320000004</v>
      </c>
      <c r="B1200" s="8">
        <v>40.768195660000003</v>
      </c>
      <c r="C1200" s="8" t="s">
        <v>3231</v>
      </c>
      <c r="D1200" s="8" t="s">
        <v>230</v>
      </c>
      <c r="E1200" s="8" t="b">
        <f t="shared" si="18"/>
        <v>0</v>
      </c>
      <c r="F1200" s="8" t="str" cm="1">
        <f t="array" ref="F1200">_xlfn._xlws.FILTER(E1200:E4398, C1200:C4398= "6D-PM-1020-01", "No Squirrels Found")</f>
        <v>No Squirrels Found</v>
      </c>
      <c r="G1200" s="8" t="s">
        <v>34</v>
      </c>
      <c r="H1200" s="10">
        <v>10082018</v>
      </c>
      <c r="I1200" s="10">
        <v>8</v>
      </c>
      <c r="J1200" s="8" t="s">
        <v>39</v>
      </c>
      <c r="K1200" s="8" t="s">
        <v>41</v>
      </c>
      <c r="M1200" s="8" t="s">
        <v>49</v>
      </c>
      <c r="O1200" s="8" t="s">
        <v>43</v>
      </c>
      <c r="P1200" s="8" t="b">
        <v>0</v>
      </c>
      <c r="R1200" s="8" t="b">
        <v>1</v>
      </c>
      <c r="S1200" s="8" t="b">
        <v>0</v>
      </c>
      <c r="T1200" s="8" t="b">
        <v>0</v>
      </c>
      <c r="U1200" s="8" t="b">
        <v>0</v>
      </c>
      <c r="V1200" s="8" t="b">
        <v>1</v>
      </c>
      <c r="X1200" s="8" t="b">
        <v>0</v>
      </c>
      <c r="Y1200" s="8" t="b">
        <v>0</v>
      </c>
      <c r="Z1200" s="8" t="b">
        <v>0</v>
      </c>
      <c r="AA1200" s="8" t="b">
        <v>0</v>
      </c>
      <c r="AB1200" s="8" t="b">
        <v>0</v>
      </c>
      <c r="AC1200" s="8" t="b">
        <v>0</v>
      </c>
      <c r="AD1200" s="8" t="b">
        <v>1</v>
      </c>
      <c r="AE1200" s="8" t="b">
        <v>0</v>
      </c>
      <c r="AG1200" s="11" t="b" cm="1">
        <f t="array" ref="AG1200">IF(OR(Y1200:AA1200="TRUE", AE1200="true"), "Threatened")</f>
        <v>0</v>
      </c>
      <c r="AH1200" s="11" t="s">
        <v>3232</v>
      </c>
      <c r="AI1200" s="8" t="b">
        <v>1</v>
      </c>
    </row>
    <row r="1201" spans="1:35" ht="31.2">
      <c r="A1201" s="8">
        <v>-73.965772169999994</v>
      </c>
      <c r="B1201" s="8">
        <v>40.778534829999998</v>
      </c>
      <c r="C1201" s="8" t="s">
        <v>3233</v>
      </c>
      <c r="D1201" s="8" t="s">
        <v>520</v>
      </c>
      <c r="E1201" s="8" t="b">
        <f t="shared" si="18"/>
        <v>0</v>
      </c>
      <c r="F1201" s="8" t="str" cm="1">
        <f t="array" ref="F1201">_xlfn._xlws.FILTER(E1201:E4399, C1201:C4399= "6D-PM-1020-01", "No Squirrels Found")</f>
        <v>No Squirrels Found</v>
      </c>
      <c r="G1201" s="8" t="s">
        <v>34</v>
      </c>
      <c r="H1201" s="10">
        <v>10132018</v>
      </c>
      <c r="I1201" s="10">
        <v>3</v>
      </c>
      <c r="J1201" s="8" t="s">
        <v>39</v>
      </c>
      <c r="K1201" s="8" t="s">
        <v>40</v>
      </c>
      <c r="M1201" s="8" t="s">
        <v>55</v>
      </c>
      <c r="O1201" s="8" t="s">
        <v>43</v>
      </c>
      <c r="P1201" s="8" t="b">
        <v>0</v>
      </c>
      <c r="R1201" s="8" t="b">
        <v>1</v>
      </c>
      <c r="S1201" s="8" t="b">
        <v>0</v>
      </c>
      <c r="T1201" s="8" t="b">
        <v>0</v>
      </c>
      <c r="U1201" s="8" t="b">
        <v>1</v>
      </c>
      <c r="V1201" s="8" t="b">
        <v>1</v>
      </c>
      <c r="X1201" s="8" t="b">
        <v>0</v>
      </c>
      <c r="Y1201" s="8" t="b">
        <v>0</v>
      </c>
      <c r="Z1201" s="8" t="b">
        <v>0</v>
      </c>
      <c r="AA1201" s="8" t="b">
        <v>0</v>
      </c>
      <c r="AB1201" s="8" t="b">
        <v>0</v>
      </c>
      <c r="AC1201" s="8" t="b">
        <v>0</v>
      </c>
      <c r="AD1201" s="8" t="b">
        <v>0</v>
      </c>
      <c r="AE1201" s="8" t="b">
        <v>1</v>
      </c>
      <c r="AG1201" s="11" t="b" cm="1">
        <f t="array" ref="AG1201">IF(OR(Y1201:AA1201="TRUE", AE1201="true"), "Threatened")</f>
        <v>0</v>
      </c>
      <c r="AH1201" s="11" t="s">
        <v>3234</v>
      </c>
      <c r="AI1201" s="8" t="b">
        <v>1</v>
      </c>
    </row>
    <row r="1202" spans="1:35" ht="31.2">
      <c r="A1202" s="8">
        <v>-73.978281350000003</v>
      </c>
      <c r="B1202" s="8">
        <v>40.77157304</v>
      </c>
      <c r="C1202" s="8" t="s">
        <v>3235</v>
      </c>
      <c r="D1202" s="8" t="s">
        <v>874</v>
      </c>
      <c r="E1202" s="8" t="b">
        <f t="shared" si="18"/>
        <v>0</v>
      </c>
      <c r="F1202" s="8" t="str" cm="1">
        <f t="array" ref="F1202">_xlfn._xlws.FILTER(E1202:E4400, C1202:C4400= "6D-PM-1020-01", "No Squirrels Found")</f>
        <v>No Squirrels Found</v>
      </c>
      <c r="G1202" s="8" t="s">
        <v>48</v>
      </c>
      <c r="H1202" s="10">
        <v>10062018</v>
      </c>
      <c r="I1202" s="10">
        <v>2</v>
      </c>
      <c r="J1202" s="8" t="s">
        <v>39</v>
      </c>
      <c r="K1202" s="8" t="s">
        <v>40</v>
      </c>
      <c r="L1202" s="8" t="s">
        <v>117</v>
      </c>
      <c r="M1202" s="8" t="s">
        <v>118</v>
      </c>
      <c r="O1202" s="8" t="s">
        <v>50</v>
      </c>
      <c r="P1202" s="8">
        <v>30</v>
      </c>
      <c r="Q1202" s="8" t="s">
        <v>206</v>
      </c>
      <c r="R1202" s="8" t="b">
        <v>0</v>
      </c>
      <c r="S1202" s="8" t="b">
        <v>1</v>
      </c>
      <c r="T1202" s="8" t="b">
        <v>1</v>
      </c>
      <c r="U1202" s="8" t="b">
        <v>0</v>
      </c>
      <c r="V1202" s="8" t="b">
        <v>0</v>
      </c>
      <c r="X1202" s="8" t="b">
        <v>0</v>
      </c>
      <c r="Y1202" s="8" t="b">
        <v>0</v>
      </c>
      <c r="Z1202" s="8" t="b">
        <v>0</v>
      </c>
      <c r="AA1202" s="8" t="b">
        <v>1</v>
      </c>
      <c r="AB1202" s="8" t="b">
        <v>0</v>
      </c>
      <c r="AC1202" s="8" t="b">
        <v>0</v>
      </c>
      <c r="AD1202" s="8" t="b">
        <v>0</v>
      </c>
      <c r="AE1202" s="8" t="b">
        <v>0</v>
      </c>
      <c r="AG1202" s="11" t="b" cm="1">
        <f t="array" ref="AG1202">IF(OR(Y1202:AA1202="TRUE", AE1202="true"), "Threatened")</f>
        <v>0</v>
      </c>
      <c r="AH1202" s="11" t="s">
        <v>3236</v>
      </c>
      <c r="AI1202" s="8" t="b">
        <v>1</v>
      </c>
    </row>
    <row r="1203" spans="1:35" ht="31.2">
      <c r="A1203" s="8">
        <v>-73.969497930000003</v>
      </c>
      <c r="B1203" s="8">
        <v>40.769466739999999</v>
      </c>
      <c r="C1203" s="8" t="s">
        <v>3237</v>
      </c>
      <c r="D1203" s="8" t="s">
        <v>1310</v>
      </c>
      <c r="E1203" s="8" t="b">
        <f t="shared" si="18"/>
        <v>0</v>
      </c>
      <c r="F1203" s="8" t="str" cm="1">
        <f t="array" ref="F1203">_xlfn._xlws.FILTER(E1203:E4401, C1203:C4401= "6D-PM-1020-01", "No Squirrels Found")</f>
        <v>No Squirrels Found</v>
      </c>
      <c r="G1203" s="8" t="s">
        <v>34</v>
      </c>
      <c r="H1203" s="10">
        <v>10132018</v>
      </c>
      <c r="I1203" s="10">
        <v>2</v>
      </c>
      <c r="J1203" s="8" t="s">
        <v>39</v>
      </c>
      <c r="K1203" s="8" t="s">
        <v>40</v>
      </c>
      <c r="L1203" s="8" t="s">
        <v>84</v>
      </c>
      <c r="M1203" s="8" t="s">
        <v>103</v>
      </c>
      <c r="O1203" s="8" t="s">
        <v>43</v>
      </c>
      <c r="P1203" s="8" t="b">
        <v>0</v>
      </c>
      <c r="Q1203" s="8" t="s">
        <v>3238</v>
      </c>
      <c r="R1203" s="8" t="b">
        <v>1</v>
      </c>
      <c r="S1203" s="8" t="b">
        <v>0</v>
      </c>
      <c r="T1203" s="8" t="b">
        <v>0</v>
      </c>
      <c r="U1203" s="8" t="b">
        <v>0</v>
      </c>
      <c r="V1203" s="8" t="b">
        <v>0</v>
      </c>
      <c r="X1203" s="8" t="b">
        <v>0</v>
      </c>
      <c r="Y1203" s="8" t="b">
        <v>0</v>
      </c>
      <c r="Z1203" s="8" t="b">
        <v>0</v>
      </c>
      <c r="AA1203" s="8" t="b">
        <v>0</v>
      </c>
      <c r="AB1203" s="8" t="b">
        <v>1</v>
      </c>
      <c r="AC1203" s="8" t="b">
        <v>0</v>
      </c>
      <c r="AD1203" s="8" t="b">
        <v>0</v>
      </c>
      <c r="AE1203" s="8" t="b">
        <v>0</v>
      </c>
      <c r="AG1203" s="11" t="b" cm="1">
        <f t="array" ref="AG1203">IF(OR(Y1203:AA1203="TRUE", AE1203="true"), "Threatened")</f>
        <v>0</v>
      </c>
      <c r="AH1203" s="11" t="s">
        <v>3239</v>
      </c>
      <c r="AI1203" s="8" t="b">
        <v>1</v>
      </c>
    </row>
    <row r="1204" spans="1:35" ht="31.2">
      <c r="A1204" s="8">
        <v>-73.961699969999998</v>
      </c>
      <c r="B1204" s="8">
        <v>40.795412689999999</v>
      </c>
      <c r="C1204" s="8" t="s">
        <v>3240</v>
      </c>
      <c r="D1204" s="8" t="s">
        <v>387</v>
      </c>
      <c r="E1204" s="8" t="b">
        <f t="shared" si="18"/>
        <v>0</v>
      </c>
      <c r="F1204" s="8" t="str" cm="1">
        <f t="array" ref="F1204">_xlfn._xlws.FILTER(E1204:E4402, C1204:C4402= "6D-PM-1020-01", "No Squirrels Found")</f>
        <v>No Squirrels Found</v>
      </c>
      <c r="G1204" s="8" t="s">
        <v>48</v>
      </c>
      <c r="H1204" s="10">
        <v>10182018</v>
      </c>
      <c r="I1204" s="10">
        <v>2</v>
      </c>
      <c r="J1204" s="8" t="s">
        <v>54</v>
      </c>
      <c r="K1204" s="8" t="s">
        <v>40</v>
      </c>
      <c r="L1204" s="8" t="s">
        <v>84</v>
      </c>
      <c r="M1204" s="8" t="s">
        <v>103</v>
      </c>
      <c r="O1204" s="8" t="s">
        <v>50</v>
      </c>
      <c r="P1204" s="8">
        <v>15</v>
      </c>
      <c r="R1204" s="8" t="b">
        <v>0</v>
      </c>
      <c r="S1204" s="8" t="b">
        <v>0</v>
      </c>
      <c r="T1204" s="8" t="b">
        <v>0</v>
      </c>
      <c r="U1204" s="8" t="b">
        <v>1</v>
      </c>
      <c r="V1204" s="8" t="b">
        <v>0</v>
      </c>
      <c r="W1204" s="11" t="s">
        <v>1502</v>
      </c>
      <c r="X1204" s="8" t="b">
        <v>0</v>
      </c>
      <c r="Y1204" s="8" t="b">
        <v>0</v>
      </c>
      <c r="Z1204" s="8" t="b">
        <v>0</v>
      </c>
      <c r="AA1204" s="8" t="b">
        <v>0</v>
      </c>
      <c r="AB1204" s="8" t="b">
        <v>0</v>
      </c>
      <c r="AC1204" s="8" t="b">
        <v>0</v>
      </c>
      <c r="AD1204" s="8" t="b">
        <v>1</v>
      </c>
      <c r="AE1204" s="8" t="b">
        <v>0</v>
      </c>
      <c r="AG1204" s="11" t="b" cm="1">
        <f t="array" ref="AG1204">IF(OR(Y1204:AA1204="TRUE", AE1204="true"), "Threatened")</f>
        <v>0</v>
      </c>
      <c r="AH1204" s="11" t="s">
        <v>3241</v>
      </c>
      <c r="AI1204" s="8" t="b">
        <v>0</v>
      </c>
    </row>
    <row r="1205" spans="1:35" ht="31.2">
      <c r="A1205" s="8">
        <v>-73.976296529999999</v>
      </c>
      <c r="B1205" s="8">
        <v>40.77511252</v>
      </c>
      <c r="C1205" s="8" t="s">
        <v>3242</v>
      </c>
      <c r="D1205" s="8" t="s">
        <v>167</v>
      </c>
      <c r="E1205" s="8" t="b">
        <f t="shared" si="18"/>
        <v>0</v>
      </c>
      <c r="F1205" s="8" t="str" cm="1">
        <f t="array" ref="F1205">_xlfn._xlws.FILTER(E1205:E4403, C1205:C4403= "6D-PM-1020-01", "No Squirrels Found")</f>
        <v>No Squirrels Found</v>
      </c>
      <c r="G1205" s="8" t="s">
        <v>48</v>
      </c>
      <c r="H1205" s="10">
        <v>10062018</v>
      </c>
      <c r="I1205" s="10">
        <v>2</v>
      </c>
      <c r="J1205" s="8" t="s">
        <v>39</v>
      </c>
      <c r="K1205" s="8" t="s">
        <v>40</v>
      </c>
      <c r="L1205" s="8" t="s">
        <v>84</v>
      </c>
      <c r="M1205" s="8" t="s">
        <v>103</v>
      </c>
      <c r="O1205" s="8" t="s">
        <v>43</v>
      </c>
      <c r="P1205" s="8" t="b">
        <v>0</v>
      </c>
      <c r="Q1205" s="8" t="s">
        <v>852</v>
      </c>
      <c r="R1205" s="8" t="b">
        <v>1</v>
      </c>
      <c r="S1205" s="8" t="b">
        <v>0</v>
      </c>
      <c r="T1205" s="8" t="b">
        <v>0</v>
      </c>
      <c r="U1205" s="8" t="b">
        <v>0</v>
      </c>
      <c r="V1205" s="8" t="b">
        <v>0</v>
      </c>
      <c r="X1205" s="8" t="b">
        <v>0</v>
      </c>
      <c r="Y1205" s="8" t="b">
        <v>0</v>
      </c>
      <c r="Z1205" s="8" t="b">
        <v>0</v>
      </c>
      <c r="AA1205" s="8" t="b">
        <v>0</v>
      </c>
      <c r="AB1205" s="8" t="b">
        <v>0</v>
      </c>
      <c r="AC1205" s="8" t="b">
        <v>0</v>
      </c>
      <c r="AD1205" s="8" t="b">
        <v>0</v>
      </c>
      <c r="AE1205" s="8" t="b">
        <v>0</v>
      </c>
      <c r="AG1205" s="11" t="b" cm="1">
        <f t="array" ref="AG1205">IF(OR(Y1205:AA1205="TRUE", AE1205="true"), "Threatened")</f>
        <v>0</v>
      </c>
      <c r="AH1205" s="11" t="s">
        <v>3243</v>
      </c>
      <c r="AI1205" s="8" t="b">
        <v>1</v>
      </c>
    </row>
    <row r="1206" spans="1:35" ht="31.2">
      <c r="A1206" s="8">
        <v>-73.961111880000004</v>
      </c>
      <c r="B1206" s="8">
        <v>40.795200790000003</v>
      </c>
      <c r="C1206" s="8" t="s">
        <v>3244</v>
      </c>
      <c r="D1206" s="8" t="s">
        <v>387</v>
      </c>
      <c r="E1206" s="8" t="b">
        <f t="shared" si="18"/>
        <v>0</v>
      </c>
      <c r="F1206" s="8" t="str" cm="1">
        <f t="array" ref="F1206">_xlfn._xlws.FILTER(E1206:E4404, C1206:C4404= "6D-PM-1020-01", "No Squirrels Found")</f>
        <v>No Squirrels Found</v>
      </c>
      <c r="G1206" s="8" t="s">
        <v>34</v>
      </c>
      <c r="H1206" s="10">
        <v>10132018</v>
      </c>
      <c r="I1206" s="10">
        <v>1</v>
      </c>
      <c r="K1206" s="8" t="s">
        <v>40</v>
      </c>
      <c r="L1206" s="8" t="s">
        <v>41</v>
      </c>
      <c r="M1206" s="8" t="s">
        <v>42</v>
      </c>
      <c r="O1206" s="8" t="s">
        <v>43</v>
      </c>
      <c r="P1206" s="8" t="b">
        <v>0</v>
      </c>
      <c r="R1206" s="8" t="b">
        <v>0</v>
      </c>
      <c r="S1206" s="8" t="b">
        <v>0</v>
      </c>
      <c r="T1206" s="8" t="b">
        <v>0</v>
      </c>
      <c r="U1206" s="8" t="b">
        <v>0</v>
      </c>
      <c r="V1206" s="8" t="b">
        <v>1</v>
      </c>
      <c r="W1206" s="11" t="s">
        <v>521</v>
      </c>
      <c r="X1206" s="8" t="b">
        <v>0</v>
      </c>
      <c r="Y1206" s="8" t="b">
        <v>0</v>
      </c>
      <c r="Z1206" s="8" t="b">
        <v>0</v>
      </c>
      <c r="AA1206" s="8" t="b">
        <v>0</v>
      </c>
      <c r="AB1206" s="8" t="b">
        <v>0</v>
      </c>
      <c r="AC1206" s="8" t="b">
        <v>1</v>
      </c>
      <c r="AD1206" s="8" t="b">
        <v>0</v>
      </c>
      <c r="AE1206" s="8" t="b">
        <v>0</v>
      </c>
      <c r="AG1206" s="11" t="b" cm="1">
        <f t="array" ref="AG1206">IF(OR(Y1206:AA1206="TRUE", AE1206="true"), "Threatened")</f>
        <v>0</v>
      </c>
      <c r="AH1206" s="11" t="s">
        <v>3245</v>
      </c>
      <c r="AI1206" s="8" t="b">
        <v>0</v>
      </c>
    </row>
    <row r="1207" spans="1:35" ht="31.2">
      <c r="A1207" s="8">
        <v>-73.974870920000001</v>
      </c>
      <c r="B1207" s="8">
        <v>40.77608025</v>
      </c>
      <c r="C1207" s="8" t="s">
        <v>3246</v>
      </c>
      <c r="D1207" s="8" t="s">
        <v>268</v>
      </c>
      <c r="E1207" s="8" t="b">
        <f t="shared" si="18"/>
        <v>0</v>
      </c>
      <c r="F1207" s="8" t="str" cm="1">
        <f t="array" ref="F1207">_xlfn._xlws.FILTER(E1207:E4405, C1207:C4405= "6D-PM-1020-01", "No Squirrels Found")</f>
        <v>No Squirrels Found</v>
      </c>
      <c r="G1207" s="8" t="s">
        <v>34</v>
      </c>
      <c r="H1207" s="10">
        <v>10142018</v>
      </c>
      <c r="I1207" s="10">
        <v>1</v>
      </c>
      <c r="J1207" s="8" t="s">
        <v>39</v>
      </c>
      <c r="K1207" s="8" t="s">
        <v>40</v>
      </c>
      <c r="M1207" s="8" t="s">
        <v>55</v>
      </c>
      <c r="N1207" s="11" t="s">
        <v>3247</v>
      </c>
      <c r="O1207" s="8" t="s">
        <v>50</v>
      </c>
      <c r="P1207" s="8">
        <v>10</v>
      </c>
      <c r="R1207" s="8" t="b">
        <v>0</v>
      </c>
      <c r="S1207" s="8" t="b">
        <v>0</v>
      </c>
      <c r="T1207" s="8" t="b">
        <v>1</v>
      </c>
      <c r="U1207" s="8" t="b">
        <v>0</v>
      </c>
      <c r="V1207" s="8" t="b">
        <v>0</v>
      </c>
      <c r="X1207" s="8" t="b">
        <v>1</v>
      </c>
      <c r="Y1207" s="8" t="b">
        <v>0</v>
      </c>
      <c r="Z1207" s="8" t="b">
        <v>0</v>
      </c>
      <c r="AA1207" s="8" t="b">
        <v>0</v>
      </c>
      <c r="AB1207" s="8" t="b">
        <v>0</v>
      </c>
      <c r="AC1207" s="8" t="b">
        <v>0</v>
      </c>
      <c r="AD1207" s="8" t="b">
        <v>0</v>
      </c>
      <c r="AE1207" s="8" t="b">
        <v>1</v>
      </c>
      <c r="AG1207" s="11" t="b" cm="1">
        <f t="array" ref="AG1207">IF(OR(Y1207:AA1207="TRUE", AE1207="true"), "Threatened")</f>
        <v>0</v>
      </c>
      <c r="AH1207" s="11" t="s">
        <v>3248</v>
      </c>
      <c r="AI1207" s="8" t="b">
        <v>1</v>
      </c>
    </row>
    <row r="1208" spans="1:35" ht="31.2">
      <c r="A1208" s="8">
        <v>-73.959470830000001</v>
      </c>
      <c r="B1208" s="8">
        <v>40.791192979999998</v>
      </c>
      <c r="C1208" s="8" t="s">
        <v>3249</v>
      </c>
      <c r="D1208" s="8" t="s">
        <v>75</v>
      </c>
      <c r="E1208" s="8" t="b">
        <f t="shared" si="18"/>
        <v>0</v>
      </c>
      <c r="F1208" s="8" t="str" cm="1">
        <f t="array" ref="F1208">_xlfn._xlws.FILTER(E1208:E4406, C1208:C4406= "6D-PM-1020-01", "No Squirrels Found")</f>
        <v>No Squirrels Found</v>
      </c>
      <c r="G1208" s="8" t="s">
        <v>48</v>
      </c>
      <c r="H1208" s="10">
        <v>10072018</v>
      </c>
      <c r="I1208" s="10">
        <v>7</v>
      </c>
      <c r="J1208" s="8" t="s">
        <v>39</v>
      </c>
      <c r="K1208" s="8" t="s">
        <v>40</v>
      </c>
      <c r="M1208" s="8" t="s">
        <v>55</v>
      </c>
      <c r="O1208" s="8" t="s">
        <v>50</v>
      </c>
      <c r="Q1208" s="8" t="s">
        <v>3250</v>
      </c>
      <c r="R1208" s="8" t="b">
        <v>0</v>
      </c>
      <c r="S1208" s="8" t="b">
        <v>0</v>
      </c>
      <c r="T1208" s="8" t="b">
        <v>1</v>
      </c>
      <c r="U1208" s="8" t="b">
        <v>0</v>
      </c>
      <c r="V1208" s="8" t="b">
        <v>0</v>
      </c>
      <c r="X1208" s="8" t="b">
        <v>0</v>
      </c>
      <c r="Y1208" s="8" t="b">
        <v>0</v>
      </c>
      <c r="Z1208" s="8" t="b">
        <v>0</v>
      </c>
      <c r="AA1208" s="8" t="b">
        <v>0</v>
      </c>
      <c r="AB1208" s="8" t="b">
        <v>0</v>
      </c>
      <c r="AC1208" s="8" t="b">
        <v>0</v>
      </c>
      <c r="AD1208" s="8" t="b">
        <v>1</v>
      </c>
      <c r="AE1208" s="8" t="b">
        <v>0</v>
      </c>
      <c r="AG1208" s="11" t="b" cm="1">
        <f t="array" ref="AG1208">IF(OR(Y1208:AA1208="TRUE", AE1208="true"), "Threatened")</f>
        <v>0</v>
      </c>
      <c r="AH1208" s="11" t="s">
        <v>3251</v>
      </c>
      <c r="AI1208" s="8" t="b">
        <v>1</v>
      </c>
    </row>
    <row r="1209" spans="1:35" ht="31.2">
      <c r="A1209" s="8">
        <v>-73.966280490000003</v>
      </c>
      <c r="B1209" s="8">
        <v>40.789028459999997</v>
      </c>
      <c r="C1209" s="8" t="s">
        <v>3252</v>
      </c>
      <c r="D1209" s="8" t="s">
        <v>174</v>
      </c>
      <c r="E1209" s="8" t="b">
        <f t="shared" si="18"/>
        <v>0</v>
      </c>
      <c r="F1209" s="8" t="str" cm="1">
        <f t="array" ref="F1209">_xlfn._xlws.FILTER(E1209:E4407, C1209:C4407= "6D-PM-1020-01", "No Squirrels Found")</f>
        <v>No Squirrels Found</v>
      </c>
      <c r="G1209" s="8" t="s">
        <v>34</v>
      </c>
      <c r="H1209" s="10">
        <v>10072018</v>
      </c>
      <c r="I1209" s="10">
        <v>1</v>
      </c>
      <c r="J1209" s="8" t="s">
        <v>39</v>
      </c>
      <c r="K1209" s="8" t="s">
        <v>40</v>
      </c>
      <c r="L1209" s="8" t="s">
        <v>41</v>
      </c>
      <c r="M1209" s="8" t="s">
        <v>42</v>
      </c>
      <c r="O1209" s="8" t="s">
        <v>43</v>
      </c>
      <c r="P1209" s="8" t="b">
        <v>0</v>
      </c>
      <c r="R1209" s="8" t="b">
        <v>0</v>
      </c>
      <c r="S1209" s="8" t="b">
        <v>0</v>
      </c>
      <c r="T1209" s="8" t="b">
        <v>0</v>
      </c>
      <c r="U1209" s="8" t="b">
        <v>1</v>
      </c>
      <c r="V1209" s="8" t="b">
        <v>0</v>
      </c>
      <c r="X1209" s="8" t="b">
        <v>0</v>
      </c>
      <c r="Y1209" s="8" t="b">
        <v>0</v>
      </c>
      <c r="Z1209" s="8" t="b">
        <v>0</v>
      </c>
      <c r="AA1209" s="8" t="b">
        <v>0</v>
      </c>
      <c r="AB1209" s="8" t="b">
        <v>0</v>
      </c>
      <c r="AC1209" s="8" t="b">
        <v>0</v>
      </c>
      <c r="AD1209" s="8" t="b">
        <v>1</v>
      </c>
      <c r="AE1209" s="8" t="b">
        <v>0</v>
      </c>
      <c r="AG1209" s="11" t="b" cm="1">
        <f t="array" ref="AG1209">IF(OR(Y1209:AA1209="TRUE", AE1209="true"), "Threatened")</f>
        <v>0</v>
      </c>
      <c r="AH1209" s="11" t="s">
        <v>3253</v>
      </c>
      <c r="AI1209" s="8" t="b">
        <v>1</v>
      </c>
    </row>
    <row r="1210" spans="1:35" ht="31.2">
      <c r="A1210" s="8">
        <v>-73.976315920000005</v>
      </c>
      <c r="B1210" s="8">
        <v>40.770578530000002</v>
      </c>
      <c r="C1210" s="8" t="s">
        <v>3254</v>
      </c>
      <c r="D1210" s="8" t="s">
        <v>109</v>
      </c>
      <c r="E1210" s="8" t="b">
        <f t="shared" si="18"/>
        <v>0</v>
      </c>
      <c r="F1210" s="8" t="str" cm="1">
        <f t="array" ref="F1210">_xlfn._xlws.FILTER(E1210:E4408, C1210:C4408= "6D-PM-1020-01", "No Squirrels Found")</f>
        <v>No Squirrels Found</v>
      </c>
      <c r="G1210" s="8" t="s">
        <v>48</v>
      </c>
      <c r="H1210" s="10">
        <v>10062018</v>
      </c>
      <c r="I1210" s="10">
        <v>7</v>
      </c>
      <c r="J1210" s="8" t="s">
        <v>39</v>
      </c>
      <c r="K1210" s="8" t="s">
        <v>40</v>
      </c>
      <c r="L1210" s="8" t="s">
        <v>41</v>
      </c>
      <c r="M1210" s="8" t="s">
        <v>42</v>
      </c>
      <c r="O1210" s="8" t="s">
        <v>43</v>
      </c>
      <c r="P1210" s="8" t="b">
        <v>0</v>
      </c>
      <c r="R1210" s="8" t="b">
        <v>0</v>
      </c>
      <c r="S1210" s="8" t="b">
        <v>0</v>
      </c>
      <c r="T1210" s="8" t="b">
        <v>0</v>
      </c>
      <c r="U1210" s="8" t="b">
        <v>0</v>
      </c>
      <c r="V1210" s="8" t="b">
        <v>1</v>
      </c>
      <c r="X1210" s="8" t="b">
        <v>0</v>
      </c>
      <c r="Y1210" s="8" t="b">
        <v>0</v>
      </c>
      <c r="Z1210" s="8" t="b">
        <v>0</v>
      </c>
      <c r="AA1210" s="8" t="b">
        <v>0</v>
      </c>
      <c r="AB1210" s="8" t="b">
        <v>0</v>
      </c>
      <c r="AC1210" s="8" t="b">
        <v>0</v>
      </c>
      <c r="AD1210" s="8" t="b">
        <v>1</v>
      </c>
      <c r="AE1210" s="8" t="b">
        <v>0</v>
      </c>
      <c r="AG1210" s="11" t="b" cm="1">
        <f t="array" ref="AG1210">IF(OR(Y1210:AA1210="TRUE", AE1210="true"), "Threatened")</f>
        <v>0</v>
      </c>
      <c r="AH1210" s="11" t="s">
        <v>3255</v>
      </c>
      <c r="AI1210" s="8" t="b">
        <v>1</v>
      </c>
    </row>
    <row r="1211" spans="1:35" ht="31.2">
      <c r="A1211" s="8">
        <v>-73.970793749999999</v>
      </c>
      <c r="B1211" s="8">
        <v>40.772528270000002</v>
      </c>
      <c r="C1211" s="8" t="s">
        <v>3256</v>
      </c>
      <c r="D1211" s="8" t="s">
        <v>609</v>
      </c>
      <c r="E1211" s="8" t="b">
        <f t="shared" si="18"/>
        <v>0</v>
      </c>
      <c r="F1211" s="8" t="str" cm="1">
        <f t="array" ref="F1211">_xlfn._xlws.FILTER(E1211:E4409, C1211:C4409= "6D-PM-1020-01", "No Squirrels Found")</f>
        <v>No Squirrels Found</v>
      </c>
      <c r="G1211" s="8" t="s">
        <v>34</v>
      </c>
      <c r="H1211" s="10">
        <v>10172018</v>
      </c>
      <c r="I1211" s="10">
        <v>7</v>
      </c>
      <c r="J1211" s="8" t="s">
        <v>39</v>
      </c>
      <c r="K1211" s="8" t="s">
        <v>192</v>
      </c>
      <c r="L1211" s="8" t="s">
        <v>84</v>
      </c>
      <c r="M1211" s="8" t="s">
        <v>628</v>
      </c>
      <c r="O1211" s="8" t="s">
        <v>43</v>
      </c>
      <c r="P1211" s="8" t="b">
        <v>0</v>
      </c>
      <c r="R1211" s="8" t="b">
        <v>0</v>
      </c>
      <c r="S1211" s="8" t="b">
        <v>0</v>
      </c>
      <c r="T1211" s="8" t="b">
        <v>0</v>
      </c>
      <c r="U1211" s="8" t="b">
        <v>0</v>
      </c>
      <c r="V1211" s="8" t="b">
        <v>0</v>
      </c>
      <c r="W1211" s="11" t="s">
        <v>3257</v>
      </c>
      <c r="X1211" s="8" t="b">
        <v>0</v>
      </c>
      <c r="Y1211" s="8" t="b">
        <v>0</v>
      </c>
      <c r="Z1211" s="8" t="b">
        <v>0</v>
      </c>
      <c r="AA1211" s="8" t="b">
        <v>0</v>
      </c>
      <c r="AB1211" s="8" t="b">
        <v>0</v>
      </c>
      <c r="AC1211" s="8" t="b">
        <v>0</v>
      </c>
      <c r="AD1211" s="8" t="b">
        <v>1</v>
      </c>
      <c r="AE1211" s="8" t="b">
        <v>0</v>
      </c>
      <c r="AG1211" s="11" t="b" cm="1">
        <f t="array" ref="AG1211">IF(OR(Y1211:AA1211="TRUE", AE1211="true"), "Threatened")</f>
        <v>0</v>
      </c>
      <c r="AH1211" s="11" t="s">
        <v>3258</v>
      </c>
      <c r="AI1211" s="8" t="b">
        <v>0</v>
      </c>
    </row>
    <row r="1212" spans="1:35" ht="31.2">
      <c r="A1212" s="8">
        <v>-73.954933740000001</v>
      </c>
      <c r="B1212" s="8">
        <v>40.79465527</v>
      </c>
      <c r="C1212" s="8" t="s">
        <v>3259</v>
      </c>
      <c r="D1212" s="8" t="s">
        <v>378</v>
      </c>
      <c r="E1212" s="8" t="b">
        <f t="shared" si="18"/>
        <v>0</v>
      </c>
      <c r="F1212" s="8" t="str" cm="1">
        <f t="array" ref="F1212">_xlfn._xlws.FILTER(E1212:E4410, C1212:C4410= "6D-PM-1020-01", "No Squirrels Found")</f>
        <v>No Squirrels Found</v>
      </c>
      <c r="G1212" s="8" t="s">
        <v>34</v>
      </c>
      <c r="H1212" s="10">
        <v>10132018</v>
      </c>
      <c r="I1212" s="10">
        <v>1</v>
      </c>
      <c r="J1212" s="8" t="s">
        <v>39</v>
      </c>
      <c r="K1212" s="8" t="s">
        <v>40</v>
      </c>
      <c r="L1212" s="8" t="s">
        <v>41</v>
      </c>
      <c r="M1212" s="8" t="s">
        <v>42</v>
      </c>
      <c r="N1212" s="11" t="s">
        <v>3260</v>
      </c>
      <c r="O1212" s="8" t="s">
        <v>43</v>
      </c>
      <c r="P1212" s="8" t="b">
        <v>0</v>
      </c>
      <c r="R1212" s="8" t="b">
        <v>0</v>
      </c>
      <c r="S1212" s="8" t="b">
        <v>0</v>
      </c>
      <c r="T1212" s="8" t="b">
        <v>0</v>
      </c>
      <c r="U1212" s="8" t="b">
        <v>0</v>
      </c>
      <c r="V1212" s="8" t="b">
        <v>1</v>
      </c>
      <c r="X1212" s="8" t="b">
        <v>0</v>
      </c>
      <c r="Y1212" s="8" t="b">
        <v>0</v>
      </c>
      <c r="Z1212" s="8" t="b">
        <v>0</v>
      </c>
      <c r="AA1212" s="8" t="b">
        <v>0</v>
      </c>
      <c r="AB1212" s="8" t="b">
        <v>0</v>
      </c>
      <c r="AC1212" s="8" t="b">
        <v>0</v>
      </c>
      <c r="AD1212" s="8" t="b">
        <v>0</v>
      </c>
      <c r="AE1212" s="8" t="b">
        <v>0</v>
      </c>
      <c r="AG1212" s="11" t="b" cm="1">
        <f t="array" ref="AG1212">IF(OR(Y1212:AA1212="TRUE", AE1212="true"), "Threatened")</f>
        <v>0</v>
      </c>
      <c r="AH1212" s="11" t="s">
        <v>3261</v>
      </c>
      <c r="AI1212" s="8" t="b">
        <v>1</v>
      </c>
    </row>
    <row r="1213" spans="1:35" ht="31.2">
      <c r="A1213" s="8">
        <v>-73.976179220000006</v>
      </c>
      <c r="B1213" s="8">
        <v>40.774574549999997</v>
      </c>
      <c r="C1213" s="8" t="s">
        <v>3262</v>
      </c>
      <c r="D1213" s="8" t="s">
        <v>859</v>
      </c>
      <c r="E1213" s="8" t="b">
        <f t="shared" si="18"/>
        <v>0</v>
      </c>
      <c r="F1213" s="8" t="str" cm="1">
        <f t="array" ref="F1213">_xlfn._xlws.FILTER(E1213:E4411, C1213:C4411= "6D-PM-1020-01", "No Squirrels Found")</f>
        <v>No Squirrels Found</v>
      </c>
      <c r="G1213" s="8" t="s">
        <v>48</v>
      </c>
      <c r="H1213" s="10">
        <v>10132018</v>
      </c>
      <c r="I1213" s="10">
        <v>9</v>
      </c>
      <c r="J1213" s="8" t="s">
        <v>54</v>
      </c>
      <c r="K1213" s="8" t="s">
        <v>41</v>
      </c>
      <c r="M1213" s="8" t="s">
        <v>49</v>
      </c>
      <c r="O1213" s="8" t="s">
        <v>43</v>
      </c>
      <c r="P1213" s="8" t="b">
        <v>0</v>
      </c>
      <c r="R1213" s="8" t="b">
        <v>1</v>
      </c>
      <c r="S1213" s="8" t="b">
        <v>0</v>
      </c>
      <c r="T1213" s="8" t="b">
        <v>0</v>
      </c>
      <c r="U1213" s="8" t="b">
        <v>0</v>
      </c>
      <c r="V1213" s="8" t="b">
        <v>0</v>
      </c>
      <c r="X1213" s="8" t="b">
        <v>0</v>
      </c>
      <c r="Y1213" s="8" t="b">
        <v>0</v>
      </c>
      <c r="Z1213" s="8" t="b">
        <v>0</v>
      </c>
      <c r="AA1213" s="8" t="b">
        <v>0</v>
      </c>
      <c r="AB1213" s="8" t="b">
        <v>0</v>
      </c>
      <c r="AC1213" s="8" t="b">
        <v>0</v>
      </c>
      <c r="AD1213" s="8" t="b">
        <v>1</v>
      </c>
      <c r="AE1213" s="8" t="b">
        <v>0</v>
      </c>
      <c r="AG1213" s="11" t="b" cm="1">
        <f t="array" ref="AG1213">IF(OR(Y1213:AA1213="TRUE", AE1213="true"), "Threatened")</f>
        <v>0</v>
      </c>
      <c r="AH1213" s="11" t="s">
        <v>3263</v>
      </c>
      <c r="AI1213" s="8" t="b">
        <v>1</v>
      </c>
    </row>
    <row r="1214" spans="1:35" ht="31.2">
      <c r="A1214" s="8">
        <v>-73.969320210000006</v>
      </c>
      <c r="B1214" s="8">
        <v>40.771043470000002</v>
      </c>
      <c r="C1214" s="8" t="s">
        <v>3264</v>
      </c>
      <c r="D1214" s="8" t="s">
        <v>2059</v>
      </c>
      <c r="E1214" s="8" t="b">
        <f t="shared" si="18"/>
        <v>0</v>
      </c>
      <c r="F1214" s="8" t="str" cm="1">
        <f t="array" ref="F1214">_xlfn._xlws.FILTER(E1214:E4412, C1214:C4412= "6D-PM-1020-01", "No Squirrels Found")</f>
        <v>No Squirrels Found</v>
      </c>
      <c r="G1214" s="8" t="s">
        <v>48</v>
      </c>
      <c r="H1214" s="10">
        <v>10062018</v>
      </c>
      <c r="I1214" s="10">
        <v>1</v>
      </c>
      <c r="J1214" s="8" t="s">
        <v>39</v>
      </c>
      <c r="K1214" s="8" t="s">
        <v>40</v>
      </c>
      <c r="L1214" s="8" t="s">
        <v>84</v>
      </c>
      <c r="M1214" s="8" t="s">
        <v>103</v>
      </c>
      <c r="O1214" s="8" t="s">
        <v>43</v>
      </c>
      <c r="P1214" s="8" t="b">
        <v>0</v>
      </c>
      <c r="R1214" s="8" t="b">
        <v>0</v>
      </c>
      <c r="S1214" s="8" t="b">
        <v>0</v>
      </c>
      <c r="T1214" s="8" t="b">
        <v>0</v>
      </c>
      <c r="U1214" s="8" t="b">
        <v>0</v>
      </c>
      <c r="V1214" s="8" t="b">
        <v>1</v>
      </c>
      <c r="X1214" s="8" t="b">
        <v>0</v>
      </c>
      <c r="Y1214" s="8" t="b">
        <v>0</v>
      </c>
      <c r="Z1214" s="8" t="b">
        <v>0</v>
      </c>
      <c r="AA1214" s="8" t="b">
        <v>0</v>
      </c>
      <c r="AB1214" s="8" t="b">
        <v>1</v>
      </c>
      <c r="AC1214" s="8" t="b">
        <v>0</v>
      </c>
      <c r="AD1214" s="8" t="b">
        <v>1</v>
      </c>
      <c r="AE1214" s="8" t="b">
        <v>0</v>
      </c>
      <c r="AG1214" s="11" t="b" cm="1">
        <f t="array" ref="AG1214">IF(OR(Y1214:AA1214="TRUE", AE1214="true"), "Threatened")</f>
        <v>0</v>
      </c>
      <c r="AH1214" s="11" t="s">
        <v>3265</v>
      </c>
      <c r="AI1214" s="8" t="b">
        <v>1</v>
      </c>
    </row>
    <row r="1215" spans="1:35" ht="31.2">
      <c r="A1215" s="8">
        <v>-73.969951750000007</v>
      </c>
      <c r="B1215" s="8">
        <v>40.775316959999998</v>
      </c>
      <c r="C1215" s="8" t="s">
        <v>3266</v>
      </c>
      <c r="D1215" s="8" t="s">
        <v>275</v>
      </c>
      <c r="E1215" s="8" t="b">
        <f t="shared" si="18"/>
        <v>0</v>
      </c>
      <c r="F1215" s="8" t="str" cm="1">
        <f t="array" ref="F1215">_xlfn._xlws.FILTER(E1215:E4413, C1215:C4413= "6D-PM-1020-01", "No Squirrels Found")</f>
        <v>No Squirrels Found</v>
      </c>
      <c r="G1215" s="8" t="s">
        <v>34</v>
      </c>
      <c r="H1215" s="10">
        <v>10082018</v>
      </c>
      <c r="I1215" s="10">
        <v>1</v>
      </c>
      <c r="J1215" s="8" t="s">
        <v>39</v>
      </c>
      <c r="K1215" s="8" t="s">
        <v>40</v>
      </c>
      <c r="M1215" s="8" t="s">
        <v>55</v>
      </c>
      <c r="O1215" s="8" t="s">
        <v>43</v>
      </c>
      <c r="P1215" s="8" t="b">
        <v>0</v>
      </c>
      <c r="R1215" s="8" t="b">
        <v>0</v>
      </c>
      <c r="S1215" s="8" t="b">
        <v>0</v>
      </c>
      <c r="T1215" s="8" t="b">
        <v>0</v>
      </c>
      <c r="U1215" s="8" t="b">
        <v>1</v>
      </c>
      <c r="V1215" s="8" t="b">
        <v>1</v>
      </c>
      <c r="X1215" s="8" t="b">
        <v>0</v>
      </c>
      <c r="Y1215" s="8" t="b">
        <v>0</v>
      </c>
      <c r="Z1215" s="8" t="b">
        <v>0</v>
      </c>
      <c r="AA1215" s="8" t="b">
        <v>0</v>
      </c>
      <c r="AB1215" s="8" t="b">
        <v>1</v>
      </c>
      <c r="AC1215" s="8" t="b">
        <v>1</v>
      </c>
      <c r="AD1215" s="8" t="b">
        <v>0</v>
      </c>
      <c r="AE1215" s="8" t="b">
        <v>0</v>
      </c>
      <c r="AG1215" s="11" t="b" cm="1">
        <f t="array" ref="AG1215">IF(OR(Y1215:AA1215="TRUE", AE1215="true"), "Threatened")</f>
        <v>0</v>
      </c>
      <c r="AH1215" s="11" t="s">
        <v>3267</v>
      </c>
      <c r="AI1215" s="8" t="b">
        <v>1</v>
      </c>
    </row>
    <row r="1216" spans="1:35" ht="31.2">
      <c r="A1216" s="8">
        <v>-73.972889559999999</v>
      </c>
      <c r="B1216" s="8">
        <v>40.769937830000003</v>
      </c>
      <c r="C1216" s="8" t="s">
        <v>3268</v>
      </c>
      <c r="D1216" s="8" t="s">
        <v>524</v>
      </c>
      <c r="E1216" s="8" t="b">
        <f t="shared" si="18"/>
        <v>0</v>
      </c>
      <c r="F1216" s="8" t="str" cm="1">
        <f t="array" ref="F1216">_xlfn._xlws.FILTER(E1216:E4414, C1216:C4414= "6D-PM-1020-01", "No Squirrels Found")</f>
        <v>No Squirrels Found</v>
      </c>
      <c r="G1216" s="8" t="s">
        <v>48</v>
      </c>
      <c r="H1216" s="10">
        <v>10062018</v>
      </c>
      <c r="I1216" s="10">
        <v>1</v>
      </c>
      <c r="J1216" s="8" t="s">
        <v>54</v>
      </c>
      <c r="K1216" s="8" t="s">
        <v>41</v>
      </c>
      <c r="L1216" s="8" t="s">
        <v>40</v>
      </c>
      <c r="M1216" s="8" t="s">
        <v>110</v>
      </c>
      <c r="O1216" s="8" t="s">
        <v>43</v>
      </c>
      <c r="P1216" s="8" t="b">
        <v>0</v>
      </c>
      <c r="R1216" s="8" t="b">
        <v>0</v>
      </c>
      <c r="S1216" s="8" t="b">
        <v>0</v>
      </c>
      <c r="T1216" s="8" t="b">
        <v>1</v>
      </c>
      <c r="U1216" s="8" t="b">
        <v>1</v>
      </c>
      <c r="V1216" s="8" t="b">
        <v>0</v>
      </c>
      <c r="X1216" s="8" t="b">
        <v>0</v>
      </c>
      <c r="Y1216" s="8" t="b">
        <v>0</v>
      </c>
      <c r="Z1216" s="8" t="b">
        <v>0</v>
      </c>
      <c r="AA1216" s="8" t="b">
        <v>0</v>
      </c>
      <c r="AB1216" s="8" t="b">
        <v>0</v>
      </c>
      <c r="AC1216" s="8" t="b">
        <v>1</v>
      </c>
      <c r="AD1216" s="8" t="b">
        <v>0</v>
      </c>
      <c r="AE1216" s="8" t="b">
        <v>0</v>
      </c>
      <c r="AG1216" s="11" t="b" cm="1">
        <f t="array" ref="AG1216">IF(OR(Y1216:AA1216="TRUE", AE1216="true"), "Threatened")</f>
        <v>0</v>
      </c>
      <c r="AH1216" s="11" t="s">
        <v>3269</v>
      </c>
      <c r="AI1216" s="8" t="b">
        <v>1</v>
      </c>
    </row>
    <row r="1217" spans="1:35" ht="31.2">
      <c r="A1217" s="8">
        <v>-73.970724500000003</v>
      </c>
      <c r="B1217" s="8">
        <v>40.778065660000003</v>
      </c>
      <c r="C1217" s="8" t="s">
        <v>3270</v>
      </c>
      <c r="D1217" s="8" t="s">
        <v>554</v>
      </c>
      <c r="E1217" s="8" t="b">
        <f t="shared" si="18"/>
        <v>0</v>
      </c>
      <c r="F1217" s="8" t="str" cm="1">
        <f t="array" ref="F1217">_xlfn._xlws.FILTER(E1217:E4415, C1217:C4415= "6D-PM-1020-01", "No Squirrels Found")</f>
        <v>No Squirrels Found</v>
      </c>
      <c r="G1217" s="8" t="s">
        <v>48</v>
      </c>
      <c r="H1217" s="10">
        <v>10072018</v>
      </c>
      <c r="I1217" s="10">
        <v>6</v>
      </c>
      <c r="J1217" s="8" t="s">
        <v>39</v>
      </c>
      <c r="K1217" s="8" t="s">
        <v>40</v>
      </c>
      <c r="L1217" s="8" t="s">
        <v>41</v>
      </c>
      <c r="M1217" s="8" t="s">
        <v>42</v>
      </c>
      <c r="O1217" s="8" t="s">
        <v>43</v>
      </c>
      <c r="P1217" s="8" t="b">
        <v>0</v>
      </c>
      <c r="R1217" s="8" t="b">
        <v>0</v>
      </c>
      <c r="S1217" s="8" t="b">
        <v>0</v>
      </c>
      <c r="T1217" s="8" t="b">
        <v>0</v>
      </c>
      <c r="U1217" s="8" t="b">
        <v>1</v>
      </c>
      <c r="V1217" s="8" t="b">
        <v>1</v>
      </c>
      <c r="X1217" s="8" t="b">
        <v>0</v>
      </c>
      <c r="Y1217" s="8" t="b">
        <v>0</v>
      </c>
      <c r="Z1217" s="8" t="b">
        <v>0</v>
      </c>
      <c r="AA1217" s="8" t="b">
        <v>0</v>
      </c>
      <c r="AB1217" s="8" t="b">
        <v>0</v>
      </c>
      <c r="AC1217" s="8" t="b">
        <v>0</v>
      </c>
      <c r="AD1217" s="8" t="b">
        <v>1</v>
      </c>
      <c r="AE1217" s="8" t="b">
        <v>0</v>
      </c>
      <c r="AG1217" s="11" t="b" cm="1">
        <f t="array" ref="AG1217">IF(OR(Y1217:AA1217="TRUE", AE1217="true"), "Threatened")</f>
        <v>0</v>
      </c>
      <c r="AH1217" s="11" t="s">
        <v>3271</v>
      </c>
      <c r="AI1217" s="8" t="b">
        <v>1</v>
      </c>
    </row>
    <row r="1218" spans="1:35" ht="31.2">
      <c r="A1218" s="8">
        <v>-73.976485010000005</v>
      </c>
      <c r="B1218" s="8">
        <v>40.773734070000003</v>
      </c>
      <c r="C1218" s="8" t="s">
        <v>3272</v>
      </c>
      <c r="D1218" s="8" t="s">
        <v>249</v>
      </c>
      <c r="E1218" s="8" t="b">
        <f t="shared" si="18"/>
        <v>0</v>
      </c>
      <c r="F1218" s="8" t="str" cm="1">
        <f t="array" ref="F1218">_xlfn._xlws.FILTER(E1218:E4416, C1218:C4416= "6D-PM-1020-01", "No Squirrels Found")</f>
        <v>No Squirrels Found</v>
      </c>
      <c r="G1218" s="8" t="s">
        <v>48</v>
      </c>
      <c r="H1218" s="10">
        <v>10072018</v>
      </c>
      <c r="I1218" s="10">
        <v>7</v>
      </c>
      <c r="J1218" s="8" t="s">
        <v>54</v>
      </c>
      <c r="K1218" s="8" t="s">
        <v>40</v>
      </c>
      <c r="L1218" s="8" t="s">
        <v>192</v>
      </c>
      <c r="M1218" s="8" t="s">
        <v>354</v>
      </c>
      <c r="O1218" s="8" t="s">
        <v>50</v>
      </c>
      <c r="P1218" s="8">
        <v>8</v>
      </c>
      <c r="R1218" s="8" t="b">
        <v>0</v>
      </c>
      <c r="S1218" s="8" t="b">
        <v>0</v>
      </c>
      <c r="T1218" s="8" t="b">
        <v>0</v>
      </c>
      <c r="U1218" s="8" t="b">
        <v>1</v>
      </c>
      <c r="V1218" s="8" t="b">
        <v>0</v>
      </c>
      <c r="W1218" s="11" t="s">
        <v>3273</v>
      </c>
      <c r="X1218" s="8" t="b">
        <v>0</v>
      </c>
      <c r="Y1218" s="8" t="b">
        <v>0</v>
      </c>
      <c r="Z1218" s="8" t="b">
        <v>0</v>
      </c>
      <c r="AA1218" s="8" t="b">
        <v>0</v>
      </c>
      <c r="AB1218" s="8" t="b">
        <v>0</v>
      </c>
      <c r="AC1218" s="8" t="b">
        <v>0</v>
      </c>
      <c r="AD1218" s="8" t="b">
        <v>1</v>
      </c>
      <c r="AE1218" s="8" t="b">
        <v>0</v>
      </c>
      <c r="AG1218" s="11" t="b" cm="1">
        <f t="array" ref="AG1218">IF(OR(Y1218:AA1218="TRUE", AE1218="true"), "Threatened")</f>
        <v>0</v>
      </c>
      <c r="AH1218" s="11" t="s">
        <v>3274</v>
      </c>
      <c r="AI1218" s="8" t="b">
        <v>0</v>
      </c>
    </row>
    <row r="1219" spans="1:35" ht="31.2">
      <c r="A1219" s="8">
        <v>-73.953375640000004</v>
      </c>
      <c r="B1219" s="8">
        <v>40.794714450000001</v>
      </c>
      <c r="C1219" s="8" t="s">
        <v>3275</v>
      </c>
      <c r="D1219" s="8" t="s">
        <v>293</v>
      </c>
      <c r="E1219" s="8" t="b">
        <f t="shared" ref="E1219:E1282" si="19">OR(D1219 = "05D", D1219 = "07D", D1219 = "06C", D1219 = "06E")</f>
        <v>0</v>
      </c>
      <c r="F1219" s="8" t="str" cm="1">
        <f t="array" ref="F1219">_xlfn._xlws.FILTER(E1219:E4417, C1219:C4417= "6D-PM-1020-01", "No Squirrels Found")</f>
        <v>No Squirrels Found</v>
      </c>
      <c r="G1219" s="8" t="s">
        <v>34</v>
      </c>
      <c r="H1219" s="10">
        <v>10202018</v>
      </c>
      <c r="I1219" s="10">
        <v>2</v>
      </c>
      <c r="J1219" s="8" t="s">
        <v>39</v>
      </c>
      <c r="K1219" s="8" t="s">
        <v>40</v>
      </c>
      <c r="L1219" s="8" t="s">
        <v>41</v>
      </c>
      <c r="M1219" s="8" t="s">
        <v>42</v>
      </c>
      <c r="O1219" s="8" t="s">
        <v>43</v>
      </c>
      <c r="P1219" s="8" t="b">
        <v>0</v>
      </c>
      <c r="R1219" s="8" t="b">
        <v>0</v>
      </c>
      <c r="S1219" s="8" t="b">
        <v>0</v>
      </c>
      <c r="T1219" s="8" t="b">
        <v>0</v>
      </c>
      <c r="U1219" s="8" t="b">
        <v>0</v>
      </c>
      <c r="V1219" s="8" t="b">
        <v>1</v>
      </c>
      <c r="X1219" s="8" t="b">
        <v>0</v>
      </c>
      <c r="Y1219" s="8" t="b">
        <v>0</v>
      </c>
      <c r="Z1219" s="8" t="b">
        <v>0</v>
      </c>
      <c r="AA1219" s="8" t="b">
        <v>1</v>
      </c>
      <c r="AB1219" s="8" t="b">
        <v>0</v>
      </c>
      <c r="AC1219" s="8" t="b">
        <v>0</v>
      </c>
      <c r="AD1219" s="8" t="b">
        <v>1</v>
      </c>
      <c r="AE1219" s="8" t="b">
        <v>0</v>
      </c>
      <c r="AG1219" s="11" t="b" cm="1">
        <f t="array" ref="AG1219">IF(OR(Y1219:AA1219="TRUE", AE1219="true"), "Threatened")</f>
        <v>0</v>
      </c>
      <c r="AH1219" s="11" t="s">
        <v>3276</v>
      </c>
      <c r="AI1219" s="8" t="b">
        <v>1</v>
      </c>
    </row>
    <row r="1220" spans="1:35" ht="31.2">
      <c r="A1220" s="8">
        <v>-73.966189220000004</v>
      </c>
      <c r="B1220" s="8">
        <v>40.783679810000002</v>
      </c>
      <c r="C1220" s="8" t="s">
        <v>3277</v>
      </c>
      <c r="D1220" s="8" t="s">
        <v>748</v>
      </c>
      <c r="E1220" s="8" t="b">
        <f t="shared" si="19"/>
        <v>0</v>
      </c>
      <c r="F1220" s="8" t="str" cm="1">
        <f t="array" ref="F1220">_xlfn._xlws.FILTER(E1220:E4418, C1220:C4418= "6D-PM-1020-01", "No Squirrels Found")</f>
        <v>No Squirrels Found</v>
      </c>
      <c r="G1220" s="8" t="s">
        <v>34</v>
      </c>
      <c r="H1220" s="10">
        <v>10122018</v>
      </c>
      <c r="I1220" s="10">
        <v>6</v>
      </c>
      <c r="J1220" s="8" t="s">
        <v>39</v>
      </c>
      <c r="K1220" s="8" t="s">
        <v>40</v>
      </c>
      <c r="L1220" s="8" t="s">
        <v>168</v>
      </c>
      <c r="M1220" s="8" t="s">
        <v>169</v>
      </c>
      <c r="O1220" s="8" t="s">
        <v>43</v>
      </c>
      <c r="P1220" s="8" t="b">
        <v>0</v>
      </c>
      <c r="R1220" s="8" t="b">
        <v>1</v>
      </c>
      <c r="S1220" s="8" t="b">
        <v>0</v>
      </c>
      <c r="T1220" s="8" t="b">
        <v>0</v>
      </c>
      <c r="U1220" s="8" t="b">
        <v>0</v>
      </c>
      <c r="V1220" s="8" t="b">
        <v>0</v>
      </c>
      <c r="X1220" s="8" t="b">
        <v>0</v>
      </c>
      <c r="Y1220" s="8" t="b">
        <v>0</v>
      </c>
      <c r="Z1220" s="8" t="b">
        <v>0</v>
      </c>
      <c r="AA1220" s="8" t="b">
        <v>0</v>
      </c>
      <c r="AB1220" s="8" t="b">
        <v>0</v>
      </c>
      <c r="AC1220" s="8" t="b">
        <v>0</v>
      </c>
      <c r="AD1220" s="8" t="b">
        <v>0</v>
      </c>
      <c r="AE1220" s="8" t="b">
        <v>1</v>
      </c>
      <c r="AG1220" s="11" t="b" cm="1">
        <f t="array" ref="AG1220">IF(OR(Y1220:AA1220="TRUE", AE1220="true"), "Threatened")</f>
        <v>0</v>
      </c>
      <c r="AH1220" s="11" t="s">
        <v>3278</v>
      </c>
      <c r="AI1220" s="8" t="b">
        <v>1</v>
      </c>
    </row>
    <row r="1221" spans="1:35" ht="31.2">
      <c r="A1221" s="8">
        <v>-73.977998380000002</v>
      </c>
      <c r="B1221" s="8">
        <v>40.767545210000002</v>
      </c>
      <c r="C1221" s="8" t="s">
        <v>3279</v>
      </c>
      <c r="D1221" s="8" t="s">
        <v>768</v>
      </c>
      <c r="E1221" s="8" t="b">
        <f t="shared" si="19"/>
        <v>0</v>
      </c>
      <c r="F1221" s="8" t="str" cm="1">
        <f t="array" ref="F1221">_xlfn._xlws.FILTER(E1221:E4419, C1221:C4419= "6D-PM-1020-01", "No Squirrels Found")</f>
        <v>No Squirrels Found</v>
      </c>
      <c r="G1221" s="8" t="s">
        <v>48</v>
      </c>
      <c r="H1221" s="10">
        <v>10072018</v>
      </c>
      <c r="I1221" s="10">
        <v>2</v>
      </c>
      <c r="J1221" s="8" t="s">
        <v>39</v>
      </c>
      <c r="K1221" s="8" t="s">
        <v>40</v>
      </c>
      <c r="L1221" s="8" t="s">
        <v>117</v>
      </c>
      <c r="M1221" s="8" t="s">
        <v>118</v>
      </c>
      <c r="O1221" s="8" t="s">
        <v>50</v>
      </c>
      <c r="P1221" s="8">
        <v>6</v>
      </c>
      <c r="Q1221" s="8" t="s">
        <v>3280</v>
      </c>
      <c r="R1221" s="8" t="b">
        <v>0</v>
      </c>
      <c r="S1221" s="8" t="b">
        <v>1</v>
      </c>
      <c r="T1221" s="8" t="b">
        <v>1</v>
      </c>
      <c r="U1221" s="8" t="b">
        <v>0</v>
      </c>
      <c r="V1221" s="8" t="b">
        <v>0</v>
      </c>
      <c r="X1221" s="8" t="b">
        <v>0</v>
      </c>
      <c r="Y1221" s="8" t="b">
        <v>0</v>
      </c>
      <c r="Z1221" s="8" t="b">
        <v>0</v>
      </c>
      <c r="AA1221" s="8" t="b">
        <v>0</v>
      </c>
      <c r="AB1221" s="8" t="b">
        <v>0</v>
      </c>
      <c r="AC1221" s="8" t="b">
        <v>0</v>
      </c>
      <c r="AD1221" s="8" t="b">
        <v>0</v>
      </c>
      <c r="AE1221" s="8" t="b">
        <v>0</v>
      </c>
      <c r="AG1221" s="11" t="b" cm="1">
        <f t="array" ref="AG1221">IF(OR(Y1221:AA1221="TRUE", AE1221="true"), "Threatened")</f>
        <v>0</v>
      </c>
      <c r="AH1221" s="11" t="s">
        <v>3281</v>
      </c>
      <c r="AI1221" s="8" t="b">
        <v>1</v>
      </c>
    </row>
    <row r="1222" spans="1:35" ht="31.2">
      <c r="A1222" s="8">
        <v>-73.979640970000005</v>
      </c>
      <c r="B1222" s="8">
        <v>40.767904989999998</v>
      </c>
      <c r="C1222" s="8" t="s">
        <v>3282</v>
      </c>
      <c r="D1222" s="8" t="s">
        <v>1301</v>
      </c>
      <c r="E1222" s="8" t="b">
        <f t="shared" si="19"/>
        <v>0</v>
      </c>
      <c r="F1222" s="8" t="str" cm="1">
        <f t="array" ref="F1222">_xlfn._xlws.FILTER(E1222:E4420, C1222:C4420= "6D-PM-1020-01", "No Squirrels Found")</f>
        <v>No Squirrels Found</v>
      </c>
      <c r="G1222" s="8" t="s">
        <v>34</v>
      </c>
      <c r="H1222" s="10">
        <v>10132018</v>
      </c>
      <c r="I1222" s="10">
        <v>9</v>
      </c>
      <c r="J1222" s="8" t="s">
        <v>39</v>
      </c>
      <c r="K1222" s="8" t="s">
        <v>41</v>
      </c>
      <c r="L1222" s="8" t="s">
        <v>40</v>
      </c>
      <c r="M1222" s="8" t="s">
        <v>110</v>
      </c>
      <c r="O1222" s="8" t="s">
        <v>43</v>
      </c>
      <c r="P1222" s="8" t="b">
        <v>0</v>
      </c>
      <c r="R1222" s="8" t="b">
        <v>0</v>
      </c>
      <c r="S1222" s="8" t="b">
        <v>0</v>
      </c>
      <c r="T1222" s="8" t="b">
        <v>0</v>
      </c>
      <c r="U1222" s="8" t="b">
        <v>1</v>
      </c>
      <c r="V1222" s="8" t="b">
        <v>1</v>
      </c>
      <c r="X1222" s="8" t="b">
        <v>0</v>
      </c>
      <c r="Y1222" s="8" t="b">
        <v>0</v>
      </c>
      <c r="Z1222" s="8" t="b">
        <v>0</v>
      </c>
      <c r="AA1222" s="8" t="b">
        <v>0</v>
      </c>
      <c r="AB1222" s="8" t="b">
        <v>0</v>
      </c>
      <c r="AC1222" s="8" t="b">
        <v>0</v>
      </c>
      <c r="AD1222" s="8" t="b">
        <v>0</v>
      </c>
      <c r="AE1222" s="8" t="b">
        <v>0</v>
      </c>
      <c r="AG1222" s="11" t="b" cm="1">
        <f t="array" ref="AG1222">IF(OR(Y1222:AA1222="TRUE", AE1222="true"), "Threatened")</f>
        <v>0</v>
      </c>
      <c r="AH1222" s="11" t="s">
        <v>3283</v>
      </c>
      <c r="AI1222" s="8" t="b">
        <v>1</v>
      </c>
    </row>
    <row r="1223" spans="1:35" ht="31.2">
      <c r="A1223" s="8">
        <v>-73.969142039999994</v>
      </c>
      <c r="B1223" s="8">
        <v>40.777349260000001</v>
      </c>
      <c r="C1223" s="8" t="s">
        <v>3284</v>
      </c>
      <c r="D1223" s="8" t="s">
        <v>150</v>
      </c>
      <c r="E1223" s="8" t="b">
        <f t="shared" si="19"/>
        <v>0</v>
      </c>
      <c r="F1223" s="8" t="str" cm="1">
        <f t="array" ref="F1223">_xlfn._xlws.FILTER(E1223:E4421, C1223:C4421= "6D-PM-1020-01", "No Squirrels Found")</f>
        <v>No Squirrels Found</v>
      </c>
      <c r="G1223" s="8" t="s">
        <v>34</v>
      </c>
      <c r="H1223" s="10">
        <v>10082018</v>
      </c>
      <c r="I1223" s="10">
        <v>3</v>
      </c>
      <c r="J1223" s="8" t="s">
        <v>39</v>
      </c>
      <c r="K1223" s="8" t="s">
        <v>40</v>
      </c>
      <c r="M1223" s="8" t="s">
        <v>55</v>
      </c>
      <c r="O1223" s="8" t="s">
        <v>43</v>
      </c>
      <c r="P1223" s="8" t="b">
        <v>0</v>
      </c>
      <c r="R1223" s="8" t="b">
        <v>0</v>
      </c>
      <c r="S1223" s="8" t="b">
        <v>0</v>
      </c>
      <c r="T1223" s="8" t="b">
        <v>0</v>
      </c>
      <c r="U1223" s="8" t="b">
        <v>0</v>
      </c>
      <c r="V1223" s="8" t="b">
        <v>1</v>
      </c>
      <c r="W1223" s="11" t="s">
        <v>122</v>
      </c>
      <c r="X1223" s="8" t="b">
        <v>0</v>
      </c>
      <c r="Y1223" s="8" t="b">
        <v>0</v>
      </c>
      <c r="Z1223" s="8" t="b">
        <v>0</v>
      </c>
      <c r="AA1223" s="8" t="b">
        <v>0</v>
      </c>
      <c r="AB1223" s="8" t="b">
        <v>0</v>
      </c>
      <c r="AC1223" s="8" t="b">
        <v>0</v>
      </c>
      <c r="AD1223" s="8" t="b">
        <v>1</v>
      </c>
      <c r="AE1223" s="8" t="b">
        <v>0</v>
      </c>
      <c r="AG1223" s="11" t="b" cm="1">
        <f t="array" ref="AG1223">IF(OR(Y1223:AA1223="TRUE", AE1223="true"), "Threatened")</f>
        <v>0</v>
      </c>
      <c r="AH1223" s="11" t="s">
        <v>3285</v>
      </c>
      <c r="AI1223" s="8" t="b">
        <v>0</v>
      </c>
    </row>
    <row r="1224" spans="1:35" ht="31.2">
      <c r="A1224" s="8">
        <v>-73.959129860000004</v>
      </c>
      <c r="B1224" s="8">
        <v>40.791961239999999</v>
      </c>
      <c r="C1224" s="8" t="s">
        <v>3286</v>
      </c>
      <c r="D1224" s="8" t="s">
        <v>1214</v>
      </c>
      <c r="E1224" s="8" t="b">
        <f t="shared" si="19"/>
        <v>0</v>
      </c>
      <c r="F1224" s="8" t="str" cm="1">
        <f t="array" ref="F1224">_xlfn._xlws.FILTER(E1224:E4422, C1224:C4422= "6D-PM-1020-01", "No Squirrels Found")</f>
        <v>No Squirrels Found</v>
      </c>
      <c r="G1224" s="8" t="s">
        <v>48</v>
      </c>
      <c r="H1224" s="10">
        <v>10142018</v>
      </c>
      <c r="I1224" s="10">
        <v>4</v>
      </c>
      <c r="J1224" s="8" t="s">
        <v>39</v>
      </c>
      <c r="K1224" s="8" t="s">
        <v>192</v>
      </c>
      <c r="L1224" s="8" t="s">
        <v>117</v>
      </c>
      <c r="M1224" s="8" t="s">
        <v>2945</v>
      </c>
      <c r="O1224" s="8" t="s">
        <v>43</v>
      </c>
      <c r="P1224" s="8" t="b">
        <v>0</v>
      </c>
      <c r="R1224" s="8" t="b">
        <v>1</v>
      </c>
      <c r="S1224" s="8" t="b">
        <v>0</v>
      </c>
      <c r="T1224" s="8" t="b">
        <v>0</v>
      </c>
      <c r="U1224" s="8" t="b">
        <v>1</v>
      </c>
      <c r="V1224" s="8" t="b">
        <v>0</v>
      </c>
      <c r="X1224" s="8" t="b">
        <v>0</v>
      </c>
      <c r="Y1224" s="8" t="b">
        <v>0</v>
      </c>
      <c r="Z1224" s="8" t="b">
        <v>0</v>
      </c>
      <c r="AA1224" s="8" t="b">
        <v>0</v>
      </c>
      <c r="AB1224" s="8" t="b">
        <v>0</v>
      </c>
      <c r="AC1224" s="8" t="b">
        <v>0</v>
      </c>
      <c r="AD1224" s="8" t="b">
        <v>1</v>
      </c>
      <c r="AE1224" s="8" t="b">
        <v>0</v>
      </c>
      <c r="AG1224" s="11" t="b" cm="1">
        <f t="array" ref="AG1224">IF(OR(Y1224:AA1224="TRUE", AE1224="true"), "Threatened")</f>
        <v>0</v>
      </c>
      <c r="AH1224" s="11" t="s">
        <v>3287</v>
      </c>
      <c r="AI1224" s="8" t="b">
        <v>1</v>
      </c>
    </row>
    <row r="1225" spans="1:35" ht="31.2">
      <c r="A1225" s="8">
        <v>-73.957253080000001</v>
      </c>
      <c r="B1225" s="8">
        <v>40.798746039999997</v>
      </c>
      <c r="C1225" s="8" t="s">
        <v>3288</v>
      </c>
      <c r="D1225" s="8" t="s">
        <v>382</v>
      </c>
      <c r="E1225" s="8" t="b">
        <f t="shared" si="19"/>
        <v>0</v>
      </c>
      <c r="F1225" s="8" t="str" cm="1">
        <f t="array" ref="F1225">_xlfn._xlws.FILTER(E1225:E4423, C1225:C4423= "6D-PM-1020-01", "No Squirrels Found")</f>
        <v>No Squirrels Found</v>
      </c>
      <c r="G1225" s="8" t="s">
        <v>48</v>
      </c>
      <c r="H1225" s="10">
        <v>10102018</v>
      </c>
      <c r="I1225" s="10">
        <v>5</v>
      </c>
      <c r="J1225" s="8" t="s">
        <v>39</v>
      </c>
      <c r="K1225" s="8" t="s">
        <v>40</v>
      </c>
      <c r="L1225" s="8" t="s">
        <v>84</v>
      </c>
      <c r="M1225" s="8" t="s">
        <v>103</v>
      </c>
      <c r="O1225" s="8" t="s">
        <v>43</v>
      </c>
      <c r="P1225" s="8" t="b">
        <v>0</v>
      </c>
      <c r="R1225" s="8" t="b">
        <v>0</v>
      </c>
      <c r="S1225" s="8" t="b">
        <v>1</v>
      </c>
      <c r="T1225" s="8" t="b">
        <v>0</v>
      </c>
      <c r="U1225" s="8" t="b">
        <v>0</v>
      </c>
      <c r="V1225" s="8" t="b">
        <v>0</v>
      </c>
      <c r="X1225" s="8" t="b">
        <v>0</v>
      </c>
      <c r="Y1225" s="8" t="b">
        <v>0</v>
      </c>
      <c r="Z1225" s="8" t="b">
        <v>0</v>
      </c>
      <c r="AA1225" s="8" t="b">
        <v>0</v>
      </c>
      <c r="AB1225" s="8" t="b">
        <v>0</v>
      </c>
      <c r="AC1225" s="8" t="b">
        <v>0</v>
      </c>
      <c r="AD1225" s="8" t="b">
        <v>0</v>
      </c>
      <c r="AE1225" s="8" t="b">
        <v>0</v>
      </c>
      <c r="AG1225" s="11" t="b" cm="1">
        <f t="array" ref="AG1225">IF(OR(Y1225:AA1225="TRUE", AE1225="true"), "Threatened")</f>
        <v>0</v>
      </c>
      <c r="AH1225" s="11" t="s">
        <v>3289</v>
      </c>
      <c r="AI1225" s="8" t="b">
        <v>1</v>
      </c>
    </row>
    <row r="1226" spans="1:35" ht="31.2">
      <c r="A1226" s="8">
        <v>-73.958480350000002</v>
      </c>
      <c r="B1226" s="8">
        <v>40.793380210000002</v>
      </c>
      <c r="C1226" s="8" t="s">
        <v>3290</v>
      </c>
      <c r="D1226" s="8" t="s">
        <v>515</v>
      </c>
      <c r="E1226" s="8" t="b">
        <f t="shared" si="19"/>
        <v>0</v>
      </c>
      <c r="F1226" s="8" t="str" cm="1">
        <f t="array" ref="F1226">_xlfn._xlws.FILTER(E1226:E4424, C1226:C4424= "6D-PM-1020-01", "No Squirrels Found")</f>
        <v>No Squirrels Found</v>
      </c>
      <c r="G1226" s="8" t="s">
        <v>34</v>
      </c>
      <c r="H1226" s="10">
        <v>10132018</v>
      </c>
      <c r="I1226" s="10">
        <v>1</v>
      </c>
      <c r="J1226" s="8" t="s">
        <v>39</v>
      </c>
      <c r="K1226" s="8" t="s">
        <v>40</v>
      </c>
      <c r="L1226" s="8" t="s">
        <v>84</v>
      </c>
      <c r="M1226" s="8" t="s">
        <v>103</v>
      </c>
      <c r="O1226" s="8" t="s">
        <v>50</v>
      </c>
      <c r="P1226" s="8">
        <v>12</v>
      </c>
      <c r="R1226" s="8" t="b">
        <v>0</v>
      </c>
      <c r="S1226" s="8" t="b">
        <v>0</v>
      </c>
      <c r="T1226" s="8" t="b">
        <v>1</v>
      </c>
      <c r="U1226" s="8" t="b">
        <v>0</v>
      </c>
      <c r="V1226" s="8" t="b">
        <v>0</v>
      </c>
      <c r="X1226" s="8" t="b">
        <v>0</v>
      </c>
      <c r="Y1226" s="8" t="b">
        <v>0</v>
      </c>
      <c r="Z1226" s="8" t="b">
        <v>0</v>
      </c>
      <c r="AA1226" s="8" t="b">
        <v>0</v>
      </c>
      <c r="AB1226" s="8" t="b">
        <v>0</v>
      </c>
      <c r="AC1226" s="8" t="b">
        <v>0</v>
      </c>
      <c r="AD1226" s="8" t="b">
        <v>1</v>
      </c>
      <c r="AE1226" s="8" t="b">
        <v>0</v>
      </c>
      <c r="AG1226" s="11" t="b" cm="1">
        <f t="array" ref="AG1226">IF(OR(Y1226:AA1226="TRUE", AE1226="true"), "Threatened")</f>
        <v>0</v>
      </c>
      <c r="AH1226" s="11" t="s">
        <v>3291</v>
      </c>
      <c r="AI1226" s="8" t="b">
        <v>1</v>
      </c>
    </row>
    <row r="1227" spans="1:35" ht="31.2">
      <c r="A1227" s="8">
        <v>-73.976845100000006</v>
      </c>
      <c r="B1227" s="8">
        <v>40.770943039999999</v>
      </c>
      <c r="C1227" s="8" t="s">
        <v>3292</v>
      </c>
      <c r="D1227" s="8" t="s">
        <v>109</v>
      </c>
      <c r="E1227" s="8" t="b">
        <f t="shared" si="19"/>
        <v>0</v>
      </c>
      <c r="F1227" s="8" t="str" cm="1">
        <f t="array" ref="F1227">_xlfn._xlws.FILTER(E1227:E4425, C1227:C4425= "6D-PM-1020-01", "No Squirrels Found")</f>
        <v>No Squirrels Found</v>
      </c>
      <c r="G1227" s="8" t="s">
        <v>34</v>
      </c>
      <c r="H1227" s="10">
        <v>10102018</v>
      </c>
      <c r="I1227" s="10">
        <v>7</v>
      </c>
      <c r="J1227" s="8" t="s">
        <v>39</v>
      </c>
      <c r="K1227" s="8" t="s">
        <v>41</v>
      </c>
      <c r="L1227" s="8" t="s">
        <v>40</v>
      </c>
      <c r="M1227" s="8" t="s">
        <v>110</v>
      </c>
      <c r="O1227" s="8" t="s">
        <v>50</v>
      </c>
      <c r="P1227" s="8">
        <v>13</v>
      </c>
      <c r="R1227" s="8" t="b">
        <v>0</v>
      </c>
      <c r="S1227" s="8" t="b">
        <v>1</v>
      </c>
      <c r="T1227" s="8" t="b">
        <v>0</v>
      </c>
      <c r="U1227" s="8" t="b">
        <v>0</v>
      </c>
      <c r="V1227" s="8" t="b">
        <v>0</v>
      </c>
      <c r="X1227" s="8" t="b">
        <v>0</v>
      </c>
      <c r="Y1227" s="8" t="b">
        <v>0</v>
      </c>
      <c r="Z1227" s="8" t="b">
        <v>0</v>
      </c>
      <c r="AA1227" s="8" t="b">
        <v>0</v>
      </c>
      <c r="AB1227" s="8" t="b">
        <v>0</v>
      </c>
      <c r="AC1227" s="8" t="b">
        <v>0</v>
      </c>
      <c r="AD1227" s="8" t="b">
        <v>0</v>
      </c>
      <c r="AE1227" s="8" t="b">
        <v>0</v>
      </c>
      <c r="AG1227" s="11" t="b" cm="1">
        <f t="array" ref="AG1227">IF(OR(Y1227:AA1227="TRUE", AE1227="true"), "Threatened")</f>
        <v>0</v>
      </c>
      <c r="AH1227" s="11" t="s">
        <v>3293</v>
      </c>
      <c r="AI1227" s="8" t="b">
        <v>1</v>
      </c>
    </row>
    <row r="1228" spans="1:35" ht="31.2">
      <c r="A1228" s="8">
        <v>-73.952792479999999</v>
      </c>
      <c r="B1228" s="8">
        <v>40.793436630000002</v>
      </c>
      <c r="C1228" s="8" t="s">
        <v>3294</v>
      </c>
      <c r="D1228" s="8" t="s">
        <v>936</v>
      </c>
      <c r="E1228" s="8" t="b">
        <f t="shared" si="19"/>
        <v>0</v>
      </c>
      <c r="F1228" s="8" t="str" cm="1">
        <f t="array" ref="F1228">_xlfn._xlws.FILTER(E1228:E4426, C1228:C4426= "6D-PM-1020-01", "No Squirrels Found")</f>
        <v>No Squirrels Found</v>
      </c>
      <c r="G1228" s="8" t="s">
        <v>48</v>
      </c>
      <c r="H1228" s="10">
        <v>10102018</v>
      </c>
      <c r="I1228" s="10">
        <v>4</v>
      </c>
      <c r="J1228" s="8" t="s">
        <v>39</v>
      </c>
      <c r="K1228" s="8" t="s">
        <v>40</v>
      </c>
      <c r="M1228" s="8" t="s">
        <v>55</v>
      </c>
      <c r="O1228" s="8" t="s">
        <v>50</v>
      </c>
      <c r="P1228" s="8">
        <v>50</v>
      </c>
      <c r="Q1228" s="8" t="s">
        <v>466</v>
      </c>
      <c r="R1228" s="8" t="b">
        <v>0</v>
      </c>
      <c r="S1228" s="8" t="b">
        <v>0</v>
      </c>
      <c r="T1228" s="8" t="b">
        <v>1</v>
      </c>
      <c r="U1228" s="8" t="b">
        <v>0</v>
      </c>
      <c r="V1228" s="8" t="b">
        <v>0</v>
      </c>
      <c r="X1228" s="8" t="b">
        <v>0</v>
      </c>
      <c r="Y1228" s="8" t="b">
        <v>0</v>
      </c>
      <c r="Z1228" s="8" t="b">
        <v>0</v>
      </c>
      <c r="AA1228" s="8" t="b">
        <v>0</v>
      </c>
      <c r="AB1228" s="8" t="b">
        <v>0</v>
      </c>
      <c r="AC1228" s="8" t="b">
        <v>0</v>
      </c>
      <c r="AD1228" s="8" t="b">
        <v>1</v>
      </c>
      <c r="AE1228" s="8" t="b">
        <v>0</v>
      </c>
      <c r="AG1228" s="11" t="b" cm="1">
        <f t="array" ref="AG1228">IF(OR(Y1228:AA1228="TRUE", AE1228="true"), "Threatened")</f>
        <v>0</v>
      </c>
      <c r="AH1228" s="11" t="s">
        <v>3295</v>
      </c>
      <c r="AI1228" s="8" t="b">
        <v>1</v>
      </c>
    </row>
    <row r="1229" spans="1:35" ht="31.2">
      <c r="A1229" s="8">
        <v>-73.972909029999997</v>
      </c>
      <c r="B1229" s="8">
        <v>40.779434010000003</v>
      </c>
      <c r="C1229" s="8" t="s">
        <v>3296</v>
      </c>
      <c r="D1229" s="8" t="s">
        <v>949</v>
      </c>
      <c r="E1229" s="8" t="b">
        <f t="shared" si="19"/>
        <v>0</v>
      </c>
      <c r="F1229" s="8" t="str" cm="1">
        <f t="array" ref="F1229">_xlfn._xlws.FILTER(E1229:E4427, C1229:C4427= "6D-PM-1020-01", "No Squirrels Found")</f>
        <v>No Squirrels Found</v>
      </c>
      <c r="G1229" s="8" t="s">
        <v>48</v>
      </c>
      <c r="H1229" s="10">
        <v>10072018</v>
      </c>
      <c r="I1229" s="10">
        <v>2</v>
      </c>
      <c r="J1229" s="8" t="s">
        <v>39</v>
      </c>
      <c r="K1229" s="8" t="s">
        <v>40</v>
      </c>
      <c r="M1229" s="8" t="s">
        <v>55</v>
      </c>
      <c r="O1229" s="8" t="s">
        <v>43</v>
      </c>
      <c r="P1229" s="8" t="b">
        <v>0</v>
      </c>
      <c r="R1229" s="8" t="b">
        <v>0</v>
      </c>
      <c r="S1229" s="8" t="b">
        <v>0</v>
      </c>
      <c r="T1229" s="8" t="b">
        <v>0</v>
      </c>
      <c r="U1229" s="8" t="b">
        <v>0</v>
      </c>
      <c r="V1229" s="8" t="b">
        <v>1</v>
      </c>
      <c r="X1229" s="8" t="b">
        <v>0</v>
      </c>
      <c r="Y1229" s="8" t="b">
        <v>0</v>
      </c>
      <c r="Z1229" s="8" t="b">
        <v>0</v>
      </c>
      <c r="AA1229" s="8" t="b">
        <v>0</v>
      </c>
      <c r="AB1229" s="8" t="b">
        <v>0</v>
      </c>
      <c r="AC1229" s="8" t="b">
        <v>0</v>
      </c>
      <c r="AD1229" s="8" t="b">
        <v>1</v>
      </c>
      <c r="AE1229" s="8" t="b">
        <v>0</v>
      </c>
      <c r="AF1229" s="11" t="s">
        <v>3212</v>
      </c>
      <c r="AG1229" s="11" t="b" cm="1">
        <f t="array" ref="AG1229">IF(OR(Y1229:AA1229="TRUE", AE1229="true"), "Threatened")</f>
        <v>0</v>
      </c>
      <c r="AH1229" s="11" t="s">
        <v>3297</v>
      </c>
      <c r="AI1229" s="8" t="b">
        <v>1</v>
      </c>
    </row>
    <row r="1230" spans="1:35" ht="31.2">
      <c r="A1230" s="8">
        <v>-73.967775149999994</v>
      </c>
      <c r="B1230" s="8">
        <v>40.779099010000003</v>
      </c>
      <c r="C1230" s="8" t="s">
        <v>3298</v>
      </c>
      <c r="D1230" s="8" t="s">
        <v>215</v>
      </c>
      <c r="E1230" s="8" t="b">
        <f t="shared" si="19"/>
        <v>0</v>
      </c>
      <c r="F1230" s="8" t="str" cm="1">
        <f t="array" ref="F1230">_xlfn._xlws.FILTER(E1230:E4428, C1230:C4428= "6D-PM-1020-01", "No Squirrels Found")</f>
        <v>No Squirrels Found</v>
      </c>
      <c r="G1230" s="8" t="s">
        <v>48</v>
      </c>
      <c r="H1230" s="10">
        <v>10172018</v>
      </c>
      <c r="I1230" s="10">
        <v>11</v>
      </c>
      <c r="J1230" s="8" t="s">
        <v>39</v>
      </c>
      <c r="K1230" s="8" t="s">
        <v>40</v>
      </c>
      <c r="M1230" s="8" t="s">
        <v>55</v>
      </c>
      <c r="O1230" s="8" t="s">
        <v>43</v>
      </c>
      <c r="P1230" s="8" t="b">
        <v>0</v>
      </c>
      <c r="Q1230" s="8" t="s">
        <v>3016</v>
      </c>
      <c r="R1230" s="8" t="b">
        <v>1</v>
      </c>
      <c r="S1230" s="8" t="b">
        <v>0</v>
      </c>
      <c r="T1230" s="8" t="b">
        <v>0</v>
      </c>
      <c r="U1230" s="8" t="b">
        <v>0</v>
      </c>
      <c r="V1230" s="8" t="b">
        <v>0</v>
      </c>
      <c r="X1230" s="8" t="b">
        <v>0</v>
      </c>
      <c r="Y1230" s="8" t="b">
        <v>0</v>
      </c>
      <c r="Z1230" s="8" t="b">
        <v>0</v>
      </c>
      <c r="AA1230" s="8" t="b">
        <v>0</v>
      </c>
      <c r="AB1230" s="8" t="b">
        <v>0</v>
      </c>
      <c r="AC1230" s="8" t="b">
        <v>0</v>
      </c>
      <c r="AD1230" s="8" t="b">
        <v>1</v>
      </c>
      <c r="AE1230" s="8" t="b">
        <v>0</v>
      </c>
      <c r="AG1230" s="11" t="b" cm="1">
        <f t="array" ref="AG1230">IF(OR(Y1230:AA1230="TRUE", AE1230="true"), "Threatened")</f>
        <v>0</v>
      </c>
      <c r="AH1230" s="11" t="s">
        <v>3299</v>
      </c>
      <c r="AI1230" s="8" t="b">
        <v>1</v>
      </c>
    </row>
    <row r="1231" spans="1:35" ht="31.2">
      <c r="A1231" s="8">
        <v>-73.979082259999998</v>
      </c>
      <c r="B1231" s="8">
        <v>40.771446660000002</v>
      </c>
      <c r="C1231" s="8" t="s">
        <v>3300</v>
      </c>
      <c r="D1231" s="8" t="s">
        <v>342</v>
      </c>
      <c r="E1231" s="8" t="b">
        <f t="shared" si="19"/>
        <v>0</v>
      </c>
      <c r="F1231" s="8" t="str" cm="1">
        <f t="array" ref="F1231">_xlfn._xlws.FILTER(E1231:E4429, C1231:C4429= "6D-PM-1020-01", "No Squirrels Found")</f>
        <v>No Squirrels Found</v>
      </c>
      <c r="G1231" s="8" t="s">
        <v>48</v>
      </c>
      <c r="H1231" s="10">
        <v>10062018</v>
      </c>
      <c r="I1231" s="10">
        <v>3</v>
      </c>
      <c r="J1231" s="8" t="s">
        <v>54</v>
      </c>
      <c r="K1231" s="8" t="s">
        <v>41</v>
      </c>
      <c r="M1231" s="8" t="s">
        <v>49</v>
      </c>
      <c r="O1231" s="8" t="s">
        <v>50</v>
      </c>
      <c r="P1231" s="8">
        <v>8</v>
      </c>
      <c r="R1231" s="8" t="b">
        <v>0</v>
      </c>
      <c r="S1231" s="8" t="b">
        <v>0</v>
      </c>
      <c r="T1231" s="8" t="b">
        <v>1</v>
      </c>
      <c r="U1231" s="8" t="b">
        <v>1</v>
      </c>
      <c r="V1231" s="8" t="b">
        <v>0</v>
      </c>
      <c r="X1231" s="8" t="b">
        <v>0</v>
      </c>
      <c r="Y1231" s="8" t="b">
        <v>0</v>
      </c>
      <c r="Z1231" s="8" t="b">
        <v>0</v>
      </c>
      <c r="AA1231" s="8" t="b">
        <v>1</v>
      </c>
      <c r="AB1231" s="8" t="b">
        <v>0</v>
      </c>
      <c r="AC1231" s="8" t="b">
        <v>0</v>
      </c>
      <c r="AD1231" s="8" t="b">
        <v>0</v>
      </c>
      <c r="AE1231" s="8" t="b">
        <v>1</v>
      </c>
      <c r="AG1231" s="11" t="b" cm="1">
        <f t="array" ref="AG1231">IF(OR(Y1231:AA1231="TRUE", AE1231="true"), "Threatened")</f>
        <v>0</v>
      </c>
      <c r="AH1231" s="11" t="s">
        <v>3301</v>
      </c>
      <c r="AI1231" s="8" t="b">
        <v>1</v>
      </c>
    </row>
    <row r="1232" spans="1:35" ht="31.2">
      <c r="A1232" s="8">
        <v>-73.955558370000006</v>
      </c>
      <c r="B1232" s="8">
        <v>40.793287970000002</v>
      </c>
      <c r="C1232" s="8" t="s">
        <v>3302</v>
      </c>
      <c r="D1232" s="8" t="s">
        <v>702</v>
      </c>
      <c r="E1232" s="8" t="b">
        <f t="shared" si="19"/>
        <v>0</v>
      </c>
      <c r="F1232" s="8" t="str" cm="1">
        <f t="array" ref="F1232">_xlfn._xlws.FILTER(E1232:E4430, C1232:C4430= "6D-PM-1020-01", "No Squirrels Found")</f>
        <v>No Squirrels Found</v>
      </c>
      <c r="G1232" s="8" t="s">
        <v>34</v>
      </c>
      <c r="H1232" s="10">
        <v>10122018</v>
      </c>
      <c r="I1232" s="10">
        <v>7</v>
      </c>
      <c r="J1232" s="8" t="s">
        <v>39</v>
      </c>
      <c r="K1232" s="8" t="s">
        <v>40</v>
      </c>
      <c r="L1232" s="8" t="s">
        <v>84</v>
      </c>
      <c r="M1232" s="8" t="s">
        <v>103</v>
      </c>
      <c r="O1232" s="8" t="s">
        <v>43</v>
      </c>
      <c r="P1232" s="8" t="b">
        <v>0</v>
      </c>
      <c r="R1232" s="8" t="b">
        <v>0</v>
      </c>
      <c r="S1232" s="8" t="b">
        <v>0</v>
      </c>
      <c r="T1232" s="8" t="b">
        <v>0</v>
      </c>
      <c r="U1232" s="8" t="b">
        <v>1</v>
      </c>
      <c r="V1232" s="8" t="b">
        <v>0</v>
      </c>
      <c r="X1232" s="8" t="b">
        <v>0</v>
      </c>
      <c r="Y1232" s="8" t="b">
        <v>0</v>
      </c>
      <c r="Z1232" s="8" t="b">
        <v>0</v>
      </c>
      <c r="AA1232" s="8" t="b">
        <v>0</v>
      </c>
      <c r="AB1232" s="8" t="b">
        <v>0</v>
      </c>
      <c r="AC1232" s="8" t="b">
        <v>0</v>
      </c>
      <c r="AD1232" s="8" t="b">
        <v>0</v>
      </c>
      <c r="AE1232" s="8" t="b">
        <v>1</v>
      </c>
      <c r="AG1232" s="11" t="b" cm="1">
        <f t="array" ref="AG1232">IF(OR(Y1232:AA1232="TRUE", AE1232="true"), "Threatened")</f>
        <v>0</v>
      </c>
      <c r="AH1232" s="11" t="s">
        <v>3303</v>
      </c>
      <c r="AI1232" s="8" t="b">
        <v>1</v>
      </c>
    </row>
    <row r="1233" spans="1:35" ht="31.2">
      <c r="A1233" s="8">
        <v>-73.958925489999999</v>
      </c>
      <c r="B1233" s="8">
        <v>40.79144677</v>
      </c>
      <c r="C1233" s="8" t="s">
        <v>3304</v>
      </c>
      <c r="D1233" s="8" t="s">
        <v>1214</v>
      </c>
      <c r="E1233" s="8" t="b">
        <f t="shared" si="19"/>
        <v>0</v>
      </c>
      <c r="F1233" s="8" t="str" cm="1">
        <f t="array" ref="F1233">_xlfn._xlws.FILTER(E1233:E4431, C1233:C4431= "6D-PM-1020-01", "No Squirrels Found")</f>
        <v>No Squirrels Found</v>
      </c>
      <c r="G1233" s="8" t="s">
        <v>34</v>
      </c>
      <c r="H1233" s="10">
        <v>10122018</v>
      </c>
      <c r="I1233" s="10">
        <v>9</v>
      </c>
      <c r="J1233" s="8" t="s">
        <v>39</v>
      </c>
      <c r="K1233" s="8" t="s">
        <v>192</v>
      </c>
      <c r="M1233" s="8" t="s">
        <v>193</v>
      </c>
      <c r="O1233" s="8" t="s">
        <v>43</v>
      </c>
      <c r="P1233" s="8" t="b">
        <v>0</v>
      </c>
      <c r="R1233" s="8" t="b">
        <v>0</v>
      </c>
      <c r="S1233" s="8" t="b">
        <v>0</v>
      </c>
      <c r="T1233" s="8" t="b">
        <v>0</v>
      </c>
      <c r="U1233" s="8" t="b">
        <v>1</v>
      </c>
      <c r="V1233" s="8" t="b">
        <v>1</v>
      </c>
      <c r="X1233" s="8" t="b">
        <v>0</v>
      </c>
      <c r="Y1233" s="8" t="b">
        <v>0</v>
      </c>
      <c r="Z1233" s="8" t="b">
        <v>0</v>
      </c>
      <c r="AA1233" s="8" t="b">
        <v>0</v>
      </c>
      <c r="AB1233" s="8" t="b">
        <v>0</v>
      </c>
      <c r="AC1233" s="8" t="b">
        <v>0</v>
      </c>
      <c r="AD1233" s="8" t="b">
        <v>0</v>
      </c>
      <c r="AE1233" s="8" t="b">
        <v>1</v>
      </c>
      <c r="AG1233" s="11" t="b" cm="1">
        <f t="array" ref="AG1233">IF(OR(Y1233:AA1233="TRUE", AE1233="true"), "Threatened")</f>
        <v>0</v>
      </c>
      <c r="AH1233" s="11" t="s">
        <v>3305</v>
      </c>
      <c r="AI1233" s="8" t="b">
        <v>1</v>
      </c>
    </row>
    <row r="1234" spans="1:35" ht="31.2">
      <c r="A1234" s="8">
        <v>-73.972228130000005</v>
      </c>
      <c r="B1234" s="8">
        <v>40.770408330000002</v>
      </c>
      <c r="C1234" s="8" t="s">
        <v>3306</v>
      </c>
      <c r="D1234" s="8" t="s">
        <v>413</v>
      </c>
      <c r="E1234" s="8" t="b">
        <f t="shared" si="19"/>
        <v>0</v>
      </c>
      <c r="F1234" s="8" t="str" cm="1">
        <f t="array" ref="F1234">_xlfn._xlws.FILTER(E1234:E4432, C1234:C4432= "6D-PM-1020-01", "No Squirrels Found")</f>
        <v>No Squirrels Found</v>
      </c>
      <c r="G1234" s="8" t="s">
        <v>48</v>
      </c>
      <c r="H1234" s="10">
        <v>10102018</v>
      </c>
      <c r="I1234" s="10">
        <v>6</v>
      </c>
      <c r="J1234" s="8" t="s">
        <v>39</v>
      </c>
      <c r="K1234" s="8" t="s">
        <v>41</v>
      </c>
      <c r="L1234" s="8" t="s">
        <v>84</v>
      </c>
      <c r="M1234" s="8" t="s">
        <v>85</v>
      </c>
      <c r="O1234" s="8" t="s">
        <v>43</v>
      </c>
      <c r="P1234" s="8" t="b">
        <v>0</v>
      </c>
      <c r="R1234" s="8" t="b">
        <v>0</v>
      </c>
      <c r="S1234" s="8" t="b">
        <v>0</v>
      </c>
      <c r="T1234" s="8" t="b">
        <v>0</v>
      </c>
      <c r="U1234" s="8" t="b">
        <v>1</v>
      </c>
      <c r="V1234" s="8" t="b">
        <v>0</v>
      </c>
      <c r="X1234" s="8" t="b">
        <v>0</v>
      </c>
      <c r="Y1234" s="8" t="b">
        <v>0</v>
      </c>
      <c r="Z1234" s="8" t="b">
        <v>0</v>
      </c>
      <c r="AA1234" s="8" t="b">
        <v>0</v>
      </c>
      <c r="AB1234" s="8" t="b">
        <v>0</v>
      </c>
      <c r="AC1234" s="8" t="b">
        <v>0</v>
      </c>
      <c r="AD1234" s="8" t="b">
        <v>1</v>
      </c>
      <c r="AE1234" s="8" t="b">
        <v>0</v>
      </c>
      <c r="AG1234" s="11" t="b" cm="1">
        <f t="array" ref="AG1234">IF(OR(Y1234:AA1234="TRUE", AE1234="true"), "Threatened")</f>
        <v>0</v>
      </c>
      <c r="AH1234" s="11" t="s">
        <v>3307</v>
      </c>
      <c r="AI1234" s="8" t="b">
        <v>1</v>
      </c>
    </row>
    <row r="1235" spans="1:35" ht="31.2">
      <c r="A1235" s="8">
        <v>-73.970141220000002</v>
      </c>
      <c r="B1235" s="8">
        <v>40.771453409999999</v>
      </c>
      <c r="C1235" s="8" t="s">
        <v>3308</v>
      </c>
      <c r="D1235" s="8" t="s">
        <v>2059</v>
      </c>
      <c r="E1235" s="8" t="b">
        <f t="shared" si="19"/>
        <v>0</v>
      </c>
      <c r="F1235" s="8" t="str" cm="1">
        <f t="array" ref="F1235">_xlfn._xlws.FILTER(E1235:E4433, C1235:C4433= "6D-PM-1020-01", "No Squirrels Found")</f>
        <v>No Squirrels Found</v>
      </c>
      <c r="G1235" s="8" t="s">
        <v>34</v>
      </c>
      <c r="H1235" s="10">
        <v>10182018</v>
      </c>
      <c r="I1235" s="10">
        <v>8</v>
      </c>
      <c r="J1235" s="8" t="s">
        <v>39</v>
      </c>
      <c r="K1235" s="8" t="s">
        <v>40</v>
      </c>
      <c r="M1235" s="8" t="s">
        <v>55</v>
      </c>
      <c r="O1235" s="8" t="s">
        <v>43</v>
      </c>
      <c r="P1235" s="8" t="b">
        <v>0</v>
      </c>
      <c r="R1235" s="8" t="b">
        <v>0</v>
      </c>
      <c r="S1235" s="8" t="b">
        <v>0</v>
      </c>
      <c r="T1235" s="8" t="b">
        <v>0</v>
      </c>
      <c r="U1235" s="8" t="b">
        <v>0</v>
      </c>
      <c r="V1235" s="8" t="b">
        <v>1</v>
      </c>
      <c r="X1235" s="8" t="b">
        <v>0</v>
      </c>
      <c r="Y1235" s="8" t="b">
        <v>0</v>
      </c>
      <c r="Z1235" s="8" t="b">
        <v>0</v>
      </c>
      <c r="AA1235" s="8" t="b">
        <v>0</v>
      </c>
      <c r="AB1235" s="8" t="b">
        <v>0</v>
      </c>
      <c r="AC1235" s="8" t="b">
        <v>0</v>
      </c>
      <c r="AD1235" s="8" t="b">
        <v>0</v>
      </c>
      <c r="AE1235" s="8" t="b">
        <v>0</v>
      </c>
      <c r="AG1235" s="11" t="b" cm="1">
        <f t="array" ref="AG1235">IF(OR(Y1235:AA1235="TRUE", AE1235="true"), "Threatened")</f>
        <v>0</v>
      </c>
      <c r="AH1235" s="11" t="s">
        <v>3309</v>
      </c>
      <c r="AI1235" s="8" t="b">
        <v>1</v>
      </c>
    </row>
    <row r="1236" spans="1:35" ht="31.2">
      <c r="A1236" s="8">
        <v>-73.967968679999998</v>
      </c>
      <c r="B1236" s="8">
        <v>40.782599390000001</v>
      </c>
      <c r="C1236" s="8" t="s">
        <v>3310</v>
      </c>
      <c r="D1236" s="8" t="s">
        <v>95</v>
      </c>
      <c r="E1236" s="8" t="b">
        <f t="shared" si="19"/>
        <v>0</v>
      </c>
      <c r="F1236" s="8" t="str" cm="1">
        <f t="array" ref="F1236">_xlfn._xlws.FILTER(E1236:E4434, C1236:C4434= "6D-PM-1020-01", "No Squirrels Found")</f>
        <v>No Squirrels Found</v>
      </c>
      <c r="G1236" s="8" t="s">
        <v>48</v>
      </c>
      <c r="H1236" s="10">
        <v>10142018</v>
      </c>
      <c r="I1236" s="10">
        <v>1</v>
      </c>
      <c r="J1236" s="8" t="s">
        <v>39</v>
      </c>
      <c r="K1236" s="8" t="s">
        <v>40</v>
      </c>
      <c r="L1236" s="8" t="s">
        <v>41</v>
      </c>
      <c r="M1236" s="8" t="s">
        <v>42</v>
      </c>
      <c r="O1236" s="8" t="s">
        <v>50</v>
      </c>
      <c r="P1236" s="8">
        <v>3</v>
      </c>
      <c r="R1236" s="8" t="b">
        <v>1</v>
      </c>
      <c r="S1236" s="8" t="b">
        <v>0</v>
      </c>
      <c r="T1236" s="8" t="b">
        <v>0</v>
      </c>
      <c r="U1236" s="8" t="b">
        <v>0</v>
      </c>
      <c r="V1236" s="8" t="b">
        <v>0</v>
      </c>
      <c r="W1236" s="11" t="s">
        <v>3311</v>
      </c>
      <c r="X1236" s="8" t="b">
        <v>0</v>
      </c>
      <c r="Y1236" s="8" t="b">
        <v>0</v>
      </c>
      <c r="Z1236" s="8" t="b">
        <v>0</v>
      </c>
      <c r="AA1236" s="8" t="b">
        <v>1</v>
      </c>
      <c r="AB1236" s="8" t="b">
        <v>1</v>
      </c>
      <c r="AC1236" s="8" t="b">
        <v>0</v>
      </c>
      <c r="AD1236" s="8" t="b">
        <v>1</v>
      </c>
      <c r="AE1236" s="8" t="b">
        <v>0</v>
      </c>
      <c r="AG1236" s="11" t="b" cm="1">
        <f t="array" ref="AG1236">IF(OR(Y1236:AA1236="TRUE", AE1236="true"), "Threatened")</f>
        <v>0</v>
      </c>
      <c r="AH1236" s="11" t="s">
        <v>3312</v>
      </c>
      <c r="AI1236" s="8" t="b">
        <v>0</v>
      </c>
    </row>
    <row r="1237" spans="1:35" ht="31.2">
      <c r="A1237" s="8">
        <v>-73.979203909999995</v>
      </c>
      <c r="B1237" s="8">
        <v>40.76787495</v>
      </c>
      <c r="C1237" s="8" t="s">
        <v>3313</v>
      </c>
      <c r="D1237" s="8" t="s">
        <v>1235</v>
      </c>
      <c r="E1237" s="8" t="b">
        <f t="shared" si="19"/>
        <v>0</v>
      </c>
      <c r="F1237" s="8" t="str" cm="1">
        <f t="array" ref="F1237">_xlfn._xlws.FILTER(E1237:E4435, C1237:C4435= "6D-PM-1020-01", "No Squirrels Found")</f>
        <v>No Squirrels Found</v>
      </c>
      <c r="G1237" s="8" t="s">
        <v>48</v>
      </c>
      <c r="H1237" s="10">
        <v>10102018</v>
      </c>
      <c r="I1237" s="10">
        <v>7</v>
      </c>
      <c r="J1237" s="8" t="s">
        <v>39</v>
      </c>
      <c r="K1237" s="8" t="s">
        <v>40</v>
      </c>
      <c r="L1237" s="8" t="s">
        <v>117</v>
      </c>
      <c r="M1237" s="8" t="s">
        <v>118</v>
      </c>
      <c r="O1237" s="8" t="s">
        <v>43</v>
      </c>
      <c r="P1237" s="8" t="b">
        <v>0</v>
      </c>
      <c r="R1237" s="8" t="b">
        <v>1</v>
      </c>
      <c r="S1237" s="8" t="b">
        <v>1</v>
      </c>
      <c r="T1237" s="8" t="b">
        <v>0</v>
      </c>
      <c r="U1237" s="8" t="b">
        <v>0</v>
      </c>
      <c r="V1237" s="8" t="b">
        <v>0</v>
      </c>
      <c r="W1237" s="11" t="s">
        <v>3314</v>
      </c>
      <c r="X1237" s="8" t="b">
        <v>0</v>
      </c>
      <c r="Y1237" s="8" t="b">
        <v>0</v>
      </c>
      <c r="Z1237" s="8" t="b">
        <v>0</v>
      </c>
      <c r="AA1237" s="8" t="b">
        <v>0</v>
      </c>
      <c r="AB1237" s="8" t="b">
        <v>0</v>
      </c>
      <c r="AC1237" s="8" t="b">
        <v>0</v>
      </c>
      <c r="AD1237" s="8" t="b">
        <v>0</v>
      </c>
      <c r="AE1237" s="8" t="b">
        <v>1</v>
      </c>
      <c r="AG1237" s="11" t="b" cm="1">
        <f t="array" ref="AG1237">IF(OR(Y1237:AA1237="TRUE", AE1237="true"), "Threatened")</f>
        <v>0</v>
      </c>
      <c r="AH1237" s="11" t="s">
        <v>3315</v>
      </c>
      <c r="AI1237" s="8" t="b">
        <v>0</v>
      </c>
    </row>
    <row r="1238" spans="1:35" ht="46.8">
      <c r="A1238" s="8">
        <v>-73.97053708</v>
      </c>
      <c r="B1238" s="8">
        <v>40.776172539999997</v>
      </c>
      <c r="C1238" s="8" t="s">
        <v>3316</v>
      </c>
      <c r="D1238" s="8" t="s">
        <v>79</v>
      </c>
      <c r="E1238" s="8" t="b">
        <f t="shared" si="19"/>
        <v>0</v>
      </c>
      <c r="F1238" s="8" t="str" cm="1">
        <f t="array" ref="F1238">_xlfn._xlws.FILTER(E1238:E4436, C1238:C4436= "6D-PM-1020-01", "No Squirrels Found")</f>
        <v>No Squirrels Found</v>
      </c>
      <c r="G1238" s="8" t="s">
        <v>34</v>
      </c>
      <c r="H1238" s="10">
        <v>10082018</v>
      </c>
      <c r="I1238" s="10">
        <v>4</v>
      </c>
      <c r="J1238" s="8" t="s">
        <v>39</v>
      </c>
      <c r="K1238" s="8" t="s">
        <v>40</v>
      </c>
      <c r="L1238" s="8" t="s">
        <v>41</v>
      </c>
      <c r="M1238" s="8" t="s">
        <v>42</v>
      </c>
      <c r="N1238" s="11" t="s">
        <v>3317</v>
      </c>
      <c r="O1238" s="8" t="s">
        <v>43</v>
      </c>
      <c r="P1238" s="8" t="b">
        <v>0</v>
      </c>
      <c r="R1238" s="8" t="b">
        <v>0</v>
      </c>
      <c r="S1238" s="8" t="b">
        <v>0</v>
      </c>
      <c r="T1238" s="8" t="b">
        <v>0</v>
      </c>
      <c r="U1238" s="8" t="b">
        <v>0</v>
      </c>
      <c r="V1238" s="8" t="b">
        <v>1</v>
      </c>
      <c r="X1238" s="8" t="b">
        <v>0</v>
      </c>
      <c r="Y1238" s="8" t="b">
        <v>0</v>
      </c>
      <c r="Z1238" s="8" t="b">
        <v>0</v>
      </c>
      <c r="AA1238" s="8" t="b">
        <v>0</v>
      </c>
      <c r="AB1238" s="8" t="b">
        <v>1</v>
      </c>
      <c r="AC1238" s="8" t="b">
        <v>0</v>
      </c>
      <c r="AD1238" s="8" t="b">
        <v>0</v>
      </c>
      <c r="AE1238" s="8" t="b">
        <v>0</v>
      </c>
      <c r="AF1238" s="11" t="s">
        <v>3318</v>
      </c>
      <c r="AG1238" s="11" t="b" cm="1">
        <f t="array" ref="AG1238">IF(OR(Y1238:AA1238="TRUE", AE1238="true"), "Threatened")</f>
        <v>0</v>
      </c>
      <c r="AH1238" s="11" t="s">
        <v>3319</v>
      </c>
      <c r="AI1238" s="8" t="b">
        <v>1</v>
      </c>
    </row>
    <row r="1239" spans="1:35" ht="31.2">
      <c r="A1239" s="8">
        <v>-73.977369210000006</v>
      </c>
      <c r="B1239" s="8">
        <v>40.767977119999998</v>
      </c>
      <c r="C1239" s="8" t="s">
        <v>3320</v>
      </c>
      <c r="D1239" s="8" t="s">
        <v>512</v>
      </c>
      <c r="E1239" s="8" t="b">
        <f t="shared" si="19"/>
        <v>0</v>
      </c>
      <c r="F1239" s="8" t="str" cm="1">
        <f t="array" ref="F1239">_xlfn._xlws.FILTER(E1239:E4437, C1239:C4437= "6D-PM-1020-01", "No Squirrels Found")</f>
        <v>No Squirrels Found</v>
      </c>
      <c r="G1239" s="8" t="s">
        <v>34</v>
      </c>
      <c r="H1239" s="10">
        <v>10102018</v>
      </c>
      <c r="I1239" s="10">
        <v>2</v>
      </c>
      <c r="J1239" s="8" t="s">
        <v>39</v>
      </c>
      <c r="K1239" s="8" t="s">
        <v>40</v>
      </c>
      <c r="M1239" s="8" t="s">
        <v>55</v>
      </c>
      <c r="O1239" s="8" t="s">
        <v>50</v>
      </c>
      <c r="P1239" s="8">
        <v>8</v>
      </c>
      <c r="R1239" s="8" t="b">
        <v>0</v>
      </c>
      <c r="S1239" s="8" t="b">
        <v>0</v>
      </c>
      <c r="T1239" s="8" t="b">
        <v>1</v>
      </c>
      <c r="U1239" s="8" t="b">
        <v>0</v>
      </c>
      <c r="V1239" s="8" t="b">
        <v>0</v>
      </c>
      <c r="X1239" s="8" t="b">
        <v>0</v>
      </c>
      <c r="Y1239" s="8" t="b">
        <v>0</v>
      </c>
      <c r="Z1239" s="8" t="b">
        <v>0</v>
      </c>
      <c r="AA1239" s="8" t="b">
        <v>0</v>
      </c>
      <c r="AB1239" s="8" t="b">
        <v>0</v>
      </c>
      <c r="AC1239" s="8" t="b">
        <v>0</v>
      </c>
      <c r="AD1239" s="8" t="b">
        <v>0</v>
      </c>
      <c r="AE1239" s="8" t="b">
        <v>0</v>
      </c>
      <c r="AG1239" s="11" t="b" cm="1">
        <f t="array" ref="AG1239">IF(OR(Y1239:AA1239="TRUE", AE1239="true"), "Threatened")</f>
        <v>0</v>
      </c>
      <c r="AH1239" s="11" t="s">
        <v>3321</v>
      </c>
      <c r="AI1239" s="8" t="b">
        <v>1</v>
      </c>
    </row>
    <row r="1240" spans="1:35" ht="31.2">
      <c r="A1240" s="8">
        <v>-73.972589720000002</v>
      </c>
      <c r="B1240" s="8">
        <v>40.769134209999997</v>
      </c>
      <c r="C1240" s="8" t="s">
        <v>3322</v>
      </c>
      <c r="D1240" s="8" t="s">
        <v>66</v>
      </c>
      <c r="E1240" s="8" t="b">
        <f t="shared" si="19"/>
        <v>0</v>
      </c>
      <c r="F1240" s="8" t="str" cm="1">
        <f t="array" ref="F1240">_xlfn._xlws.FILTER(E1240:E4438, C1240:C4438= "6D-PM-1020-01", "No Squirrels Found")</f>
        <v>No Squirrels Found</v>
      </c>
      <c r="G1240" s="8" t="s">
        <v>48</v>
      </c>
      <c r="H1240" s="10">
        <v>10082018</v>
      </c>
      <c r="I1240" s="10">
        <v>1</v>
      </c>
      <c r="J1240" s="8" t="s">
        <v>39</v>
      </c>
      <c r="K1240" s="8" t="s">
        <v>40</v>
      </c>
      <c r="L1240" s="8" t="s">
        <v>41</v>
      </c>
      <c r="M1240" s="8" t="s">
        <v>42</v>
      </c>
      <c r="O1240" s="8" t="s">
        <v>50</v>
      </c>
      <c r="P1240" s="8">
        <v>20</v>
      </c>
      <c r="Q1240" s="8" t="s">
        <v>466</v>
      </c>
      <c r="R1240" s="8" t="b">
        <v>0</v>
      </c>
      <c r="S1240" s="8" t="b">
        <v>0</v>
      </c>
      <c r="T1240" s="8" t="b">
        <v>0</v>
      </c>
      <c r="U1240" s="8" t="b">
        <v>0</v>
      </c>
      <c r="V1240" s="8" t="b">
        <v>0</v>
      </c>
      <c r="W1240" s="11" t="s">
        <v>141</v>
      </c>
      <c r="X1240" s="8" t="b">
        <v>0</v>
      </c>
      <c r="Y1240" s="8" t="b">
        <v>0</v>
      </c>
      <c r="Z1240" s="8" t="b">
        <v>0</v>
      </c>
      <c r="AA1240" s="8" t="b">
        <v>0</v>
      </c>
      <c r="AB1240" s="8" t="b">
        <v>0</v>
      </c>
      <c r="AC1240" s="8" t="b">
        <v>0</v>
      </c>
      <c r="AD1240" s="8" t="b">
        <v>1</v>
      </c>
      <c r="AE1240" s="8" t="b">
        <v>0</v>
      </c>
      <c r="AG1240" s="11" t="b" cm="1">
        <f t="array" ref="AG1240">IF(OR(Y1240:AA1240="TRUE", AE1240="true"), "Threatened")</f>
        <v>0</v>
      </c>
      <c r="AH1240" s="11" t="s">
        <v>3323</v>
      </c>
      <c r="AI1240" s="8" t="b">
        <v>0</v>
      </c>
    </row>
    <row r="1241" spans="1:35" ht="31.2">
      <c r="A1241" s="8">
        <v>-73.969611920000006</v>
      </c>
      <c r="B1241" s="8">
        <v>40.780292609999997</v>
      </c>
      <c r="C1241" s="8" t="s">
        <v>3324</v>
      </c>
      <c r="D1241" s="8" t="s">
        <v>631</v>
      </c>
      <c r="E1241" s="8" t="b">
        <f t="shared" si="19"/>
        <v>0</v>
      </c>
      <c r="F1241" s="8" t="str" cm="1">
        <f t="array" ref="F1241">_xlfn._xlws.FILTER(E1241:E4439, C1241:C4439= "6D-PM-1020-01", "No Squirrels Found")</f>
        <v>No Squirrels Found</v>
      </c>
      <c r="G1241" s="8" t="s">
        <v>34</v>
      </c>
      <c r="H1241" s="10">
        <v>10182018</v>
      </c>
      <c r="I1241" s="10">
        <v>9</v>
      </c>
      <c r="J1241" s="8" t="s">
        <v>54</v>
      </c>
      <c r="K1241" s="8" t="s">
        <v>40</v>
      </c>
      <c r="M1241" s="8" t="s">
        <v>55</v>
      </c>
      <c r="O1241" s="8" t="s">
        <v>50</v>
      </c>
      <c r="P1241" s="8">
        <v>5</v>
      </c>
      <c r="R1241" s="8" t="b">
        <v>0</v>
      </c>
      <c r="S1241" s="8" t="b">
        <v>0</v>
      </c>
      <c r="T1241" s="8" t="b">
        <v>1</v>
      </c>
      <c r="U1241" s="8" t="b">
        <v>1</v>
      </c>
      <c r="V1241" s="8" t="b">
        <v>1</v>
      </c>
      <c r="X1241" s="8" t="b">
        <v>0</v>
      </c>
      <c r="Y1241" s="8" t="b">
        <v>0</v>
      </c>
      <c r="Z1241" s="8" t="b">
        <v>0</v>
      </c>
      <c r="AA1241" s="8" t="b">
        <v>0</v>
      </c>
      <c r="AB1241" s="8" t="b">
        <v>0</v>
      </c>
      <c r="AC1241" s="8" t="b">
        <v>0</v>
      </c>
      <c r="AD1241" s="8" t="b">
        <v>0</v>
      </c>
      <c r="AE1241" s="8" t="b">
        <v>0</v>
      </c>
      <c r="AG1241" s="11" t="b" cm="1">
        <f t="array" ref="AG1241">IF(OR(Y1241:AA1241="TRUE", AE1241="true"), "Threatened")</f>
        <v>0</v>
      </c>
      <c r="AH1241" s="11" t="s">
        <v>3325</v>
      </c>
      <c r="AI1241" s="8" t="b">
        <v>1</v>
      </c>
    </row>
    <row r="1242" spans="1:35" ht="31.2">
      <c r="A1242" s="8">
        <v>-73.965181799999996</v>
      </c>
      <c r="B1242" s="8">
        <v>40.781908280000003</v>
      </c>
      <c r="C1242" s="8" t="s">
        <v>3326</v>
      </c>
      <c r="D1242" s="8" t="s">
        <v>1059</v>
      </c>
      <c r="E1242" s="8" t="b">
        <f t="shared" si="19"/>
        <v>0</v>
      </c>
      <c r="F1242" s="8" t="str" cm="1">
        <f t="array" ref="F1242">_xlfn._xlws.FILTER(E1242:E4440, C1242:C4440= "6D-PM-1020-01", "No Squirrels Found")</f>
        <v>No Squirrels Found</v>
      </c>
      <c r="G1242" s="8" t="s">
        <v>48</v>
      </c>
      <c r="H1242" s="10">
        <v>10172018</v>
      </c>
      <c r="I1242" s="10">
        <v>1</v>
      </c>
      <c r="J1242" s="8" t="s">
        <v>39</v>
      </c>
      <c r="K1242" s="8" t="s">
        <v>40</v>
      </c>
      <c r="L1242" s="8" t="s">
        <v>84</v>
      </c>
      <c r="M1242" s="8" t="s">
        <v>103</v>
      </c>
      <c r="O1242" s="8" t="s">
        <v>50</v>
      </c>
      <c r="P1242" s="8">
        <v>3</v>
      </c>
      <c r="Q1242" s="8" t="s">
        <v>3327</v>
      </c>
      <c r="R1242" s="8" t="b">
        <v>0</v>
      </c>
      <c r="S1242" s="8" t="b">
        <v>0</v>
      </c>
      <c r="T1242" s="8" t="b">
        <v>0</v>
      </c>
      <c r="U1242" s="8" t="b">
        <v>1</v>
      </c>
      <c r="V1242" s="8" t="b">
        <v>1</v>
      </c>
      <c r="X1242" s="8" t="b">
        <v>0</v>
      </c>
      <c r="Y1242" s="8" t="b">
        <v>0</v>
      </c>
      <c r="Z1242" s="8" t="b">
        <v>0</v>
      </c>
      <c r="AA1242" s="8" t="b">
        <v>0</v>
      </c>
      <c r="AB1242" s="8" t="b">
        <v>1</v>
      </c>
      <c r="AC1242" s="8" t="b">
        <v>0</v>
      </c>
      <c r="AD1242" s="8" t="b">
        <v>0</v>
      </c>
      <c r="AE1242" s="8" t="b">
        <v>0</v>
      </c>
      <c r="AF1242" s="11" t="s">
        <v>3328</v>
      </c>
      <c r="AG1242" s="11" t="b" cm="1">
        <f t="array" ref="AG1242">IF(OR(Y1242:AA1242="TRUE", AE1242="true"), "Threatened")</f>
        <v>0</v>
      </c>
      <c r="AH1242" s="11" t="s">
        <v>3329</v>
      </c>
      <c r="AI1242" s="8" t="b">
        <v>1</v>
      </c>
    </row>
    <row r="1243" spans="1:35" ht="31.2">
      <c r="A1243" s="8">
        <v>-73.971451209999998</v>
      </c>
      <c r="B1243" s="8">
        <v>40.77602753</v>
      </c>
      <c r="C1243" s="8" t="s">
        <v>3330</v>
      </c>
      <c r="D1243" s="8" t="s">
        <v>426</v>
      </c>
      <c r="E1243" s="8" t="b">
        <f t="shared" si="19"/>
        <v>0</v>
      </c>
      <c r="F1243" s="8" t="str" cm="1">
        <f t="array" ref="F1243">_xlfn._xlws.FILTER(E1243:E4441, C1243:C4441= "6D-PM-1020-01", "No Squirrels Found")</f>
        <v>No Squirrels Found</v>
      </c>
      <c r="G1243" s="8" t="s">
        <v>34</v>
      </c>
      <c r="H1243" s="10">
        <v>10182018</v>
      </c>
      <c r="I1243" s="10">
        <v>3</v>
      </c>
      <c r="J1243" s="8" t="s">
        <v>39</v>
      </c>
      <c r="K1243" s="8" t="s">
        <v>40</v>
      </c>
      <c r="L1243" s="8" t="s">
        <v>117</v>
      </c>
      <c r="M1243" s="8" t="s">
        <v>118</v>
      </c>
      <c r="N1243" s="11" t="s">
        <v>1383</v>
      </c>
      <c r="O1243" s="8" t="s">
        <v>43</v>
      </c>
      <c r="P1243" s="8" t="b">
        <v>0</v>
      </c>
      <c r="R1243" s="8" t="b">
        <v>1</v>
      </c>
      <c r="S1243" s="8" t="b">
        <v>0</v>
      </c>
      <c r="T1243" s="8" t="b">
        <v>0</v>
      </c>
      <c r="U1243" s="8" t="b">
        <v>1</v>
      </c>
      <c r="V1243" s="8" t="b">
        <v>1</v>
      </c>
      <c r="X1243" s="8" t="b">
        <v>0</v>
      </c>
      <c r="Y1243" s="8" t="b">
        <v>0</v>
      </c>
      <c r="Z1243" s="8" t="b">
        <v>0</v>
      </c>
      <c r="AA1243" s="8" t="b">
        <v>0</v>
      </c>
      <c r="AB1243" s="8" t="b">
        <v>0</v>
      </c>
      <c r="AC1243" s="8" t="b">
        <v>0</v>
      </c>
      <c r="AD1243" s="8" t="b">
        <v>1</v>
      </c>
      <c r="AE1243" s="8" t="b">
        <v>0</v>
      </c>
      <c r="AG1243" s="11" t="b" cm="1">
        <f t="array" ref="AG1243">IF(OR(Y1243:AA1243="TRUE", AE1243="true"), "Threatened")</f>
        <v>0</v>
      </c>
      <c r="AH1243" s="11" t="s">
        <v>3331</v>
      </c>
      <c r="AI1243" s="8" t="b">
        <v>1</v>
      </c>
    </row>
    <row r="1244" spans="1:35" ht="31.2">
      <c r="A1244" s="8">
        <v>-73.974555620000004</v>
      </c>
      <c r="B1244" s="8">
        <v>40.767292099999999</v>
      </c>
      <c r="C1244" s="8" t="s">
        <v>3332</v>
      </c>
      <c r="D1244" s="8" t="s">
        <v>1706</v>
      </c>
      <c r="E1244" s="8" t="b">
        <f t="shared" si="19"/>
        <v>0</v>
      </c>
      <c r="F1244" s="8" t="str" cm="1">
        <f t="array" ref="F1244">_xlfn._xlws.FILTER(E1244:E4442, C1244:C4442= "6D-PM-1020-01", "No Squirrels Found")</f>
        <v>No Squirrels Found</v>
      </c>
      <c r="G1244" s="8" t="s">
        <v>48</v>
      </c>
      <c r="H1244" s="10">
        <v>10062018</v>
      </c>
      <c r="I1244" s="10">
        <v>7</v>
      </c>
      <c r="J1244" s="8" t="s">
        <v>54</v>
      </c>
      <c r="K1244" s="8" t="s">
        <v>40</v>
      </c>
      <c r="L1244" s="8" t="s">
        <v>117</v>
      </c>
      <c r="M1244" s="8" t="s">
        <v>118</v>
      </c>
      <c r="O1244" s="8" t="s">
        <v>43</v>
      </c>
      <c r="P1244" s="8" t="b">
        <v>0</v>
      </c>
      <c r="Q1244" s="8" t="s">
        <v>3333</v>
      </c>
      <c r="R1244" s="8" t="b">
        <v>0</v>
      </c>
      <c r="S1244" s="8" t="b">
        <v>0</v>
      </c>
      <c r="T1244" s="8" t="b">
        <v>0</v>
      </c>
      <c r="U1244" s="8" t="b">
        <v>0</v>
      </c>
      <c r="V1244" s="8" t="b">
        <v>1</v>
      </c>
      <c r="X1244" s="8" t="b">
        <v>0</v>
      </c>
      <c r="Y1244" s="8" t="b">
        <v>0</v>
      </c>
      <c r="Z1244" s="8" t="b">
        <v>0</v>
      </c>
      <c r="AA1244" s="8" t="b">
        <v>0</v>
      </c>
      <c r="AB1244" s="8" t="b">
        <v>0</v>
      </c>
      <c r="AC1244" s="8" t="b">
        <v>0</v>
      </c>
      <c r="AD1244" s="8" t="b">
        <v>1</v>
      </c>
      <c r="AE1244" s="8" t="b">
        <v>0</v>
      </c>
      <c r="AG1244" s="11" t="b" cm="1">
        <f t="array" ref="AG1244">IF(OR(Y1244:AA1244="TRUE", AE1244="true"), "Threatened")</f>
        <v>0</v>
      </c>
      <c r="AH1244" s="11" t="s">
        <v>3334</v>
      </c>
      <c r="AI1244" s="8" t="b">
        <v>1</v>
      </c>
    </row>
    <row r="1245" spans="1:35" ht="31.2">
      <c r="A1245" s="8">
        <v>-73.956526089999997</v>
      </c>
      <c r="B1245" s="8">
        <v>40.799180790000001</v>
      </c>
      <c r="C1245" s="8" t="s">
        <v>3335</v>
      </c>
      <c r="D1245" s="8" t="s">
        <v>350</v>
      </c>
      <c r="E1245" s="8" t="b">
        <f t="shared" si="19"/>
        <v>0</v>
      </c>
      <c r="F1245" s="8" t="str" cm="1">
        <f t="array" ref="F1245">_xlfn._xlws.FILTER(E1245:E4443, C1245:C4443= "6D-PM-1020-01", "No Squirrels Found")</f>
        <v>No Squirrels Found</v>
      </c>
      <c r="G1245" s="8" t="s">
        <v>48</v>
      </c>
      <c r="H1245" s="10">
        <v>10072018</v>
      </c>
      <c r="I1245" s="10">
        <v>3</v>
      </c>
      <c r="M1245" s="8" t="s">
        <v>35</v>
      </c>
      <c r="R1245" s="8" t="b">
        <v>0</v>
      </c>
      <c r="S1245" s="8" t="b">
        <v>0</v>
      </c>
      <c r="T1245" s="8" t="b">
        <v>0</v>
      </c>
      <c r="U1245" s="8" t="b">
        <v>0</v>
      </c>
      <c r="V1245" s="8" t="b">
        <v>0</v>
      </c>
      <c r="X1245" s="8" t="b">
        <v>0</v>
      </c>
      <c r="Y1245" s="8" t="b">
        <v>1</v>
      </c>
      <c r="Z1245" s="8" t="b">
        <v>0</v>
      </c>
      <c r="AA1245" s="8" t="b">
        <v>0</v>
      </c>
      <c r="AB1245" s="8" t="b">
        <v>0</v>
      </c>
      <c r="AC1245" s="8" t="b">
        <v>0</v>
      </c>
      <c r="AD1245" s="8" t="b">
        <v>0</v>
      </c>
      <c r="AE1245" s="8" t="b">
        <v>0</v>
      </c>
      <c r="AG1245" s="11" t="b" cm="1">
        <f t="array" ref="AG1245">IF(OR(Y1245:AA1245="TRUE", AE1245="true"), "Threatened")</f>
        <v>0</v>
      </c>
      <c r="AH1245" s="11" t="s">
        <v>3336</v>
      </c>
      <c r="AI1245" s="8" t="b">
        <v>1</v>
      </c>
    </row>
    <row r="1246" spans="1:35" ht="31.2">
      <c r="A1246" s="8">
        <v>-73.973932640000001</v>
      </c>
      <c r="B1246" s="8">
        <v>40.777910540000001</v>
      </c>
      <c r="C1246" s="8" t="s">
        <v>3337</v>
      </c>
      <c r="D1246" s="8" t="s">
        <v>797</v>
      </c>
      <c r="E1246" s="8" t="b">
        <f t="shared" si="19"/>
        <v>0</v>
      </c>
      <c r="F1246" s="8" t="str" cm="1">
        <f t="array" ref="F1246">_xlfn._xlws.FILTER(E1246:E4444, C1246:C4444= "6D-PM-1020-01", "No Squirrels Found")</f>
        <v>No Squirrels Found</v>
      </c>
      <c r="G1246" s="8" t="s">
        <v>34</v>
      </c>
      <c r="H1246" s="10">
        <v>10142018</v>
      </c>
      <c r="I1246" s="10">
        <v>7</v>
      </c>
      <c r="J1246" s="8" t="s">
        <v>39</v>
      </c>
      <c r="K1246" s="8" t="s">
        <v>40</v>
      </c>
      <c r="L1246" s="8" t="s">
        <v>117</v>
      </c>
      <c r="M1246" s="8" t="s">
        <v>118</v>
      </c>
      <c r="O1246" s="8" t="s">
        <v>43</v>
      </c>
      <c r="P1246" s="8" t="b">
        <v>0</v>
      </c>
      <c r="R1246" s="8" t="b">
        <v>0</v>
      </c>
      <c r="S1246" s="8" t="b">
        <v>0</v>
      </c>
      <c r="T1246" s="8" t="b">
        <v>0</v>
      </c>
      <c r="U1246" s="8" t="b">
        <v>0</v>
      </c>
      <c r="V1246" s="8" t="b">
        <v>1</v>
      </c>
      <c r="X1246" s="8" t="b">
        <v>0</v>
      </c>
      <c r="Y1246" s="8" t="b">
        <v>0</v>
      </c>
      <c r="Z1246" s="8" t="b">
        <v>0</v>
      </c>
      <c r="AA1246" s="8" t="b">
        <v>0</v>
      </c>
      <c r="AB1246" s="8" t="b">
        <v>0</v>
      </c>
      <c r="AC1246" s="8" t="b">
        <v>0</v>
      </c>
      <c r="AD1246" s="8" t="b">
        <v>1</v>
      </c>
      <c r="AE1246" s="8" t="b">
        <v>0</v>
      </c>
      <c r="AG1246" s="11" t="b" cm="1">
        <f t="array" ref="AG1246">IF(OR(Y1246:AA1246="TRUE", AE1246="true"), "Threatened")</f>
        <v>0</v>
      </c>
      <c r="AH1246" s="11" t="s">
        <v>3338</v>
      </c>
      <c r="AI1246" s="8" t="b">
        <v>1</v>
      </c>
    </row>
    <row r="1247" spans="1:35" ht="31.2">
      <c r="A1247" s="8">
        <v>-73.954304440000001</v>
      </c>
      <c r="B1247" s="8">
        <v>40.798449859999998</v>
      </c>
      <c r="C1247" s="8" t="s">
        <v>3339</v>
      </c>
      <c r="D1247" s="8" t="s">
        <v>1520</v>
      </c>
      <c r="E1247" s="8" t="b">
        <f t="shared" si="19"/>
        <v>0</v>
      </c>
      <c r="F1247" s="8" t="str" cm="1">
        <f t="array" ref="F1247">_xlfn._xlws.FILTER(E1247:E4445, C1247:C4445= "6D-PM-1020-01", "No Squirrels Found")</f>
        <v>No Squirrels Found</v>
      </c>
      <c r="G1247" s="8" t="s">
        <v>48</v>
      </c>
      <c r="H1247" s="10">
        <v>10072018</v>
      </c>
      <c r="I1247" s="10">
        <v>4</v>
      </c>
      <c r="J1247" s="8" t="s">
        <v>39</v>
      </c>
      <c r="K1247" s="8" t="s">
        <v>41</v>
      </c>
      <c r="L1247" s="8" t="s">
        <v>84</v>
      </c>
      <c r="M1247" s="8" t="s">
        <v>85</v>
      </c>
      <c r="N1247" s="11" t="s">
        <v>3340</v>
      </c>
      <c r="O1247" s="8" t="s">
        <v>43</v>
      </c>
      <c r="P1247" s="8" t="b">
        <v>0</v>
      </c>
      <c r="Q1247" s="8" t="s">
        <v>3341</v>
      </c>
      <c r="R1247" s="8" t="b">
        <v>0</v>
      </c>
      <c r="S1247" s="8" t="b">
        <v>0</v>
      </c>
      <c r="T1247" s="8" t="b">
        <v>0</v>
      </c>
      <c r="U1247" s="8" t="b">
        <v>0</v>
      </c>
      <c r="V1247" s="8" t="b">
        <v>1</v>
      </c>
      <c r="X1247" s="8" t="b">
        <v>0</v>
      </c>
      <c r="Y1247" s="8" t="b">
        <v>0</v>
      </c>
      <c r="Z1247" s="8" t="b">
        <v>0</v>
      </c>
      <c r="AA1247" s="8" t="b">
        <v>0</v>
      </c>
      <c r="AB1247" s="8" t="b">
        <v>0</v>
      </c>
      <c r="AC1247" s="8" t="b">
        <v>0</v>
      </c>
      <c r="AD1247" s="8" t="b">
        <v>1</v>
      </c>
      <c r="AE1247" s="8" t="b">
        <v>0</v>
      </c>
      <c r="AG1247" s="11" t="b" cm="1">
        <f t="array" ref="AG1247">IF(OR(Y1247:AA1247="TRUE", AE1247="true"), "Threatened")</f>
        <v>0</v>
      </c>
      <c r="AH1247" s="11" t="s">
        <v>3342</v>
      </c>
      <c r="AI1247" s="8" t="b">
        <v>1</v>
      </c>
    </row>
    <row r="1248" spans="1:35" ht="31.2">
      <c r="A1248" s="8">
        <v>-73.967090490000004</v>
      </c>
      <c r="B1248" s="8">
        <v>40.783209169999999</v>
      </c>
      <c r="C1248" s="8" t="s">
        <v>3343</v>
      </c>
      <c r="D1248" s="8" t="s">
        <v>469</v>
      </c>
      <c r="E1248" s="8" t="b">
        <f t="shared" si="19"/>
        <v>0</v>
      </c>
      <c r="F1248" s="8" t="str" cm="1">
        <f t="array" ref="F1248">_xlfn._xlws.FILTER(E1248:E4446, C1248:C4446= "6D-PM-1020-01", "No Squirrels Found")</f>
        <v>No Squirrels Found</v>
      </c>
      <c r="G1248" s="8" t="s">
        <v>34</v>
      </c>
      <c r="H1248" s="10">
        <v>10082018</v>
      </c>
      <c r="I1248" s="10">
        <v>6</v>
      </c>
      <c r="J1248" s="8" t="s">
        <v>39</v>
      </c>
      <c r="K1248" s="8" t="s">
        <v>40</v>
      </c>
      <c r="L1248" s="8" t="s">
        <v>117</v>
      </c>
      <c r="M1248" s="8" t="s">
        <v>118</v>
      </c>
      <c r="O1248" s="8" t="s">
        <v>43</v>
      </c>
      <c r="P1248" s="8" t="b">
        <v>0</v>
      </c>
      <c r="R1248" s="8" t="b">
        <v>1</v>
      </c>
      <c r="S1248" s="8" t="b">
        <v>0</v>
      </c>
      <c r="T1248" s="8" t="b">
        <v>0</v>
      </c>
      <c r="U1248" s="8" t="b">
        <v>0</v>
      </c>
      <c r="V1248" s="8" t="b">
        <v>0</v>
      </c>
      <c r="X1248" s="8" t="b">
        <v>0</v>
      </c>
      <c r="Y1248" s="8" t="b">
        <v>0</v>
      </c>
      <c r="Z1248" s="8" t="b">
        <v>0</v>
      </c>
      <c r="AA1248" s="8" t="b">
        <v>0</v>
      </c>
      <c r="AB1248" s="8" t="b">
        <v>0</v>
      </c>
      <c r="AC1248" s="8" t="b">
        <v>0</v>
      </c>
      <c r="AD1248" s="8" t="b">
        <v>0</v>
      </c>
      <c r="AE1248" s="8" t="b">
        <v>1</v>
      </c>
      <c r="AG1248" s="11" t="b" cm="1">
        <f t="array" ref="AG1248">IF(OR(Y1248:AA1248="TRUE", AE1248="true"), "Threatened")</f>
        <v>0</v>
      </c>
      <c r="AH1248" s="11" t="s">
        <v>3344</v>
      </c>
      <c r="AI1248" s="8" t="b">
        <v>1</v>
      </c>
    </row>
    <row r="1249" spans="1:35" ht="31.2">
      <c r="A1249" s="8">
        <v>-73.971972930000007</v>
      </c>
      <c r="B1249" s="8">
        <v>40.766831840000002</v>
      </c>
      <c r="C1249" s="8" t="s">
        <v>3345</v>
      </c>
      <c r="D1249" s="8" t="s">
        <v>1243</v>
      </c>
      <c r="E1249" s="8" t="b">
        <f t="shared" si="19"/>
        <v>0</v>
      </c>
      <c r="F1249" s="8" t="str" cm="1">
        <f t="array" ref="F1249">_xlfn._xlws.FILTER(E1249:E4447, C1249:C4447= "6D-PM-1020-01", "No Squirrels Found")</f>
        <v>No Squirrels Found</v>
      </c>
      <c r="G1249" s="8" t="s">
        <v>48</v>
      </c>
      <c r="H1249" s="10">
        <v>10062018</v>
      </c>
      <c r="I1249" s="10">
        <v>3</v>
      </c>
      <c r="J1249" s="8" t="s">
        <v>39</v>
      </c>
      <c r="M1249" s="8" t="s">
        <v>35</v>
      </c>
      <c r="N1249" s="11" t="s">
        <v>3346</v>
      </c>
      <c r="O1249" s="8" t="s">
        <v>50</v>
      </c>
      <c r="P1249" s="8">
        <v>28</v>
      </c>
      <c r="Q1249" s="8" t="s">
        <v>2868</v>
      </c>
      <c r="R1249" s="8" t="b">
        <v>0</v>
      </c>
      <c r="S1249" s="8" t="b">
        <v>0</v>
      </c>
      <c r="T1249" s="8" t="b">
        <v>1</v>
      </c>
      <c r="U1249" s="8" t="b">
        <v>0</v>
      </c>
      <c r="V1249" s="8" t="b">
        <v>0</v>
      </c>
      <c r="W1249" s="11" t="s">
        <v>3347</v>
      </c>
      <c r="X1249" s="8" t="b">
        <v>0</v>
      </c>
      <c r="Y1249" s="8" t="b">
        <v>0</v>
      </c>
      <c r="Z1249" s="8" t="b">
        <v>0</v>
      </c>
      <c r="AA1249" s="8" t="b">
        <v>0</v>
      </c>
      <c r="AB1249" s="8" t="b">
        <v>0</v>
      </c>
      <c r="AC1249" s="8" t="b">
        <v>0</v>
      </c>
      <c r="AD1249" s="8" t="b">
        <v>0</v>
      </c>
      <c r="AE1249" s="8" t="b">
        <v>0</v>
      </c>
      <c r="AG1249" s="11" t="b" cm="1">
        <f t="array" ref="AG1249">IF(OR(Y1249:AA1249="TRUE", AE1249="true"), "Threatened")</f>
        <v>0</v>
      </c>
      <c r="AH1249" s="11" t="s">
        <v>3348</v>
      </c>
      <c r="AI1249" s="8" t="b">
        <v>0</v>
      </c>
    </row>
    <row r="1250" spans="1:35" ht="31.2">
      <c r="A1250" s="8">
        <v>-73.95901327</v>
      </c>
      <c r="B1250" s="8">
        <v>40.795224830000002</v>
      </c>
      <c r="C1250" s="8" t="s">
        <v>3349</v>
      </c>
      <c r="D1250" s="8" t="s">
        <v>928</v>
      </c>
      <c r="E1250" s="8" t="b">
        <f t="shared" si="19"/>
        <v>0</v>
      </c>
      <c r="F1250" s="8" t="str" cm="1">
        <f t="array" ref="F1250">_xlfn._xlws.FILTER(E1250:E4448, C1250:C4448= "6D-PM-1020-01", "No Squirrels Found")</f>
        <v>No Squirrels Found</v>
      </c>
      <c r="G1250" s="8" t="s">
        <v>48</v>
      </c>
      <c r="H1250" s="10">
        <v>10122018</v>
      </c>
      <c r="I1250" s="10">
        <v>3</v>
      </c>
      <c r="J1250" s="8" t="s">
        <v>39</v>
      </c>
      <c r="K1250" s="8" t="s">
        <v>40</v>
      </c>
      <c r="L1250" s="8" t="s">
        <v>41</v>
      </c>
      <c r="M1250" s="8" t="s">
        <v>42</v>
      </c>
      <c r="N1250" s="11" t="s">
        <v>3350</v>
      </c>
      <c r="O1250" s="8" t="s">
        <v>43</v>
      </c>
      <c r="P1250" s="8" t="b">
        <v>0</v>
      </c>
      <c r="R1250" s="8" t="b">
        <v>0</v>
      </c>
      <c r="S1250" s="8" t="b">
        <v>0</v>
      </c>
      <c r="T1250" s="8" t="b">
        <v>0</v>
      </c>
      <c r="U1250" s="8" t="b">
        <v>0</v>
      </c>
      <c r="V1250" s="8" t="b">
        <v>1</v>
      </c>
      <c r="X1250" s="8" t="b">
        <v>0</v>
      </c>
      <c r="Y1250" s="8" t="b">
        <v>0</v>
      </c>
      <c r="Z1250" s="8" t="b">
        <v>0</v>
      </c>
      <c r="AA1250" s="8" t="b">
        <v>0</v>
      </c>
      <c r="AB1250" s="8" t="b">
        <v>0</v>
      </c>
      <c r="AC1250" s="8" t="b">
        <v>0</v>
      </c>
      <c r="AD1250" s="8" t="b">
        <v>1</v>
      </c>
      <c r="AE1250" s="8" t="b">
        <v>0</v>
      </c>
      <c r="AG1250" s="11" t="b" cm="1">
        <f t="array" ref="AG1250">IF(OR(Y1250:AA1250="TRUE", AE1250="true"), "Threatened")</f>
        <v>0</v>
      </c>
      <c r="AH1250" s="11" t="s">
        <v>3351</v>
      </c>
      <c r="AI1250" s="8" t="b">
        <v>1</v>
      </c>
    </row>
    <row r="1251" spans="1:35" ht="31.2">
      <c r="A1251" s="8">
        <v>-73.958513330000002</v>
      </c>
      <c r="B1251" s="8">
        <v>40.796372169999998</v>
      </c>
      <c r="C1251" s="8" t="s">
        <v>3352</v>
      </c>
      <c r="D1251" s="8" t="s">
        <v>191</v>
      </c>
      <c r="E1251" s="8" t="b">
        <f t="shared" si="19"/>
        <v>0</v>
      </c>
      <c r="F1251" s="8" t="str" cm="1">
        <f t="array" ref="F1251">_xlfn._xlws.FILTER(E1251:E4449, C1251:C4449= "6D-PM-1020-01", "No Squirrels Found")</f>
        <v>No Squirrels Found</v>
      </c>
      <c r="G1251" s="8" t="s">
        <v>34</v>
      </c>
      <c r="H1251" s="10">
        <v>10142018</v>
      </c>
      <c r="I1251" s="10">
        <v>3</v>
      </c>
      <c r="J1251" s="8" t="s">
        <v>39</v>
      </c>
      <c r="K1251" s="8" t="s">
        <v>40</v>
      </c>
      <c r="L1251" s="8" t="s">
        <v>41</v>
      </c>
      <c r="M1251" s="8" t="s">
        <v>42</v>
      </c>
      <c r="O1251" s="8" t="s">
        <v>43</v>
      </c>
      <c r="P1251" s="8" t="b">
        <v>0</v>
      </c>
      <c r="R1251" s="8" t="b">
        <v>0</v>
      </c>
      <c r="S1251" s="8" t="b">
        <v>0</v>
      </c>
      <c r="T1251" s="8" t="b">
        <v>0</v>
      </c>
      <c r="U1251" s="8" t="b">
        <v>1</v>
      </c>
      <c r="V1251" s="8" t="b">
        <v>1</v>
      </c>
      <c r="X1251" s="8" t="b">
        <v>1</v>
      </c>
      <c r="Y1251" s="8" t="b">
        <v>0</v>
      </c>
      <c r="Z1251" s="8" t="b">
        <v>0</v>
      </c>
      <c r="AA1251" s="8" t="b">
        <v>0</v>
      </c>
      <c r="AB1251" s="8" t="b">
        <v>0</v>
      </c>
      <c r="AC1251" s="8" t="b">
        <v>0</v>
      </c>
      <c r="AD1251" s="8" t="b">
        <v>0</v>
      </c>
      <c r="AE1251" s="8" t="b">
        <v>1</v>
      </c>
      <c r="AG1251" s="11" t="b" cm="1">
        <f t="array" ref="AG1251">IF(OR(Y1251:AA1251="TRUE", AE1251="true"), "Threatened")</f>
        <v>0</v>
      </c>
      <c r="AH1251" s="11" t="s">
        <v>3353</v>
      </c>
      <c r="AI1251" s="8" t="b">
        <v>1</v>
      </c>
    </row>
    <row r="1252" spans="1:35" ht="31.2">
      <c r="A1252" s="8">
        <v>-73.974824769999998</v>
      </c>
      <c r="B1252" s="8">
        <v>40.76678939</v>
      </c>
      <c r="C1252" s="8" t="s">
        <v>3354</v>
      </c>
      <c r="D1252" s="8" t="s">
        <v>2892</v>
      </c>
      <c r="E1252" s="8" t="b">
        <f t="shared" si="19"/>
        <v>0</v>
      </c>
      <c r="F1252" s="8" t="str" cm="1">
        <f t="array" ref="F1252">_xlfn._xlws.FILTER(E1252:E4450, C1252:C4450= "6D-PM-1020-01", "No Squirrels Found")</f>
        <v>No Squirrels Found</v>
      </c>
      <c r="G1252" s="8" t="s">
        <v>48</v>
      </c>
      <c r="H1252" s="10">
        <v>10102018</v>
      </c>
      <c r="I1252" s="10">
        <v>1</v>
      </c>
      <c r="J1252" s="8" t="s">
        <v>39</v>
      </c>
      <c r="K1252" s="8" t="s">
        <v>40</v>
      </c>
      <c r="M1252" s="8" t="s">
        <v>55</v>
      </c>
      <c r="O1252" s="8" t="s">
        <v>43</v>
      </c>
      <c r="P1252" s="8" t="b">
        <v>0</v>
      </c>
      <c r="R1252" s="8" t="b">
        <v>0</v>
      </c>
      <c r="S1252" s="8" t="b">
        <v>0</v>
      </c>
      <c r="T1252" s="8" t="b">
        <v>0</v>
      </c>
      <c r="U1252" s="8" t="b">
        <v>0</v>
      </c>
      <c r="V1252" s="8" t="b">
        <v>1</v>
      </c>
      <c r="X1252" s="8" t="b">
        <v>0</v>
      </c>
      <c r="Y1252" s="8" t="b">
        <v>0</v>
      </c>
      <c r="Z1252" s="8" t="b">
        <v>0</v>
      </c>
      <c r="AA1252" s="8" t="b">
        <v>0</v>
      </c>
      <c r="AB1252" s="8" t="b">
        <v>0</v>
      </c>
      <c r="AC1252" s="8" t="b">
        <v>0</v>
      </c>
      <c r="AD1252" s="8" t="b">
        <v>1</v>
      </c>
      <c r="AE1252" s="8" t="b">
        <v>0</v>
      </c>
      <c r="AG1252" s="11" t="b" cm="1">
        <f t="array" ref="AG1252">IF(OR(Y1252:AA1252="TRUE", AE1252="true"), "Threatened")</f>
        <v>0</v>
      </c>
      <c r="AH1252" s="11" t="s">
        <v>3355</v>
      </c>
      <c r="AI1252" s="8" t="b">
        <v>1</v>
      </c>
    </row>
    <row r="1253" spans="1:35" ht="31.2">
      <c r="A1253" s="8">
        <v>-73.97779989</v>
      </c>
      <c r="B1253" s="8">
        <v>40.770981589999998</v>
      </c>
      <c r="C1253" s="8" t="s">
        <v>3356</v>
      </c>
      <c r="D1253" s="8" t="s">
        <v>2864</v>
      </c>
      <c r="E1253" s="8" t="b">
        <f t="shared" si="19"/>
        <v>0</v>
      </c>
      <c r="F1253" s="8" t="str" cm="1">
        <f t="array" ref="F1253">_xlfn._xlws.FILTER(E1253:E4451, C1253:C4451= "6D-PM-1020-01", "No Squirrels Found")</f>
        <v>No Squirrels Found</v>
      </c>
      <c r="G1253" s="8" t="s">
        <v>34</v>
      </c>
      <c r="H1253" s="10">
        <v>10132018</v>
      </c>
      <c r="I1253" s="10">
        <v>2</v>
      </c>
      <c r="J1253" s="8" t="s">
        <v>39</v>
      </c>
      <c r="K1253" s="8" t="s">
        <v>40</v>
      </c>
      <c r="L1253" s="8" t="s">
        <v>84</v>
      </c>
      <c r="M1253" s="8" t="s">
        <v>103</v>
      </c>
      <c r="O1253" s="8" t="s">
        <v>50</v>
      </c>
      <c r="P1253" s="8">
        <v>5</v>
      </c>
      <c r="R1253" s="8" t="b">
        <v>0</v>
      </c>
      <c r="S1253" s="8" t="b">
        <v>0</v>
      </c>
      <c r="T1253" s="8" t="b">
        <v>1</v>
      </c>
      <c r="U1253" s="8" t="b">
        <v>0</v>
      </c>
      <c r="V1253" s="8" t="b">
        <v>0</v>
      </c>
      <c r="X1253" s="8" t="b">
        <v>0</v>
      </c>
      <c r="Y1253" s="8" t="b">
        <v>0</v>
      </c>
      <c r="Z1253" s="8" t="b">
        <v>0</v>
      </c>
      <c r="AA1253" s="8" t="b">
        <v>0</v>
      </c>
      <c r="AB1253" s="8" t="b">
        <v>0</v>
      </c>
      <c r="AC1253" s="8" t="b">
        <v>0</v>
      </c>
      <c r="AD1253" s="8" t="b">
        <v>0</v>
      </c>
      <c r="AE1253" s="8" t="b">
        <v>0</v>
      </c>
      <c r="AG1253" s="11" t="b" cm="1">
        <f t="array" ref="AG1253">IF(OR(Y1253:AA1253="TRUE", AE1253="true"), "Threatened")</f>
        <v>0</v>
      </c>
      <c r="AH1253" s="11" t="s">
        <v>3357</v>
      </c>
      <c r="AI1253" s="8" t="b">
        <v>1</v>
      </c>
    </row>
    <row r="1254" spans="1:35" ht="31.2">
      <c r="A1254" s="8">
        <v>-73.952722730000005</v>
      </c>
      <c r="B1254" s="8">
        <v>40.793506149999999</v>
      </c>
      <c r="C1254" s="8" t="s">
        <v>3358</v>
      </c>
      <c r="D1254" s="8" t="s">
        <v>936</v>
      </c>
      <c r="E1254" s="8" t="b">
        <f t="shared" si="19"/>
        <v>0</v>
      </c>
      <c r="F1254" s="8" t="str" cm="1">
        <f t="array" ref="F1254">_xlfn._xlws.FILTER(E1254:E4452, C1254:C4452= "6D-PM-1020-01", "No Squirrels Found")</f>
        <v>No Squirrels Found</v>
      </c>
      <c r="G1254" s="8" t="s">
        <v>48</v>
      </c>
      <c r="H1254" s="10">
        <v>10102018</v>
      </c>
      <c r="I1254" s="10">
        <v>3</v>
      </c>
      <c r="J1254" s="8" t="s">
        <v>39</v>
      </c>
      <c r="K1254" s="8" t="s">
        <v>41</v>
      </c>
      <c r="L1254" s="8" t="s">
        <v>40</v>
      </c>
      <c r="M1254" s="8" t="s">
        <v>110</v>
      </c>
      <c r="O1254" s="8" t="s">
        <v>50</v>
      </c>
      <c r="P1254" s="8">
        <v>4</v>
      </c>
      <c r="Q1254" s="8" t="s">
        <v>466</v>
      </c>
      <c r="R1254" s="8" t="b">
        <v>0</v>
      </c>
      <c r="S1254" s="8" t="b">
        <v>0</v>
      </c>
      <c r="T1254" s="8" t="b">
        <v>1</v>
      </c>
      <c r="U1254" s="8" t="b">
        <v>0</v>
      </c>
      <c r="V1254" s="8" t="b">
        <v>0</v>
      </c>
      <c r="X1254" s="8" t="b">
        <v>0</v>
      </c>
      <c r="Y1254" s="8" t="b">
        <v>0</v>
      </c>
      <c r="Z1254" s="8" t="b">
        <v>0</v>
      </c>
      <c r="AA1254" s="8" t="b">
        <v>0</v>
      </c>
      <c r="AB1254" s="8" t="b">
        <v>0</v>
      </c>
      <c r="AC1254" s="8" t="b">
        <v>0</v>
      </c>
      <c r="AD1254" s="8" t="b">
        <v>1</v>
      </c>
      <c r="AE1254" s="8" t="b">
        <v>0</v>
      </c>
      <c r="AG1254" s="11" t="b" cm="1">
        <f t="array" ref="AG1254">IF(OR(Y1254:AA1254="TRUE", AE1254="true"), "Threatened")</f>
        <v>0</v>
      </c>
      <c r="AH1254" s="11" t="s">
        <v>3359</v>
      </c>
      <c r="AI1254" s="8" t="b">
        <v>1</v>
      </c>
    </row>
    <row r="1255" spans="1:35" ht="31.2">
      <c r="A1255" s="8">
        <v>-73.976401359999997</v>
      </c>
      <c r="B1255" s="8">
        <v>40.766306350000001</v>
      </c>
      <c r="C1255" s="8" t="s">
        <v>3360</v>
      </c>
      <c r="D1255" s="8" t="s">
        <v>1862</v>
      </c>
      <c r="E1255" s="8" t="b">
        <f t="shared" si="19"/>
        <v>0</v>
      </c>
      <c r="F1255" s="8" t="str" cm="1">
        <f t="array" ref="F1255">_xlfn._xlws.FILTER(E1255:E4453, C1255:C4453= "6D-PM-1020-01", "No Squirrels Found")</f>
        <v>No Squirrels Found</v>
      </c>
      <c r="G1255" s="8" t="s">
        <v>34</v>
      </c>
      <c r="H1255" s="10">
        <v>10192018</v>
      </c>
      <c r="I1255" s="10">
        <v>3</v>
      </c>
      <c r="J1255" s="8" t="s">
        <v>54</v>
      </c>
      <c r="K1255" s="8" t="s">
        <v>40</v>
      </c>
      <c r="M1255" s="8" t="s">
        <v>55</v>
      </c>
      <c r="O1255" s="8" t="s">
        <v>50</v>
      </c>
      <c r="P1255" s="8">
        <v>1</v>
      </c>
      <c r="R1255" s="8" t="b">
        <v>0</v>
      </c>
      <c r="S1255" s="8" t="b">
        <v>0</v>
      </c>
      <c r="T1255" s="8" t="b">
        <v>0</v>
      </c>
      <c r="U1255" s="8" t="b">
        <v>0</v>
      </c>
      <c r="V1255" s="8" t="b">
        <v>0</v>
      </c>
      <c r="W1255" s="11" t="s">
        <v>1225</v>
      </c>
      <c r="X1255" s="8" t="b">
        <v>0</v>
      </c>
      <c r="Y1255" s="8" t="b">
        <v>0</v>
      </c>
      <c r="Z1255" s="8" t="b">
        <v>0</v>
      </c>
      <c r="AA1255" s="8" t="b">
        <v>0</v>
      </c>
      <c r="AB1255" s="8" t="b">
        <v>0</v>
      </c>
      <c r="AC1255" s="8" t="b">
        <v>0</v>
      </c>
      <c r="AD1255" s="8" t="b">
        <v>0</v>
      </c>
      <c r="AE1255" s="8" t="b">
        <v>0</v>
      </c>
      <c r="AG1255" s="11" t="b" cm="1">
        <f t="array" ref="AG1255">IF(OR(Y1255:AA1255="TRUE", AE1255="true"), "Threatened")</f>
        <v>0</v>
      </c>
      <c r="AH1255" s="11" t="s">
        <v>3361</v>
      </c>
      <c r="AI1255" s="8" t="b">
        <v>0</v>
      </c>
    </row>
    <row r="1256" spans="1:35" ht="31.2">
      <c r="A1256" s="8">
        <v>-73.971746980000006</v>
      </c>
      <c r="B1256" s="8">
        <v>40.775373190000003</v>
      </c>
      <c r="C1256" s="8" t="s">
        <v>3362</v>
      </c>
      <c r="D1256" s="8" t="s">
        <v>1148</v>
      </c>
      <c r="E1256" s="8" t="b">
        <f t="shared" si="19"/>
        <v>0</v>
      </c>
      <c r="F1256" s="8" t="str" cm="1">
        <f t="array" ref="F1256">_xlfn._xlws.FILTER(E1256:E4454, C1256:C4454= "6D-PM-1020-01", "No Squirrels Found")</f>
        <v>No Squirrels Found</v>
      </c>
      <c r="G1256" s="8" t="s">
        <v>34</v>
      </c>
      <c r="H1256" s="10">
        <v>10142018</v>
      </c>
      <c r="I1256" s="10">
        <v>3</v>
      </c>
      <c r="J1256" s="8" t="s">
        <v>39</v>
      </c>
      <c r="K1256" s="8" t="s">
        <v>40</v>
      </c>
      <c r="M1256" s="8" t="s">
        <v>55</v>
      </c>
      <c r="O1256" s="8" t="s">
        <v>43</v>
      </c>
      <c r="P1256" s="8" t="b">
        <v>0</v>
      </c>
      <c r="R1256" s="8" t="b">
        <v>1</v>
      </c>
      <c r="S1256" s="8" t="b">
        <v>0</v>
      </c>
      <c r="T1256" s="8" t="b">
        <v>0</v>
      </c>
      <c r="U1256" s="8" t="b">
        <v>1</v>
      </c>
      <c r="V1256" s="8" t="b">
        <v>0</v>
      </c>
      <c r="X1256" s="8" t="b">
        <v>0</v>
      </c>
      <c r="Y1256" s="8" t="b">
        <v>0</v>
      </c>
      <c r="Z1256" s="8" t="b">
        <v>0</v>
      </c>
      <c r="AA1256" s="8" t="b">
        <v>0</v>
      </c>
      <c r="AB1256" s="8" t="b">
        <v>1</v>
      </c>
      <c r="AC1256" s="8" t="b">
        <v>0</v>
      </c>
      <c r="AD1256" s="8" t="b">
        <v>1</v>
      </c>
      <c r="AE1256" s="8" t="b">
        <v>0</v>
      </c>
      <c r="AG1256" s="11" t="b" cm="1">
        <f t="array" ref="AG1256">IF(OR(Y1256:AA1256="TRUE", AE1256="true"), "Threatened")</f>
        <v>0</v>
      </c>
      <c r="AH1256" s="11" t="s">
        <v>3363</v>
      </c>
      <c r="AI1256" s="8" t="b">
        <v>1</v>
      </c>
    </row>
    <row r="1257" spans="1:35" ht="31.2">
      <c r="A1257" s="8">
        <v>-73.967945740000005</v>
      </c>
      <c r="B1257" s="8">
        <v>40.771735020000001</v>
      </c>
      <c r="C1257" s="8" t="s">
        <v>3364</v>
      </c>
      <c r="D1257" s="8" t="s">
        <v>1003</v>
      </c>
      <c r="E1257" s="8" t="b">
        <f t="shared" si="19"/>
        <v>0</v>
      </c>
      <c r="F1257" s="8" t="str" cm="1">
        <f t="array" ref="F1257">_xlfn._xlws.FILTER(E1257:E4455, C1257:C4455= "6D-PM-1020-01", "No Squirrels Found")</f>
        <v>No Squirrels Found</v>
      </c>
      <c r="G1257" s="8" t="s">
        <v>48</v>
      </c>
      <c r="H1257" s="10">
        <v>10102018</v>
      </c>
      <c r="I1257" s="10">
        <v>2</v>
      </c>
      <c r="J1257" s="8" t="s">
        <v>39</v>
      </c>
      <c r="K1257" s="8" t="s">
        <v>40</v>
      </c>
      <c r="L1257" s="8" t="s">
        <v>84</v>
      </c>
      <c r="M1257" s="8" t="s">
        <v>103</v>
      </c>
      <c r="O1257" s="8" t="s">
        <v>43</v>
      </c>
      <c r="P1257" s="8" t="b">
        <v>0</v>
      </c>
      <c r="R1257" s="8" t="b">
        <v>0</v>
      </c>
      <c r="S1257" s="8" t="b">
        <v>0</v>
      </c>
      <c r="T1257" s="8" t="b">
        <v>0</v>
      </c>
      <c r="U1257" s="8" t="b">
        <v>0</v>
      </c>
      <c r="V1257" s="8" t="b">
        <v>1</v>
      </c>
      <c r="X1257" s="8" t="b">
        <v>0</v>
      </c>
      <c r="Y1257" s="8" t="b">
        <v>0</v>
      </c>
      <c r="Z1257" s="8" t="b">
        <v>0</v>
      </c>
      <c r="AA1257" s="8" t="b">
        <v>0</v>
      </c>
      <c r="AB1257" s="8" t="b">
        <v>1</v>
      </c>
      <c r="AC1257" s="8" t="b">
        <v>0</v>
      </c>
      <c r="AD1257" s="8" t="b">
        <v>0</v>
      </c>
      <c r="AE1257" s="8" t="b">
        <v>1</v>
      </c>
      <c r="AG1257" s="11" t="b" cm="1">
        <f t="array" ref="AG1257">IF(OR(Y1257:AA1257="TRUE", AE1257="true"), "Threatened")</f>
        <v>0</v>
      </c>
      <c r="AH1257" s="11" t="s">
        <v>3365</v>
      </c>
      <c r="AI1257" s="8" t="b">
        <v>1</v>
      </c>
    </row>
    <row r="1258" spans="1:35" ht="31.2">
      <c r="A1258" s="8">
        <v>-73.976724759999996</v>
      </c>
      <c r="B1258" s="8">
        <v>40.772620009999997</v>
      </c>
      <c r="C1258" s="8" t="s">
        <v>3366</v>
      </c>
      <c r="D1258" s="8" t="s">
        <v>72</v>
      </c>
      <c r="E1258" s="8" t="b">
        <f t="shared" si="19"/>
        <v>0</v>
      </c>
      <c r="F1258" s="8" t="str" cm="1">
        <f t="array" ref="F1258">_xlfn._xlws.FILTER(E1258:E4456, C1258:C4456= "6D-PM-1020-01", "No Squirrels Found")</f>
        <v>No Squirrels Found</v>
      </c>
      <c r="G1258" s="8" t="s">
        <v>48</v>
      </c>
      <c r="H1258" s="10">
        <v>10082018</v>
      </c>
      <c r="I1258" s="10">
        <v>15</v>
      </c>
      <c r="J1258" s="8" t="s">
        <v>39</v>
      </c>
      <c r="K1258" s="8" t="s">
        <v>40</v>
      </c>
      <c r="L1258" s="8" t="s">
        <v>41</v>
      </c>
      <c r="M1258" s="8" t="s">
        <v>42</v>
      </c>
      <c r="O1258" s="8" t="s">
        <v>43</v>
      </c>
      <c r="P1258" s="8" t="b">
        <v>0</v>
      </c>
      <c r="R1258" s="8" t="b">
        <v>0</v>
      </c>
      <c r="S1258" s="8" t="b">
        <v>0</v>
      </c>
      <c r="T1258" s="8" t="b">
        <v>0</v>
      </c>
      <c r="U1258" s="8" t="b">
        <v>1</v>
      </c>
      <c r="V1258" s="8" t="b">
        <v>0</v>
      </c>
      <c r="X1258" s="8" t="b">
        <v>0</v>
      </c>
      <c r="Y1258" s="8" t="b">
        <v>0</v>
      </c>
      <c r="Z1258" s="8" t="b">
        <v>0</v>
      </c>
      <c r="AA1258" s="8" t="b">
        <v>0</v>
      </c>
      <c r="AB1258" s="8" t="b">
        <v>0</v>
      </c>
      <c r="AC1258" s="8" t="b">
        <v>1</v>
      </c>
      <c r="AD1258" s="8" t="b">
        <v>0</v>
      </c>
      <c r="AE1258" s="8" t="b">
        <v>0</v>
      </c>
      <c r="AG1258" s="11" t="b" cm="1">
        <f t="array" ref="AG1258">IF(OR(Y1258:AA1258="TRUE", AE1258="true"), "Threatened")</f>
        <v>0</v>
      </c>
      <c r="AH1258" s="11" t="s">
        <v>3367</v>
      </c>
      <c r="AI1258" s="8" t="b">
        <v>1</v>
      </c>
    </row>
    <row r="1259" spans="1:35" ht="31.2">
      <c r="A1259" s="8">
        <v>-73.97893852</v>
      </c>
      <c r="B1259" s="8">
        <v>40.767520220000002</v>
      </c>
      <c r="C1259" s="8" t="s">
        <v>3368</v>
      </c>
      <c r="D1259" s="8" t="s">
        <v>1235</v>
      </c>
      <c r="E1259" s="8" t="b">
        <f t="shared" si="19"/>
        <v>0</v>
      </c>
      <c r="F1259" s="8" t="str" cm="1">
        <f t="array" ref="F1259">_xlfn._xlws.FILTER(E1259:E4457, C1259:C4457= "6D-PM-1020-01", "No Squirrels Found")</f>
        <v>No Squirrels Found</v>
      </c>
      <c r="G1259" s="8" t="s">
        <v>48</v>
      </c>
      <c r="H1259" s="10">
        <v>10102018</v>
      </c>
      <c r="I1259" s="10">
        <v>2</v>
      </c>
      <c r="J1259" s="8" t="s">
        <v>39</v>
      </c>
      <c r="K1259" s="8" t="s">
        <v>40</v>
      </c>
      <c r="L1259" s="8" t="s">
        <v>41</v>
      </c>
      <c r="M1259" s="8" t="s">
        <v>42</v>
      </c>
      <c r="O1259" s="8" t="s">
        <v>43</v>
      </c>
      <c r="P1259" s="8" t="b">
        <v>0</v>
      </c>
      <c r="R1259" s="8" t="b">
        <v>0</v>
      </c>
      <c r="S1259" s="8" t="b">
        <v>0</v>
      </c>
      <c r="T1259" s="8" t="b">
        <v>0</v>
      </c>
      <c r="U1259" s="8" t="b">
        <v>1</v>
      </c>
      <c r="V1259" s="8" t="b">
        <v>1</v>
      </c>
      <c r="X1259" s="8" t="b">
        <v>0</v>
      </c>
      <c r="Y1259" s="8" t="b">
        <v>0</v>
      </c>
      <c r="Z1259" s="8" t="b">
        <v>0</v>
      </c>
      <c r="AA1259" s="8" t="b">
        <v>0</v>
      </c>
      <c r="AB1259" s="8" t="b">
        <v>0</v>
      </c>
      <c r="AC1259" s="8" t="b">
        <v>0</v>
      </c>
      <c r="AD1259" s="8" t="b">
        <v>0</v>
      </c>
      <c r="AE1259" s="8" t="b">
        <v>0</v>
      </c>
      <c r="AG1259" s="11" t="b" cm="1">
        <f t="array" ref="AG1259">IF(OR(Y1259:AA1259="TRUE", AE1259="true"), "Threatened")</f>
        <v>0</v>
      </c>
      <c r="AH1259" s="11" t="s">
        <v>3369</v>
      </c>
      <c r="AI1259" s="8" t="b">
        <v>1</v>
      </c>
    </row>
    <row r="1260" spans="1:35" ht="31.2">
      <c r="A1260" s="8">
        <v>-73.976864399999997</v>
      </c>
      <c r="B1260" s="8">
        <v>40.770566379999998</v>
      </c>
      <c r="C1260" s="8" t="s">
        <v>3370</v>
      </c>
      <c r="D1260" s="8" t="s">
        <v>109</v>
      </c>
      <c r="E1260" s="8" t="b">
        <f t="shared" si="19"/>
        <v>0</v>
      </c>
      <c r="F1260" s="8" t="str" cm="1">
        <f t="array" ref="F1260">_xlfn._xlws.FILTER(E1260:E4458, C1260:C4458= "6D-PM-1020-01", "No Squirrels Found")</f>
        <v>No Squirrels Found</v>
      </c>
      <c r="G1260" s="8" t="s">
        <v>34</v>
      </c>
      <c r="H1260" s="10">
        <v>10102018</v>
      </c>
      <c r="I1260" s="10">
        <v>5</v>
      </c>
      <c r="J1260" s="8" t="s">
        <v>39</v>
      </c>
      <c r="K1260" s="8" t="s">
        <v>40</v>
      </c>
      <c r="L1260" s="8" t="s">
        <v>84</v>
      </c>
      <c r="M1260" s="8" t="s">
        <v>103</v>
      </c>
      <c r="O1260" s="8" t="s">
        <v>43</v>
      </c>
      <c r="P1260" s="8" t="b">
        <v>0</v>
      </c>
      <c r="R1260" s="8" t="b">
        <v>1</v>
      </c>
      <c r="S1260" s="8" t="b">
        <v>0</v>
      </c>
      <c r="T1260" s="8" t="b">
        <v>1</v>
      </c>
      <c r="U1260" s="8" t="b">
        <v>0</v>
      </c>
      <c r="V1260" s="8" t="b">
        <v>0</v>
      </c>
      <c r="X1260" s="8" t="b">
        <v>0</v>
      </c>
      <c r="Y1260" s="8" t="b">
        <v>0</v>
      </c>
      <c r="Z1260" s="8" t="b">
        <v>0</v>
      </c>
      <c r="AA1260" s="8" t="b">
        <v>0</v>
      </c>
      <c r="AB1260" s="8" t="b">
        <v>0</v>
      </c>
      <c r="AC1260" s="8" t="b">
        <v>0</v>
      </c>
      <c r="AD1260" s="8" t="b">
        <v>0</v>
      </c>
      <c r="AE1260" s="8" t="b">
        <v>0</v>
      </c>
      <c r="AG1260" s="11" t="b" cm="1">
        <f t="array" ref="AG1260">IF(OR(Y1260:AA1260="TRUE", AE1260="true"), "Threatened")</f>
        <v>0</v>
      </c>
      <c r="AH1260" s="11" t="s">
        <v>3371</v>
      </c>
      <c r="AI1260" s="8" t="b">
        <v>1</v>
      </c>
    </row>
    <row r="1261" spans="1:35" ht="31.2">
      <c r="A1261" s="8">
        <v>-73.981158579999999</v>
      </c>
      <c r="B1261" s="8">
        <v>40.76870675</v>
      </c>
      <c r="C1261" s="8" t="s">
        <v>3372</v>
      </c>
      <c r="D1261" s="8" t="s">
        <v>1909</v>
      </c>
      <c r="E1261" s="8" t="b">
        <f t="shared" si="19"/>
        <v>0</v>
      </c>
      <c r="F1261" s="8" t="str" cm="1">
        <f t="array" ref="F1261">_xlfn._xlws.FILTER(E1261:E4459, C1261:C4459= "6D-PM-1020-01", "No Squirrels Found")</f>
        <v>No Squirrels Found</v>
      </c>
      <c r="G1261" s="8" t="s">
        <v>48</v>
      </c>
      <c r="H1261" s="10">
        <v>10102018</v>
      </c>
      <c r="I1261" s="10">
        <v>6</v>
      </c>
      <c r="J1261" s="8" t="s">
        <v>39</v>
      </c>
      <c r="K1261" s="8" t="s">
        <v>41</v>
      </c>
      <c r="M1261" s="8" t="s">
        <v>49</v>
      </c>
      <c r="O1261" s="8" t="s">
        <v>43</v>
      </c>
      <c r="P1261" s="8" t="b">
        <v>0</v>
      </c>
      <c r="R1261" s="8" t="b">
        <v>1</v>
      </c>
      <c r="S1261" s="8" t="b">
        <v>1</v>
      </c>
      <c r="T1261" s="8" t="b">
        <v>0</v>
      </c>
      <c r="U1261" s="8" t="b">
        <v>0</v>
      </c>
      <c r="V1261" s="8" t="b">
        <v>0</v>
      </c>
      <c r="W1261" s="11" t="s">
        <v>3373</v>
      </c>
      <c r="X1261" s="8" t="b">
        <v>0</v>
      </c>
      <c r="Y1261" s="8" t="b">
        <v>0</v>
      </c>
      <c r="Z1261" s="8" t="b">
        <v>0</v>
      </c>
      <c r="AA1261" s="8" t="b">
        <v>0</v>
      </c>
      <c r="AB1261" s="8" t="b">
        <v>0</v>
      </c>
      <c r="AC1261" s="8" t="b">
        <v>0</v>
      </c>
      <c r="AD1261" s="8" t="b">
        <v>0</v>
      </c>
      <c r="AE1261" s="8" t="b">
        <v>0</v>
      </c>
      <c r="AG1261" s="11" t="b" cm="1">
        <f t="array" ref="AG1261">IF(OR(Y1261:AA1261="TRUE", AE1261="true"), "Threatened")</f>
        <v>0</v>
      </c>
      <c r="AH1261" s="11" t="s">
        <v>3374</v>
      </c>
      <c r="AI1261" s="8" t="b">
        <v>0</v>
      </c>
    </row>
    <row r="1262" spans="1:35" ht="31.2">
      <c r="A1262" s="8">
        <v>-73.971910989999998</v>
      </c>
      <c r="B1262" s="8">
        <v>40.772313850000003</v>
      </c>
      <c r="C1262" s="8" t="s">
        <v>3375</v>
      </c>
      <c r="D1262" s="8" t="s">
        <v>527</v>
      </c>
      <c r="E1262" s="8" t="b">
        <f t="shared" si="19"/>
        <v>0</v>
      </c>
      <c r="F1262" s="8" t="str" cm="1">
        <f t="array" ref="F1262">_xlfn._xlws.FILTER(E1262:E4460, C1262:C4460= "6D-PM-1020-01", "No Squirrels Found")</f>
        <v>No Squirrels Found</v>
      </c>
      <c r="G1262" s="8" t="s">
        <v>48</v>
      </c>
      <c r="H1262" s="10">
        <v>10132018</v>
      </c>
      <c r="I1262" s="10">
        <v>1</v>
      </c>
      <c r="J1262" s="8" t="s">
        <v>39</v>
      </c>
      <c r="K1262" s="8" t="s">
        <v>192</v>
      </c>
      <c r="M1262" s="8" t="s">
        <v>193</v>
      </c>
      <c r="O1262" s="8" t="s">
        <v>43</v>
      </c>
      <c r="P1262" s="8" t="b">
        <v>0</v>
      </c>
      <c r="R1262" s="8" t="b">
        <v>0</v>
      </c>
      <c r="S1262" s="8" t="b">
        <v>0</v>
      </c>
      <c r="T1262" s="8" t="b">
        <v>0</v>
      </c>
      <c r="U1262" s="8" t="b">
        <v>1</v>
      </c>
      <c r="V1262" s="8" t="b">
        <v>0</v>
      </c>
      <c r="X1262" s="8" t="b">
        <v>0</v>
      </c>
      <c r="Y1262" s="8" t="b">
        <v>0</v>
      </c>
      <c r="Z1262" s="8" t="b">
        <v>0</v>
      </c>
      <c r="AA1262" s="8" t="b">
        <v>0</v>
      </c>
      <c r="AB1262" s="8" t="b">
        <v>0</v>
      </c>
      <c r="AC1262" s="8" t="b">
        <v>0</v>
      </c>
      <c r="AD1262" s="8" t="b">
        <v>0</v>
      </c>
      <c r="AE1262" s="8" t="b">
        <v>1</v>
      </c>
      <c r="AG1262" s="11" t="b" cm="1">
        <f t="array" ref="AG1262">IF(OR(Y1262:AA1262="TRUE", AE1262="true"), "Threatened")</f>
        <v>0</v>
      </c>
      <c r="AH1262" s="11" t="s">
        <v>3376</v>
      </c>
      <c r="AI1262" s="8" t="b">
        <v>1</v>
      </c>
    </row>
    <row r="1263" spans="1:35" ht="31.2">
      <c r="A1263" s="8">
        <v>-73.968334540000001</v>
      </c>
      <c r="B1263" s="8">
        <v>40.777901630000002</v>
      </c>
      <c r="C1263" s="8" t="s">
        <v>3377</v>
      </c>
      <c r="D1263" s="8" t="s">
        <v>271</v>
      </c>
      <c r="E1263" s="8" t="b">
        <f t="shared" si="19"/>
        <v>0</v>
      </c>
      <c r="F1263" s="8" t="str" cm="1">
        <f t="array" ref="F1263">_xlfn._xlws.FILTER(E1263:E4461, C1263:C4461= "6D-PM-1020-01", "No Squirrels Found")</f>
        <v>No Squirrels Found</v>
      </c>
      <c r="G1263" s="8" t="s">
        <v>34</v>
      </c>
      <c r="H1263" s="10">
        <v>10182018</v>
      </c>
      <c r="I1263" s="10">
        <v>7</v>
      </c>
      <c r="J1263" s="8" t="s">
        <v>54</v>
      </c>
      <c r="K1263" s="8" t="s">
        <v>40</v>
      </c>
      <c r="L1263" s="8" t="s">
        <v>41</v>
      </c>
      <c r="M1263" s="8" t="s">
        <v>42</v>
      </c>
      <c r="O1263" s="8" t="s">
        <v>50</v>
      </c>
      <c r="P1263" s="8">
        <v>10</v>
      </c>
      <c r="R1263" s="8" t="b">
        <v>0</v>
      </c>
      <c r="S1263" s="8" t="b">
        <v>0</v>
      </c>
      <c r="T1263" s="8" t="b">
        <v>1</v>
      </c>
      <c r="U1263" s="8" t="b">
        <v>0</v>
      </c>
      <c r="V1263" s="8" t="b">
        <v>0</v>
      </c>
      <c r="X1263" s="8" t="b">
        <v>1</v>
      </c>
      <c r="Y1263" s="8" t="b">
        <v>0</v>
      </c>
      <c r="Z1263" s="8" t="b">
        <v>0</v>
      </c>
      <c r="AA1263" s="8" t="b">
        <v>0</v>
      </c>
      <c r="AB1263" s="8" t="b">
        <v>0</v>
      </c>
      <c r="AC1263" s="8" t="b">
        <v>0</v>
      </c>
      <c r="AD1263" s="8" t="b">
        <v>1</v>
      </c>
      <c r="AE1263" s="8" t="b">
        <v>0</v>
      </c>
      <c r="AG1263" s="11" t="b" cm="1">
        <f t="array" ref="AG1263">IF(OR(Y1263:AA1263="TRUE", AE1263="true"), "Threatened")</f>
        <v>0</v>
      </c>
      <c r="AH1263" s="11" t="s">
        <v>3378</v>
      </c>
      <c r="AI1263" s="8" t="b">
        <v>1</v>
      </c>
    </row>
    <row r="1264" spans="1:35" ht="31.2">
      <c r="A1264" s="8">
        <v>-73.977087389999994</v>
      </c>
      <c r="B1264" s="8">
        <v>40.771037970000002</v>
      </c>
      <c r="C1264" s="8" t="s">
        <v>3379</v>
      </c>
      <c r="D1264" s="8" t="s">
        <v>2799</v>
      </c>
      <c r="E1264" s="8" t="b">
        <f t="shared" si="19"/>
        <v>1</v>
      </c>
      <c r="F1264" s="8" t="str" cm="1">
        <f t="array" ref="F1264">_xlfn._xlws.FILTER(E1264:E4462, C1264:C4462= "6D-PM-1020-01", "No Squirrels Found")</f>
        <v>No Squirrels Found</v>
      </c>
      <c r="G1264" s="8" t="s">
        <v>34</v>
      </c>
      <c r="H1264" s="10">
        <v>10202018</v>
      </c>
      <c r="I1264" s="10">
        <v>2</v>
      </c>
      <c r="J1264" s="8" t="s">
        <v>39</v>
      </c>
      <c r="K1264" s="8" t="s">
        <v>40</v>
      </c>
      <c r="M1264" s="8" t="s">
        <v>55</v>
      </c>
      <c r="O1264" s="8" t="s">
        <v>50</v>
      </c>
      <c r="P1264" s="8">
        <v>10</v>
      </c>
      <c r="R1264" s="8" t="b">
        <v>0</v>
      </c>
      <c r="S1264" s="8" t="b">
        <v>0</v>
      </c>
      <c r="T1264" s="8" t="b">
        <v>1</v>
      </c>
      <c r="U1264" s="8" t="b">
        <v>0</v>
      </c>
      <c r="V1264" s="8" t="b">
        <v>0</v>
      </c>
      <c r="X1264" s="8" t="b">
        <v>0</v>
      </c>
      <c r="Y1264" s="8" t="b">
        <v>0</v>
      </c>
      <c r="Z1264" s="8" t="b">
        <v>0</v>
      </c>
      <c r="AA1264" s="8" t="b">
        <v>0</v>
      </c>
      <c r="AB1264" s="8" t="b">
        <v>0</v>
      </c>
      <c r="AC1264" s="8" t="b">
        <v>0</v>
      </c>
      <c r="AD1264" s="8" t="b">
        <v>0</v>
      </c>
      <c r="AE1264" s="8" t="b">
        <v>0</v>
      </c>
      <c r="AG1264" s="11" t="b" cm="1">
        <f t="array" ref="AG1264">IF(OR(Y1264:AA1264="TRUE", AE1264="true"), "Threatened")</f>
        <v>0</v>
      </c>
      <c r="AH1264" s="11" t="s">
        <v>3380</v>
      </c>
      <c r="AI1264" s="8" t="b">
        <v>1</v>
      </c>
    </row>
    <row r="1265" spans="1:35" ht="31.2">
      <c r="A1265" s="8">
        <v>-73.978535379999997</v>
      </c>
      <c r="B1265" s="8">
        <v>40.767492369999999</v>
      </c>
      <c r="C1265" s="8" t="s">
        <v>3381</v>
      </c>
      <c r="D1265" s="8" t="s">
        <v>1235</v>
      </c>
      <c r="E1265" s="8" t="b">
        <f t="shared" si="19"/>
        <v>0</v>
      </c>
      <c r="F1265" s="8" t="str" cm="1">
        <f t="array" ref="F1265">_xlfn._xlws.FILTER(E1265:E4463, C1265:C4463= "6D-PM-1020-01", "No Squirrels Found")</f>
        <v>No Squirrels Found</v>
      </c>
      <c r="G1265" s="8" t="s">
        <v>34</v>
      </c>
      <c r="H1265" s="10">
        <v>10132018</v>
      </c>
      <c r="I1265" s="10">
        <v>1</v>
      </c>
      <c r="J1265" s="8" t="s">
        <v>39</v>
      </c>
      <c r="K1265" s="8" t="s">
        <v>40</v>
      </c>
      <c r="L1265" s="8" t="s">
        <v>84</v>
      </c>
      <c r="M1265" s="8" t="s">
        <v>103</v>
      </c>
      <c r="O1265" s="8" t="s">
        <v>43</v>
      </c>
      <c r="P1265" s="8" t="b">
        <v>0</v>
      </c>
      <c r="R1265" s="8" t="b">
        <v>1</v>
      </c>
      <c r="S1265" s="8" t="b">
        <v>1</v>
      </c>
      <c r="T1265" s="8" t="b">
        <v>0</v>
      </c>
      <c r="U1265" s="8" t="b">
        <v>0</v>
      </c>
      <c r="V1265" s="8" t="b">
        <v>0</v>
      </c>
      <c r="X1265" s="8" t="b">
        <v>0</v>
      </c>
      <c r="Y1265" s="8" t="b">
        <v>0</v>
      </c>
      <c r="Z1265" s="8" t="b">
        <v>0</v>
      </c>
      <c r="AA1265" s="8" t="b">
        <v>0</v>
      </c>
      <c r="AB1265" s="8" t="b">
        <v>0</v>
      </c>
      <c r="AC1265" s="8" t="b">
        <v>0</v>
      </c>
      <c r="AD1265" s="8" t="b">
        <v>0</v>
      </c>
      <c r="AE1265" s="8" t="b">
        <v>0</v>
      </c>
      <c r="AG1265" s="11" t="b" cm="1">
        <f t="array" ref="AG1265">IF(OR(Y1265:AA1265="TRUE", AE1265="true"), "Threatened")</f>
        <v>0</v>
      </c>
      <c r="AH1265" s="11" t="s">
        <v>3382</v>
      </c>
      <c r="AI1265" s="8" t="b">
        <v>1</v>
      </c>
    </row>
    <row r="1266" spans="1:35" ht="31.2">
      <c r="A1266" s="8">
        <v>-73.960359710000006</v>
      </c>
      <c r="B1266" s="8">
        <v>40.782439930000002</v>
      </c>
      <c r="C1266" s="8" t="s">
        <v>3383</v>
      </c>
      <c r="D1266" s="8" t="s">
        <v>3112</v>
      </c>
      <c r="E1266" s="8" t="b">
        <f t="shared" si="19"/>
        <v>0</v>
      </c>
      <c r="F1266" s="8" t="str" cm="1">
        <f t="array" ref="F1266">_xlfn._xlws.FILTER(E1266:E4464, C1266:C4464= "6D-PM-1020-01", "No Squirrels Found")</f>
        <v>No Squirrels Found</v>
      </c>
      <c r="G1266" s="8" t="s">
        <v>34</v>
      </c>
      <c r="H1266" s="10">
        <v>10192018</v>
      </c>
      <c r="I1266" s="10">
        <v>2</v>
      </c>
      <c r="J1266" s="8" t="s">
        <v>39</v>
      </c>
      <c r="K1266" s="8" t="s">
        <v>40</v>
      </c>
      <c r="M1266" s="8" t="s">
        <v>55</v>
      </c>
      <c r="O1266" s="8" t="s">
        <v>43</v>
      </c>
      <c r="P1266" s="8" t="b">
        <v>0</v>
      </c>
      <c r="R1266" s="8" t="b">
        <v>0</v>
      </c>
      <c r="S1266" s="8" t="b">
        <v>0</v>
      </c>
      <c r="T1266" s="8" t="b">
        <v>1</v>
      </c>
      <c r="U1266" s="8" t="b">
        <v>0</v>
      </c>
      <c r="V1266" s="8" t="b">
        <v>0</v>
      </c>
      <c r="X1266" s="8" t="b">
        <v>0</v>
      </c>
      <c r="Y1266" s="8" t="b">
        <v>0</v>
      </c>
      <c r="Z1266" s="8" t="b">
        <v>0</v>
      </c>
      <c r="AA1266" s="8" t="b">
        <v>0</v>
      </c>
      <c r="AB1266" s="8" t="b">
        <v>0</v>
      </c>
      <c r="AC1266" s="8" t="b">
        <v>0</v>
      </c>
      <c r="AD1266" s="8" t="b">
        <v>0</v>
      </c>
      <c r="AE1266" s="8" t="b">
        <v>0</v>
      </c>
      <c r="AG1266" s="11" t="b" cm="1">
        <f t="array" ref="AG1266">IF(OR(Y1266:AA1266="TRUE", AE1266="true"), "Threatened")</f>
        <v>0</v>
      </c>
      <c r="AH1266" s="11" t="s">
        <v>3384</v>
      </c>
      <c r="AI1266" s="8" t="b">
        <v>1</v>
      </c>
    </row>
    <row r="1267" spans="1:35" ht="31.2">
      <c r="A1267" s="8">
        <v>-73.970989779999996</v>
      </c>
      <c r="B1267" s="8">
        <v>40.768627960000003</v>
      </c>
      <c r="C1267" s="8" t="s">
        <v>3385</v>
      </c>
      <c r="D1267" s="8" t="s">
        <v>549</v>
      </c>
      <c r="E1267" s="8" t="b">
        <f t="shared" si="19"/>
        <v>0</v>
      </c>
      <c r="F1267" s="8" t="str" cm="1">
        <f t="array" ref="F1267">_xlfn._xlws.FILTER(E1267:E4465, C1267:C4465= "6D-PM-1020-01", "No Squirrels Found")</f>
        <v>No Squirrels Found</v>
      </c>
      <c r="G1267" s="8" t="s">
        <v>48</v>
      </c>
      <c r="H1267" s="10">
        <v>10082018</v>
      </c>
      <c r="I1267" s="10">
        <v>2</v>
      </c>
      <c r="J1267" s="8" t="s">
        <v>39</v>
      </c>
      <c r="K1267" s="8" t="s">
        <v>41</v>
      </c>
      <c r="L1267" s="8" t="s">
        <v>40</v>
      </c>
      <c r="M1267" s="8" t="s">
        <v>110</v>
      </c>
      <c r="O1267" s="8" t="s">
        <v>43</v>
      </c>
      <c r="P1267" s="8" t="b">
        <v>0</v>
      </c>
      <c r="R1267" s="8" t="b">
        <v>1</v>
      </c>
      <c r="S1267" s="8" t="b">
        <v>0</v>
      </c>
      <c r="T1267" s="8" t="b">
        <v>0</v>
      </c>
      <c r="U1267" s="8" t="b">
        <v>0</v>
      </c>
      <c r="V1267" s="8" t="b">
        <v>1</v>
      </c>
      <c r="X1267" s="8" t="b">
        <v>0</v>
      </c>
      <c r="Y1267" s="8" t="b">
        <v>0</v>
      </c>
      <c r="Z1267" s="8" t="b">
        <v>0</v>
      </c>
      <c r="AA1267" s="8" t="b">
        <v>0</v>
      </c>
      <c r="AB1267" s="8" t="b">
        <v>0</v>
      </c>
      <c r="AC1267" s="8" t="b">
        <v>0</v>
      </c>
      <c r="AD1267" s="8" t="b">
        <v>1</v>
      </c>
      <c r="AE1267" s="8" t="b">
        <v>0</v>
      </c>
      <c r="AG1267" s="11" t="b" cm="1">
        <f t="array" ref="AG1267">IF(OR(Y1267:AA1267="TRUE", AE1267="true"), "Threatened")</f>
        <v>0</v>
      </c>
      <c r="AH1267" s="11" t="s">
        <v>3386</v>
      </c>
      <c r="AI1267" s="8" t="b">
        <v>1</v>
      </c>
    </row>
    <row r="1268" spans="1:35" ht="31.2">
      <c r="A1268" s="8">
        <v>-73.970101099999994</v>
      </c>
      <c r="B1268" s="8">
        <v>40.768891930000002</v>
      </c>
      <c r="C1268" s="8" t="s">
        <v>3387</v>
      </c>
      <c r="D1268" s="8" t="s">
        <v>242</v>
      </c>
      <c r="E1268" s="8" t="b">
        <f t="shared" si="19"/>
        <v>0</v>
      </c>
      <c r="F1268" s="8" t="str" cm="1">
        <f t="array" ref="F1268">_xlfn._xlws.FILTER(E1268:E4466, C1268:C4466= "6D-PM-1020-01", "No Squirrels Found")</f>
        <v>No Squirrels Found</v>
      </c>
      <c r="G1268" s="8" t="s">
        <v>34</v>
      </c>
      <c r="H1268" s="10">
        <v>10132018</v>
      </c>
      <c r="I1268" s="10">
        <v>2</v>
      </c>
      <c r="J1268" s="8" t="s">
        <v>39</v>
      </c>
      <c r="K1268" s="8" t="s">
        <v>192</v>
      </c>
      <c r="M1268" s="8" t="s">
        <v>193</v>
      </c>
      <c r="O1268" s="8" t="s">
        <v>43</v>
      </c>
      <c r="P1268" s="8" t="b">
        <v>0</v>
      </c>
      <c r="Q1268" s="8" t="s">
        <v>3388</v>
      </c>
      <c r="R1268" s="8" t="b">
        <v>0</v>
      </c>
      <c r="S1268" s="8" t="b">
        <v>1</v>
      </c>
      <c r="T1268" s="8" t="b">
        <v>0</v>
      </c>
      <c r="U1268" s="8" t="b">
        <v>0</v>
      </c>
      <c r="V1268" s="8" t="b">
        <v>0</v>
      </c>
      <c r="X1268" s="8" t="b">
        <v>0</v>
      </c>
      <c r="Y1268" s="8" t="b">
        <v>0</v>
      </c>
      <c r="Z1268" s="8" t="b">
        <v>0</v>
      </c>
      <c r="AA1268" s="8" t="b">
        <v>0</v>
      </c>
      <c r="AB1268" s="8" t="b">
        <v>0</v>
      </c>
      <c r="AC1268" s="8" t="b">
        <v>0</v>
      </c>
      <c r="AD1268" s="8" t="b">
        <v>0</v>
      </c>
      <c r="AE1268" s="8" t="b">
        <v>0</v>
      </c>
      <c r="AG1268" s="11" t="b" cm="1">
        <f t="array" ref="AG1268">IF(OR(Y1268:AA1268="TRUE", AE1268="true"), "Threatened")</f>
        <v>0</v>
      </c>
      <c r="AH1268" s="11" t="s">
        <v>3389</v>
      </c>
      <c r="AI1268" s="8" t="b">
        <v>1</v>
      </c>
    </row>
    <row r="1269" spans="1:35" ht="31.2">
      <c r="A1269" s="8">
        <v>-73.962398429999993</v>
      </c>
      <c r="B1269" s="8">
        <v>40.791390049999997</v>
      </c>
      <c r="C1269" s="8" t="s">
        <v>3390</v>
      </c>
      <c r="D1269" s="8" t="s">
        <v>3391</v>
      </c>
      <c r="E1269" s="8" t="b">
        <f t="shared" si="19"/>
        <v>0</v>
      </c>
      <c r="F1269" s="8" t="str" cm="1">
        <f t="array" ref="F1269">_xlfn._xlws.FILTER(E1269:E4467, C1269:C4467= "6D-PM-1020-01", "No Squirrels Found")</f>
        <v>No Squirrels Found</v>
      </c>
      <c r="G1269" s="8" t="s">
        <v>34</v>
      </c>
      <c r="H1269" s="10">
        <v>10102018</v>
      </c>
      <c r="I1269" s="10">
        <v>3</v>
      </c>
      <c r="J1269" s="8" t="s">
        <v>39</v>
      </c>
      <c r="K1269" s="8" t="s">
        <v>40</v>
      </c>
      <c r="L1269" s="8" t="s">
        <v>84</v>
      </c>
      <c r="M1269" s="8" t="s">
        <v>103</v>
      </c>
      <c r="O1269" s="8" t="s">
        <v>50</v>
      </c>
      <c r="P1269" s="8">
        <v>10</v>
      </c>
      <c r="R1269" s="8" t="b">
        <v>0</v>
      </c>
      <c r="S1269" s="8" t="b">
        <v>0</v>
      </c>
      <c r="T1269" s="8" t="b">
        <v>1</v>
      </c>
      <c r="U1269" s="8" t="b">
        <v>0</v>
      </c>
      <c r="V1269" s="8" t="b">
        <v>0</v>
      </c>
      <c r="X1269" s="8" t="b">
        <v>0</v>
      </c>
      <c r="Y1269" s="8" t="b">
        <v>0</v>
      </c>
      <c r="Z1269" s="8" t="b">
        <v>0</v>
      </c>
      <c r="AA1269" s="8" t="b">
        <v>0</v>
      </c>
      <c r="AB1269" s="8" t="b">
        <v>0</v>
      </c>
      <c r="AC1269" s="8" t="b">
        <v>0</v>
      </c>
      <c r="AD1269" s="8" t="b">
        <v>0</v>
      </c>
      <c r="AE1269" s="8" t="b">
        <v>1</v>
      </c>
      <c r="AG1269" s="11" t="b" cm="1">
        <f t="array" ref="AG1269">IF(OR(Y1269:AA1269="TRUE", AE1269="true"), "Threatened")</f>
        <v>0</v>
      </c>
      <c r="AH1269" s="11" t="s">
        <v>3392</v>
      </c>
      <c r="AI1269" s="8" t="b">
        <v>1</v>
      </c>
    </row>
    <row r="1270" spans="1:35" ht="31.2">
      <c r="A1270" s="8">
        <v>-73.965292120000001</v>
      </c>
      <c r="B1270" s="8">
        <v>40.790440570000001</v>
      </c>
      <c r="C1270" s="8" t="s">
        <v>3393</v>
      </c>
      <c r="D1270" s="8" t="s">
        <v>3394</v>
      </c>
      <c r="E1270" s="8" t="b">
        <f t="shared" si="19"/>
        <v>0</v>
      </c>
      <c r="F1270" s="8" t="str" cm="1">
        <f t="array" ref="F1270">_xlfn._xlws.FILTER(E1270:E4468, C1270:C4468= "6D-PM-1020-01", "No Squirrels Found")</f>
        <v>No Squirrels Found</v>
      </c>
      <c r="G1270" s="8" t="s">
        <v>34</v>
      </c>
      <c r="H1270" s="10">
        <v>10192018</v>
      </c>
      <c r="I1270" s="10">
        <v>1</v>
      </c>
      <c r="J1270" s="8" t="s">
        <v>39</v>
      </c>
      <c r="K1270" s="8" t="s">
        <v>40</v>
      </c>
      <c r="L1270" s="8" t="s">
        <v>41</v>
      </c>
      <c r="M1270" s="8" t="s">
        <v>42</v>
      </c>
      <c r="O1270" s="8" t="s">
        <v>43</v>
      </c>
      <c r="P1270" s="8" t="b">
        <v>0</v>
      </c>
      <c r="R1270" s="8" t="b">
        <v>0</v>
      </c>
      <c r="S1270" s="8" t="b">
        <v>0</v>
      </c>
      <c r="T1270" s="8" t="b">
        <v>0</v>
      </c>
      <c r="U1270" s="8" t="b">
        <v>0</v>
      </c>
      <c r="V1270" s="8" t="b">
        <v>1</v>
      </c>
      <c r="X1270" s="8" t="b">
        <v>0</v>
      </c>
      <c r="Y1270" s="8" t="b">
        <v>0</v>
      </c>
      <c r="Z1270" s="8" t="b">
        <v>0</v>
      </c>
      <c r="AA1270" s="8" t="b">
        <v>0</v>
      </c>
      <c r="AB1270" s="8" t="b">
        <v>0</v>
      </c>
      <c r="AC1270" s="8" t="b">
        <v>0</v>
      </c>
      <c r="AD1270" s="8" t="b">
        <v>1</v>
      </c>
      <c r="AE1270" s="8" t="b">
        <v>0</v>
      </c>
      <c r="AG1270" s="11" t="b" cm="1">
        <f t="array" ref="AG1270">IF(OR(Y1270:AA1270="TRUE", AE1270="true"), "Threatened")</f>
        <v>0</v>
      </c>
      <c r="AH1270" s="11" t="s">
        <v>3395</v>
      </c>
      <c r="AI1270" s="8" t="b">
        <v>1</v>
      </c>
    </row>
    <row r="1271" spans="1:35" ht="31.2">
      <c r="A1271" s="8">
        <v>-73.967762160000007</v>
      </c>
      <c r="B1271" s="8">
        <v>40.7823359</v>
      </c>
      <c r="C1271" s="8" t="s">
        <v>3396</v>
      </c>
      <c r="D1271" s="8" t="s">
        <v>1038</v>
      </c>
      <c r="E1271" s="8" t="b">
        <f t="shared" si="19"/>
        <v>0</v>
      </c>
      <c r="F1271" s="8" t="str" cm="1">
        <f t="array" ref="F1271">_xlfn._xlws.FILTER(E1271:E4469, C1271:C4469= "6D-PM-1020-01", "No Squirrels Found")</f>
        <v>No Squirrels Found</v>
      </c>
      <c r="G1271" s="8" t="s">
        <v>34</v>
      </c>
      <c r="H1271" s="10">
        <v>10182018</v>
      </c>
      <c r="I1271" s="10">
        <v>8</v>
      </c>
      <c r="J1271" s="8" t="s">
        <v>54</v>
      </c>
      <c r="K1271" s="8" t="s">
        <v>41</v>
      </c>
      <c r="M1271" s="8" t="s">
        <v>49</v>
      </c>
      <c r="O1271" s="8" t="s">
        <v>43</v>
      </c>
      <c r="P1271" s="8" t="b">
        <v>0</v>
      </c>
      <c r="R1271" s="8" t="b">
        <v>1</v>
      </c>
      <c r="S1271" s="8" t="b">
        <v>0</v>
      </c>
      <c r="T1271" s="8" t="b">
        <v>0</v>
      </c>
      <c r="U1271" s="8" t="b">
        <v>0</v>
      </c>
      <c r="V1271" s="8" t="b">
        <v>0</v>
      </c>
      <c r="X1271" s="8" t="b">
        <v>0</v>
      </c>
      <c r="Y1271" s="8" t="b">
        <v>0</v>
      </c>
      <c r="Z1271" s="8" t="b">
        <v>0</v>
      </c>
      <c r="AA1271" s="8" t="b">
        <v>0</v>
      </c>
      <c r="AB1271" s="8" t="b">
        <v>0</v>
      </c>
      <c r="AC1271" s="8" t="b">
        <v>1</v>
      </c>
      <c r="AD1271" s="8" t="b">
        <v>0</v>
      </c>
      <c r="AE1271" s="8" t="b">
        <v>1</v>
      </c>
      <c r="AF1271" s="11" t="s">
        <v>1294</v>
      </c>
      <c r="AG1271" s="11" t="b" cm="1">
        <f t="array" ref="AG1271">IF(OR(Y1271:AA1271="TRUE", AE1271="true"), "Threatened")</f>
        <v>0</v>
      </c>
      <c r="AH1271" s="11" t="s">
        <v>3397</v>
      </c>
      <c r="AI1271" s="8" t="b">
        <v>1</v>
      </c>
    </row>
    <row r="1272" spans="1:35" ht="31.2">
      <c r="A1272" s="8">
        <v>-73.965675020000006</v>
      </c>
      <c r="B1272" s="8">
        <v>40.783300259999997</v>
      </c>
      <c r="C1272" s="8" t="s">
        <v>3398</v>
      </c>
      <c r="D1272" s="8" t="s">
        <v>3399</v>
      </c>
      <c r="E1272" s="8" t="b">
        <f t="shared" si="19"/>
        <v>0</v>
      </c>
      <c r="F1272" s="8" t="str" cm="1">
        <f t="array" ref="F1272">_xlfn._xlws.FILTER(E1272:E4470, C1272:C4470= "6D-PM-1020-01", "No Squirrels Found")</f>
        <v>No Squirrels Found</v>
      </c>
      <c r="G1272" s="8" t="s">
        <v>34</v>
      </c>
      <c r="H1272" s="10">
        <v>10142018</v>
      </c>
      <c r="I1272" s="10">
        <v>1</v>
      </c>
      <c r="J1272" s="8" t="s">
        <v>39</v>
      </c>
      <c r="K1272" s="8" t="s">
        <v>40</v>
      </c>
      <c r="L1272" s="8" t="s">
        <v>41</v>
      </c>
      <c r="M1272" s="8" t="s">
        <v>42</v>
      </c>
      <c r="O1272" s="8" t="s">
        <v>43</v>
      </c>
      <c r="P1272" s="8" t="b">
        <v>0</v>
      </c>
      <c r="R1272" s="8" t="b">
        <v>0</v>
      </c>
      <c r="S1272" s="8" t="b">
        <v>0</v>
      </c>
      <c r="T1272" s="8" t="b">
        <v>0</v>
      </c>
      <c r="U1272" s="8" t="b">
        <v>0</v>
      </c>
      <c r="V1272" s="8" t="b">
        <v>1</v>
      </c>
      <c r="X1272" s="8" t="b">
        <v>0</v>
      </c>
      <c r="Y1272" s="8" t="b">
        <v>0</v>
      </c>
      <c r="Z1272" s="8" t="b">
        <v>0</v>
      </c>
      <c r="AA1272" s="8" t="b">
        <v>0</v>
      </c>
      <c r="AB1272" s="8" t="b">
        <v>0</v>
      </c>
      <c r="AC1272" s="8" t="b">
        <v>0</v>
      </c>
      <c r="AD1272" s="8" t="b">
        <v>0</v>
      </c>
      <c r="AE1272" s="8" t="b">
        <v>0</v>
      </c>
      <c r="AG1272" s="11" t="b" cm="1">
        <f t="array" ref="AG1272">IF(OR(Y1272:AA1272="TRUE", AE1272="true"), "Threatened")</f>
        <v>0</v>
      </c>
      <c r="AH1272" s="11" t="s">
        <v>3400</v>
      </c>
      <c r="AI1272" s="8" t="b">
        <v>1</v>
      </c>
    </row>
    <row r="1273" spans="1:35" ht="31.2">
      <c r="A1273" s="8">
        <v>-73.95957172</v>
      </c>
      <c r="B1273" s="8">
        <v>40.782987249999998</v>
      </c>
      <c r="C1273" s="8" t="s">
        <v>3401</v>
      </c>
      <c r="D1273" s="8" t="s">
        <v>2570</v>
      </c>
      <c r="E1273" s="8" t="b">
        <f t="shared" si="19"/>
        <v>0</v>
      </c>
      <c r="F1273" s="8" t="str" cm="1">
        <f t="array" ref="F1273">_xlfn._xlws.FILTER(E1273:E4471, C1273:C4471= "6D-PM-1020-01", "No Squirrels Found")</f>
        <v>No Squirrels Found</v>
      </c>
      <c r="G1273" s="8" t="s">
        <v>34</v>
      </c>
      <c r="H1273" s="10">
        <v>10072018</v>
      </c>
      <c r="I1273" s="10">
        <v>3</v>
      </c>
      <c r="J1273" s="8" t="s">
        <v>39</v>
      </c>
      <c r="K1273" s="8" t="s">
        <v>40</v>
      </c>
      <c r="M1273" s="8" t="s">
        <v>55</v>
      </c>
      <c r="O1273" s="8" t="s">
        <v>43</v>
      </c>
      <c r="P1273" s="8" t="b">
        <v>0</v>
      </c>
      <c r="R1273" s="8" t="b">
        <v>1</v>
      </c>
      <c r="S1273" s="8" t="b">
        <v>0</v>
      </c>
      <c r="T1273" s="8" t="b">
        <v>0</v>
      </c>
      <c r="U1273" s="8" t="b">
        <v>0</v>
      </c>
      <c r="V1273" s="8" t="b">
        <v>0</v>
      </c>
      <c r="X1273" s="8" t="b">
        <v>0</v>
      </c>
      <c r="Y1273" s="8" t="b">
        <v>0</v>
      </c>
      <c r="Z1273" s="8" t="b">
        <v>0</v>
      </c>
      <c r="AA1273" s="8" t="b">
        <v>0</v>
      </c>
      <c r="AB1273" s="8" t="b">
        <v>0</v>
      </c>
      <c r="AC1273" s="8" t="b">
        <v>0</v>
      </c>
      <c r="AD1273" s="8" t="b">
        <v>0</v>
      </c>
      <c r="AE1273" s="8" t="b">
        <v>0</v>
      </c>
      <c r="AG1273" s="11" t="b" cm="1">
        <f t="array" ref="AG1273">IF(OR(Y1273:AA1273="TRUE", AE1273="true"), "Threatened")</f>
        <v>0</v>
      </c>
      <c r="AH1273" s="11" t="s">
        <v>3402</v>
      </c>
      <c r="AI1273" s="8" t="b">
        <v>1</v>
      </c>
    </row>
    <row r="1274" spans="1:35" ht="31.2">
      <c r="A1274" s="8">
        <v>-73.955894389999997</v>
      </c>
      <c r="B1274" s="8">
        <v>40.797153510000001</v>
      </c>
      <c r="C1274" s="8" t="s">
        <v>3403</v>
      </c>
      <c r="D1274" s="8" t="s">
        <v>439</v>
      </c>
      <c r="E1274" s="8" t="b">
        <f t="shared" si="19"/>
        <v>0</v>
      </c>
      <c r="F1274" s="8" t="str" cm="1">
        <f t="array" ref="F1274">_xlfn._xlws.FILTER(E1274:E4472, C1274:C4472= "6D-PM-1020-01", "No Squirrels Found")</f>
        <v>No Squirrels Found</v>
      </c>
      <c r="G1274" s="8" t="s">
        <v>34</v>
      </c>
      <c r="H1274" s="10">
        <v>10132018</v>
      </c>
      <c r="I1274" s="10">
        <v>6</v>
      </c>
      <c r="J1274" s="8" t="s">
        <v>39</v>
      </c>
      <c r="K1274" s="8" t="s">
        <v>40</v>
      </c>
      <c r="L1274" s="8" t="s">
        <v>41</v>
      </c>
      <c r="M1274" s="8" t="s">
        <v>42</v>
      </c>
      <c r="O1274" s="8" t="s">
        <v>50</v>
      </c>
      <c r="P1274" s="8">
        <v>4</v>
      </c>
      <c r="R1274" s="8" t="b">
        <v>0</v>
      </c>
      <c r="S1274" s="8" t="b">
        <v>0</v>
      </c>
      <c r="T1274" s="8" t="b">
        <v>1</v>
      </c>
      <c r="U1274" s="8" t="b">
        <v>0</v>
      </c>
      <c r="V1274" s="8" t="b">
        <v>0</v>
      </c>
      <c r="X1274" s="8" t="b">
        <v>0</v>
      </c>
      <c r="Y1274" s="8" t="b">
        <v>0</v>
      </c>
      <c r="Z1274" s="8" t="b">
        <v>0</v>
      </c>
      <c r="AA1274" s="8" t="b">
        <v>0</v>
      </c>
      <c r="AB1274" s="8" t="b">
        <v>0</v>
      </c>
      <c r="AC1274" s="8" t="b">
        <v>0</v>
      </c>
      <c r="AD1274" s="8" t="b">
        <v>0</v>
      </c>
      <c r="AE1274" s="8" t="b">
        <v>1</v>
      </c>
      <c r="AG1274" s="11" t="b" cm="1">
        <f t="array" ref="AG1274">IF(OR(Y1274:AA1274="TRUE", AE1274="true"), "Threatened")</f>
        <v>0</v>
      </c>
      <c r="AH1274" s="11" t="s">
        <v>3404</v>
      </c>
      <c r="AI1274" s="8" t="b">
        <v>1</v>
      </c>
    </row>
    <row r="1275" spans="1:35" ht="31.2">
      <c r="A1275" s="8">
        <v>-73.974586000000002</v>
      </c>
      <c r="B1275" s="8">
        <v>40.767163490000002</v>
      </c>
      <c r="C1275" s="8" t="s">
        <v>3405</v>
      </c>
      <c r="D1275" s="8" t="s">
        <v>669</v>
      </c>
      <c r="E1275" s="8" t="b">
        <f t="shared" si="19"/>
        <v>0</v>
      </c>
      <c r="F1275" s="8" t="str" cm="1">
        <f t="array" ref="F1275">_xlfn._xlws.FILTER(E1275:E4473, C1275:C4473= "6D-PM-1020-01", "No Squirrels Found")</f>
        <v>No Squirrels Found</v>
      </c>
      <c r="G1275" s="8" t="s">
        <v>48</v>
      </c>
      <c r="H1275" s="10">
        <v>10082018</v>
      </c>
      <c r="I1275" s="10">
        <v>2</v>
      </c>
      <c r="J1275" s="8" t="s">
        <v>39</v>
      </c>
      <c r="K1275" s="8" t="s">
        <v>40</v>
      </c>
      <c r="M1275" s="8" t="s">
        <v>55</v>
      </c>
      <c r="N1275" s="11" t="s">
        <v>3406</v>
      </c>
      <c r="O1275" s="8" t="s">
        <v>43</v>
      </c>
      <c r="P1275" s="8" t="b">
        <v>0</v>
      </c>
      <c r="R1275" s="8" t="b">
        <v>0</v>
      </c>
      <c r="S1275" s="8" t="b">
        <v>0</v>
      </c>
      <c r="T1275" s="8" t="b">
        <v>1</v>
      </c>
      <c r="U1275" s="8" t="b">
        <v>0</v>
      </c>
      <c r="V1275" s="8" t="b">
        <v>0</v>
      </c>
      <c r="X1275" s="8" t="b">
        <v>0</v>
      </c>
      <c r="Y1275" s="8" t="b">
        <v>0</v>
      </c>
      <c r="Z1275" s="8" t="b">
        <v>0</v>
      </c>
      <c r="AA1275" s="8" t="b">
        <v>0</v>
      </c>
      <c r="AB1275" s="8" t="b">
        <v>0</v>
      </c>
      <c r="AC1275" s="8" t="b">
        <v>0</v>
      </c>
      <c r="AD1275" s="8" t="b">
        <v>1</v>
      </c>
      <c r="AE1275" s="8" t="b">
        <v>0</v>
      </c>
      <c r="AG1275" s="11" t="b" cm="1">
        <f t="array" ref="AG1275">IF(OR(Y1275:AA1275="TRUE", AE1275="true"), "Threatened")</f>
        <v>0</v>
      </c>
      <c r="AH1275" s="11" t="s">
        <v>3407</v>
      </c>
      <c r="AI1275" s="8" t="b">
        <v>1</v>
      </c>
    </row>
    <row r="1276" spans="1:35" ht="31.2">
      <c r="A1276" s="8">
        <v>-73.970254150000002</v>
      </c>
      <c r="B1276" s="8">
        <v>40.769858419999998</v>
      </c>
      <c r="C1276" s="8" t="s">
        <v>3408</v>
      </c>
      <c r="D1276" s="8" t="s">
        <v>113</v>
      </c>
      <c r="E1276" s="8" t="b">
        <f t="shared" si="19"/>
        <v>0</v>
      </c>
      <c r="F1276" s="8" t="str" cm="1">
        <f t="array" ref="F1276">_xlfn._xlws.FILTER(E1276:E4474, C1276:C4474= "6D-PM-1020-01", "No Squirrels Found")</f>
        <v>No Squirrels Found</v>
      </c>
      <c r="G1276" s="8" t="s">
        <v>48</v>
      </c>
      <c r="H1276" s="10">
        <v>10062018</v>
      </c>
      <c r="I1276" s="10">
        <v>12</v>
      </c>
      <c r="J1276" s="8" t="s">
        <v>39</v>
      </c>
      <c r="K1276" s="8" t="s">
        <v>41</v>
      </c>
      <c r="L1276" s="8" t="s">
        <v>40</v>
      </c>
      <c r="M1276" s="8" t="s">
        <v>110</v>
      </c>
      <c r="O1276" s="8" t="s">
        <v>43</v>
      </c>
      <c r="P1276" s="8" t="b">
        <v>0</v>
      </c>
      <c r="R1276" s="8" t="b">
        <v>0</v>
      </c>
      <c r="S1276" s="8" t="b">
        <v>0</v>
      </c>
      <c r="T1276" s="8" t="b">
        <v>0</v>
      </c>
      <c r="U1276" s="8" t="b">
        <v>0</v>
      </c>
      <c r="V1276" s="8" t="b">
        <v>1</v>
      </c>
      <c r="X1276" s="8" t="b">
        <v>0</v>
      </c>
      <c r="Y1276" s="8" t="b">
        <v>0</v>
      </c>
      <c r="Z1276" s="8" t="b">
        <v>0</v>
      </c>
      <c r="AA1276" s="8" t="b">
        <v>0</v>
      </c>
      <c r="AB1276" s="8" t="b">
        <v>0</v>
      </c>
      <c r="AC1276" s="8" t="b">
        <v>0</v>
      </c>
      <c r="AD1276" s="8" t="b">
        <v>1</v>
      </c>
      <c r="AE1276" s="8" t="b">
        <v>0</v>
      </c>
      <c r="AG1276" s="11" t="b" cm="1">
        <f t="array" ref="AG1276">IF(OR(Y1276:AA1276="TRUE", AE1276="true"), "Threatened")</f>
        <v>0</v>
      </c>
      <c r="AH1276" s="11" t="s">
        <v>3409</v>
      </c>
      <c r="AI1276" s="8" t="b">
        <v>1</v>
      </c>
    </row>
    <row r="1277" spans="1:35" ht="31.2">
      <c r="A1277" s="8">
        <v>-73.979800519999998</v>
      </c>
      <c r="B1277" s="8">
        <v>40.769186879999999</v>
      </c>
      <c r="C1277" s="8" t="s">
        <v>3410</v>
      </c>
      <c r="D1277" s="8" t="s">
        <v>253</v>
      </c>
      <c r="E1277" s="8" t="b">
        <f t="shared" si="19"/>
        <v>0</v>
      </c>
      <c r="F1277" s="8" t="str" cm="1">
        <f t="array" ref="F1277">_xlfn._xlws.FILTER(E1277:E4475, C1277:C4475= "6D-PM-1020-01", "No Squirrels Found")</f>
        <v>No Squirrels Found</v>
      </c>
      <c r="G1277" s="8" t="s">
        <v>34</v>
      </c>
      <c r="H1277" s="10">
        <v>10172018</v>
      </c>
      <c r="I1277" s="10">
        <v>1</v>
      </c>
      <c r="J1277" s="8" t="s">
        <v>39</v>
      </c>
      <c r="K1277" s="8" t="s">
        <v>41</v>
      </c>
      <c r="L1277" s="8" t="s">
        <v>40</v>
      </c>
      <c r="M1277" s="8" t="s">
        <v>110</v>
      </c>
      <c r="O1277" s="8" t="s">
        <v>43</v>
      </c>
      <c r="P1277" s="8" t="b">
        <v>0</v>
      </c>
      <c r="R1277" s="8" t="b">
        <v>0</v>
      </c>
      <c r="S1277" s="8" t="b">
        <v>0</v>
      </c>
      <c r="T1277" s="8" t="b">
        <v>0</v>
      </c>
      <c r="U1277" s="8" t="b">
        <v>0</v>
      </c>
      <c r="V1277" s="8" t="b">
        <v>1</v>
      </c>
      <c r="X1277" s="8" t="b">
        <v>0</v>
      </c>
      <c r="Y1277" s="8" t="b">
        <v>0</v>
      </c>
      <c r="Z1277" s="8" t="b">
        <v>0</v>
      </c>
      <c r="AA1277" s="8" t="b">
        <v>0</v>
      </c>
      <c r="AB1277" s="8" t="b">
        <v>0</v>
      </c>
      <c r="AC1277" s="8" t="b">
        <v>1</v>
      </c>
      <c r="AD1277" s="8" t="b">
        <v>0</v>
      </c>
      <c r="AE1277" s="8" t="b">
        <v>0</v>
      </c>
      <c r="AG1277" s="11" t="b" cm="1">
        <f t="array" ref="AG1277">IF(OR(Y1277:AA1277="TRUE", AE1277="true"), "Threatened")</f>
        <v>0</v>
      </c>
      <c r="AH1277" s="11" t="s">
        <v>3411</v>
      </c>
      <c r="AI1277" s="8" t="b">
        <v>1</v>
      </c>
    </row>
    <row r="1278" spans="1:35" ht="31.2">
      <c r="A1278" s="8">
        <v>-73.961961000000002</v>
      </c>
      <c r="B1278" s="8">
        <v>40.792282440000001</v>
      </c>
      <c r="C1278" s="8" t="s">
        <v>3412</v>
      </c>
      <c r="D1278" s="8" t="s">
        <v>931</v>
      </c>
      <c r="E1278" s="8" t="b">
        <f t="shared" si="19"/>
        <v>0</v>
      </c>
      <c r="F1278" s="8" t="str" cm="1">
        <f t="array" ref="F1278">_xlfn._xlws.FILTER(E1278:E4476, C1278:C4476= "6D-PM-1020-01", "No Squirrels Found")</f>
        <v>No Squirrels Found</v>
      </c>
      <c r="G1278" s="8" t="s">
        <v>34</v>
      </c>
      <c r="H1278" s="10">
        <v>10102018</v>
      </c>
      <c r="I1278" s="10">
        <v>9</v>
      </c>
      <c r="J1278" s="8" t="s">
        <v>39</v>
      </c>
      <c r="K1278" s="8" t="s">
        <v>40</v>
      </c>
      <c r="M1278" s="8" t="s">
        <v>55</v>
      </c>
      <c r="O1278" s="8" t="s">
        <v>43</v>
      </c>
      <c r="P1278" s="8" t="b">
        <v>0</v>
      </c>
      <c r="R1278" s="8" t="b">
        <v>0</v>
      </c>
      <c r="S1278" s="8" t="b">
        <v>0</v>
      </c>
      <c r="T1278" s="8" t="b">
        <v>0</v>
      </c>
      <c r="U1278" s="8" t="b">
        <v>0</v>
      </c>
      <c r="V1278" s="8" t="b">
        <v>1</v>
      </c>
      <c r="X1278" s="8" t="b">
        <v>0</v>
      </c>
      <c r="Y1278" s="8" t="b">
        <v>0</v>
      </c>
      <c r="Z1278" s="8" t="b">
        <v>0</v>
      </c>
      <c r="AA1278" s="8" t="b">
        <v>0</v>
      </c>
      <c r="AB1278" s="8" t="b">
        <v>0</v>
      </c>
      <c r="AC1278" s="8" t="b">
        <v>0</v>
      </c>
      <c r="AD1278" s="8" t="b">
        <v>0</v>
      </c>
      <c r="AE1278" s="8" t="b">
        <v>0</v>
      </c>
      <c r="AG1278" s="11" t="b" cm="1">
        <f t="array" ref="AG1278">IF(OR(Y1278:AA1278="TRUE", AE1278="true"), "Threatened")</f>
        <v>0</v>
      </c>
      <c r="AH1278" s="11" t="s">
        <v>3413</v>
      </c>
      <c r="AI1278" s="8" t="b">
        <v>1</v>
      </c>
    </row>
    <row r="1279" spans="1:35" ht="31.2">
      <c r="A1279" s="8">
        <v>-73.9729849</v>
      </c>
      <c r="B1279" s="8">
        <v>40.770714329999997</v>
      </c>
      <c r="C1279" s="8" t="s">
        <v>3414</v>
      </c>
      <c r="D1279" s="8" t="s">
        <v>368</v>
      </c>
      <c r="E1279" s="8" t="b">
        <f t="shared" si="19"/>
        <v>0</v>
      </c>
      <c r="F1279" s="8" t="str" cm="1">
        <f t="array" ref="F1279">_xlfn._xlws.FILTER(E1279:E4477, C1279:C4477= "6D-PM-1020-01", "No Squirrels Found")</f>
        <v>No Squirrels Found</v>
      </c>
      <c r="G1279" s="8" t="s">
        <v>48</v>
      </c>
      <c r="H1279" s="10">
        <v>10082018</v>
      </c>
      <c r="I1279" s="10">
        <v>11</v>
      </c>
      <c r="J1279" s="8" t="s">
        <v>39</v>
      </c>
      <c r="K1279" s="8" t="s">
        <v>40</v>
      </c>
      <c r="M1279" s="8" t="s">
        <v>55</v>
      </c>
      <c r="O1279" s="8" t="s">
        <v>43</v>
      </c>
      <c r="P1279" s="8" t="b">
        <v>0</v>
      </c>
      <c r="R1279" s="8" t="b">
        <v>1</v>
      </c>
      <c r="S1279" s="8" t="b">
        <v>0</v>
      </c>
      <c r="T1279" s="8" t="b">
        <v>0</v>
      </c>
      <c r="U1279" s="8" t="b">
        <v>0</v>
      </c>
      <c r="V1279" s="8" t="b">
        <v>0</v>
      </c>
      <c r="X1279" s="8" t="b">
        <v>0</v>
      </c>
      <c r="Y1279" s="8" t="b">
        <v>0</v>
      </c>
      <c r="Z1279" s="8" t="b">
        <v>0</v>
      </c>
      <c r="AA1279" s="8" t="b">
        <v>0</v>
      </c>
      <c r="AB1279" s="8" t="b">
        <v>0</v>
      </c>
      <c r="AC1279" s="8" t="b">
        <v>0</v>
      </c>
      <c r="AD1279" s="8" t="b">
        <v>1</v>
      </c>
      <c r="AE1279" s="8" t="b">
        <v>0</v>
      </c>
      <c r="AG1279" s="11" t="b" cm="1">
        <f t="array" ref="AG1279">IF(OR(Y1279:AA1279="TRUE", AE1279="true"), "Threatened")</f>
        <v>0</v>
      </c>
      <c r="AH1279" s="11" t="s">
        <v>3415</v>
      </c>
      <c r="AI1279" s="8" t="b">
        <v>1</v>
      </c>
    </row>
    <row r="1280" spans="1:35" ht="31.2">
      <c r="A1280" s="8">
        <v>-73.951212089999999</v>
      </c>
      <c r="B1280" s="8">
        <v>40.794794529999997</v>
      </c>
      <c r="C1280" s="8" t="s">
        <v>3416</v>
      </c>
      <c r="D1280" s="8" t="s">
        <v>3076</v>
      </c>
      <c r="E1280" s="8" t="b">
        <f t="shared" si="19"/>
        <v>0</v>
      </c>
      <c r="F1280" s="8" t="str" cm="1">
        <f t="array" ref="F1280">_xlfn._xlws.FILTER(E1280:E4478, C1280:C4478= "6D-PM-1020-01", "No Squirrels Found")</f>
        <v>No Squirrels Found</v>
      </c>
      <c r="G1280" s="8" t="s">
        <v>34</v>
      </c>
      <c r="H1280" s="10">
        <v>10132018</v>
      </c>
      <c r="I1280" s="10">
        <v>1</v>
      </c>
      <c r="J1280" s="8" t="s">
        <v>39</v>
      </c>
      <c r="K1280" s="8" t="s">
        <v>40</v>
      </c>
      <c r="M1280" s="8" t="s">
        <v>55</v>
      </c>
      <c r="O1280" s="8" t="s">
        <v>43</v>
      </c>
      <c r="P1280" s="8" t="b">
        <v>0</v>
      </c>
      <c r="Q1280" s="8" t="s">
        <v>2035</v>
      </c>
      <c r="R1280" s="8" t="b">
        <v>0</v>
      </c>
      <c r="S1280" s="8" t="b">
        <v>0</v>
      </c>
      <c r="T1280" s="8" t="b">
        <v>0</v>
      </c>
      <c r="U1280" s="8" t="b">
        <v>1</v>
      </c>
      <c r="V1280" s="8" t="b">
        <v>0</v>
      </c>
      <c r="W1280" s="11" t="s">
        <v>355</v>
      </c>
      <c r="X1280" s="8" t="b">
        <v>0</v>
      </c>
      <c r="Y1280" s="8" t="b">
        <v>0</v>
      </c>
      <c r="Z1280" s="8" t="b">
        <v>0</v>
      </c>
      <c r="AA1280" s="8" t="b">
        <v>0</v>
      </c>
      <c r="AB1280" s="8" t="b">
        <v>0</v>
      </c>
      <c r="AC1280" s="8" t="b">
        <v>0</v>
      </c>
      <c r="AD1280" s="8" t="b">
        <v>0</v>
      </c>
      <c r="AE1280" s="8" t="b">
        <v>0</v>
      </c>
      <c r="AG1280" s="11" t="b" cm="1">
        <f t="array" ref="AG1280">IF(OR(Y1280:AA1280="TRUE", AE1280="true"), "Threatened")</f>
        <v>0</v>
      </c>
      <c r="AH1280" s="11" t="s">
        <v>3417</v>
      </c>
      <c r="AI1280" s="8" t="b">
        <v>0</v>
      </c>
    </row>
    <row r="1281" spans="1:35" ht="31.2">
      <c r="A1281" s="8">
        <v>-73.956246969999995</v>
      </c>
      <c r="B1281" s="8">
        <v>40.796859079999997</v>
      </c>
      <c r="C1281" s="8" t="s">
        <v>3418</v>
      </c>
      <c r="D1281" s="8" t="s">
        <v>1948</v>
      </c>
      <c r="E1281" s="8" t="b">
        <f t="shared" si="19"/>
        <v>0</v>
      </c>
      <c r="F1281" s="8" t="str" cm="1">
        <f t="array" ref="F1281">_xlfn._xlws.FILTER(E1281:E4479, C1281:C4479= "6D-PM-1020-01", "No Squirrels Found")</f>
        <v>No Squirrels Found</v>
      </c>
      <c r="G1281" s="8" t="s">
        <v>48</v>
      </c>
      <c r="H1281" s="10">
        <v>10082018</v>
      </c>
      <c r="I1281" s="10">
        <v>4</v>
      </c>
      <c r="J1281" s="8" t="s">
        <v>39</v>
      </c>
      <c r="K1281" s="8" t="s">
        <v>40</v>
      </c>
      <c r="M1281" s="8" t="s">
        <v>55</v>
      </c>
      <c r="O1281" s="8" t="s">
        <v>50</v>
      </c>
      <c r="P1281" s="8">
        <v>10</v>
      </c>
      <c r="R1281" s="8" t="b">
        <v>0</v>
      </c>
      <c r="S1281" s="8" t="b">
        <v>0</v>
      </c>
      <c r="T1281" s="8" t="b">
        <v>1</v>
      </c>
      <c r="U1281" s="8" t="b">
        <v>0</v>
      </c>
      <c r="V1281" s="8" t="b">
        <v>0</v>
      </c>
      <c r="X1281" s="8" t="b">
        <v>0</v>
      </c>
      <c r="Y1281" s="8" t="b">
        <v>0</v>
      </c>
      <c r="Z1281" s="8" t="b">
        <v>0</v>
      </c>
      <c r="AA1281" s="8" t="b">
        <v>0</v>
      </c>
      <c r="AB1281" s="8" t="b">
        <v>0</v>
      </c>
      <c r="AC1281" s="8" t="b">
        <v>0</v>
      </c>
      <c r="AD1281" s="8" t="b">
        <v>0</v>
      </c>
      <c r="AE1281" s="8" t="b">
        <v>0</v>
      </c>
      <c r="AG1281" s="11" t="b" cm="1">
        <f t="array" ref="AG1281">IF(OR(Y1281:AA1281="TRUE", AE1281="true"), "Threatened")</f>
        <v>0</v>
      </c>
      <c r="AH1281" s="11" t="s">
        <v>3419</v>
      </c>
      <c r="AI1281" s="8" t="b">
        <v>1</v>
      </c>
    </row>
    <row r="1282" spans="1:35" ht="31.2">
      <c r="A1282" s="8">
        <v>-73.979572829999995</v>
      </c>
      <c r="B1282" s="8">
        <v>40.767866980000001</v>
      </c>
      <c r="C1282" s="8" t="s">
        <v>3420</v>
      </c>
      <c r="D1282" s="8" t="s">
        <v>1301</v>
      </c>
      <c r="E1282" s="8" t="b">
        <f t="shared" si="19"/>
        <v>0</v>
      </c>
      <c r="F1282" s="8" t="str" cm="1">
        <f t="array" ref="F1282">_xlfn._xlws.FILTER(E1282:E4480, C1282:C4480= "6D-PM-1020-01", "No Squirrels Found")</f>
        <v>No Squirrels Found</v>
      </c>
      <c r="G1282" s="8" t="s">
        <v>34</v>
      </c>
      <c r="H1282" s="10">
        <v>10132018</v>
      </c>
      <c r="I1282" s="10">
        <v>7</v>
      </c>
      <c r="J1282" s="8" t="s">
        <v>39</v>
      </c>
      <c r="K1282" s="8" t="s">
        <v>41</v>
      </c>
      <c r="L1282" s="8" t="s">
        <v>40</v>
      </c>
      <c r="M1282" s="8" t="s">
        <v>110</v>
      </c>
      <c r="O1282" s="8" t="s">
        <v>43</v>
      </c>
      <c r="P1282" s="8" t="b">
        <v>0</v>
      </c>
      <c r="R1282" s="8" t="b">
        <v>0</v>
      </c>
      <c r="S1282" s="8" t="b">
        <v>0</v>
      </c>
      <c r="T1282" s="8" t="b">
        <v>0</v>
      </c>
      <c r="U1282" s="8" t="b">
        <v>0</v>
      </c>
      <c r="V1282" s="8" t="b">
        <v>1</v>
      </c>
      <c r="X1282" s="8" t="b">
        <v>0</v>
      </c>
      <c r="Y1282" s="8" t="b">
        <v>0</v>
      </c>
      <c r="Z1282" s="8" t="b">
        <v>0</v>
      </c>
      <c r="AA1282" s="8" t="b">
        <v>0</v>
      </c>
      <c r="AB1282" s="8" t="b">
        <v>0</v>
      </c>
      <c r="AC1282" s="8" t="b">
        <v>0</v>
      </c>
      <c r="AD1282" s="8" t="b">
        <v>0</v>
      </c>
      <c r="AE1282" s="8" t="b">
        <v>0</v>
      </c>
      <c r="AG1282" s="11" t="b" cm="1">
        <f t="array" ref="AG1282">IF(OR(Y1282:AA1282="TRUE", AE1282="true"), "Threatened")</f>
        <v>0</v>
      </c>
      <c r="AH1282" s="11" t="s">
        <v>3421</v>
      </c>
      <c r="AI1282" s="8" t="b">
        <v>1</v>
      </c>
    </row>
    <row r="1283" spans="1:35" ht="31.2">
      <c r="A1283" s="8">
        <v>-73.974451180000003</v>
      </c>
      <c r="B1283" s="8">
        <v>40.77012946</v>
      </c>
      <c r="C1283" s="8" t="s">
        <v>3422</v>
      </c>
      <c r="D1283" s="8" t="s">
        <v>3052</v>
      </c>
      <c r="E1283" s="8" t="b">
        <f t="shared" ref="E1283:E1346" si="20">OR(D1283 = "05D", D1283 = "07D", D1283 = "06C", D1283 = "06E")</f>
        <v>1</v>
      </c>
      <c r="F1283" s="8" t="str" cm="1">
        <f t="array" ref="F1283">_xlfn._xlws.FILTER(E1283:E4481, C1283:C4481= "6D-PM-1020-01", "No Squirrels Found")</f>
        <v>No Squirrels Found</v>
      </c>
      <c r="G1283" s="8" t="s">
        <v>34</v>
      </c>
      <c r="H1283" s="10">
        <v>10102018</v>
      </c>
      <c r="I1283" s="10">
        <v>4</v>
      </c>
      <c r="J1283" s="8" t="s">
        <v>39</v>
      </c>
      <c r="K1283" s="8" t="s">
        <v>41</v>
      </c>
      <c r="L1283" s="8" t="s">
        <v>84</v>
      </c>
      <c r="M1283" s="8" t="s">
        <v>85</v>
      </c>
      <c r="N1283" s="11" t="s">
        <v>3053</v>
      </c>
      <c r="O1283" s="8" t="s">
        <v>43</v>
      </c>
      <c r="P1283" s="8" t="b">
        <v>0</v>
      </c>
      <c r="Q1283" s="8" t="s">
        <v>3423</v>
      </c>
      <c r="R1283" s="8" t="b">
        <v>0</v>
      </c>
      <c r="S1283" s="8" t="b">
        <v>1</v>
      </c>
      <c r="T1283" s="8" t="b">
        <v>0</v>
      </c>
      <c r="U1283" s="8" t="b">
        <v>1</v>
      </c>
      <c r="V1283" s="8" t="b">
        <v>0</v>
      </c>
      <c r="W1283" s="11" t="s">
        <v>1032</v>
      </c>
      <c r="X1283" s="8" t="b">
        <v>0</v>
      </c>
      <c r="Y1283" s="8" t="b">
        <v>0</v>
      </c>
      <c r="Z1283" s="8" t="b">
        <v>0</v>
      </c>
      <c r="AA1283" s="8" t="b">
        <v>0</v>
      </c>
      <c r="AB1283" s="8" t="b">
        <v>0</v>
      </c>
      <c r="AC1283" s="8" t="b">
        <v>0</v>
      </c>
      <c r="AD1283" s="8" t="b">
        <v>1</v>
      </c>
      <c r="AE1283" s="8" t="b">
        <v>0</v>
      </c>
      <c r="AG1283" s="11" t="b" cm="1">
        <f t="array" ref="AG1283">IF(OR(Y1283:AA1283="TRUE", AE1283="true"), "Threatened")</f>
        <v>0</v>
      </c>
      <c r="AH1283" s="11" t="s">
        <v>3424</v>
      </c>
      <c r="AI1283" s="8" t="b">
        <v>0</v>
      </c>
    </row>
    <row r="1284" spans="1:35" ht="31.2">
      <c r="A1284" s="8">
        <v>-73.956678510000003</v>
      </c>
      <c r="B1284" s="8">
        <v>40.796336830000001</v>
      </c>
      <c r="C1284" s="8" t="s">
        <v>3425</v>
      </c>
      <c r="D1284" s="8" t="s">
        <v>1948</v>
      </c>
      <c r="E1284" s="8" t="b">
        <f t="shared" si="20"/>
        <v>0</v>
      </c>
      <c r="F1284" s="8" t="str" cm="1">
        <f t="array" ref="F1284">_xlfn._xlws.FILTER(E1284:E4482, C1284:C4482= "6D-PM-1020-01", "No Squirrels Found")</f>
        <v>No Squirrels Found</v>
      </c>
      <c r="G1284" s="8" t="s">
        <v>34</v>
      </c>
      <c r="H1284" s="10">
        <v>10122018</v>
      </c>
      <c r="I1284" s="10">
        <v>2</v>
      </c>
      <c r="J1284" s="8" t="s">
        <v>39</v>
      </c>
      <c r="K1284" s="8" t="s">
        <v>40</v>
      </c>
      <c r="L1284" s="8" t="s">
        <v>84</v>
      </c>
      <c r="M1284" s="8" t="s">
        <v>103</v>
      </c>
      <c r="O1284" s="8" t="s">
        <v>43</v>
      </c>
      <c r="P1284" s="8" t="b">
        <v>0</v>
      </c>
      <c r="R1284" s="8" t="b">
        <v>0</v>
      </c>
      <c r="S1284" s="8" t="b">
        <v>0</v>
      </c>
      <c r="T1284" s="8" t="b">
        <v>0</v>
      </c>
      <c r="U1284" s="8" t="b">
        <v>0</v>
      </c>
      <c r="V1284" s="8" t="b">
        <v>1</v>
      </c>
      <c r="X1284" s="8" t="b">
        <v>0</v>
      </c>
      <c r="Y1284" s="8" t="b">
        <v>0</v>
      </c>
      <c r="Z1284" s="8" t="b">
        <v>0</v>
      </c>
      <c r="AA1284" s="8" t="b">
        <v>0</v>
      </c>
      <c r="AB1284" s="8" t="b">
        <v>1</v>
      </c>
      <c r="AC1284" s="8" t="b">
        <v>0</v>
      </c>
      <c r="AD1284" s="8" t="b">
        <v>0</v>
      </c>
      <c r="AE1284" s="8" t="b">
        <v>1</v>
      </c>
      <c r="AG1284" s="11" t="b" cm="1">
        <f t="array" ref="AG1284">IF(OR(Y1284:AA1284="TRUE", AE1284="true"), "Threatened")</f>
        <v>0</v>
      </c>
      <c r="AH1284" s="11" t="s">
        <v>3426</v>
      </c>
      <c r="AI1284" s="8" t="b">
        <v>1</v>
      </c>
    </row>
    <row r="1285" spans="1:35" ht="31.2">
      <c r="A1285" s="8">
        <v>-73.957089170000003</v>
      </c>
      <c r="B1285" s="8">
        <v>40.793544879999999</v>
      </c>
      <c r="C1285" s="8" t="s">
        <v>3427</v>
      </c>
      <c r="D1285" s="8" t="s">
        <v>1045</v>
      </c>
      <c r="E1285" s="8" t="b">
        <f t="shared" si="20"/>
        <v>0</v>
      </c>
      <c r="F1285" s="8" t="str" cm="1">
        <f t="array" ref="F1285">_xlfn._xlws.FILTER(E1285:E4483, C1285:C4483= "6D-PM-1020-01", "No Squirrels Found")</f>
        <v>No Squirrels Found</v>
      </c>
      <c r="G1285" s="8" t="s">
        <v>34</v>
      </c>
      <c r="H1285" s="10">
        <v>10122018</v>
      </c>
      <c r="I1285" s="10">
        <v>1</v>
      </c>
      <c r="J1285" s="8" t="s">
        <v>39</v>
      </c>
      <c r="K1285" s="8" t="s">
        <v>40</v>
      </c>
      <c r="L1285" s="8" t="s">
        <v>41</v>
      </c>
      <c r="M1285" s="8" t="s">
        <v>42</v>
      </c>
      <c r="O1285" s="8" t="s">
        <v>43</v>
      </c>
      <c r="P1285" s="8" t="b">
        <v>0</v>
      </c>
      <c r="R1285" s="8" t="b">
        <v>1</v>
      </c>
      <c r="S1285" s="8" t="b">
        <v>0</v>
      </c>
      <c r="T1285" s="8" t="b">
        <v>0</v>
      </c>
      <c r="U1285" s="8" t="b">
        <v>0</v>
      </c>
      <c r="V1285" s="8" t="b">
        <v>1</v>
      </c>
      <c r="X1285" s="8" t="b">
        <v>0</v>
      </c>
      <c r="Y1285" s="8" t="b">
        <v>0</v>
      </c>
      <c r="Z1285" s="8" t="b">
        <v>0</v>
      </c>
      <c r="AA1285" s="8" t="b">
        <v>0</v>
      </c>
      <c r="AB1285" s="8" t="b">
        <v>0</v>
      </c>
      <c r="AC1285" s="8" t="b">
        <v>0</v>
      </c>
      <c r="AD1285" s="8" t="b">
        <v>1</v>
      </c>
      <c r="AE1285" s="8" t="b">
        <v>0</v>
      </c>
      <c r="AG1285" s="11" t="b" cm="1">
        <f t="array" ref="AG1285">IF(OR(Y1285:AA1285="TRUE", AE1285="true"), "Threatened")</f>
        <v>0</v>
      </c>
      <c r="AH1285" s="11" t="s">
        <v>3428</v>
      </c>
      <c r="AI1285" s="8" t="b">
        <v>1</v>
      </c>
    </row>
    <row r="1286" spans="1:35" ht="31.2">
      <c r="A1286" s="8">
        <v>-73.970511520000002</v>
      </c>
      <c r="B1286" s="8">
        <v>40.769839560000001</v>
      </c>
      <c r="C1286" s="8" t="s">
        <v>3429</v>
      </c>
      <c r="D1286" s="8" t="s">
        <v>113</v>
      </c>
      <c r="E1286" s="8" t="b">
        <f t="shared" si="20"/>
        <v>0</v>
      </c>
      <c r="F1286" s="8" t="str" cm="1">
        <f t="array" ref="F1286">_xlfn._xlws.FILTER(E1286:E4484, C1286:C4484= "6D-PM-1020-01", "No Squirrels Found")</f>
        <v>No Squirrels Found</v>
      </c>
      <c r="G1286" s="8" t="s">
        <v>48</v>
      </c>
      <c r="H1286" s="10">
        <v>10062018</v>
      </c>
      <c r="I1286" s="10">
        <v>8</v>
      </c>
      <c r="J1286" s="8" t="s">
        <v>39</v>
      </c>
      <c r="K1286" s="8" t="s">
        <v>40</v>
      </c>
      <c r="L1286" s="8" t="s">
        <v>41</v>
      </c>
      <c r="M1286" s="8" t="s">
        <v>42</v>
      </c>
      <c r="O1286" s="8" t="s">
        <v>43</v>
      </c>
      <c r="P1286" s="8" t="b">
        <v>0</v>
      </c>
      <c r="R1286" s="8" t="b">
        <v>0</v>
      </c>
      <c r="S1286" s="8" t="b">
        <v>0</v>
      </c>
      <c r="T1286" s="8" t="b">
        <v>0</v>
      </c>
      <c r="U1286" s="8" t="b">
        <v>0</v>
      </c>
      <c r="V1286" s="8" t="b">
        <v>1</v>
      </c>
      <c r="X1286" s="8" t="b">
        <v>0</v>
      </c>
      <c r="Y1286" s="8" t="b">
        <v>0</v>
      </c>
      <c r="Z1286" s="8" t="b">
        <v>0</v>
      </c>
      <c r="AA1286" s="8" t="b">
        <v>0</v>
      </c>
      <c r="AB1286" s="8" t="b">
        <v>0</v>
      </c>
      <c r="AC1286" s="8" t="b">
        <v>1</v>
      </c>
      <c r="AD1286" s="8" t="b">
        <v>0</v>
      </c>
      <c r="AE1286" s="8" t="b">
        <v>0</v>
      </c>
      <c r="AG1286" s="11" t="b" cm="1">
        <f t="array" ref="AG1286">IF(OR(Y1286:AA1286="TRUE", AE1286="true"), "Threatened")</f>
        <v>0</v>
      </c>
      <c r="AH1286" s="11" t="s">
        <v>3430</v>
      </c>
      <c r="AI1286" s="8" t="b">
        <v>1</v>
      </c>
    </row>
    <row r="1287" spans="1:35" ht="31.2">
      <c r="A1287" s="8">
        <v>-73.958909680000005</v>
      </c>
      <c r="B1287" s="8">
        <v>40.793969879999999</v>
      </c>
      <c r="C1287" s="8" t="s">
        <v>3431</v>
      </c>
      <c r="D1287" s="8" t="s">
        <v>515</v>
      </c>
      <c r="E1287" s="8" t="b">
        <f t="shared" si="20"/>
        <v>0</v>
      </c>
      <c r="F1287" s="8" t="str" cm="1">
        <f t="array" ref="F1287">_xlfn._xlws.FILTER(E1287:E4485, C1287:C4485= "6D-PM-1020-01", "No Squirrels Found")</f>
        <v>No Squirrels Found</v>
      </c>
      <c r="G1287" s="8" t="s">
        <v>48</v>
      </c>
      <c r="H1287" s="10">
        <v>10192018</v>
      </c>
      <c r="I1287" s="10">
        <v>2</v>
      </c>
      <c r="J1287" s="8" t="s">
        <v>39</v>
      </c>
      <c r="K1287" s="8" t="s">
        <v>40</v>
      </c>
      <c r="L1287" s="8" t="s">
        <v>168</v>
      </c>
      <c r="M1287" s="8" t="s">
        <v>169</v>
      </c>
      <c r="N1287" s="11" t="s">
        <v>3432</v>
      </c>
      <c r="O1287" s="8" t="s">
        <v>43</v>
      </c>
      <c r="P1287" s="8" t="b">
        <v>0</v>
      </c>
      <c r="R1287" s="8" t="b">
        <v>0</v>
      </c>
      <c r="S1287" s="8" t="b">
        <v>0</v>
      </c>
      <c r="T1287" s="8" t="b">
        <v>0</v>
      </c>
      <c r="U1287" s="8" t="b">
        <v>0</v>
      </c>
      <c r="V1287" s="8" t="b">
        <v>1</v>
      </c>
      <c r="W1287" s="11" t="s">
        <v>3433</v>
      </c>
      <c r="X1287" s="8" t="b">
        <v>0</v>
      </c>
      <c r="Y1287" s="8" t="b">
        <v>0</v>
      </c>
      <c r="Z1287" s="8" t="b">
        <v>0</v>
      </c>
      <c r="AA1287" s="8" t="b">
        <v>0</v>
      </c>
      <c r="AB1287" s="8" t="b">
        <v>0</v>
      </c>
      <c r="AC1287" s="8" t="b">
        <v>0</v>
      </c>
      <c r="AD1287" s="8" t="b">
        <v>0</v>
      </c>
      <c r="AE1287" s="8" t="b">
        <v>0</v>
      </c>
      <c r="AG1287" s="11" t="b" cm="1">
        <f t="array" ref="AG1287">IF(OR(Y1287:AA1287="TRUE", AE1287="true"), "Threatened")</f>
        <v>0</v>
      </c>
      <c r="AH1287" s="11" t="s">
        <v>3434</v>
      </c>
      <c r="AI1287" s="8" t="b">
        <v>0</v>
      </c>
    </row>
    <row r="1288" spans="1:35" ht="31.2">
      <c r="A1288" s="8">
        <v>-73.976323690000001</v>
      </c>
      <c r="B1288" s="8">
        <v>40.768681559999997</v>
      </c>
      <c r="C1288" s="8" t="s">
        <v>3435</v>
      </c>
      <c r="D1288" s="8" t="s">
        <v>544</v>
      </c>
      <c r="E1288" s="8" t="b">
        <f t="shared" si="20"/>
        <v>0</v>
      </c>
      <c r="F1288" s="8" t="str" cm="1">
        <f t="array" ref="F1288">_xlfn._xlws.FILTER(E1288:E4486, C1288:C4486= "6D-PM-1020-01", "No Squirrels Found")</f>
        <v>No Squirrels Found</v>
      </c>
      <c r="G1288" s="8" t="s">
        <v>34</v>
      </c>
      <c r="H1288" s="10">
        <v>10082018</v>
      </c>
      <c r="I1288" s="10">
        <v>12</v>
      </c>
      <c r="J1288" s="8" t="s">
        <v>39</v>
      </c>
      <c r="K1288" s="8" t="s">
        <v>41</v>
      </c>
      <c r="L1288" s="8" t="s">
        <v>135</v>
      </c>
      <c r="M1288" s="8" t="s">
        <v>136</v>
      </c>
      <c r="O1288" s="8" t="s">
        <v>50</v>
      </c>
      <c r="P1288" s="8">
        <v>3</v>
      </c>
      <c r="R1288" s="8" t="b">
        <v>1</v>
      </c>
      <c r="S1288" s="8" t="b">
        <v>0</v>
      </c>
      <c r="T1288" s="8" t="b">
        <v>0</v>
      </c>
      <c r="U1288" s="8" t="b">
        <v>0</v>
      </c>
      <c r="V1288" s="8" t="b">
        <v>0</v>
      </c>
      <c r="W1288" s="11" t="s">
        <v>3436</v>
      </c>
      <c r="X1288" s="8" t="b">
        <v>1</v>
      </c>
      <c r="Y1288" s="8" t="b">
        <v>0</v>
      </c>
      <c r="Z1288" s="8" t="b">
        <v>0</v>
      </c>
      <c r="AA1288" s="8" t="b">
        <v>0</v>
      </c>
      <c r="AB1288" s="8" t="b">
        <v>0</v>
      </c>
      <c r="AC1288" s="8" t="b">
        <v>0</v>
      </c>
      <c r="AD1288" s="8" t="b">
        <v>0</v>
      </c>
      <c r="AE1288" s="8" t="b">
        <v>1</v>
      </c>
      <c r="AG1288" s="11" t="b" cm="1">
        <f t="array" ref="AG1288">IF(OR(Y1288:AA1288="TRUE", AE1288="true"), "Threatened")</f>
        <v>0</v>
      </c>
      <c r="AH1288" s="11" t="s">
        <v>3437</v>
      </c>
      <c r="AI1288" s="8" t="b">
        <v>0</v>
      </c>
    </row>
    <row r="1289" spans="1:35" ht="31.2">
      <c r="A1289" s="8">
        <v>-73.973045429999999</v>
      </c>
      <c r="B1289" s="8">
        <v>40.770290950000003</v>
      </c>
      <c r="C1289" s="8" t="s">
        <v>3438</v>
      </c>
      <c r="D1289" s="8" t="s">
        <v>368</v>
      </c>
      <c r="E1289" s="8" t="b">
        <f t="shared" si="20"/>
        <v>0</v>
      </c>
      <c r="F1289" s="8" t="str" cm="1">
        <f t="array" ref="F1289">_xlfn._xlws.FILTER(E1289:E4487, C1289:C4487= "6D-PM-1020-01", "No Squirrels Found")</f>
        <v>No Squirrels Found</v>
      </c>
      <c r="G1289" s="8" t="s">
        <v>48</v>
      </c>
      <c r="H1289" s="10">
        <v>10082018</v>
      </c>
      <c r="I1289" s="10">
        <v>5</v>
      </c>
      <c r="J1289" s="8" t="s">
        <v>39</v>
      </c>
      <c r="K1289" s="8" t="s">
        <v>40</v>
      </c>
      <c r="M1289" s="8" t="s">
        <v>55</v>
      </c>
      <c r="O1289" s="8" t="s">
        <v>43</v>
      </c>
      <c r="P1289" s="8" t="b">
        <v>0</v>
      </c>
      <c r="Q1289" s="8" t="s">
        <v>236</v>
      </c>
      <c r="R1289" s="8" t="b">
        <v>0</v>
      </c>
      <c r="S1289" s="8" t="b">
        <v>1</v>
      </c>
      <c r="T1289" s="8" t="b">
        <v>0</v>
      </c>
      <c r="U1289" s="8" t="b">
        <v>0</v>
      </c>
      <c r="V1289" s="8" t="b">
        <v>0</v>
      </c>
      <c r="X1289" s="8" t="b">
        <v>0</v>
      </c>
      <c r="Y1289" s="8" t="b">
        <v>0</v>
      </c>
      <c r="Z1289" s="8" t="b">
        <v>0</v>
      </c>
      <c r="AA1289" s="8" t="b">
        <v>0</v>
      </c>
      <c r="AB1289" s="8" t="b">
        <v>0</v>
      </c>
      <c r="AC1289" s="8" t="b">
        <v>0</v>
      </c>
      <c r="AD1289" s="8" t="b">
        <v>1</v>
      </c>
      <c r="AE1289" s="8" t="b">
        <v>0</v>
      </c>
      <c r="AG1289" s="11" t="b" cm="1">
        <f t="array" ref="AG1289">IF(OR(Y1289:AA1289="TRUE", AE1289="true"), "Threatened")</f>
        <v>0</v>
      </c>
      <c r="AH1289" s="11" t="s">
        <v>3439</v>
      </c>
      <c r="AI1289" s="8" t="b">
        <v>1</v>
      </c>
    </row>
    <row r="1290" spans="1:35" ht="31.2">
      <c r="A1290" s="8">
        <v>-73.972468129999996</v>
      </c>
      <c r="B1290" s="8">
        <v>40.774347470000002</v>
      </c>
      <c r="C1290" s="8" t="s">
        <v>3440</v>
      </c>
      <c r="D1290" s="8" t="s">
        <v>98</v>
      </c>
      <c r="E1290" s="8" t="b">
        <f t="shared" si="20"/>
        <v>0</v>
      </c>
      <c r="F1290" s="8" t="str" cm="1">
        <f t="array" ref="F1290">_xlfn._xlws.FILTER(E1290:E4488, C1290:C4488= "6D-PM-1020-01", "No Squirrels Found")</f>
        <v>No Squirrels Found</v>
      </c>
      <c r="G1290" s="8" t="s">
        <v>34</v>
      </c>
      <c r="H1290" s="10">
        <v>10062018</v>
      </c>
      <c r="I1290" s="10">
        <v>3</v>
      </c>
      <c r="J1290" s="8" t="s">
        <v>39</v>
      </c>
      <c r="K1290" s="8" t="s">
        <v>41</v>
      </c>
      <c r="L1290" s="8" t="s">
        <v>40</v>
      </c>
      <c r="M1290" s="8" t="s">
        <v>110</v>
      </c>
      <c r="O1290" s="8" t="s">
        <v>43</v>
      </c>
      <c r="P1290" s="8" t="b">
        <v>0</v>
      </c>
      <c r="R1290" s="8" t="b">
        <v>0</v>
      </c>
      <c r="S1290" s="8" t="b">
        <v>0</v>
      </c>
      <c r="T1290" s="8" t="b">
        <v>0</v>
      </c>
      <c r="U1290" s="8" t="b">
        <v>1</v>
      </c>
      <c r="V1290" s="8" t="b">
        <v>1</v>
      </c>
      <c r="X1290" s="8" t="b">
        <v>0</v>
      </c>
      <c r="Y1290" s="8" t="b">
        <v>0</v>
      </c>
      <c r="Z1290" s="8" t="b">
        <v>0</v>
      </c>
      <c r="AA1290" s="8" t="b">
        <v>0</v>
      </c>
      <c r="AB1290" s="8" t="b">
        <v>0</v>
      </c>
      <c r="AC1290" s="8" t="b">
        <v>1</v>
      </c>
      <c r="AD1290" s="8" t="b">
        <v>0</v>
      </c>
      <c r="AE1290" s="8" t="b">
        <v>0</v>
      </c>
      <c r="AG1290" s="11" t="b" cm="1">
        <f t="array" ref="AG1290">IF(OR(Y1290:AA1290="TRUE", AE1290="true"), "Threatened")</f>
        <v>0</v>
      </c>
      <c r="AH1290" s="11" t="s">
        <v>3441</v>
      </c>
      <c r="AI1290" s="8" t="b">
        <v>1</v>
      </c>
    </row>
    <row r="1291" spans="1:35" ht="31.2">
      <c r="A1291" s="8">
        <v>-73.966814080000006</v>
      </c>
      <c r="B1291" s="8">
        <v>40.776810009999998</v>
      </c>
      <c r="C1291" s="8" t="s">
        <v>3442</v>
      </c>
      <c r="D1291" s="8" t="s">
        <v>326</v>
      </c>
      <c r="E1291" s="8" t="b">
        <f t="shared" si="20"/>
        <v>0</v>
      </c>
      <c r="F1291" s="8" t="str" cm="1">
        <f t="array" ref="F1291">_xlfn._xlws.FILTER(E1291:E4489, C1291:C4489= "6D-PM-1020-01", "No Squirrels Found")</f>
        <v>No Squirrels Found</v>
      </c>
      <c r="G1291" s="8" t="s">
        <v>48</v>
      </c>
      <c r="H1291" s="10">
        <v>10082018</v>
      </c>
      <c r="I1291" s="10">
        <v>6</v>
      </c>
      <c r="J1291" s="8" t="s">
        <v>39</v>
      </c>
      <c r="K1291" s="8" t="s">
        <v>41</v>
      </c>
      <c r="L1291" s="8" t="s">
        <v>84</v>
      </c>
      <c r="M1291" s="8" t="s">
        <v>85</v>
      </c>
      <c r="O1291" s="8" t="s">
        <v>43</v>
      </c>
      <c r="P1291" s="8" t="b">
        <v>0</v>
      </c>
      <c r="R1291" s="8" t="b">
        <v>0</v>
      </c>
      <c r="S1291" s="8" t="b">
        <v>0</v>
      </c>
      <c r="T1291" s="8" t="b">
        <v>0</v>
      </c>
      <c r="U1291" s="8" t="b">
        <v>1</v>
      </c>
      <c r="V1291" s="8" t="b">
        <v>0</v>
      </c>
      <c r="X1291" s="8" t="b">
        <v>0</v>
      </c>
      <c r="Y1291" s="8" t="b">
        <v>0</v>
      </c>
      <c r="Z1291" s="8" t="b">
        <v>0</v>
      </c>
      <c r="AA1291" s="8" t="b">
        <v>0</v>
      </c>
      <c r="AB1291" s="8" t="b">
        <v>0</v>
      </c>
      <c r="AC1291" s="8" t="b">
        <v>0</v>
      </c>
      <c r="AD1291" s="8" t="b">
        <v>0</v>
      </c>
      <c r="AE1291" s="8" t="b">
        <v>1</v>
      </c>
      <c r="AG1291" s="11" t="b" cm="1">
        <f t="array" ref="AG1291">IF(OR(Y1291:AA1291="TRUE", AE1291="true"), "Threatened")</f>
        <v>0</v>
      </c>
      <c r="AH1291" s="11" t="s">
        <v>3443</v>
      </c>
      <c r="AI1291" s="8" t="b">
        <v>1</v>
      </c>
    </row>
    <row r="1292" spans="1:35" ht="31.2">
      <c r="A1292" s="8">
        <v>-73.968593519999999</v>
      </c>
      <c r="B1292" s="8">
        <v>40.773553710000002</v>
      </c>
      <c r="C1292" s="8" t="s">
        <v>3444</v>
      </c>
      <c r="D1292" s="8" t="s">
        <v>83</v>
      </c>
      <c r="E1292" s="8" t="b">
        <f t="shared" si="20"/>
        <v>0</v>
      </c>
      <c r="F1292" s="8" t="str" cm="1">
        <f t="array" ref="F1292">_xlfn._xlws.FILTER(E1292:E4490, C1292:C4490= "6D-PM-1020-01", "No Squirrels Found")</f>
        <v>No Squirrels Found</v>
      </c>
      <c r="G1292" s="8" t="s">
        <v>34</v>
      </c>
      <c r="H1292" s="10">
        <v>10132018</v>
      </c>
      <c r="I1292" s="10">
        <v>3</v>
      </c>
      <c r="J1292" s="8" t="s">
        <v>39</v>
      </c>
      <c r="K1292" s="8" t="s">
        <v>40</v>
      </c>
      <c r="M1292" s="8" t="s">
        <v>55</v>
      </c>
      <c r="O1292" s="8" t="s">
        <v>43</v>
      </c>
      <c r="P1292" s="8" t="b">
        <v>0</v>
      </c>
      <c r="R1292" s="8" t="b">
        <v>0</v>
      </c>
      <c r="S1292" s="8" t="b">
        <v>0</v>
      </c>
      <c r="T1292" s="8" t="b">
        <v>0</v>
      </c>
      <c r="U1292" s="8" t="b">
        <v>0</v>
      </c>
      <c r="V1292" s="8" t="b">
        <v>0</v>
      </c>
      <c r="W1292" s="11" t="s">
        <v>3445</v>
      </c>
      <c r="X1292" s="8" t="b">
        <v>0</v>
      </c>
      <c r="Y1292" s="8" t="b">
        <v>0</v>
      </c>
      <c r="Z1292" s="8" t="b">
        <v>0</v>
      </c>
      <c r="AA1292" s="8" t="b">
        <v>0</v>
      </c>
      <c r="AB1292" s="8" t="b">
        <v>0</v>
      </c>
      <c r="AC1292" s="8" t="b">
        <v>0</v>
      </c>
      <c r="AD1292" s="8" t="b">
        <v>1</v>
      </c>
      <c r="AE1292" s="8" t="b">
        <v>0</v>
      </c>
      <c r="AG1292" s="11" t="b" cm="1">
        <f t="array" ref="AG1292">IF(OR(Y1292:AA1292="TRUE", AE1292="true"), "Threatened")</f>
        <v>0</v>
      </c>
      <c r="AH1292" s="11" t="s">
        <v>3446</v>
      </c>
      <c r="AI1292" s="8" t="b">
        <v>0</v>
      </c>
    </row>
    <row r="1293" spans="1:35" ht="31.2">
      <c r="A1293" s="8">
        <v>-73.959019990000002</v>
      </c>
      <c r="B1293" s="8">
        <v>40.791254670000001</v>
      </c>
      <c r="C1293" s="8" t="s">
        <v>3447</v>
      </c>
      <c r="D1293" s="8" t="s">
        <v>1214</v>
      </c>
      <c r="E1293" s="8" t="b">
        <f t="shared" si="20"/>
        <v>0</v>
      </c>
      <c r="F1293" s="8" t="str" cm="1">
        <f t="array" ref="F1293">_xlfn._xlws.FILTER(E1293:E4491, C1293:C4491= "6D-PM-1020-01", "No Squirrels Found")</f>
        <v>No Squirrels Found</v>
      </c>
      <c r="G1293" s="8" t="s">
        <v>34</v>
      </c>
      <c r="H1293" s="10">
        <v>10122018</v>
      </c>
      <c r="I1293" s="10">
        <v>5</v>
      </c>
      <c r="J1293" s="8" t="s">
        <v>39</v>
      </c>
      <c r="K1293" s="8" t="s">
        <v>40</v>
      </c>
      <c r="L1293" s="8" t="s">
        <v>84</v>
      </c>
      <c r="M1293" s="8" t="s">
        <v>103</v>
      </c>
      <c r="O1293" s="8" t="s">
        <v>43</v>
      </c>
      <c r="P1293" s="8" t="b">
        <v>0</v>
      </c>
      <c r="R1293" s="8" t="b">
        <v>0</v>
      </c>
      <c r="S1293" s="8" t="b">
        <v>0</v>
      </c>
      <c r="T1293" s="8" t="b">
        <v>0</v>
      </c>
      <c r="U1293" s="8" t="b">
        <v>0</v>
      </c>
      <c r="V1293" s="8" t="b">
        <v>0</v>
      </c>
      <c r="W1293" s="11" t="s">
        <v>1369</v>
      </c>
      <c r="X1293" s="8" t="b">
        <v>0</v>
      </c>
      <c r="Y1293" s="8" t="b">
        <v>0</v>
      </c>
      <c r="Z1293" s="8" t="b">
        <v>0</v>
      </c>
      <c r="AA1293" s="8" t="b">
        <v>0</v>
      </c>
      <c r="AB1293" s="8" t="b">
        <v>0</v>
      </c>
      <c r="AC1293" s="8" t="b">
        <v>0</v>
      </c>
      <c r="AD1293" s="8" t="b">
        <v>0</v>
      </c>
      <c r="AE1293" s="8" t="b">
        <v>0</v>
      </c>
      <c r="AG1293" s="11" t="b" cm="1">
        <f t="array" ref="AG1293">IF(OR(Y1293:AA1293="TRUE", AE1293="true"), "Threatened")</f>
        <v>0</v>
      </c>
      <c r="AH1293" s="11" t="s">
        <v>3448</v>
      </c>
      <c r="AI1293" s="8" t="b">
        <v>0</v>
      </c>
    </row>
    <row r="1294" spans="1:35" ht="31.2">
      <c r="A1294" s="8">
        <v>-73.977546540000006</v>
      </c>
      <c r="B1294" s="8">
        <v>40.768194370000003</v>
      </c>
      <c r="C1294" s="8" t="s">
        <v>3449</v>
      </c>
      <c r="D1294" s="8" t="s">
        <v>512</v>
      </c>
      <c r="E1294" s="8" t="b">
        <f t="shared" si="20"/>
        <v>0</v>
      </c>
      <c r="F1294" s="8" t="str" cm="1">
        <f t="array" ref="F1294">_xlfn._xlws.FILTER(E1294:E4492, C1294:C4492= "6D-PM-1020-01", "No Squirrels Found")</f>
        <v>No Squirrels Found</v>
      </c>
      <c r="G1294" s="8" t="s">
        <v>34</v>
      </c>
      <c r="H1294" s="10">
        <v>10102018</v>
      </c>
      <c r="I1294" s="10">
        <v>9</v>
      </c>
      <c r="J1294" s="8" t="s">
        <v>39</v>
      </c>
      <c r="K1294" s="8" t="s">
        <v>40</v>
      </c>
      <c r="M1294" s="8" t="s">
        <v>55</v>
      </c>
      <c r="O1294" s="8" t="s">
        <v>43</v>
      </c>
      <c r="P1294" s="8" t="b">
        <v>0</v>
      </c>
      <c r="R1294" s="8" t="b">
        <v>1</v>
      </c>
      <c r="S1294" s="8" t="b">
        <v>0</v>
      </c>
      <c r="T1294" s="8" t="b">
        <v>0</v>
      </c>
      <c r="U1294" s="8" t="b">
        <v>0</v>
      </c>
      <c r="V1294" s="8" t="b">
        <v>1</v>
      </c>
      <c r="X1294" s="8" t="b">
        <v>0</v>
      </c>
      <c r="Y1294" s="8" t="b">
        <v>0</v>
      </c>
      <c r="Z1294" s="8" t="b">
        <v>0</v>
      </c>
      <c r="AA1294" s="8" t="b">
        <v>0</v>
      </c>
      <c r="AB1294" s="8" t="b">
        <v>0</v>
      </c>
      <c r="AC1294" s="8" t="b">
        <v>0</v>
      </c>
      <c r="AD1294" s="8" t="b">
        <v>0</v>
      </c>
      <c r="AE1294" s="8" t="b">
        <v>1</v>
      </c>
      <c r="AG1294" s="11" t="b" cm="1">
        <f t="array" ref="AG1294">IF(OR(Y1294:AA1294="TRUE", AE1294="true"), "Threatened")</f>
        <v>0</v>
      </c>
      <c r="AH1294" s="11" t="s">
        <v>3450</v>
      </c>
      <c r="AI1294" s="8" t="b">
        <v>1</v>
      </c>
    </row>
    <row r="1295" spans="1:35" ht="31.2">
      <c r="A1295" s="8">
        <v>-73.960408990000005</v>
      </c>
      <c r="B1295" s="8">
        <v>40.791002810000002</v>
      </c>
      <c r="C1295" s="8" t="s">
        <v>3451</v>
      </c>
      <c r="D1295" s="8" t="s">
        <v>309</v>
      </c>
      <c r="E1295" s="8" t="b">
        <f t="shared" si="20"/>
        <v>0</v>
      </c>
      <c r="F1295" s="8" t="str" cm="1">
        <f t="array" ref="F1295">_xlfn._xlws.FILTER(E1295:E4493, C1295:C4493= "6D-PM-1020-01", "No Squirrels Found")</f>
        <v>No Squirrels Found</v>
      </c>
      <c r="G1295" s="8" t="s">
        <v>48</v>
      </c>
      <c r="H1295" s="10">
        <v>10132018</v>
      </c>
      <c r="I1295" s="10">
        <v>4</v>
      </c>
      <c r="J1295" s="8" t="s">
        <v>39</v>
      </c>
      <c r="K1295" s="8" t="s">
        <v>41</v>
      </c>
      <c r="M1295" s="8" t="s">
        <v>49</v>
      </c>
      <c r="N1295" s="11" t="s">
        <v>3452</v>
      </c>
      <c r="O1295" s="8" t="s">
        <v>43</v>
      </c>
      <c r="P1295" s="8" t="b">
        <v>0</v>
      </c>
      <c r="R1295" s="8" t="b">
        <v>1</v>
      </c>
      <c r="S1295" s="8" t="b">
        <v>0</v>
      </c>
      <c r="T1295" s="8" t="b">
        <v>0</v>
      </c>
      <c r="U1295" s="8" t="b">
        <v>0</v>
      </c>
      <c r="V1295" s="8" t="b">
        <v>0</v>
      </c>
      <c r="X1295" s="8" t="b">
        <v>0</v>
      </c>
      <c r="Y1295" s="8" t="b">
        <v>0</v>
      </c>
      <c r="Z1295" s="8" t="b">
        <v>0</v>
      </c>
      <c r="AA1295" s="8" t="b">
        <v>0</v>
      </c>
      <c r="AB1295" s="8" t="b">
        <v>1</v>
      </c>
      <c r="AC1295" s="8" t="b">
        <v>1</v>
      </c>
      <c r="AD1295" s="8" t="b">
        <v>0</v>
      </c>
      <c r="AE1295" s="8" t="b">
        <v>1</v>
      </c>
      <c r="AG1295" s="11" t="b" cm="1">
        <f t="array" ref="AG1295">IF(OR(Y1295:AA1295="TRUE", AE1295="true"), "Threatened")</f>
        <v>0</v>
      </c>
      <c r="AH1295" s="11" t="s">
        <v>3453</v>
      </c>
      <c r="AI1295" s="8" t="b">
        <v>1</v>
      </c>
    </row>
    <row r="1296" spans="1:35" ht="31.2">
      <c r="A1296" s="8">
        <v>-73.970953489999999</v>
      </c>
      <c r="B1296" s="8">
        <v>40.776596470000001</v>
      </c>
      <c r="C1296" s="8" t="s">
        <v>3454</v>
      </c>
      <c r="D1296" s="8" t="s">
        <v>741</v>
      </c>
      <c r="E1296" s="8" t="b">
        <f t="shared" si="20"/>
        <v>0</v>
      </c>
      <c r="F1296" s="8" t="str" cm="1">
        <f t="array" ref="F1296">_xlfn._xlws.FILTER(E1296:E4494, C1296:C4494= "6D-PM-1020-01", "No Squirrels Found")</f>
        <v>No Squirrels Found</v>
      </c>
      <c r="G1296" s="8" t="s">
        <v>48</v>
      </c>
      <c r="H1296" s="10">
        <v>10142018</v>
      </c>
      <c r="I1296" s="10">
        <v>15</v>
      </c>
      <c r="J1296" s="8" t="s">
        <v>39</v>
      </c>
      <c r="K1296" s="8" t="s">
        <v>40</v>
      </c>
      <c r="L1296" s="8" t="s">
        <v>117</v>
      </c>
      <c r="M1296" s="8" t="s">
        <v>118</v>
      </c>
      <c r="O1296" s="8" t="s">
        <v>43</v>
      </c>
      <c r="P1296" s="8" t="b">
        <v>0</v>
      </c>
      <c r="R1296" s="8" t="b">
        <v>0</v>
      </c>
      <c r="S1296" s="8" t="b">
        <v>0</v>
      </c>
      <c r="T1296" s="8" t="b">
        <v>0</v>
      </c>
      <c r="U1296" s="8" t="b">
        <v>1</v>
      </c>
      <c r="V1296" s="8" t="b">
        <v>1</v>
      </c>
      <c r="X1296" s="8" t="b">
        <v>0</v>
      </c>
      <c r="Y1296" s="8" t="b">
        <v>0</v>
      </c>
      <c r="Z1296" s="8" t="b">
        <v>0</v>
      </c>
      <c r="AA1296" s="8" t="b">
        <v>0</v>
      </c>
      <c r="AB1296" s="8" t="b">
        <v>0</v>
      </c>
      <c r="AC1296" s="8" t="b">
        <v>1</v>
      </c>
      <c r="AD1296" s="8" t="b">
        <v>0</v>
      </c>
      <c r="AE1296" s="8" t="b">
        <v>0</v>
      </c>
      <c r="AG1296" s="11" t="b" cm="1">
        <f t="array" ref="AG1296">IF(OR(Y1296:AA1296="TRUE", AE1296="true"), "Threatened")</f>
        <v>0</v>
      </c>
      <c r="AH1296" s="11" t="s">
        <v>3455</v>
      </c>
      <c r="AI1296" s="8" t="b">
        <v>1</v>
      </c>
    </row>
    <row r="1297" spans="1:35" ht="31.2">
      <c r="A1297" s="8">
        <v>-73.970550919999994</v>
      </c>
      <c r="B1297" s="8">
        <v>40.768941650000002</v>
      </c>
      <c r="C1297" s="8" t="s">
        <v>3456</v>
      </c>
      <c r="D1297" s="8" t="s">
        <v>242</v>
      </c>
      <c r="E1297" s="8" t="b">
        <f t="shared" si="20"/>
        <v>0</v>
      </c>
      <c r="F1297" s="8" t="str" cm="1">
        <f t="array" ref="F1297">_xlfn._xlws.FILTER(E1297:E4495, C1297:C4495= "6D-PM-1020-01", "No Squirrels Found")</f>
        <v>No Squirrels Found</v>
      </c>
      <c r="G1297" s="8" t="s">
        <v>34</v>
      </c>
      <c r="H1297" s="10">
        <v>10132018</v>
      </c>
      <c r="I1297" s="10">
        <v>4</v>
      </c>
      <c r="J1297" s="8" t="s">
        <v>39</v>
      </c>
      <c r="K1297" s="8" t="s">
        <v>192</v>
      </c>
      <c r="L1297" s="8" t="s">
        <v>40</v>
      </c>
      <c r="M1297" s="8" t="s">
        <v>1236</v>
      </c>
      <c r="O1297" s="8" t="s">
        <v>43</v>
      </c>
      <c r="P1297" s="8" t="b">
        <v>0</v>
      </c>
      <c r="Q1297" s="8" t="s">
        <v>3457</v>
      </c>
      <c r="R1297" s="8" t="b">
        <v>0</v>
      </c>
      <c r="S1297" s="8" t="b">
        <v>0</v>
      </c>
      <c r="T1297" s="8" t="b">
        <v>0</v>
      </c>
      <c r="U1297" s="8" t="b">
        <v>1</v>
      </c>
      <c r="V1297" s="8" t="b">
        <v>0</v>
      </c>
      <c r="X1297" s="8" t="b">
        <v>0</v>
      </c>
      <c r="Y1297" s="8" t="b">
        <v>0</v>
      </c>
      <c r="Z1297" s="8" t="b">
        <v>0</v>
      </c>
      <c r="AA1297" s="8" t="b">
        <v>0</v>
      </c>
      <c r="AB1297" s="8" t="b">
        <v>1</v>
      </c>
      <c r="AC1297" s="8" t="b">
        <v>0</v>
      </c>
      <c r="AD1297" s="8" t="b">
        <v>0</v>
      </c>
      <c r="AE1297" s="8" t="b">
        <v>0</v>
      </c>
      <c r="AG1297" s="11" t="b" cm="1">
        <f t="array" ref="AG1297">IF(OR(Y1297:AA1297="TRUE", AE1297="true"), "Threatened")</f>
        <v>0</v>
      </c>
      <c r="AH1297" s="11" t="s">
        <v>3458</v>
      </c>
      <c r="AI1297" s="8" t="b">
        <v>1</v>
      </c>
    </row>
    <row r="1298" spans="1:35" ht="31.2">
      <c r="A1298" s="8">
        <v>-73.980283170000007</v>
      </c>
      <c r="B1298" s="8">
        <v>40.769276329999997</v>
      </c>
      <c r="C1298" s="8" t="s">
        <v>3459</v>
      </c>
      <c r="D1298" s="8" t="s">
        <v>253</v>
      </c>
      <c r="E1298" s="8" t="b">
        <f t="shared" si="20"/>
        <v>0</v>
      </c>
      <c r="F1298" s="8" t="str" cm="1">
        <f t="array" ref="F1298">_xlfn._xlws.FILTER(E1298:E4496, C1298:C4496= "6D-PM-1020-01", "No Squirrels Found")</f>
        <v>No Squirrels Found</v>
      </c>
      <c r="G1298" s="8" t="s">
        <v>48</v>
      </c>
      <c r="H1298" s="10">
        <v>10122018</v>
      </c>
      <c r="I1298" s="10">
        <v>2</v>
      </c>
      <c r="J1298" s="8" t="s">
        <v>39</v>
      </c>
      <c r="K1298" s="8" t="s">
        <v>40</v>
      </c>
      <c r="L1298" s="8" t="s">
        <v>1924</v>
      </c>
      <c r="M1298" s="8" t="s">
        <v>1925</v>
      </c>
      <c r="N1298" s="11" t="s">
        <v>3460</v>
      </c>
      <c r="O1298" s="8" t="s">
        <v>50</v>
      </c>
      <c r="P1298" s="8">
        <v>1</v>
      </c>
      <c r="R1298" s="8" t="b">
        <v>1</v>
      </c>
      <c r="S1298" s="8" t="b">
        <v>0</v>
      </c>
      <c r="T1298" s="8" t="b">
        <v>0</v>
      </c>
      <c r="U1298" s="8" t="b">
        <v>0</v>
      </c>
      <c r="V1298" s="8" t="b">
        <v>0</v>
      </c>
      <c r="X1298" s="8" t="b">
        <v>0</v>
      </c>
      <c r="Y1298" s="8" t="b">
        <v>0</v>
      </c>
      <c r="Z1298" s="8" t="b">
        <v>0</v>
      </c>
      <c r="AA1298" s="8" t="b">
        <v>0</v>
      </c>
      <c r="AB1298" s="8" t="b">
        <v>1</v>
      </c>
      <c r="AC1298" s="8" t="b">
        <v>0</v>
      </c>
      <c r="AD1298" s="8" t="b">
        <v>0</v>
      </c>
      <c r="AE1298" s="8" t="b">
        <v>1</v>
      </c>
      <c r="AG1298" s="11" t="b" cm="1">
        <f t="array" ref="AG1298">IF(OR(Y1298:AA1298="TRUE", AE1298="true"), "Threatened")</f>
        <v>0</v>
      </c>
      <c r="AH1298" s="11" t="s">
        <v>3461</v>
      </c>
      <c r="AI1298" s="8" t="b">
        <v>1</v>
      </c>
    </row>
    <row r="1299" spans="1:35" ht="31.2">
      <c r="A1299" s="8">
        <v>-73.961290059999996</v>
      </c>
      <c r="B1299" s="8">
        <v>40.791291739999998</v>
      </c>
      <c r="C1299" s="8" t="s">
        <v>3462</v>
      </c>
      <c r="D1299" s="8" t="s">
        <v>616</v>
      </c>
      <c r="E1299" s="8" t="b">
        <f t="shared" si="20"/>
        <v>0</v>
      </c>
      <c r="F1299" s="8" t="str" cm="1">
        <f t="array" ref="F1299">_xlfn._xlws.FILTER(E1299:E4497, C1299:C4497= "6D-PM-1020-01", "No Squirrels Found")</f>
        <v>No Squirrels Found</v>
      </c>
      <c r="G1299" s="8" t="s">
        <v>48</v>
      </c>
      <c r="H1299" s="10">
        <v>10142018</v>
      </c>
      <c r="I1299" s="10">
        <v>1</v>
      </c>
      <c r="J1299" s="8" t="s">
        <v>39</v>
      </c>
      <c r="K1299" s="8" t="s">
        <v>40</v>
      </c>
      <c r="M1299" s="8" t="s">
        <v>55</v>
      </c>
      <c r="O1299" s="8" t="s">
        <v>43</v>
      </c>
      <c r="P1299" s="8" t="b">
        <v>0</v>
      </c>
      <c r="R1299" s="8" t="b">
        <v>1</v>
      </c>
      <c r="S1299" s="8" t="b">
        <v>0</v>
      </c>
      <c r="T1299" s="8" t="b">
        <v>0</v>
      </c>
      <c r="U1299" s="8" t="b">
        <v>1</v>
      </c>
      <c r="V1299" s="8" t="b">
        <v>1</v>
      </c>
      <c r="X1299" s="8" t="b">
        <v>0</v>
      </c>
      <c r="Y1299" s="8" t="b">
        <v>0</v>
      </c>
      <c r="Z1299" s="8" t="b">
        <v>0</v>
      </c>
      <c r="AA1299" s="8" t="b">
        <v>0</v>
      </c>
      <c r="AB1299" s="8" t="b">
        <v>0</v>
      </c>
      <c r="AC1299" s="8" t="b">
        <v>0</v>
      </c>
      <c r="AD1299" s="8" t="b">
        <v>0</v>
      </c>
      <c r="AE1299" s="8" t="b">
        <v>1</v>
      </c>
      <c r="AG1299" s="11" t="b" cm="1">
        <f t="array" ref="AG1299">IF(OR(Y1299:AA1299="TRUE", AE1299="true"), "Threatened")</f>
        <v>0</v>
      </c>
      <c r="AH1299" s="11" t="s">
        <v>3463</v>
      </c>
      <c r="AI1299" s="8" t="b">
        <v>1</v>
      </c>
    </row>
    <row r="1300" spans="1:35" ht="31.2">
      <c r="A1300" s="8">
        <v>-73.976665370000006</v>
      </c>
      <c r="B1300" s="8">
        <v>40.768876769999999</v>
      </c>
      <c r="C1300" s="8" t="s">
        <v>3464</v>
      </c>
      <c r="D1300" s="8" t="s">
        <v>544</v>
      </c>
      <c r="E1300" s="8" t="b">
        <f t="shared" si="20"/>
        <v>0</v>
      </c>
      <c r="F1300" s="8" t="str" cm="1">
        <f t="array" ref="F1300">_xlfn._xlws.FILTER(E1300:E4498, C1300:C4498= "6D-PM-1020-01", "No Squirrels Found")</f>
        <v>No Squirrels Found</v>
      </c>
      <c r="G1300" s="8" t="s">
        <v>48</v>
      </c>
      <c r="H1300" s="10">
        <v>10122018</v>
      </c>
      <c r="I1300" s="10">
        <v>1</v>
      </c>
      <c r="J1300" s="8" t="s">
        <v>39</v>
      </c>
      <c r="K1300" s="8" t="s">
        <v>40</v>
      </c>
      <c r="L1300" s="8" t="s">
        <v>117</v>
      </c>
      <c r="M1300" s="8" t="s">
        <v>118</v>
      </c>
      <c r="O1300" s="8" t="s">
        <v>43</v>
      </c>
      <c r="P1300" s="8" t="b">
        <v>0</v>
      </c>
      <c r="R1300" s="8" t="b">
        <v>1</v>
      </c>
      <c r="S1300" s="8" t="b">
        <v>0</v>
      </c>
      <c r="T1300" s="8" t="b">
        <v>1</v>
      </c>
      <c r="U1300" s="8" t="b">
        <v>0</v>
      </c>
      <c r="V1300" s="8" t="b">
        <v>1</v>
      </c>
      <c r="X1300" s="8" t="b">
        <v>0</v>
      </c>
      <c r="Y1300" s="8" t="b">
        <v>0</v>
      </c>
      <c r="Z1300" s="8" t="b">
        <v>0</v>
      </c>
      <c r="AA1300" s="8" t="b">
        <v>0</v>
      </c>
      <c r="AB1300" s="8" t="b">
        <v>0</v>
      </c>
      <c r="AC1300" s="8" t="b">
        <v>0</v>
      </c>
      <c r="AD1300" s="8" t="b">
        <v>1</v>
      </c>
      <c r="AE1300" s="8" t="b">
        <v>0</v>
      </c>
      <c r="AG1300" s="11" t="b" cm="1">
        <f t="array" ref="AG1300">IF(OR(Y1300:AA1300="TRUE", AE1300="true"), "Threatened")</f>
        <v>0</v>
      </c>
      <c r="AH1300" s="11" t="s">
        <v>3465</v>
      </c>
      <c r="AI1300" s="8" t="b">
        <v>1</v>
      </c>
    </row>
    <row r="1301" spans="1:35" ht="31.2">
      <c r="A1301" s="8">
        <v>-73.96428057</v>
      </c>
      <c r="B1301" s="8">
        <v>40.777830909999999</v>
      </c>
      <c r="C1301" s="8" t="s">
        <v>3466</v>
      </c>
      <c r="D1301" s="8" t="s">
        <v>1144</v>
      </c>
      <c r="E1301" s="8" t="b">
        <f t="shared" si="20"/>
        <v>0</v>
      </c>
      <c r="F1301" s="8" t="str" cm="1">
        <f t="array" ref="F1301">_xlfn._xlws.FILTER(E1301:E4499, C1301:C4499= "6D-PM-1020-01", "No Squirrels Found")</f>
        <v>No Squirrels Found</v>
      </c>
      <c r="G1301" s="8" t="s">
        <v>34</v>
      </c>
      <c r="H1301" s="10">
        <v>10072018</v>
      </c>
      <c r="I1301" s="10">
        <v>8</v>
      </c>
      <c r="J1301" s="8" t="s">
        <v>39</v>
      </c>
      <c r="K1301" s="8" t="s">
        <v>40</v>
      </c>
      <c r="L1301" s="8" t="s">
        <v>41</v>
      </c>
      <c r="M1301" s="8" t="s">
        <v>42</v>
      </c>
      <c r="O1301" s="8" t="s">
        <v>50</v>
      </c>
      <c r="P1301" s="8">
        <v>20</v>
      </c>
      <c r="R1301" s="8" t="b">
        <v>0</v>
      </c>
      <c r="S1301" s="8" t="b">
        <v>1</v>
      </c>
      <c r="T1301" s="8" t="b">
        <v>1</v>
      </c>
      <c r="U1301" s="8" t="b">
        <v>0</v>
      </c>
      <c r="V1301" s="8" t="b">
        <v>0</v>
      </c>
      <c r="W1301" s="11" t="s">
        <v>3467</v>
      </c>
      <c r="X1301" s="8" t="b">
        <v>0</v>
      </c>
      <c r="Y1301" s="8" t="b">
        <v>0</v>
      </c>
      <c r="Z1301" s="8" t="b">
        <v>0</v>
      </c>
      <c r="AA1301" s="8" t="b">
        <v>0</v>
      </c>
      <c r="AB1301" s="8" t="b">
        <v>0</v>
      </c>
      <c r="AC1301" s="8" t="b">
        <v>0</v>
      </c>
      <c r="AD1301" s="8" t="b">
        <v>1</v>
      </c>
      <c r="AE1301" s="8" t="b">
        <v>0</v>
      </c>
      <c r="AG1301" s="11" t="b" cm="1">
        <f t="array" ref="AG1301">IF(OR(Y1301:AA1301="TRUE", AE1301="true"), "Threatened")</f>
        <v>0</v>
      </c>
      <c r="AH1301" s="11" t="s">
        <v>3468</v>
      </c>
      <c r="AI1301" s="8" t="b">
        <v>0</v>
      </c>
    </row>
    <row r="1302" spans="1:35" ht="31.2">
      <c r="A1302" s="8">
        <v>-73.955214670000004</v>
      </c>
      <c r="B1302" s="8">
        <v>40.789290909999998</v>
      </c>
      <c r="C1302" s="8" t="s">
        <v>3469</v>
      </c>
      <c r="D1302" s="8" t="s">
        <v>877</v>
      </c>
      <c r="E1302" s="8" t="b">
        <f t="shared" si="20"/>
        <v>0</v>
      </c>
      <c r="F1302" s="8" t="str" cm="1">
        <f t="array" ref="F1302">_xlfn._xlws.FILTER(E1302:E4500, C1302:C4500= "6D-PM-1020-01", "No Squirrels Found")</f>
        <v>No Squirrels Found</v>
      </c>
      <c r="G1302" s="8" t="s">
        <v>34</v>
      </c>
      <c r="H1302" s="10">
        <v>10072018</v>
      </c>
      <c r="I1302" s="10">
        <v>3</v>
      </c>
      <c r="J1302" s="8" t="s">
        <v>39</v>
      </c>
      <c r="K1302" s="8" t="s">
        <v>40</v>
      </c>
      <c r="M1302" s="8" t="s">
        <v>55</v>
      </c>
      <c r="N1302" s="11" t="s">
        <v>3470</v>
      </c>
      <c r="O1302" s="8" t="s">
        <v>50</v>
      </c>
      <c r="P1302" s="8">
        <v>20</v>
      </c>
      <c r="R1302" s="8" t="b">
        <v>0</v>
      </c>
      <c r="S1302" s="8" t="b">
        <v>0</v>
      </c>
      <c r="T1302" s="8" t="b">
        <v>1</v>
      </c>
      <c r="U1302" s="8" t="b">
        <v>0</v>
      </c>
      <c r="V1302" s="8" t="b">
        <v>0</v>
      </c>
      <c r="X1302" s="8" t="b">
        <v>0</v>
      </c>
      <c r="Y1302" s="8" t="b">
        <v>0</v>
      </c>
      <c r="Z1302" s="8" t="b">
        <v>0</v>
      </c>
      <c r="AA1302" s="8" t="b">
        <v>0</v>
      </c>
      <c r="AB1302" s="8" t="b">
        <v>0</v>
      </c>
      <c r="AC1302" s="8" t="b">
        <v>0</v>
      </c>
      <c r="AD1302" s="8" t="b">
        <v>1</v>
      </c>
      <c r="AE1302" s="8" t="b">
        <v>0</v>
      </c>
      <c r="AG1302" s="11" t="b" cm="1">
        <f t="array" ref="AG1302">IF(OR(Y1302:AA1302="TRUE", AE1302="true"), "Threatened")</f>
        <v>0</v>
      </c>
      <c r="AH1302" s="11" t="s">
        <v>3471</v>
      </c>
      <c r="AI1302" s="8" t="b">
        <v>1</v>
      </c>
    </row>
    <row r="1303" spans="1:35" ht="31.2">
      <c r="A1303" s="8">
        <v>-73.970402449999995</v>
      </c>
      <c r="B1303" s="8">
        <v>40.772925610000001</v>
      </c>
      <c r="C1303" s="8" t="s">
        <v>3472</v>
      </c>
      <c r="D1303" s="8" t="s">
        <v>609</v>
      </c>
      <c r="E1303" s="8" t="b">
        <f t="shared" si="20"/>
        <v>0</v>
      </c>
      <c r="F1303" s="8" t="str" cm="1">
        <f t="array" ref="F1303">_xlfn._xlws.FILTER(E1303:E4501, C1303:C4501= "6D-PM-1020-01", "No Squirrels Found")</f>
        <v>No Squirrels Found</v>
      </c>
      <c r="G1303" s="8" t="s">
        <v>48</v>
      </c>
      <c r="H1303" s="10">
        <v>10062018</v>
      </c>
      <c r="I1303" s="10">
        <v>4</v>
      </c>
      <c r="J1303" s="8" t="s">
        <v>54</v>
      </c>
      <c r="K1303" s="8" t="s">
        <v>40</v>
      </c>
      <c r="L1303" s="8" t="s">
        <v>84</v>
      </c>
      <c r="M1303" s="8" t="s">
        <v>103</v>
      </c>
      <c r="O1303" s="8" t="s">
        <v>43</v>
      </c>
      <c r="P1303" s="8" t="b">
        <v>0</v>
      </c>
      <c r="R1303" s="8" t="b">
        <v>0</v>
      </c>
      <c r="S1303" s="8" t="b">
        <v>1</v>
      </c>
      <c r="T1303" s="8" t="b">
        <v>0</v>
      </c>
      <c r="U1303" s="8" t="b">
        <v>0</v>
      </c>
      <c r="V1303" s="8" t="b">
        <v>0</v>
      </c>
      <c r="W1303" s="11" t="s">
        <v>3473</v>
      </c>
      <c r="X1303" s="8" t="b">
        <v>1</v>
      </c>
      <c r="Y1303" s="8" t="b">
        <v>0</v>
      </c>
      <c r="Z1303" s="8" t="b">
        <v>0</v>
      </c>
      <c r="AA1303" s="8" t="b">
        <v>0</v>
      </c>
      <c r="AB1303" s="8" t="b">
        <v>0</v>
      </c>
      <c r="AC1303" s="8" t="b">
        <v>0</v>
      </c>
      <c r="AD1303" s="8" t="b">
        <v>0</v>
      </c>
      <c r="AE1303" s="8" t="b">
        <v>0</v>
      </c>
      <c r="AG1303" s="11" t="b" cm="1">
        <f t="array" ref="AG1303">IF(OR(Y1303:AA1303="TRUE", AE1303="true"), "Threatened")</f>
        <v>0</v>
      </c>
      <c r="AH1303" s="11" t="s">
        <v>3474</v>
      </c>
      <c r="AI1303" s="8" t="b">
        <v>0</v>
      </c>
    </row>
    <row r="1304" spans="1:35" ht="31.2">
      <c r="A1304" s="8">
        <v>-73.960330240000005</v>
      </c>
      <c r="B1304" s="8">
        <v>40.791010040000003</v>
      </c>
      <c r="C1304" s="8" t="s">
        <v>3475</v>
      </c>
      <c r="D1304" s="8" t="s">
        <v>309</v>
      </c>
      <c r="E1304" s="8" t="b">
        <f t="shared" si="20"/>
        <v>0</v>
      </c>
      <c r="F1304" s="8" t="str" cm="1">
        <f t="array" ref="F1304">_xlfn._xlws.FILTER(E1304:E4502, C1304:C4502= "6D-PM-1020-01", "No Squirrels Found")</f>
        <v>No Squirrels Found</v>
      </c>
      <c r="G1304" s="8" t="s">
        <v>34</v>
      </c>
      <c r="H1304" s="10">
        <v>10062018</v>
      </c>
      <c r="I1304" s="10">
        <v>1</v>
      </c>
      <c r="J1304" s="8" t="s">
        <v>39</v>
      </c>
      <c r="K1304" s="8" t="s">
        <v>40</v>
      </c>
      <c r="L1304" s="8" t="s">
        <v>117</v>
      </c>
      <c r="M1304" s="8" t="s">
        <v>118</v>
      </c>
      <c r="O1304" s="8" t="s">
        <v>43</v>
      </c>
      <c r="P1304" s="8" t="b">
        <v>0</v>
      </c>
      <c r="R1304" s="8" t="b">
        <v>1</v>
      </c>
      <c r="S1304" s="8" t="b">
        <v>0</v>
      </c>
      <c r="T1304" s="8" t="b">
        <v>0</v>
      </c>
      <c r="U1304" s="8" t="b">
        <v>1</v>
      </c>
      <c r="V1304" s="8" t="b">
        <v>0</v>
      </c>
      <c r="X1304" s="8" t="b">
        <v>0</v>
      </c>
      <c r="Y1304" s="8" t="b">
        <v>0</v>
      </c>
      <c r="Z1304" s="8" t="b">
        <v>0</v>
      </c>
      <c r="AA1304" s="8" t="b">
        <v>0</v>
      </c>
      <c r="AB1304" s="8" t="b">
        <v>1</v>
      </c>
      <c r="AC1304" s="8" t="b">
        <v>0</v>
      </c>
      <c r="AD1304" s="8" t="b">
        <v>0</v>
      </c>
      <c r="AE1304" s="8" t="b">
        <v>1</v>
      </c>
      <c r="AG1304" s="11" t="b" cm="1">
        <f t="array" ref="AG1304">IF(OR(Y1304:AA1304="TRUE", AE1304="true"), "Threatened")</f>
        <v>0</v>
      </c>
      <c r="AH1304" s="11" t="s">
        <v>3476</v>
      </c>
      <c r="AI1304" s="8" t="b">
        <v>1</v>
      </c>
    </row>
    <row r="1305" spans="1:35" ht="31.2">
      <c r="A1305" s="8">
        <v>-73.953331950000006</v>
      </c>
      <c r="B1305" s="8">
        <v>40.793364789999998</v>
      </c>
      <c r="C1305" s="8" t="s">
        <v>3477</v>
      </c>
      <c r="D1305" s="8" t="s">
        <v>867</v>
      </c>
      <c r="E1305" s="8" t="b">
        <f t="shared" si="20"/>
        <v>0</v>
      </c>
      <c r="F1305" s="8" t="str" cm="1">
        <f t="array" ref="F1305">_xlfn._xlws.FILTER(E1305:E4503, C1305:C4503= "6D-PM-1020-01", "No Squirrels Found")</f>
        <v>No Squirrels Found</v>
      </c>
      <c r="G1305" s="8" t="s">
        <v>48</v>
      </c>
      <c r="H1305" s="10">
        <v>10182018</v>
      </c>
      <c r="I1305" s="10">
        <v>2</v>
      </c>
      <c r="J1305" s="8" t="s">
        <v>39</v>
      </c>
      <c r="K1305" s="8" t="s">
        <v>40</v>
      </c>
      <c r="M1305" s="8" t="s">
        <v>55</v>
      </c>
      <c r="O1305" s="8" t="s">
        <v>50</v>
      </c>
      <c r="Q1305" s="8" t="s">
        <v>3478</v>
      </c>
      <c r="R1305" s="8" t="b">
        <v>0</v>
      </c>
      <c r="S1305" s="8" t="b">
        <v>0</v>
      </c>
      <c r="T1305" s="8" t="b">
        <v>1</v>
      </c>
      <c r="U1305" s="8" t="b">
        <v>0</v>
      </c>
      <c r="V1305" s="8" t="b">
        <v>0</v>
      </c>
      <c r="X1305" s="8" t="b">
        <v>0</v>
      </c>
      <c r="Y1305" s="8" t="b">
        <v>0</v>
      </c>
      <c r="Z1305" s="8" t="b">
        <v>0</v>
      </c>
      <c r="AA1305" s="8" t="b">
        <v>0</v>
      </c>
      <c r="AB1305" s="8" t="b">
        <v>0</v>
      </c>
      <c r="AC1305" s="8" t="b">
        <v>0</v>
      </c>
      <c r="AD1305" s="8" t="b">
        <v>0</v>
      </c>
      <c r="AE1305" s="8" t="b">
        <v>0</v>
      </c>
      <c r="AF1305" s="11" t="s">
        <v>3479</v>
      </c>
      <c r="AG1305" s="11" t="b" cm="1">
        <f t="array" ref="AG1305">IF(OR(Y1305:AA1305="TRUE", AE1305="true"), "Threatened")</f>
        <v>0</v>
      </c>
      <c r="AH1305" s="11" t="s">
        <v>3480</v>
      </c>
      <c r="AI1305" s="8" t="b">
        <v>1</v>
      </c>
    </row>
    <row r="1306" spans="1:35" ht="31.2">
      <c r="A1306" s="8">
        <v>-73.956932499999994</v>
      </c>
      <c r="B1306" s="8">
        <v>40.787774839999997</v>
      </c>
      <c r="C1306" s="8" t="s">
        <v>3481</v>
      </c>
      <c r="D1306" s="8" t="s">
        <v>1915</v>
      </c>
      <c r="E1306" s="8" t="b">
        <f t="shared" si="20"/>
        <v>0</v>
      </c>
      <c r="F1306" s="8" t="str" cm="1">
        <f t="array" ref="F1306">_xlfn._xlws.FILTER(E1306:E4504, C1306:C4504= "6D-PM-1020-01", "No Squirrels Found")</f>
        <v>No Squirrels Found</v>
      </c>
      <c r="G1306" s="8" t="s">
        <v>34</v>
      </c>
      <c r="H1306" s="10">
        <v>10062018</v>
      </c>
      <c r="I1306" s="10">
        <v>1</v>
      </c>
      <c r="J1306" s="8" t="s">
        <v>39</v>
      </c>
      <c r="K1306" s="8" t="s">
        <v>40</v>
      </c>
      <c r="L1306" s="8" t="s">
        <v>84</v>
      </c>
      <c r="M1306" s="8" t="s">
        <v>103</v>
      </c>
      <c r="O1306" s="8" t="s">
        <v>43</v>
      </c>
      <c r="P1306" s="8" t="b">
        <v>0</v>
      </c>
      <c r="R1306" s="8" t="b">
        <v>0</v>
      </c>
      <c r="S1306" s="8" t="b">
        <v>0</v>
      </c>
      <c r="T1306" s="8" t="b">
        <v>0</v>
      </c>
      <c r="U1306" s="8" t="b">
        <v>0</v>
      </c>
      <c r="V1306" s="8" t="b">
        <v>0</v>
      </c>
      <c r="W1306" s="11" t="s">
        <v>3482</v>
      </c>
      <c r="X1306" s="8" t="b">
        <v>0</v>
      </c>
      <c r="Y1306" s="8" t="b">
        <v>0</v>
      </c>
      <c r="Z1306" s="8" t="b">
        <v>0</v>
      </c>
      <c r="AA1306" s="8" t="b">
        <v>0</v>
      </c>
      <c r="AB1306" s="8" t="b">
        <v>0</v>
      </c>
      <c r="AC1306" s="8" t="b">
        <v>0</v>
      </c>
      <c r="AD1306" s="8" t="b">
        <v>0</v>
      </c>
      <c r="AE1306" s="8" t="b">
        <v>1</v>
      </c>
      <c r="AG1306" s="11" t="b" cm="1">
        <f t="array" ref="AG1306">IF(OR(Y1306:AA1306="TRUE", AE1306="true"), "Threatened")</f>
        <v>0</v>
      </c>
      <c r="AH1306" s="11" t="s">
        <v>3483</v>
      </c>
      <c r="AI1306" s="8" t="b">
        <v>0</v>
      </c>
    </row>
    <row r="1307" spans="1:35" ht="31.2">
      <c r="A1307" s="8">
        <v>-73.975597460000003</v>
      </c>
      <c r="B1307" s="8">
        <v>40.767343580000002</v>
      </c>
      <c r="C1307" s="8" t="s">
        <v>3484</v>
      </c>
      <c r="D1307" s="8" t="s">
        <v>1706</v>
      </c>
      <c r="E1307" s="8" t="b">
        <f t="shared" si="20"/>
        <v>0</v>
      </c>
      <c r="F1307" s="8" t="str" cm="1">
        <f t="array" ref="F1307">_xlfn._xlws.FILTER(E1307:E4505, C1307:C4505= "6D-PM-1020-01", "No Squirrels Found")</f>
        <v>No Squirrels Found</v>
      </c>
      <c r="G1307" s="8" t="s">
        <v>34</v>
      </c>
      <c r="H1307" s="10">
        <v>10132018</v>
      </c>
      <c r="I1307" s="10">
        <v>1</v>
      </c>
      <c r="J1307" s="8" t="s">
        <v>39</v>
      </c>
      <c r="K1307" s="8" t="s">
        <v>40</v>
      </c>
      <c r="L1307" s="8" t="s">
        <v>41</v>
      </c>
      <c r="M1307" s="8" t="s">
        <v>42</v>
      </c>
      <c r="O1307" s="8" t="s">
        <v>43</v>
      </c>
      <c r="P1307" s="8" t="b">
        <v>0</v>
      </c>
      <c r="R1307" s="8" t="b">
        <v>0</v>
      </c>
      <c r="S1307" s="8" t="b">
        <v>0</v>
      </c>
      <c r="T1307" s="8" t="b">
        <v>0</v>
      </c>
      <c r="U1307" s="8" t="b">
        <v>0</v>
      </c>
      <c r="V1307" s="8" t="b">
        <v>1</v>
      </c>
      <c r="X1307" s="8" t="b">
        <v>0</v>
      </c>
      <c r="Y1307" s="8" t="b">
        <v>0</v>
      </c>
      <c r="Z1307" s="8" t="b">
        <v>0</v>
      </c>
      <c r="AA1307" s="8" t="b">
        <v>0</v>
      </c>
      <c r="AB1307" s="8" t="b">
        <v>1</v>
      </c>
      <c r="AC1307" s="8" t="b">
        <v>0</v>
      </c>
      <c r="AD1307" s="8" t="b">
        <v>1</v>
      </c>
      <c r="AE1307" s="8" t="b">
        <v>0</v>
      </c>
      <c r="AG1307" s="11" t="b" cm="1">
        <f t="array" ref="AG1307">IF(OR(Y1307:AA1307="TRUE", AE1307="true"), "Threatened")</f>
        <v>0</v>
      </c>
      <c r="AH1307" s="11" t="s">
        <v>3485</v>
      </c>
      <c r="AI1307" s="8" t="b">
        <v>1</v>
      </c>
    </row>
    <row r="1308" spans="1:35" ht="31.2">
      <c r="A1308" s="8">
        <v>-73.956519709999995</v>
      </c>
      <c r="B1308" s="8">
        <v>40.798601140000002</v>
      </c>
      <c r="C1308" s="8" t="s">
        <v>3486</v>
      </c>
      <c r="D1308" s="8" t="s">
        <v>1133</v>
      </c>
      <c r="E1308" s="8" t="b">
        <f t="shared" si="20"/>
        <v>0</v>
      </c>
      <c r="F1308" s="8" t="str" cm="1">
        <f t="array" ref="F1308">_xlfn._xlws.FILTER(E1308:E4506, C1308:C4506= "6D-PM-1020-01", "No Squirrels Found")</f>
        <v>No Squirrels Found</v>
      </c>
      <c r="G1308" s="8" t="s">
        <v>34</v>
      </c>
      <c r="H1308" s="10">
        <v>10072018</v>
      </c>
      <c r="I1308" s="10">
        <v>1</v>
      </c>
      <c r="J1308" s="8" t="s">
        <v>39</v>
      </c>
      <c r="K1308" s="8" t="s">
        <v>192</v>
      </c>
      <c r="M1308" s="8" t="s">
        <v>193</v>
      </c>
      <c r="O1308" s="8" t="s">
        <v>43</v>
      </c>
      <c r="P1308" s="8" t="b">
        <v>0</v>
      </c>
      <c r="R1308" s="8" t="b">
        <v>1</v>
      </c>
      <c r="S1308" s="8" t="b">
        <v>0</v>
      </c>
      <c r="T1308" s="8" t="b">
        <v>0</v>
      </c>
      <c r="U1308" s="8" t="b">
        <v>1</v>
      </c>
      <c r="V1308" s="8" t="b">
        <v>0</v>
      </c>
      <c r="X1308" s="8" t="b">
        <v>0</v>
      </c>
      <c r="Y1308" s="8" t="b">
        <v>0</v>
      </c>
      <c r="Z1308" s="8" t="b">
        <v>0</v>
      </c>
      <c r="AA1308" s="8" t="b">
        <v>0</v>
      </c>
      <c r="AB1308" s="8" t="b">
        <v>0</v>
      </c>
      <c r="AC1308" s="8" t="b">
        <v>0</v>
      </c>
      <c r="AD1308" s="8" t="b">
        <v>0</v>
      </c>
      <c r="AE1308" s="8" t="b">
        <v>1</v>
      </c>
      <c r="AG1308" s="11" t="b" cm="1">
        <f t="array" ref="AG1308">IF(OR(Y1308:AA1308="TRUE", AE1308="true"), "Threatened")</f>
        <v>0</v>
      </c>
      <c r="AH1308" s="11" t="s">
        <v>3487</v>
      </c>
      <c r="AI1308" s="8" t="b">
        <v>1</v>
      </c>
    </row>
    <row r="1309" spans="1:35" ht="31.2">
      <c r="A1309" s="8">
        <v>-73.95603964</v>
      </c>
      <c r="B1309" s="8">
        <v>40.794508039999997</v>
      </c>
      <c r="C1309" s="8" t="s">
        <v>3488</v>
      </c>
      <c r="D1309" s="8" t="s">
        <v>38</v>
      </c>
      <c r="E1309" s="8" t="b">
        <f t="shared" si="20"/>
        <v>0</v>
      </c>
      <c r="F1309" s="8" t="str" cm="1">
        <f t="array" ref="F1309">_xlfn._xlws.FILTER(E1309:E4507, C1309:C4507= "6D-PM-1020-01", "No Squirrels Found")</f>
        <v>No Squirrels Found</v>
      </c>
      <c r="G1309" s="8" t="s">
        <v>48</v>
      </c>
      <c r="H1309" s="10">
        <v>10132018</v>
      </c>
      <c r="I1309" s="10">
        <v>1</v>
      </c>
      <c r="J1309" s="8" t="s">
        <v>39</v>
      </c>
      <c r="K1309" s="8" t="s">
        <v>40</v>
      </c>
      <c r="L1309" s="8" t="s">
        <v>84</v>
      </c>
      <c r="M1309" s="8" t="s">
        <v>103</v>
      </c>
      <c r="O1309" s="8" t="s">
        <v>43</v>
      </c>
      <c r="P1309" s="8" t="b">
        <v>0</v>
      </c>
      <c r="R1309" s="8" t="b">
        <v>1</v>
      </c>
      <c r="S1309" s="8" t="b">
        <v>0</v>
      </c>
      <c r="T1309" s="8" t="b">
        <v>0</v>
      </c>
      <c r="U1309" s="8" t="b">
        <v>0</v>
      </c>
      <c r="V1309" s="8" t="b">
        <v>1</v>
      </c>
      <c r="X1309" s="8" t="b">
        <v>0</v>
      </c>
      <c r="Y1309" s="8" t="b">
        <v>0</v>
      </c>
      <c r="Z1309" s="8" t="b">
        <v>0</v>
      </c>
      <c r="AA1309" s="8" t="b">
        <v>0</v>
      </c>
      <c r="AB1309" s="8" t="b">
        <v>0</v>
      </c>
      <c r="AC1309" s="8" t="b">
        <v>0</v>
      </c>
      <c r="AD1309" s="8" t="b">
        <v>1</v>
      </c>
      <c r="AE1309" s="8" t="b">
        <v>0</v>
      </c>
      <c r="AG1309" s="11" t="b" cm="1">
        <f t="array" ref="AG1309">IF(OR(Y1309:AA1309="TRUE", AE1309="true"), "Threatened")</f>
        <v>0</v>
      </c>
      <c r="AH1309" s="11" t="s">
        <v>3489</v>
      </c>
      <c r="AI1309" s="8" t="b">
        <v>1</v>
      </c>
    </row>
    <row r="1310" spans="1:35" ht="31.2">
      <c r="A1310" s="8">
        <v>-73.954584179999998</v>
      </c>
      <c r="B1310" s="8">
        <v>40.792692430000002</v>
      </c>
      <c r="C1310" s="8" t="s">
        <v>3490</v>
      </c>
      <c r="D1310" s="8" t="s">
        <v>88</v>
      </c>
      <c r="E1310" s="8" t="b">
        <f t="shared" si="20"/>
        <v>0</v>
      </c>
      <c r="F1310" s="8" t="str" cm="1">
        <f t="array" ref="F1310">_xlfn._xlws.FILTER(E1310:E4508, C1310:C4508= "6D-PM-1020-01", "No Squirrels Found")</f>
        <v>No Squirrels Found</v>
      </c>
      <c r="G1310" s="8" t="s">
        <v>48</v>
      </c>
      <c r="H1310" s="10">
        <v>10102018</v>
      </c>
      <c r="I1310" s="10">
        <v>1</v>
      </c>
      <c r="J1310" s="8" t="s">
        <v>39</v>
      </c>
      <c r="K1310" s="8" t="s">
        <v>40</v>
      </c>
      <c r="L1310" s="8" t="s">
        <v>192</v>
      </c>
      <c r="M1310" s="8" t="s">
        <v>354</v>
      </c>
      <c r="O1310" s="8" t="s">
        <v>43</v>
      </c>
      <c r="P1310" s="8" t="b">
        <v>0</v>
      </c>
      <c r="R1310" s="8" t="b">
        <v>0</v>
      </c>
      <c r="S1310" s="8" t="b">
        <v>0</v>
      </c>
      <c r="T1310" s="8" t="b">
        <v>0</v>
      </c>
      <c r="U1310" s="8" t="b">
        <v>0</v>
      </c>
      <c r="V1310" s="8" t="b">
        <v>1</v>
      </c>
      <c r="X1310" s="8" t="b">
        <v>0</v>
      </c>
      <c r="Y1310" s="8" t="b">
        <v>0</v>
      </c>
      <c r="Z1310" s="8" t="b">
        <v>0</v>
      </c>
      <c r="AA1310" s="8" t="b">
        <v>0</v>
      </c>
      <c r="AB1310" s="8" t="b">
        <v>0</v>
      </c>
      <c r="AC1310" s="8" t="b">
        <v>0</v>
      </c>
      <c r="AD1310" s="8" t="b">
        <v>1</v>
      </c>
      <c r="AE1310" s="8" t="b">
        <v>0</v>
      </c>
      <c r="AG1310" s="11" t="b" cm="1">
        <f t="array" ref="AG1310">IF(OR(Y1310:AA1310="TRUE", AE1310="true"), "Threatened")</f>
        <v>0</v>
      </c>
      <c r="AH1310" s="11" t="s">
        <v>3491</v>
      </c>
      <c r="AI1310" s="8" t="b">
        <v>1</v>
      </c>
    </row>
    <row r="1311" spans="1:35" ht="31.2">
      <c r="A1311" s="8">
        <v>-73.954620140000003</v>
      </c>
      <c r="B1311" s="8">
        <v>40.79894238</v>
      </c>
      <c r="C1311" s="8" t="s">
        <v>3492</v>
      </c>
      <c r="D1311" s="8" t="s">
        <v>1429</v>
      </c>
      <c r="E1311" s="8" t="b">
        <f t="shared" si="20"/>
        <v>0</v>
      </c>
      <c r="F1311" s="8" t="str" cm="1">
        <f t="array" ref="F1311">_xlfn._xlws.FILTER(E1311:E4509, C1311:C4509= "6D-PM-1020-01", "No Squirrels Found")</f>
        <v>No Squirrels Found</v>
      </c>
      <c r="G1311" s="8" t="s">
        <v>48</v>
      </c>
      <c r="H1311" s="10">
        <v>10142018</v>
      </c>
      <c r="I1311" s="10">
        <v>3</v>
      </c>
      <c r="J1311" s="8" t="s">
        <v>39</v>
      </c>
      <c r="K1311" s="8" t="s">
        <v>40</v>
      </c>
      <c r="L1311" s="8" t="s">
        <v>84</v>
      </c>
      <c r="M1311" s="8" t="s">
        <v>103</v>
      </c>
      <c r="O1311" s="8" t="s">
        <v>43</v>
      </c>
      <c r="P1311" s="8" t="b">
        <v>0</v>
      </c>
      <c r="R1311" s="8" t="b">
        <v>0</v>
      </c>
      <c r="S1311" s="8" t="b">
        <v>0</v>
      </c>
      <c r="T1311" s="8" t="b">
        <v>0</v>
      </c>
      <c r="U1311" s="8" t="b">
        <v>0</v>
      </c>
      <c r="V1311" s="8" t="b">
        <v>1</v>
      </c>
      <c r="X1311" s="8" t="b">
        <v>0</v>
      </c>
      <c r="Y1311" s="8" t="b">
        <v>0</v>
      </c>
      <c r="Z1311" s="8" t="b">
        <v>0</v>
      </c>
      <c r="AA1311" s="8" t="b">
        <v>0</v>
      </c>
      <c r="AB1311" s="8" t="b">
        <v>1</v>
      </c>
      <c r="AC1311" s="8" t="b">
        <v>0</v>
      </c>
      <c r="AD1311" s="8" t="b">
        <v>1</v>
      </c>
      <c r="AE1311" s="8" t="b">
        <v>0</v>
      </c>
      <c r="AG1311" s="11" t="b" cm="1">
        <f t="array" ref="AG1311">IF(OR(Y1311:AA1311="TRUE", AE1311="true"), "Threatened")</f>
        <v>0</v>
      </c>
      <c r="AH1311" s="11" t="s">
        <v>3493</v>
      </c>
      <c r="AI1311" s="8" t="b">
        <v>1</v>
      </c>
    </row>
    <row r="1312" spans="1:35" ht="31.2">
      <c r="A1312" s="8">
        <v>-73.969416940000002</v>
      </c>
      <c r="B1312" s="8">
        <v>40.774440830000003</v>
      </c>
      <c r="C1312" s="8" t="s">
        <v>3494</v>
      </c>
      <c r="D1312" s="8" t="s">
        <v>991</v>
      </c>
      <c r="E1312" s="8" t="b">
        <f t="shared" si="20"/>
        <v>0</v>
      </c>
      <c r="F1312" s="8" t="str" cm="1">
        <f t="array" ref="F1312">_xlfn._xlws.FILTER(E1312:E4510, C1312:C4510= "6D-PM-1020-01", "No Squirrels Found")</f>
        <v>No Squirrels Found</v>
      </c>
      <c r="G1312" s="8" t="s">
        <v>34</v>
      </c>
      <c r="H1312" s="10">
        <v>10072018</v>
      </c>
      <c r="I1312" s="10">
        <v>3</v>
      </c>
      <c r="K1312" s="8" t="s">
        <v>41</v>
      </c>
      <c r="L1312" s="8" t="s">
        <v>40</v>
      </c>
      <c r="M1312" s="8" t="s">
        <v>110</v>
      </c>
      <c r="O1312" s="8" t="s">
        <v>43</v>
      </c>
      <c r="P1312" s="8" t="b">
        <v>0</v>
      </c>
      <c r="Q1312" s="8" t="s">
        <v>3495</v>
      </c>
      <c r="R1312" s="8" t="b">
        <v>0</v>
      </c>
      <c r="S1312" s="8" t="b">
        <v>0</v>
      </c>
      <c r="T1312" s="8" t="b">
        <v>0</v>
      </c>
      <c r="U1312" s="8" t="b">
        <v>0</v>
      </c>
      <c r="V1312" s="8" t="b">
        <v>1</v>
      </c>
      <c r="X1312" s="8" t="b">
        <v>0</v>
      </c>
      <c r="Y1312" s="8" t="b">
        <v>0</v>
      </c>
      <c r="Z1312" s="8" t="b">
        <v>0</v>
      </c>
      <c r="AA1312" s="8" t="b">
        <v>0</v>
      </c>
      <c r="AB1312" s="8" t="b">
        <v>0</v>
      </c>
      <c r="AC1312" s="8" t="b">
        <v>0</v>
      </c>
      <c r="AD1312" s="8" t="b">
        <v>0</v>
      </c>
      <c r="AE1312" s="8" t="b">
        <v>0</v>
      </c>
      <c r="AF1312" s="11" t="s">
        <v>3496</v>
      </c>
      <c r="AG1312" s="11" t="b" cm="1">
        <f t="array" ref="AG1312">IF(OR(Y1312:AA1312="TRUE", AE1312="true"), "Threatened")</f>
        <v>0</v>
      </c>
      <c r="AH1312" s="11" t="s">
        <v>3497</v>
      </c>
      <c r="AI1312" s="8" t="b">
        <v>1</v>
      </c>
    </row>
    <row r="1313" spans="1:35" ht="31.2">
      <c r="A1313" s="8">
        <v>-73.971203430000003</v>
      </c>
      <c r="B1313" s="8">
        <v>40.776441550000001</v>
      </c>
      <c r="C1313" s="8" t="s">
        <v>3498</v>
      </c>
      <c r="D1313" s="8" t="s">
        <v>426</v>
      </c>
      <c r="E1313" s="8" t="b">
        <f t="shared" si="20"/>
        <v>0</v>
      </c>
      <c r="F1313" s="8" t="str" cm="1">
        <f t="array" ref="F1313">_xlfn._xlws.FILTER(E1313:E4511, C1313:C4511= "6D-PM-1020-01", "No Squirrels Found")</f>
        <v>No Squirrels Found</v>
      </c>
      <c r="G1313" s="8" t="s">
        <v>34</v>
      </c>
      <c r="H1313" s="10">
        <v>10182018</v>
      </c>
      <c r="I1313" s="10">
        <v>5</v>
      </c>
      <c r="J1313" s="8" t="s">
        <v>39</v>
      </c>
      <c r="K1313" s="8" t="s">
        <v>40</v>
      </c>
      <c r="L1313" s="8" t="s">
        <v>117</v>
      </c>
      <c r="M1313" s="8" t="s">
        <v>118</v>
      </c>
      <c r="N1313" s="11" t="s">
        <v>1383</v>
      </c>
      <c r="O1313" s="8" t="s">
        <v>43</v>
      </c>
      <c r="P1313" s="8" t="b">
        <v>0</v>
      </c>
      <c r="R1313" s="8" t="b">
        <v>0</v>
      </c>
      <c r="S1313" s="8" t="b">
        <v>0</v>
      </c>
      <c r="T1313" s="8" t="b">
        <v>0</v>
      </c>
      <c r="U1313" s="8" t="b">
        <v>0</v>
      </c>
      <c r="V1313" s="8" t="b">
        <v>1</v>
      </c>
      <c r="X1313" s="8" t="b">
        <v>0</v>
      </c>
      <c r="Y1313" s="8" t="b">
        <v>0</v>
      </c>
      <c r="Z1313" s="8" t="b">
        <v>0</v>
      </c>
      <c r="AA1313" s="8" t="b">
        <v>0</v>
      </c>
      <c r="AB1313" s="8" t="b">
        <v>1</v>
      </c>
      <c r="AC1313" s="8" t="b">
        <v>1</v>
      </c>
      <c r="AD1313" s="8" t="b">
        <v>1</v>
      </c>
      <c r="AE1313" s="8" t="b">
        <v>0</v>
      </c>
      <c r="AG1313" s="11" t="b" cm="1">
        <f t="array" ref="AG1313">IF(OR(Y1313:AA1313="TRUE", AE1313="true"), "Threatened")</f>
        <v>0</v>
      </c>
      <c r="AH1313" s="11" t="s">
        <v>3499</v>
      </c>
      <c r="AI1313" s="8" t="b">
        <v>1</v>
      </c>
    </row>
    <row r="1314" spans="1:35" ht="31.2">
      <c r="A1314" s="8">
        <v>-73.967181389999993</v>
      </c>
      <c r="B1314" s="8">
        <v>40.783864000000001</v>
      </c>
      <c r="C1314" s="8" t="s">
        <v>3500</v>
      </c>
      <c r="D1314" s="8" t="s">
        <v>698</v>
      </c>
      <c r="E1314" s="8" t="b">
        <f t="shared" si="20"/>
        <v>0</v>
      </c>
      <c r="F1314" s="8" t="str" cm="1">
        <f t="array" ref="F1314">_xlfn._xlws.FILTER(E1314:E4512, C1314:C4512= "6D-PM-1020-01", "No Squirrels Found")</f>
        <v>No Squirrels Found</v>
      </c>
      <c r="G1314" s="8" t="s">
        <v>34</v>
      </c>
      <c r="H1314" s="10">
        <v>10062018</v>
      </c>
      <c r="I1314" s="10">
        <v>4</v>
      </c>
      <c r="J1314" s="8" t="s">
        <v>54</v>
      </c>
      <c r="K1314" s="8" t="s">
        <v>40</v>
      </c>
      <c r="M1314" s="8" t="s">
        <v>55</v>
      </c>
      <c r="O1314" s="8" t="s">
        <v>50</v>
      </c>
      <c r="P1314" s="8">
        <v>10</v>
      </c>
      <c r="R1314" s="8" t="b">
        <v>0</v>
      </c>
      <c r="S1314" s="8" t="b">
        <v>0</v>
      </c>
      <c r="T1314" s="8" t="b">
        <v>1</v>
      </c>
      <c r="U1314" s="8" t="b">
        <v>0</v>
      </c>
      <c r="V1314" s="8" t="b">
        <v>0</v>
      </c>
      <c r="X1314" s="8" t="b">
        <v>0</v>
      </c>
      <c r="Y1314" s="8" t="b">
        <v>0</v>
      </c>
      <c r="Z1314" s="8" t="b">
        <v>0</v>
      </c>
      <c r="AA1314" s="8" t="b">
        <v>0</v>
      </c>
      <c r="AB1314" s="8" t="b">
        <v>0</v>
      </c>
      <c r="AC1314" s="8" t="b">
        <v>0</v>
      </c>
      <c r="AD1314" s="8" t="b">
        <v>0</v>
      </c>
      <c r="AE1314" s="8" t="b">
        <v>0</v>
      </c>
      <c r="AG1314" s="11" t="b" cm="1">
        <f t="array" ref="AG1314">IF(OR(Y1314:AA1314="TRUE", AE1314="true"), "Threatened")</f>
        <v>0</v>
      </c>
      <c r="AH1314" s="11" t="s">
        <v>3501</v>
      </c>
      <c r="AI1314" s="8" t="b">
        <v>1</v>
      </c>
    </row>
    <row r="1315" spans="1:35" ht="31.2">
      <c r="A1315" s="8">
        <v>-73.980919130000004</v>
      </c>
      <c r="B1315" s="8">
        <v>40.76837725</v>
      </c>
      <c r="C1315" s="8" t="s">
        <v>3502</v>
      </c>
      <c r="D1315" s="8" t="s">
        <v>1780</v>
      </c>
      <c r="E1315" s="8" t="b">
        <f t="shared" si="20"/>
        <v>0</v>
      </c>
      <c r="F1315" s="8" t="str" cm="1">
        <f t="array" ref="F1315">_xlfn._xlws.FILTER(E1315:E4513, C1315:C4513= "6D-PM-1020-01", "No Squirrels Found")</f>
        <v>No Squirrels Found</v>
      </c>
      <c r="G1315" s="8" t="s">
        <v>34</v>
      </c>
      <c r="H1315" s="10">
        <v>10142018</v>
      </c>
      <c r="I1315" s="10">
        <v>6</v>
      </c>
      <c r="J1315" s="8" t="s">
        <v>54</v>
      </c>
      <c r="K1315" s="8" t="s">
        <v>40</v>
      </c>
      <c r="M1315" s="8" t="s">
        <v>55</v>
      </c>
      <c r="O1315" s="8" t="s">
        <v>43</v>
      </c>
      <c r="P1315" s="8" t="b">
        <v>0</v>
      </c>
      <c r="R1315" s="8" t="b">
        <v>1</v>
      </c>
      <c r="S1315" s="8" t="b">
        <v>0</v>
      </c>
      <c r="T1315" s="8" t="b">
        <v>0</v>
      </c>
      <c r="U1315" s="8" t="b">
        <v>0</v>
      </c>
      <c r="V1315" s="8" t="b">
        <v>0</v>
      </c>
      <c r="X1315" s="8" t="b">
        <v>1</v>
      </c>
      <c r="Y1315" s="8" t="b">
        <v>0</v>
      </c>
      <c r="Z1315" s="8" t="b">
        <v>0</v>
      </c>
      <c r="AA1315" s="8" t="b">
        <v>0</v>
      </c>
      <c r="AB1315" s="8" t="b">
        <v>0</v>
      </c>
      <c r="AC1315" s="8" t="b">
        <v>0</v>
      </c>
      <c r="AD1315" s="8" t="b">
        <v>0</v>
      </c>
      <c r="AE1315" s="8" t="b">
        <v>1</v>
      </c>
      <c r="AG1315" s="11" t="b" cm="1">
        <f t="array" ref="AG1315">IF(OR(Y1315:AA1315="TRUE", AE1315="true"), "Threatened")</f>
        <v>0</v>
      </c>
      <c r="AH1315" s="11" t="s">
        <v>3503</v>
      </c>
      <c r="AI1315" s="8" t="b">
        <v>1</v>
      </c>
    </row>
    <row r="1316" spans="1:35" ht="31.2">
      <c r="A1316" s="8">
        <v>-73.959595579999998</v>
      </c>
      <c r="B1316" s="8">
        <v>40.793304790000001</v>
      </c>
      <c r="C1316" s="8" t="s">
        <v>3504</v>
      </c>
      <c r="D1316" s="8" t="s">
        <v>1173</v>
      </c>
      <c r="E1316" s="8" t="b">
        <f t="shared" si="20"/>
        <v>0</v>
      </c>
      <c r="F1316" s="8" t="str" cm="1">
        <f t="array" ref="F1316">_xlfn._xlws.FILTER(E1316:E4514, C1316:C4514= "6D-PM-1020-01", "No Squirrels Found")</f>
        <v>No Squirrels Found</v>
      </c>
      <c r="G1316" s="8" t="s">
        <v>34</v>
      </c>
      <c r="H1316" s="10">
        <v>10072018</v>
      </c>
      <c r="I1316" s="10">
        <v>1</v>
      </c>
      <c r="J1316" s="8" t="s">
        <v>39</v>
      </c>
      <c r="K1316" s="8" t="s">
        <v>40</v>
      </c>
      <c r="L1316" s="8" t="s">
        <v>84</v>
      </c>
      <c r="M1316" s="8" t="s">
        <v>103</v>
      </c>
      <c r="O1316" s="8" t="s">
        <v>50</v>
      </c>
      <c r="P1316" s="8">
        <v>25</v>
      </c>
      <c r="R1316" s="8" t="b">
        <v>0</v>
      </c>
      <c r="S1316" s="8" t="b">
        <v>0</v>
      </c>
      <c r="T1316" s="8" t="b">
        <v>1</v>
      </c>
      <c r="U1316" s="8" t="b">
        <v>0</v>
      </c>
      <c r="V1316" s="8" t="b">
        <v>1</v>
      </c>
      <c r="X1316" s="8" t="b">
        <v>0</v>
      </c>
      <c r="Y1316" s="8" t="b">
        <v>0</v>
      </c>
      <c r="Z1316" s="8" t="b">
        <v>0</v>
      </c>
      <c r="AA1316" s="8" t="b">
        <v>0</v>
      </c>
      <c r="AB1316" s="8" t="b">
        <v>1</v>
      </c>
      <c r="AC1316" s="8" t="b">
        <v>0</v>
      </c>
      <c r="AD1316" s="8" t="b">
        <v>0</v>
      </c>
      <c r="AE1316" s="8" t="b">
        <v>1</v>
      </c>
      <c r="AG1316" s="11" t="b" cm="1">
        <f t="array" ref="AG1316">IF(OR(Y1316:AA1316="TRUE", AE1316="true"), "Threatened")</f>
        <v>0</v>
      </c>
      <c r="AH1316" s="11" t="s">
        <v>3505</v>
      </c>
      <c r="AI1316" s="8" t="b">
        <v>1</v>
      </c>
    </row>
    <row r="1317" spans="1:35" ht="31.2">
      <c r="A1317" s="8">
        <v>-73.967472479999998</v>
      </c>
      <c r="B1317" s="8">
        <v>40.776877130000003</v>
      </c>
      <c r="C1317" s="8" t="s">
        <v>3506</v>
      </c>
      <c r="D1317" s="8" t="s">
        <v>326</v>
      </c>
      <c r="E1317" s="8" t="b">
        <f t="shared" si="20"/>
        <v>0</v>
      </c>
      <c r="F1317" s="8" t="str" cm="1">
        <f t="array" ref="F1317">_xlfn._xlws.FILTER(E1317:E4515, C1317:C4515= "6D-PM-1020-01", "No Squirrels Found")</f>
        <v>No Squirrels Found</v>
      </c>
      <c r="G1317" s="8" t="s">
        <v>34</v>
      </c>
      <c r="H1317" s="10">
        <v>10192018</v>
      </c>
      <c r="I1317" s="10">
        <v>1</v>
      </c>
      <c r="J1317" s="8" t="s">
        <v>39</v>
      </c>
      <c r="K1317" s="8" t="s">
        <v>40</v>
      </c>
      <c r="L1317" s="8" t="s">
        <v>41</v>
      </c>
      <c r="M1317" s="8" t="s">
        <v>42</v>
      </c>
      <c r="O1317" s="8" t="s">
        <v>43</v>
      </c>
      <c r="P1317" s="8" t="b">
        <v>0</v>
      </c>
      <c r="R1317" s="8" t="b">
        <v>0</v>
      </c>
      <c r="S1317" s="8" t="b">
        <v>0</v>
      </c>
      <c r="T1317" s="8" t="b">
        <v>0</v>
      </c>
      <c r="U1317" s="8" t="b">
        <v>1</v>
      </c>
      <c r="V1317" s="8" t="b">
        <v>0</v>
      </c>
      <c r="X1317" s="8" t="b">
        <v>0</v>
      </c>
      <c r="Y1317" s="8" t="b">
        <v>0</v>
      </c>
      <c r="Z1317" s="8" t="b">
        <v>0</v>
      </c>
      <c r="AA1317" s="8" t="b">
        <v>0</v>
      </c>
      <c r="AB1317" s="8" t="b">
        <v>1</v>
      </c>
      <c r="AC1317" s="8" t="b">
        <v>0</v>
      </c>
      <c r="AD1317" s="8" t="b">
        <v>1</v>
      </c>
      <c r="AE1317" s="8" t="b">
        <v>0</v>
      </c>
      <c r="AG1317" s="11" t="b" cm="1">
        <f t="array" ref="AG1317">IF(OR(Y1317:AA1317="TRUE", AE1317="true"), "Threatened")</f>
        <v>0</v>
      </c>
      <c r="AH1317" s="11" t="s">
        <v>3507</v>
      </c>
      <c r="AI1317" s="8" t="b">
        <v>1</v>
      </c>
    </row>
    <row r="1318" spans="1:35" ht="31.2">
      <c r="A1318" s="8">
        <v>-73.968052240000006</v>
      </c>
      <c r="B1318" s="8">
        <v>40.77238981</v>
      </c>
      <c r="C1318" s="8" t="s">
        <v>3508</v>
      </c>
      <c r="D1318" s="8" t="s">
        <v>1270</v>
      </c>
      <c r="E1318" s="8" t="b">
        <f t="shared" si="20"/>
        <v>0</v>
      </c>
      <c r="F1318" s="8" t="str" cm="1">
        <f t="array" ref="F1318">_xlfn._xlws.FILTER(E1318:E4516, C1318:C4516= "6D-PM-1020-01", "No Squirrels Found")</f>
        <v>No Squirrels Found</v>
      </c>
      <c r="G1318" s="8" t="s">
        <v>34</v>
      </c>
      <c r="H1318" s="10">
        <v>10122018</v>
      </c>
      <c r="I1318" s="10">
        <v>6</v>
      </c>
      <c r="J1318" s="8" t="s">
        <v>39</v>
      </c>
      <c r="K1318" s="8" t="s">
        <v>40</v>
      </c>
      <c r="M1318" s="8" t="s">
        <v>55</v>
      </c>
      <c r="O1318" s="8" t="s">
        <v>50</v>
      </c>
      <c r="P1318" s="8">
        <v>2</v>
      </c>
      <c r="R1318" s="8" t="b">
        <v>1</v>
      </c>
      <c r="S1318" s="8" t="b">
        <v>0</v>
      </c>
      <c r="T1318" s="8" t="b">
        <v>1</v>
      </c>
      <c r="U1318" s="8" t="b">
        <v>0</v>
      </c>
      <c r="V1318" s="8" t="b">
        <v>1</v>
      </c>
      <c r="X1318" s="8" t="b">
        <v>0</v>
      </c>
      <c r="Y1318" s="8" t="b">
        <v>0</v>
      </c>
      <c r="Z1318" s="8" t="b">
        <v>0</v>
      </c>
      <c r="AA1318" s="8" t="b">
        <v>0</v>
      </c>
      <c r="AB1318" s="8" t="b">
        <v>0</v>
      </c>
      <c r="AC1318" s="8" t="b">
        <v>0</v>
      </c>
      <c r="AD1318" s="8" t="b">
        <v>0</v>
      </c>
      <c r="AE1318" s="8" t="b">
        <v>0</v>
      </c>
      <c r="AG1318" s="11" t="b" cm="1">
        <f t="array" ref="AG1318">IF(OR(Y1318:AA1318="TRUE", AE1318="true"), "Threatened")</f>
        <v>0</v>
      </c>
      <c r="AH1318" s="11" t="s">
        <v>3509</v>
      </c>
      <c r="AI1318" s="8" t="b">
        <v>1</v>
      </c>
    </row>
    <row r="1319" spans="1:35" ht="31.2">
      <c r="A1319" s="8">
        <v>-73.971490720000006</v>
      </c>
      <c r="B1319" s="8">
        <v>40.77405839</v>
      </c>
      <c r="C1319" s="8" t="s">
        <v>3510</v>
      </c>
      <c r="D1319" s="8" t="s">
        <v>1115</v>
      </c>
      <c r="E1319" s="8" t="b">
        <f t="shared" si="20"/>
        <v>0</v>
      </c>
      <c r="F1319" s="8" t="str" cm="1">
        <f t="array" ref="F1319">_xlfn._xlws.FILTER(E1319:E4517, C1319:C4517= "6D-PM-1020-01", "No Squirrels Found")</f>
        <v>No Squirrels Found</v>
      </c>
      <c r="G1319" s="8" t="s">
        <v>34</v>
      </c>
      <c r="H1319" s="10">
        <v>10122018</v>
      </c>
      <c r="I1319" s="10">
        <v>1</v>
      </c>
      <c r="J1319" s="8" t="s">
        <v>39</v>
      </c>
      <c r="K1319" s="8" t="s">
        <v>40</v>
      </c>
      <c r="L1319" s="8" t="s">
        <v>84</v>
      </c>
      <c r="M1319" s="8" t="s">
        <v>103</v>
      </c>
      <c r="O1319" s="8" t="s">
        <v>43</v>
      </c>
      <c r="P1319" s="8" t="b">
        <v>0</v>
      </c>
      <c r="R1319" s="8" t="b">
        <v>0</v>
      </c>
      <c r="S1319" s="8" t="b">
        <v>0</v>
      </c>
      <c r="T1319" s="8" t="b">
        <v>0</v>
      </c>
      <c r="U1319" s="8" t="b">
        <v>0</v>
      </c>
      <c r="V1319" s="8" t="b">
        <v>1</v>
      </c>
      <c r="X1319" s="8" t="b">
        <v>0</v>
      </c>
      <c r="Y1319" s="8" t="b">
        <v>0</v>
      </c>
      <c r="Z1319" s="8" t="b">
        <v>0</v>
      </c>
      <c r="AA1319" s="8" t="b">
        <v>0</v>
      </c>
      <c r="AB1319" s="8" t="b">
        <v>0</v>
      </c>
      <c r="AC1319" s="8" t="b">
        <v>0</v>
      </c>
      <c r="AD1319" s="8" t="b">
        <v>1</v>
      </c>
      <c r="AE1319" s="8" t="b">
        <v>0</v>
      </c>
      <c r="AG1319" s="11" t="b" cm="1">
        <f t="array" ref="AG1319">IF(OR(Y1319:AA1319="TRUE", AE1319="true"), "Threatened")</f>
        <v>0</v>
      </c>
      <c r="AH1319" s="11" t="s">
        <v>3511</v>
      </c>
      <c r="AI1319" s="8" t="b">
        <v>1</v>
      </c>
    </row>
    <row r="1320" spans="1:35" ht="31.2">
      <c r="A1320" s="8">
        <v>-73.956210549999994</v>
      </c>
      <c r="B1320" s="8">
        <v>40.79669912</v>
      </c>
      <c r="C1320" s="8" t="s">
        <v>3512</v>
      </c>
      <c r="D1320" s="8" t="s">
        <v>1948</v>
      </c>
      <c r="E1320" s="8" t="b">
        <f t="shared" si="20"/>
        <v>0</v>
      </c>
      <c r="F1320" s="8" t="str" cm="1">
        <f t="array" ref="F1320">_xlfn._xlws.FILTER(E1320:E4518, C1320:C4518= "6D-PM-1020-01", "No Squirrels Found")</f>
        <v>No Squirrels Found</v>
      </c>
      <c r="G1320" s="8" t="s">
        <v>48</v>
      </c>
      <c r="H1320" s="10">
        <v>10082018</v>
      </c>
      <c r="I1320" s="10">
        <v>2</v>
      </c>
      <c r="J1320" s="8" t="s">
        <v>39</v>
      </c>
      <c r="K1320" s="8" t="s">
        <v>40</v>
      </c>
      <c r="M1320" s="8" t="s">
        <v>55</v>
      </c>
      <c r="O1320" s="8" t="s">
        <v>43</v>
      </c>
      <c r="P1320" s="8" t="b">
        <v>0</v>
      </c>
      <c r="R1320" s="8" t="b">
        <v>0</v>
      </c>
      <c r="S1320" s="8" t="b">
        <v>1</v>
      </c>
      <c r="T1320" s="8" t="b">
        <v>0</v>
      </c>
      <c r="U1320" s="8" t="b">
        <v>0</v>
      </c>
      <c r="V1320" s="8" t="b">
        <v>0</v>
      </c>
      <c r="X1320" s="8" t="b">
        <v>0</v>
      </c>
      <c r="Y1320" s="8" t="b">
        <v>0</v>
      </c>
      <c r="Z1320" s="8" t="b">
        <v>0</v>
      </c>
      <c r="AA1320" s="8" t="b">
        <v>0</v>
      </c>
      <c r="AB1320" s="8" t="b">
        <v>0</v>
      </c>
      <c r="AC1320" s="8" t="b">
        <v>0</v>
      </c>
      <c r="AD1320" s="8" t="b">
        <v>0</v>
      </c>
      <c r="AE1320" s="8" t="b">
        <v>0</v>
      </c>
      <c r="AG1320" s="11" t="b" cm="1">
        <f t="array" ref="AG1320">IF(OR(Y1320:AA1320="TRUE", AE1320="true"), "Threatened")</f>
        <v>0</v>
      </c>
      <c r="AH1320" s="11" t="s">
        <v>3513</v>
      </c>
      <c r="AI1320" s="8" t="b">
        <v>1</v>
      </c>
    </row>
    <row r="1321" spans="1:35" ht="31.2">
      <c r="A1321" s="8">
        <v>-73.955432770000002</v>
      </c>
      <c r="B1321" s="8">
        <v>40.795384640000002</v>
      </c>
      <c r="C1321" s="8" t="s">
        <v>3514</v>
      </c>
      <c r="D1321" s="8" t="s">
        <v>530</v>
      </c>
      <c r="E1321" s="8" t="b">
        <f t="shared" si="20"/>
        <v>0</v>
      </c>
      <c r="F1321" s="8" t="str" cm="1">
        <f t="array" ref="F1321">_xlfn._xlws.FILTER(E1321:E4519, C1321:C4519= "6D-PM-1020-01", "No Squirrels Found")</f>
        <v>No Squirrels Found</v>
      </c>
      <c r="G1321" s="8" t="s">
        <v>48</v>
      </c>
      <c r="H1321" s="10">
        <v>10102018</v>
      </c>
      <c r="I1321" s="10">
        <v>5</v>
      </c>
      <c r="J1321" s="8" t="s">
        <v>39</v>
      </c>
      <c r="K1321" s="8" t="s">
        <v>40</v>
      </c>
      <c r="L1321" s="8" t="s">
        <v>41</v>
      </c>
      <c r="M1321" s="8" t="s">
        <v>42</v>
      </c>
      <c r="O1321" s="8" t="s">
        <v>43</v>
      </c>
      <c r="P1321" s="8" t="b">
        <v>0</v>
      </c>
      <c r="R1321" s="8" t="b">
        <v>0</v>
      </c>
      <c r="S1321" s="8" t="b">
        <v>0</v>
      </c>
      <c r="T1321" s="8" t="b">
        <v>0</v>
      </c>
      <c r="U1321" s="8" t="b">
        <v>0</v>
      </c>
      <c r="V1321" s="8" t="b">
        <v>1</v>
      </c>
      <c r="X1321" s="8" t="b">
        <v>0</v>
      </c>
      <c r="Y1321" s="8" t="b">
        <v>0</v>
      </c>
      <c r="Z1321" s="8" t="b">
        <v>0</v>
      </c>
      <c r="AA1321" s="8" t="b">
        <v>0</v>
      </c>
      <c r="AB1321" s="8" t="b">
        <v>0</v>
      </c>
      <c r="AC1321" s="8" t="b">
        <v>0</v>
      </c>
      <c r="AD1321" s="8" t="b">
        <v>1</v>
      </c>
      <c r="AE1321" s="8" t="b">
        <v>0</v>
      </c>
      <c r="AF1321" s="11" t="s">
        <v>3515</v>
      </c>
      <c r="AG1321" s="11" t="b" cm="1">
        <f t="array" ref="AG1321">IF(OR(Y1321:AA1321="TRUE", AE1321="true"), "Threatened")</f>
        <v>0</v>
      </c>
      <c r="AH1321" s="11" t="s">
        <v>3516</v>
      </c>
      <c r="AI1321" s="8" t="b">
        <v>1</v>
      </c>
    </row>
    <row r="1322" spans="1:35" ht="31.2">
      <c r="A1322" s="8">
        <v>-73.969928569999993</v>
      </c>
      <c r="B1322" s="8">
        <v>40.7774474</v>
      </c>
      <c r="C1322" s="8" t="s">
        <v>3517</v>
      </c>
      <c r="D1322" s="8" t="s">
        <v>554</v>
      </c>
      <c r="E1322" s="8" t="b">
        <f t="shared" si="20"/>
        <v>0</v>
      </c>
      <c r="F1322" s="8" t="str" cm="1">
        <f t="array" ref="F1322">_xlfn._xlws.FILTER(E1322:E4520, C1322:C4520= "6D-PM-1020-01", "No Squirrels Found")</f>
        <v>No Squirrels Found</v>
      </c>
      <c r="G1322" s="8" t="s">
        <v>48</v>
      </c>
      <c r="H1322" s="10">
        <v>10072018</v>
      </c>
      <c r="I1322" s="10">
        <v>8</v>
      </c>
      <c r="J1322" s="8" t="s">
        <v>39</v>
      </c>
      <c r="K1322" s="8" t="s">
        <v>40</v>
      </c>
      <c r="M1322" s="8" t="s">
        <v>55</v>
      </c>
      <c r="O1322" s="8" t="s">
        <v>43</v>
      </c>
      <c r="P1322" s="8" t="b">
        <v>0</v>
      </c>
      <c r="R1322" s="8" t="b">
        <v>0</v>
      </c>
      <c r="S1322" s="8" t="b">
        <v>1</v>
      </c>
      <c r="T1322" s="8" t="b">
        <v>0</v>
      </c>
      <c r="U1322" s="8" t="b">
        <v>0</v>
      </c>
      <c r="V1322" s="8" t="b">
        <v>1</v>
      </c>
      <c r="W1322" s="11" t="s">
        <v>3518</v>
      </c>
      <c r="X1322" s="8" t="b">
        <v>0</v>
      </c>
      <c r="Y1322" s="8" t="b">
        <v>0</v>
      </c>
      <c r="Z1322" s="8" t="b">
        <v>0</v>
      </c>
      <c r="AA1322" s="8" t="b">
        <v>0</v>
      </c>
      <c r="AB1322" s="8" t="b">
        <v>0</v>
      </c>
      <c r="AC1322" s="8" t="b">
        <v>0</v>
      </c>
      <c r="AD1322" s="8" t="b">
        <v>1</v>
      </c>
      <c r="AE1322" s="8" t="b">
        <v>0</v>
      </c>
      <c r="AG1322" s="11" t="b" cm="1">
        <f t="array" ref="AG1322">IF(OR(Y1322:AA1322="TRUE", AE1322="true"), "Threatened")</f>
        <v>0</v>
      </c>
      <c r="AH1322" s="11" t="s">
        <v>3519</v>
      </c>
      <c r="AI1322" s="8" t="b">
        <v>0</v>
      </c>
    </row>
    <row r="1323" spans="1:35" ht="31.2">
      <c r="A1323" s="8">
        <v>-73.970182440000002</v>
      </c>
      <c r="B1323" s="8">
        <v>40.776370329999999</v>
      </c>
      <c r="C1323" s="8" t="s">
        <v>3520</v>
      </c>
      <c r="D1323" s="8" t="s">
        <v>121</v>
      </c>
      <c r="E1323" s="8" t="b">
        <f t="shared" si="20"/>
        <v>0</v>
      </c>
      <c r="F1323" s="8" t="str" cm="1">
        <f t="array" ref="F1323">_xlfn._xlws.FILTER(E1323:E4521, C1323:C4521= "6D-PM-1020-01", "No Squirrels Found")</f>
        <v>No Squirrels Found</v>
      </c>
      <c r="G1323" s="8" t="s">
        <v>48</v>
      </c>
      <c r="H1323" s="10">
        <v>10082018</v>
      </c>
      <c r="I1323" s="10">
        <v>21</v>
      </c>
      <c r="J1323" s="8" t="s">
        <v>39</v>
      </c>
      <c r="K1323" s="8" t="s">
        <v>40</v>
      </c>
      <c r="M1323" s="8" t="s">
        <v>55</v>
      </c>
      <c r="O1323" s="8" t="s">
        <v>43</v>
      </c>
      <c r="P1323" s="8" t="b">
        <v>0</v>
      </c>
      <c r="R1323" s="8" t="b">
        <v>0</v>
      </c>
      <c r="S1323" s="8" t="b">
        <v>0</v>
      </c>
      <c r="T1323" s="8" t="b">
        <v>0</v>
      </c>
      <c r="U1323" s="8" t="b">
        <v>0</v>
      </c>
      <c r="V1323" s="8" t="b">
        <v>1</v>
      </c>
      <c r="W1323" s="11" t="s">
        <v>122</v>
      </c>
      <c r="X1323" s="8" t="b">
        <v>0</v>
      </c>
      <c r="Y1323" s="8" t="b">
        <v>0</v>
      </c>
      <c r="Z1323" s="8" t="b">
        <v>0</v>
      </c>
      <c r="AA1323" s="8" t="b">
        <v>0</v>
      </c>
      <c r="AB1323" s="8" t="b">
        <v>0</v>
      </c>
      <c r="AC1323" s="8" t="b">
        <v>1</v>
      </c>
      <c r="AD1323" s="8" t="b">
        <v>0</v>
      </c>
      <c r="AE1323" s="8" t="b">
        <v>0</v>
      </c>
      <c r="AF1323" s="11" t="s">
        <v>3521</v>
      </c>
      <c r="AG1323" s="11" t="b" cm="1">
        <f t="array" ref="AG1323">IF(OR(Y1323:AA1323="TRUE", AE1323="true"), "Threatened")</f>
        <v>0</v>
      </c>
      <c r="AH1323" s="11" t="s">
        <v>3522</v>
      </c>
      <c r="AI1323" s="8" t="b">
        <v>0</v>
      </c>
    </row>
    <row r="1324" spans="1:35" ht="31.2">
      <c r="A1324" s="8">
        <v>-73.974438730000003</v>
      </c>
      <c r="B1324" s="8">
        <v>40.777695309999999</v>
      </c>
      <c r="C1324" s="8" t="s">
        <v>3523</v>
      </c>
      <c r="D1324" s="8" t="s">
        <v>594</v>
      </c>
      <c r="E1324" s="8" t="b">
        <f t="shared" si="20"/>
        <v>0</v>
      </c>
      <c r="F1324" s="8" t="str" cm="1">
        <f t="array" ref="F1324">_xlfn._xlws.FILTER(E1324:E4522, C1324:C4522= "6D-PM-1020-01", "No Squirrels Found")</f>
        <v>No Squirrels Found</v>
      </c>
      <c r="G1324" s="8" t="s">
        <v>48</v>
      </c>
      <c r="H1324" s="10">
        <v>10172018</v>
      </c>
      <c r="I1324" s="10">
        <v>3</v>
      </c>
      <c r="J1324" s="8" t="s">
        <v>39</v>
      </c>
      <c r="K1324" s="8" t="s">
        <v>41</v>
      </c>
      <c r="M1324" s="8" t="s">
        <v>49</v>
      </c>
      <c r="R1324" s="8" t="b">
        <v>0</v>
      </c>
      <c r="S1324" s="8" t="b">
        <v>1</v>
      </c>
      <c r="T1324" s="8" t="b">
        <v>0</v>
      </c>
      <c r="U1324" s="8" t="b">
        <v>0</v>
      </c>
      <c r="V1324" s="8" t="b">
        <v>0</v>
      </c>
      <c r="X1324" s="8" t="b">
        <v>0</v>
      </c>
      <c r="Y1324" s="8" t="b">
        <v>0</v>
      </c>
      <c r="Z1324" s="8" t="b">
        <v>0</v>
      </c>
      <c r="AA1324" s="8" t="b">
        <v>0</v>
      </c>
      <c r="AB1324" s="8" t="b">
        <v>0</v>
      </c>
      <c r="AC1324" s="8" t="b">
        <v>0</v>
      </c>
      <c r="AD1324" s="8" t="b">
        <v>1</v>
      </c>
      <c r="AE1324" s="8" t="b">
        <v>0</v>
      </c>
      <c r="AG1324" s="11" t="b" cm="1">
        <f t="array" ref="AG1324">IF(OR(Y1324:AA1324="TRUE", AE1324="true"), "Threatened")</f>
        <v>0</v>
      </c>
      <c r="AH1324" s="11" t="s">
        <v>3524</v>
      </c>
      <c r="AI1324" s="8" t="b">
        <v>1</v>
      </c>
    </row>
    <row r="1325" spans="1:35" ht="31.2">
      <c r="A1325" s="8">
        <v>-73.954554250000001</v>
      </c>
      <c r="B1325" s="8">
        <v>40.798393570000002</v>
      </c>
      <c r="C1325" s="8" t="s">
        <v>3525</v>
      </c>
      <c r="D1325" s="8" t="s">
        <v>1520</v>
      </c>
      <c r="E1325" s="8" t="b">
        <f t="shared" si="20"/>
        <v>0</v>
      </c>
      <c r="F1325" s="8" t="str" cm="1">
        <f t="array" ref="F1325">_xlfn._xlws.FILTER(E1325:E4523, C1325:C4523= "6D-PM-1020-01", "No Squirrels Found")</f>
        <v>No Squirrels Found</v>
      </c>
      <c r="G1325" s="8" t="s">
        <v>48</v>
      </c>
      <c r="H1325" s="10">
        <v>10072018</v>
      </c>
      <c r="I1325" s="10">
        <v>5</v>
      </c>
      <c r="J1325" s="8" t="s">
        <v>39</v>
      </c>
      <c r="K1325" s="8" t="s">
        <v>40</v>
      </c>
      <c r="L1325" s="8" t="s">
        <v>84</v>
      </c>
      <c r="M1325" s="8" t="s">
        <v>103</v>
      </c>
      <c r="O1325" s="8" t="s">
        <v>50</v>
      </c>
      <c r="P1325" s="8">
        <v>10</v>
      </c>
      <c r="R1325" s="8" t="b">
        <v>0</v>
      </c>
      <c r="S1325" s="8" t="b">
        <v>0</v>
      </c>
      <c r="T1325" s="8" t="b">
        <v>1</v>
      </c>
      <c r="U1325" s="8" t="b">
        <v>0</v>
      </c>
      <c r="V1325" s="8" t="b">
        <v>0</v>
      </c>
      <c r="X1325" s="8" t="b">
        <v>0</v>
      </c>
      <c r="Y1325" s="8" t="b">
        <v>0</v>
      </c>
      <c r="Z1325" s="8" t="b">
        <v>0</v>
      </c>
      <c r="AA1325" s="8" t="b">
        <v>0</v>
      </c>
      <c r="AB1325" s="8" t="b">
        <v>0</v>
      </c>
      <c r="AC1325" s="8" t="b">
        <v>0</v>
      </c>
      <c r="AD1325" s="8" t="b">
        <v>0</v>
      </c>
      <c r="AE1325" s="8" t="b">
        <v>1</v>
      </c>
      <c r="AF1325" s="11" t="s">
        <v>3526</v>
      </c>
      <c r="AG1325" s="11" t="b" cm="1">
        <f t="array" ref="AG1325">IF(OR(Y1325:AA1325="TRUE", AE1325="true"), "Threatened")</f>
        <v>0</v>
      </c>
      <c r="AH1325" s="11" t="s">
        <v>3527</v>
      </c>
      <c r="AI1325" s="8" t="b">
        <v>1</v>
      </c>
    </row>
    <row r="1326" spans="1:35" ht="31.2">
      <c r="A1326" s="8">
        <v>-73.977527879999997</v>
      </c>
      <c r="B1326" s="8">
        <v>40.768788110000003</v>
      </c>
      <c r="C1326" s="8" t="s">
        <v>3528</v>
      </c>
      <c r="D1326" s="8" t="s">
        <v>835</v>
      </c>
      <c r="E1326" s="8" t="b">
        <f t="shared" si="20"/>
        <v>0</v>
      </c>
      <c r="F1326" s="8" t="str" cm="1">
        <f t="array" ref="F1326">_xlfn._xlws.FILTER(E1326:E4524, C1326:C4524= "6D-PM-1020-01", "No Squirrels Found")</f>
        <v>No Squirrels Found</v>
      </c>
      <c r="G1326" s="8" t="s">
        <v>48</v>
      </c>
      <c r="H1326" s="10">
        <v>10072018</v>
      </c>
      <c r="I1326" s="10">
        <v>2</v>
      </c>
      <c r="J1326" s="8" t="s">
        <v>39</v>
      </c>
      <c r="K1326" s="8" t="s">
        <v>40</v>
      </c>
      <c r="L1326" s="8" t="s">
        <v>117</v>
      </c>
      <c r="M1326" s="8" t="s">
        <v>118</v>
      </c>
      <c r="O1326" s="8" t="s">
        <v>43</v>
      </c>
      <c r="P1326" s="8" t="b">
        <v>0</v>
      </c>
      <c r="R1326" s="8" t="b">
        <v>1</v>
      </c>
      <c r="S1326" s="8" t="b">
        <v>0</v>
      </c>
      <c r="T1326" s="8" t="b">
        <v>0</v>
      </c>
      <c r="U1326" s="8" t="b">
        <v>0</v>
      </c>
      <c r="V1326" s="8" t="b">
        <v>0</v>
      </c>
      <c r="X1326" s="8" t="b">
        <v>0</v>
      </c>
      <c r="Y1326" s="8" t="b">
        <v>0</v>
      </c>
      <c r="Z1326" s="8" t="b">
        <v>0</v>
      </c>
      <c r="AA1326" s="8" t="b">
        <v>0</v>
      </c>
      <c r="AB1326" s="8" t="b">
        <v>0</v>
      </c>
      <c r="AC1326" s="8" t="b">
        <v>0</v>
      </c>
      <c r="AD1326" s="8" t="b">
        <v>1</v>
      </c>
      <c r="AE1326" s="8" t="b">
        <v>0</v>
      </c>
      <c r="AG1326" s="11" t="b" cm="1">
        <f t="array" ref="AG1326">IF(OR(Y1326:AA1326="TRUE", AE1326="true"), "Threatened")</f>
        <v>0</v>
      </c>
      <c r="AH1326" s="11" t="s">
        <v>3529</v>
      </c>
      <c r="AI1326" s="8" t="b">
        <v>1</v>
      </c>
    </row>
    <row r="1327" spans="1:35" ht="31.2">
      <c r="A1327" s="8">
        <v>-73.974728810000002</v>
      </c>
      <c r="B1327" s="8">
        <v>40.765991870000001</v>
      </c>
      <c r="C1327" s="8" t="s">
        <v>3530</v>
      </c>
      <c r="D1327" s="8" t="s">
        <v>2892</v>
      </c>
      <c r="E1327" s="8" t="b">
        <f t="shared" si="20"/>
        <v>0</v>
      </c>
      <c r="F1327" s="8" t="str" cm="1">
        <f t="array" ref="F1327">_xlfn._xlws.FILTER(E1327:E4525, C1327:C4525= "6D-PM-1020-01", "No Squirrels Found")</f>
        <v>No Squirrels Found</v>
      </c>
      <c r="G1327" s="8" t="s">
        <v>34</v>
      </c>
      <c r="H1327" s="10">
        <v>10072018</v>
      </c>
      <c r="I1327" s="10">
        <v>3</v>
      </c>
      <c r="J1327" s="8" t="s">
        <v>39</v>
      </c>
      <c r="K1327" s="8" t="s">
        <v>40</v>
      </c>
      <c r="L1327" s="8" t="s">
        <v>41</v>
      </c>
      <c r="M1327" s="8" t="s">
        <v>42</v>
      </c>
      <c r="O1327" s="8" t="s">
        <v>43</v>
      </c>
      <c r="P1327" s="8" t="b">
        <v>0</v>
      </c>
      <c r="R1327" s="8" t="b">
        <v>0</v>
      </c>
      <c r="S1327" s="8" t="b">
        <v>0</v>
      </c>
      <c r="T1327" s="8" t="b">
        <v>0</v>
      </c>
      <c r="U1327" s="8" t="b">
        <v>0</v>
      </c>
      <c r="V1327" s="8" t="b">
        <v>1</v>
      </c>
      <c r="X1327" s="8" t="b">
        <v>0</v>
      </c>
      <c r="Y1327" s="8" t="b">
        <v>0</v>
      </c>
      <c r="Z1327" s="8" t="b">
        <v>0</v>
      </c>
      <c r="AA1327" s="8" t="b">
        <v>0</v>
      </c>
      <c r="AB1327" s="8" t="b">
        <v>0</v>
      </c>
      <c r="AC1327" s="8" t="b">
        <v>0</v>
      </c>
      <c r="AD1327" s="8" t="b">
        <v>1</v>
      </c>
      <c r="AE1327" s="8" t="b">
        <v>0</v>
      </c>
      <c r="AG1327" s="11" t="b" cm="1">
        <f t="array" ref="AG1327">IF(OR(Y1327:AA1327="TRUE", AE1327="true"), "Threatened")</f>
        <v>0</v>
      </c>
      <c r="AH1327" s="11" t="s">
        <v>3531</v>
      </c>
      <c r="AI1327" s="8" t="b">
        <v>1</v>
      </c>
    </row>
    <row r="1328" spans="1:35" ht="31.2">
      <c r="A1328" s="8">
        <v>-73.968993940000004</v>
      </c>
      <c r="B1328" s="8">
        <v>40.774082479999997</v>
      </c>
      <c r="C1328" s="8" t="s">
        <v>3532</v>
      </c>
      <c r="D1328" s="8" t="s">
        <v>991</v>
      </c>
      <c r="E1328" s="8" t="b">
        <f t="shared" si="20"/>
        <v>0</v>
      </c>
      <c r="F1328" s="8" t="str" cm="1">
        <f t="array" ref="F1328">_xlfn._xlws.FILTER(E1328:E4526, C1328:C4526= "6D-PM-1020-01", "No Squirrels Found")</f>
        <v>No Squirrels Found</v>
      </c>
      <c r="G1328" s="8" t="s">
        <v>48</v>
      </c>
      <c r="H1328" s="10">
        <v>10122018</v>
      </c>
      <c r="I1328" s="10">
        <v>3</v>
      </c>
      <c r="J1328" s="8" t="s">
        <v>39</v>
      </c>
      <c r="K1328" s="8" t="s">
        <v>40</v>
      </c>
      <c r="M1328" s="8" t="s">
        <v>55</v>
      </c>
      <c r="O1328" s="8" t="s">
        <v>43</v>
      </c>
      <c r="P1328" s="8" t="b">
        <v>0</v>
      </c>
      <c r="R1328" s="8" t="b">
        <v>0</v>
      </c>
      <c r="S1328" s="8" t="b">
        <v>0</v>
      </c>
      <c r="T1328" s="8" t="b">
        <v>0</v>
      </c>
      <c r="U1328" s="8" t="b">
        <v>0</v>
      </c>
      <c r="V1328" s="8" t="b">
        <v>1</v>
      </c>
      <c r="X1328" s="8" t="b">
        <v>0</v>
      </c>
      <c r="Y1328" s="8" t="b">
        <v>0</v>
      </c>
      <c r="Z1328" s="8" t="b">
        <v>0</v>
      </c>
      <c r="AA1328" s="8" t="b">
        <v>0</v>
      </c>
      <c r="AB1328" s="8" t="b">
        <v>0</v>
      </c>
      <c r="AC1328" s="8" t="b">
        <v>0</v>
      </c>
      <c r="AD1328" s="8" t="b">
        <v>0</v>
      </c>
      <c r="AE1328" s="8" t="b">
        <v>0</v>
      </c>
      <c r="AG1328" s="11" t="b" cm="1">
        <f t="array" ref="AG1328">IF(OR(Y1328:AA1328="TRUE", AE1328="true"), "Threatened")</f>
        <v>0</v>
      </c>
      <c r="AH1328" s="11" t="s">
        <v>3533</v>
      </c>
      <c r="AI1328" s="8" t="b">
        <v>1</v>
      </c>
    </row>
    <row r="1329" spans="1:35" ht="31.2">
      <c r="A1329" s="8">
        <v>-73.976575800000006</v>
      </c>
      <c r="B1329" s="8">
        <v>40.771380319999999</v>
      </c>
      <c r="C1329" s="8" t="s">
        <v>3534</v>
      </c>
      <c r="D1329" s="8" t="s">
        <v>2799</v>
      </c>
      <c r="E1329" s="8" t="b">
        <f t="shared" si="20"/>
        <v>1</v>
      </c>
      <c r="F1329" s="8" t="str" cm="1">
        <f t="array" ref="F1329">_xlfn._xlws.FILTER(E1329:E4527, C1329:C4527= "6D-PM-1020-01", "No Squirrels Found")</f>
        <v>No Squirrels Found</v>
      </c>
      <c r="G1329" s="8" t="s">
        <v>48</v>
      </c>
      <c r="H1329" s="10">
        <v>10072018</v>
      </c>
      <c r="I1329" s="10">
        <v>3</v>
      </c>
      <c r="J1329" s="8" t="s">
        <v>39</v>
      </c>
      <c r="K1329" s="8" t="s">
        <v>40</v>
      </c>
      <c r="L1329" s="8" t="s">
        <v>84</v>
      </c>
      <c r="M1329" s="8" t="s">
        <v>103</v>
      </c>
      <c r="O1329" s="8" t="s">
        <v>50</v>
      </c>
      <c r="P1329" s="8">
        <v>8</v>
      </c>
      <c r="Q1329" s="8" t="s">
        <v>3535</v>
      </c>
      <c r="R1329" s="8" t="b">
        <v>1</v>
      </c>
      <c r="S1329" s="8" t="b">
        <v>0</v>
      </c>
      <c r="T1329" s="8" t="b">
        <v>1</v>
      </c>
      <c r="U1329" s="8" t="b">
        <v>0</v>
      </c>
      <c r="V1329" s="8" t="b">
        <v>0</v>
      </c>
      <c r="X1329" s="8" t="b">
        <v>0</v>
      </c>
      <c r="Y1329" s="8" t="b">
        <v>0</v>
      </c>
      <c r="Z1329" s="8" t="b">
        <v>0</v>
      </c>
      <c r="AA1329" s="8" t="b">
        <v>0</v>
      </c>
      <c r="AB1329" s="8" t="b">
        <v>0</v>
      </c>
      <c r="AC1329" s="8" t="b">
        <v>0</v>
      </c>
      <c r="AD1329" s="8" t="b">
        <v>0</v>
      </c>
      <c r="AE1329" s="8" t="b">
        <v>1</v>
      </c>
      <c r="AG1329" s="11" t="b" cm="1">
        <f t="array" ref="AG1329">IF(OR(Y1329:AA1329="TRUE", AE1329="true"), "Threatened")</f>
        <v>0</v>
      </c>
      <c r="AH1329" s="11" t="s">
        <v>3536</v>
      </c>
      <c r="AI1329" s="8" t="b">
        <v>1</v>
      </c>
    </row>
    <row r="1330" spans="1:35" ht="62.4">
      <c r="A1330" s="8">
        <v>-73.97721645</v>
      </c>
      <c r="B1330" s="8">
        <v>40.76883995</v>
      </c>
      <c r="C1330" s="8" t="s">
        <v>3537</v>
      </c>
      <c r="D1330" s="8" t="s">
        <v>512</v>
      </c>
      <c r="E1330" s="8" t="b">
        <f t="shared" si="20"/>
        <v>0</v>
      </c>
      <c r="F1330" s="8" t="str" cm="1">
        <f t="array" ref="F1330">_xlfn._xlws.FILTER(E1330:E4528, C1330:C4528= "6D-PM-1020-01", "No Squirrels Found")</f>
        <v>No Squirrels Found</v>
      </c>
      <c r="G1330" s="8" t="s">
        <v>48</v>
      </c>
      <c r="H1330" s="10">
        <v>10062018</v>
      </c>
      <c r="I1330" s="10">
        <v>6</v>
      </c>
      <c r="K1330" s="8" t="s">
        <v>40</v>
      </c>
      <c r="M1330" s="8" t="s">
        <v>55</v>
      </c>
      <c r="O1330" s="8" t="s">
        <v>50</v>
      </c>
      <c r="P1330" s="8">
        <v>10</v>
      </c>
      <c r="Q1330" s="8" t="s">
        <v>206</v>
      </c>
      <c r="R1330" s="8" t="b">
        <v>1</v>
      </c>
      <c r="S1330" s="8" t="b">
        <v>0</v>
      </c>
      <c r="T1330" s="8" t="b">
        <v>1</v>
      </c>
      <c r="U1330" s="8" t="b">
        <v>0</v>
      </c>
      <c r="V1330" s="8" t="b">
        <v>0</v>
      </c>
      <c r="X1330" s="8" t="b">
        <v>0</v>
      </c>
      <c r="Y1330" s="8" t="b">
        <v>0</v>
      </c>
      <c r="Z1330" s="8" t="b">
        <v>0</v>
      </c>
      <c r="AA1330" s="8" t="b">
        <v>0</v>
      </c>
      <c r="AB1330" s="8" t="b">
        <v>0</v>
      </c>
      <c r="AC1330" s="8" t="b">
        <v>0</v>
      </c>
      <c r="AD1330" s="8" t="b">
        <v>0</v>
      </c>
      <c r="AE1330" s="8" t="b">
        <v>0</v>
      </c>
      <c r="AF1330" s="11" t="s">
        <v>3538</v>
      </c>
      <c r="AG1330" s="11" t="b" cm="1">
        <f t="array" ref="AG1330">IF(OR(Y1330:AA1330="TRUE", AE1330="true"), "Threatened")</f>
        <v>0</v>
      </c>
      <c r="AH1330" s="11" t="s">
        <v>3539</v>
      </c>
      <c r="AI1330" s="8" t="b">
        <v>1</v>
      </c>
    </row>
    <row r="1331" spans="1:35" ht="31.2">
      <c r="A1331" s="8">
        <v>-73.964303259999994</v>
      </c>
      <c r="B1331" s="8">
        <v>40.779451450000003</v>
      </c>
      <c r="C1331" s="8" t="s">
        <v>3540</v>
      </c>
      <c r="D1331" s="8" t="s">
        <v>1018</v>
      </c>
      <c r="E1331" s="8" t="b">
        <f t="shared" si="20"/>
        <v>0</v>
      </c>
      <c r="F1331" s="8" t="str" cm="1">
        <f t="array" ref="F1331">_xlfn._xlws.FILTER(E1331:E4529, C1331:C4529= "6D-PM-1020-01", "No Squirrels Found")</f>
        <v>No Squirrels Found</v>
      </c>
      <c r="G1331" s="8" t="s">
        <v>48</v>
      </c>
      <c r="H1331" s="10">
        <v>10102018</v>
      </c>
      <c r="I1331" s="10">
        <v>2</v>
      </c>
      <c r="K1331" s="8" t="s">
        <v>40</v>
      </c>
      <c r="L1331" s="8" t="s">
        <v>117</v>
      </c>
      <c r="M1331" s="8" t="s">
        <v>118</v>
      </c>
      <c r="O1331" s="8" t="s">
        <v>43</v>
      </c>
      <c r="P1331" s="8" t="b">
        <v>0</v>
      </c>
      <c r="Q1331" s="8" t="s">
        <v>3541</v>
      </c>
      <c r="R1331" s="8" t="b">
        <v>1</v>
      </c>
      <c r="S1331" s="8" t="b">
        <v>0</v>
      </c>
      <c r="T1331" s="8" t="b">
        <v>0</v>
      </c>
      <c r="U1331" s="8" t="b">
        <v>1</v>
      </c>
      <c r="V1331" s="8" t="b">
        <v>1</v>
      </c>
      <c r="X1331" s="8" t="b">
        <v>0</v>
      </c>
      <c r="Y1331" s="8" t="b">
        <v>0</v>
      </c>
      <c r="Z1331" s="8" t="b">
        <v>0</v>
      </c>
      <c r="AA1331" s="8" t="b">
        <v>1</v>
      </c>
      <c r="AB1331" s="8" t="b">
        <v>0</v>
      </c>
      <c r="AC1331" s="8" t="b">
        <v>1</v>
      </c>
      <c r="AD1331" s="8" t="b">
        <v>0</v>
      </c>
      <c r="AE1331" s="8" t="b">
        <v>0</v>
      </c>
      <c r="AF1331" s="11" t="s">
        <v>3542</v>
      </c>
      <c r="AG1331" s="11" t="b" cm="1">
        <f t="array" ref="AG1331">IF(OR(Y1331:AA1331="TRUE", AE1331="true"), "Threatened")</f>
        <v>0</v>
      </c>
      <c r="AH1331" s="11" t="s">
        <v>3543</v>
      </c>
      <c r="AI1331" s="8" t="b">
        <v>1</v>
      </c>
    </row>
    <row r="1332" spans="1:35" ht="31.2">
      <c r="A1332" s="8">
        <v>-73.958880919999999</v>
      </c>
      <c r="B1332" s="8">
        <v>40.784723159999999</v>
      </c>
      <c r="C1332" s="8" t="s">
        <v>3544</v>
      </c>
      <c r="D1332" s="8" t="s">
        <v>848</v>
      </c>
      <c r="E1332" s="8" t="b">
        <f t="shared" si="20"/>
        <v>0</v>
      </c>
      <c r="F1332" s="8" t="str" cm="1">
        <f t="array" ref="F1332">_xlfn._xlws.FILTER(E1332:E4530, C1332:C4530= "6D-PM-1020-01", "No Squirrels Found")</f>
        <v>No Squirrels Found</v>
      </c>
      <c r="G1332" s="8" t="s">
        <v>34</v>
      </c>
      <c r="H1332" s="10">
        <v>10102018</v>
      </c>
      <c r="I1332" s="10">
        <v>1</v>
      </c>
      <c r="J1332" s="8" t="s">
        <v>39</v>
      </c>
      <c r="K1332" s="8" t="s">
        <v>40</v>
      </c>
      <c r="L1332" s="8" t="s">
        <v>117</v>
      </c>
      <c r="M1332" s="8" t="s">
        <v>118</v>
      </c>
      <c r="O1332" s="8" t="s">
        <v>50</v>
      </c>
      <c r="P1332" s="8">
        <v>4</v>
      </c>
      <c r="R1332" s="8" t="b">
        <v>0</v>
      </c>
      <c r="S1332" s="8" t="b">
        <v>0</v>
      </c>
      <c r="T1332" s="8" t="b">
        <v>1</v>
      </c>
      <c r="U1332" s="8" t="b">
        <v>0</v>
      </c>
      <c r="V1332" s="8" t="b">
        <v>1</v>
      </c>
      <c r="X1332" s="8" t="b">
        <v>0</v>
      </c>
      <c r="Y1332" s="8" t="b">
        <v>0</v>
      </c>
      <c r="Z1332" s="8" t="b">
        <v>0</v>
      </c>
      <c r="AA1332" s="8" t="b">
        <v>0</v>
      </c>
      <c r="AB1332" s="8" t="b">
        <v>0</v>
      </c>
      <c r="AC1332" s="8" t="b">
        <v>0</v>
      </c>
      <c r="AD1332" s="8" t="b">
        <v>1</v>
      </c>
      <c r="AE1332" s="8" t="b">
        <v>0</v>
      </c>
      <c r="AG1332" s="11" t="b" cm="1">
        <f t="array" ref="AG1332">IF(OR(Y1332:AA1332="TRUE", AE1332="true"), "Threatened")</f>
        <v>0</v>
      </c>
      <c r="AH1332" s="11" t="s">
        <v>3545</v>
      </c>
      <c r="AI1332" s="8" t="b">
        <v>1</v>
      </c>
    </row>
    <row r="1333" spans="1:35" ht="31.2">
      <c r="A1333" s="8">
        <v>-73.977492819999995</v>
      </c>
      <c r="B1333" s="8">
        <v>40.772046459999999</v>
      </c>
      <c r="C1333" s="8" t="s">
        <v>3546</v>
      </c>
      <c r="D1333" s="8" t="s">
        <v>808</v>
      </c>
      <c r="E1333" s="8" t="b">
        <f t="shared" si="20"/>
        <v>0</v>
      </c>
      <c r="F1333" s="8" t="str" cm="1">
        <f t="array" ref="F1333">_xlfn._xlws.FILTER(E1333:E4531, C1333:C4531= "6D-PM-1020-01", "No Squirrels Found")</f>
        <v>No Squirrels Found</v>
      </c>
      <c r="G1333" s="8" t="s">
        <v>48</v>
      </c>
      <c r="H1333" s="10">
        <v>10122018</v>
      </c>
      <c r="I1333" s="10">
        <v>2</v>
      </c>
      <c r="J1333" s="8" t="s">
        <v>39</v>
      </c>
      <c r="K1333" s="8" t="s">
        <v>40</v>
      </c>
      <c r="L1333" s="8" t="s">
        <v>41</v>
      </c>
      <c r="M1333" s="8" t="s">
        <v>42</v>
      </c>
      <c r="O1333" s="8" t="s">
        <v>43</v>
      </c>
      <c r="P1333" s="8" t="b">
        <v>0</v>
      </c>
      <c r="Q1333" s="8" t="s">
        <v>3547</v>
      </c>
      <c r="R1333" s="8" t="b">
        <v>0</v>
      </c>
      <c r="S1333" s="8" t="b">
        <v>0</v>
      </c>
      <c r="T1333" s="8" t="b">
        <v>0</v>
      </c>
      <c r="U1333" s="8" t="b">
        <v>0</v>
      </c>
      <c r="V1333" s="8" t="b">
        <v>1</v>
      </c>
      <c r="W1333" s="11" t="s">
        <v>3548</v>
      </c>
      <c r="X1333" s="8" t="b">
        <v>0</v>
      </c>
      <c r="Y1333" s="8" t="b">
        <v>0</v>
      </c>
      <c r="Z1333" s="8" t="b">
        <v>0</v>
      </c>
      <c r="AA1333" s="8" t="b">
        <v>0</v>
      </c>
      <c r="AB1333" s="8" t="b">
        <v>0</v>
      </c>
      <c r="AC1333" s="8" t="b">
        <v>0</v>
      </c>
      <c r="AD1333" s="8" t="b">
        <v>0</v>
      </c>
      <c r="AE1333" s="8" t="b">
        <v>1</v>
      </c>
      <c r="AG1333" s="11" t="b" cm="1">
        <f t="array" ref="AG1333">IF(OR(Y1333:AA1333="TRUE", AE1333="true"), "Threatened")</f>
        <v>0</v>
      </c>
      <c r="AH1333" s="11" t="s">
        <v>3549</v>
      </c>
      <c r="AI1333" s="8" t="b">
        <v>0</v>
      </c>
    </row>
    <row r="1334" spans="1:35" ht="31.2">
      <c r="A1334" s="8">
        <v>-73.975452770000004</v>
      </c>
      <c r="B1334" s="8">
        <v>40.76560885</v>
      </c>
      <c r="C1334" s="8" t="s">
        <v>3550</v>
      </c>
      <c r="D1334" s="8" t="s">
        <v>966</v>
      </c>
      <c r="E1334" s="8" t="b">
        <f t="shared" si="20"/>
        <v>0</v>
      </c>
      <c r="F1334" s="8" t="str" cm="1">
        <f t="array" ref="F1334">_xlfn._xlws.FILTER(E1334:E4532, C1334:C4532= "6D-PM-1020-01", "No Squirrels Found")</f>
        <v>No Squirrels Found</v>
      </c>
      <c r="G1334" s="8" t="s">
        <v>34</v>
      </c>
      <c r="H1334" s="10">
        <v>10102018</v>
      </c>
      <c r="I1334" s="10">
        <v>2</v>
      </c>
      <c r="J1334" s="8" t="s">
        <v>39</v>
      </c>
      <c r="K1334" s="8" t="s">
        <v>40</v>
      </c>
      <c r="L1334" s="8" t="s">
        <v>41</v>
      </c>
      <c r="M1334" s="8" t="s">
        <v>42</v>
      </c>
      <c r="O1334" s="8" t="s">
        <v>50</v>
      </c>
      <c r="P1334" s="8">
        <v>20</v>
      </c>
      <c r="R1334" s="8" t="b">
        <v>0</v>
      </c>
      <c r="S1334" s="8" t="b">
        <v>0</v>
      </c>
      <c r="T1334" s="8" t="b">
        <v>0</v>
      </c>
      <c r="U1334" s="8" t="b">
        <v>0</v>
      </c>
      <c r="V1334" s="8" t="b">
        <v>0</v>
      </c>
      <c r="W1334" s="11" t="s">
        <v>3551</v>
      </c>
      <c r="X1334" s="8" t="b">
        <v>0</v>
      </c>
      <c r="Y1334" s="8" t="b">
        <v>0</v>
      </c>
      <c r="Z1334" s="8" t="b">
        <v>0</v>
      </c>
      <c r="AA1334" s="8" t="b">
        <v>1</v>
      </c>
      <c r="AB1334" s="8" t="b">
        <v>1</v>
      </c>
      <c r="AC1334" s="8" t="b">
        <v>0</v>
      </c>
      <c r="AD1334" s="8" t="b">
        <v>0</v>
      </c>
      <c r="AE1334" s="8" t="b">
        <v>0</v>
      </c>
      <c r="AG1334" s="11" t="b" cm="1">
        <f t="array" ref="AG1334">IF(OR(Y1334:AA1334="TRUE", AE1334="true"), "Threatened")</f>
        <v>0</v>
      </c>
      <c r="AH1334" s="11" t="s">
        <v>3552</v>
      </c>
      <c r="AI1334" s="8" t="b">
        <v>0</v>
      </c>
    </row>
    <row r="1335" spans="1:35" ht="31.2">
      <c r="A1335" s="8">
        <v>-73.957134659999994</v>
      </c>
      <c r="B1335" s="8">
        <v>40.787239560000003</v>
      </c>
      <c r="C1335" s="8" t="s">
        <v>3553</v>
      </c>
      <c r="D1335" s="8" t="s">
        <v>1915</v>
      </c>
      <c r="E1335" s="8" t="b">
        <f t="shared" si="20"/>
        <v>0</v>
      </c>
      <c r="F1335" s="8" t="str" cm="1">
        <f t="array" ref="F1335">_xlfn._xlws.FILTER(E1335:E4533, C1335:C4533= "6D-PM-1020-01", "No Squirrels Found")</f>
        <v>No Squirrels Found</v>
      </c>
      <c r="G1335" s="8" t="s">
        <v>34</v>
      </c>
      <c r="H1335" s="10">
        <v>10062018</v>
      </c>
      <c r="I1335" s="10">
        <v>7</v>
      </c>
      <c r="J1335" s="8" t="s">
        <v>39</v>
      </c>
      <c r="K1335" s="8" t="s">
        <v>41</v>
      </c>
      <c r="L1335" s="8" t="s">
        <v>40</v>
      </c>
      <c r="M1335" s="8" t="s">
        <v>110</v>
      </c>
      <c r="O1335" s="8" t="s">
        <v>43</v>
      </c>
      <c r="P1335" s="8" t="b">
        <v>0</v>
      </c>
      <c r="R1335" s="8" t="b">
        <v>0</v>
      </c>
      <c r="S1335" s="8" t="b">
        <v>0</v>
      </c>
      <c r="T1335" s="8" t="b">
        <v>0</v>
      </c>
      <c r="U1335" s="8" t="b">
        <v>0</v>
      </c>
      <c r="V1335" s="8" t="b">
        <v>1</v>
      </c>
      <c r="X1335" s="8" t="b">
        <v>0</v>
      </c>
      <c r="Y1335" s="8" t="b">
        <v>0</v>
      </c>
      <c r="Z1335" s="8" t="b">
        <v>0</v>
      </c>
      <c r="AA1335" s="8" t="b">
        <v>0</v>
      </c>
      <c r="AB1335" s="8" t="b">
        <v>0</v>
      </c>
      <c r="AC1335" s="8" t="b">
        <v>0</v>
      </c>
      <c r="AD1335" s="8" t="b">
        <v>0</v>
      </c>
      <c r="AE1335" s="8" t="b">
        <v>1</v>
      </c>
      <c r="AG1335" s="11" t="b" cm="1">
        <f t="array" ref="AG1335">IF(OR(Y1335:AA1335="TRUE", AE1335="true"), "Threatened")</f>
        <v>0</v>
      </c>
      <c r="AH1335" s="11" t="s">
        <v>3554</v>
      </c>
      <c r="AI1335" s="8" t="b">
        <v>1</v>
      </c>
    </row>
    <row r="1336" spans="1:35" ht="46.8">
      <c r="A1336" s="8">
        <v>-73.96956059</v>
      </c>
      <c r="B1336" s="8">
        <v>40.770561979999997</v>
      </c>
      <c r="C1336" s="8" t="s">
        <v>3555</v>
      </c>
      <c r="D1336" s="8" t="s">
        <v>1326</v>
      </c>
      <c r="E1336" s="8" t="b">
        <f t="shared" si="20"/>
        <v>0</v>
      </c>
      <c r="F1336" s="8" t="str" cm="1">
        <f t="array" ref="F1336">_xlfn._xlws.FILTER(E1336:E4534, C1336:C4534= "6D-PM-1020-01", "No Squirrels Found")</f>
        <v>No Squirrels Found</v>
      </c>
      <c r="G1336" s="8" t="s">
        <v>48</v>
      </c>
      <c r="H1336" s="10">
        <v>10062018</v>
      </c>
      <c r="I1336" s="10">
        <v>9</v>
      </c>
      <c r="J1336" s="8" t="s">
        <v>39</v>
      </c>
      <c r="K1336" s="8" t="s">
        <v>40</v>
      </c>
      <c r="L1336" s="8" t="s">
        <v>117</v>
      </c>
      <c r="M1336" s="8" t="s">
        <v>118</v>
      </c>
      <c r="O1336" s="8" t="s">
        <v>43</v>
      </c>
      <c r="P1336" s="8" t="b">
        <v>0</v>
      </c>
      <c r="R1336" s="8" t="b">
        <v>0</v>
      </c>
      <c r="S1336" s="8" t="b">
        <v>0</v>
      </c>
      <c r="T1336" s="8" t="b">
        <v>0</v>
      </c>
      <c r="U1336" s="8" t="b">
        <v>1</v>
      </c>
      <c r="V1336" s="8" t="b">
        <v>1</v>
      </c>
      <c r="X1336" s="8" t="b">
        <v>0</v>
      </c>
      <c r="Y1336" s="8" t="b">
        <v>0</v>
      </c>
      <c r="Z1336" s="8" t="b">
        <v>0</v>
      </c>
      <c r="AA1336" s="8" t="b">
        <v>0</v>
      </c>
      <c r="AB1336" s="8" t="b">
        <v>0</v>
      </c>
      <c r="AC1336" s="8" t="b">
        <v>0</v>
      </c>
      <c r="AD1336" s="8" t="b">
        <v>0</v>
      </c>
      <c r="AE1336" s="8" t="b">
        <v>0</v>
      </c>
      <c r="AF1336" s="11" t="s">
        <v>3556</v>
      </c>
      <c r="AG1336" s="11" t="b" cm="1">
        <f t="array" ref="AG1336">IF(OR(Y1336:AA1336="TRUE", AE1336="true"), "Threatened")</f>
        <v>0</v>
      </c>
      <c r="AH1336" s="11" t="s">
        <v>3557</v>
      </c>
      <c r="AI1336" s="8" t="b">
        <v>1</v>
      </c>
    </row>
    <row r="1337" spans="1:35" ht="31.2">
      <c r="A1337" s="8">
        <v>-73.973382009999995</v>
      </c>
      <c r="B1337" s="8">
        <v>40.768733050000002</v>
      </c>
      <c r="C1337" s="8" t="s">
        <v>3558</v>
      </c>
      <c r="D1337" s="8" t="s">
        <v>1668</v>
      </c>
      <c r="E1337" s="8" t="b">
        <f t="shared" si="20"/>
        <v>0</v>
      </c>
      <c r="F1337" s="8" t="str" cm="1">
        <f t="array" ref="F1337">_xlfn._xlws.FILTER(E1337:E4535, C1337:C4535= "6D-PM-1020-01", "No Squirrels Found")</f>
        <v>No Squirrels Found</v>
      </c>
      <c r="G1337" s="8" t="s">
        <v>34</v>
      </c>
      <c r="H1337" s="10">
        <v>10102018</v>
      </c>
      <c r="I1337" s="10">
        <v>5</v>
      </c>
      <c r="J1337" s="8" t="s">
        <v>39</v>
      </c>
      <c r="K1337" s="8" t="s">
        <v>40</v>
      </c>
      <c r="L1337" s="8" t="s">
        <v>41</v>
      </c>
      <c r="M1337" s="8" t="s">
        <v>42</v>
      </c>
      <c r="O1337" s="8" t="s">
        <v>43</v>
      </c>
      <c r="P1337" s="8" t="b">
        <v>0</v>
      </c>
      <c r="R1337" s="8" t="b">
        <v>0</v>
      </c>
      <c r="S1337" s="8" t="b">
        <v>0</v>
      </c>
      <c r="T1337" s="8" t="b">
        <v>0</v>
      </c>
      <c r="U1337" s="8" t="b">
        <v>1</v>
      </c>
      <c r="V1337" s="8" t="b">
        <v>1</v>
      </c>
      <c r="X1337" s="8" t="b">
        <v>0</v>
      </c>
      <c r="Y1337" s="8" t="b">
        <v>0</v>
      </c>
      <c r="Z1337" s="8" t="b">
        <v>0</v>
      </c>
      <c r="AA1337" s="8" t="b">
        <v>0</v>
      </c>
      <c r="AB1337" s="8" t="b">
        <v>0</v>
      </c>
      <c r="AC1337" s="8" t="b">
        <v>1</v>
      </c>
      <c r="AD1337" s="8" t="b">
        <v>0</v>
      </c>
      <c r="AE1337" s="8" t="b">
        <v>0</v>
      </c>
      <c r="AG1337" s="11" t="b" cm="1">
        <f t="array" ref="AG1337">IF(OR(Y1337:AA1337="TRUE", AE1337="true"), "Threatened")</f>
        <v>0</v>
      </c>
      <c r="AH1337" s="11" t="s">
        <v>3559</v>
      </c>
      <c r="AI1337" s="8" t="b">
        <v>1</v>
      </c>
    </row>
    <row r="1338" spans="1:35" ht="31.2">
      <c r="A1338" s="8">
        <v>-73.97509866</v>
      </c>
      <c r="B1338" s="8">
        <v>40.774067119999998</v>
      </c>
      <c r="C1338" s="8" t="s">
        <v>3560</v>
      </c>
      <c r="D1338" s="8" t="s">
        <v>845</v>
      </c>
      <c r="E1338" s="8" t="b">
        <f t="shared" si="20"/>
        <v>0</v>
      </c>
      <c r="F1338" s="8" t="str" cm="1">
        <f t="array" ref="F1338">_xlfn._xlws.FILTER(E1338:E4536, C1338:C4536= "6D-PM-1020-01", "No Squirrels Found")</f>
        <v>No Squirrels Found</v>
      </c>
      <c r="G1338" s="8" t="s">
        <v>48</v>
      </c>
      <c r="H1338" s="10">
        <v>10182018</v>
      </c>
      <c r="I1338" s="10">
        <v>3</v>
      </c>
      <c r="J1338" s="8" t="s">
        <v>39</v>
      </c>
      <c r="K1338" s="8" t="s">
        <v>40</v>
      </c>
      <c r="M1338" s="8" t="s">
        <v>55</v>
      </c>
      <c r="O1338" s="8" t="s">
        <v>43</v>
      </c>
      <c r="P1338" s="8" t="b">
        <v>0</v>
      </c>
      <c r="R1338" s="8" t="b">
        <v>0</v>
      </c>
      <c r="S1338" s="8" t="b">
        <v>0</v>
      </c>
      <c r="T1338" s="8" t="b">
        <v>0</v>
      </c>
      <c r="U1338" s="8" t="b">
        <v>0</v>
      </c>
      <c r="V1338" s="8" t="b">
        <v>1</v>
      </c>
      <c r="X1338" s="8" t="b">
        <v>0</v>
      </c>
      <c r="Y1338" s="8" t="b">
        <v>0</v>
      </c>
      <c r="Z1338" s="8" t="b">
        <v>0</v>
      </c>
      <c r="AA1338" s="8" t="b">
        <v>0</v>
      </c>
      <c r="AB1338" s="8" t="b">
        <v>0</v>
      </c>
      <c r="AC1338" s="8" t="b">
        <v>0</v>
      </c>
      <c r="AD1338" s="8" t="b">
        <v>1</v>
      </c>
      <c r="AE1338" s="8" t="b">
        <v>0</v>
      </c>
      <c r="AG1338" s="11" t="b" cm="1">
        <f t="array" ref="AG1338">IF(OR(Y1338:AA1338="TRUE", AE1338="true"), "Threatened")</f>
        <v>0</v>
      </c>
      <c r="AH1338" s="11" t="s">
        <v>3561</v>
      </c>
      <c r="AI1338" s="8" t="b">
        <v>1</v>
      </c>
    </row>
    <row r="1339" spans="1:35" ht="31.2">
      <c r="A1339" s="8">
        <v>-73.971662460000005</v>
      </c>
      <c r="B1339" s="8">
        <v>40.776203709999997</v>
      </c>
      <c r="C1339" s="8" t="s">
        <v>3562</v>
      </c>
      <c r="D1339" s="8" t="s">
        <v>426</v>
      </c>
      <c r="E1339" s="8" t="b">
        <f t="shared" si="20"/>
        <v>0</v>
      </c>
      <c r="F1339" s="8" t="str" cm="1">
        <f t="array" ref="F1339">_xlfn._xlws.FILTER(E1339:E4537, C1339:C4537= "6D-PM-1020-01", "No Squirrels Found")</f>
        <v>No Squirrels Found</v>
      </c>
      <c r="G1339" s="8" t="s">
        <v>34</v>
      </c>
      <c r="H1339" s="10">
        <v>10182018</v>
      </c>
      <c r="I1339" s="10">
        <v>7</v>
      </c>
      <c r="J1339" s="8" t="s">
        <v>39</v>
      </c>
      <c r="K1339" s="8" t="s">
        <v>40</v>
      </c>
      <c r="L1339" s="8" t="s">
        <v>41</v>
      </c>
      <c r="M1339" s="8" t="s">
        <v>42</v>
      </c>
      <c r="O1339" s="8" t="s">
        <v>50</v>
      </c>
      <c r="P1339" s="8">
        <v>20</v>
      </c>
      <c r="R1339" s="8" t="b">
        <v>1</v>
      </c>
      <c r="S1339" s="8" t="b">
        <v>0</v>
      </c>
      <c r="T1339" s="8" t="b">
        <v>1</v>
      </c>
      <c r="U1339" s="8" t="b">
        <v>0</v>
      </c>
      <c r="V1339" s="8" t="b">
        <v>0</v>
      </c>
      <c r="W1339" s="11" t="s">
        <v>3563</v>
      </c>
      <c r="X1339" s="8" t="b">
        <v>0</v>
      </c>
      <c r="Y1339" s="8" t="b">
        <v>0</v>
      </c>
      <c r="Z1339" s="8" t="b">
        <v>0</v>
      </c>
      <c r="AA1339" s="8" t="b">
        <v>0</v>
      </c>
      <c r="AB1339" s="8" t="b">
        <v>0</v>
      </c>
      <c r="AC1339" s="8" t="b">
        <v>0</v>
      </c>
      <c r="AD1339" s="8" t="b">
        <v>1</v>
      </c>
      <c r="AE1339" s="8" t="b">
        <v>0</v>
      </c>
      <c r="AG1339" s="11" t="b" cm="1">
        <f t="array" ref="AG1339">IF(OR(Y1339:AA1339="TRUE", AE1339="true"), "Threatened")</f>
        <v>0</v>
      </c>
      <c r="AH1339" s="11" t="s">
        <v>3564</v>
      </c>
      <c r="AI1339" s="8" t="b">
        <v>0</v>
      </c>
    </row>
    <row r="1340" spans="1:35" ht="31.2">
      <c r="A1340" s="8">
        <v>-73.968641329999997</v>
      </c>
      <c r="B1340" s="8">
        <v>40.781742389999998</v>
      </c>
      <c r="C1340" s="8" t="s">
        <v>3565</v>
      </c>
      <c r="D1340" s="8" t="s">
        <v>319</v>
      </c>
      <c r="E1340" s="8" t="b">
        <f t="shared" si="20"/>
        <v>0</v>
      </c>
      <c r="F1340" s="8" t="str" cm="1">
        <f t="array" ref="F1340">_xlfn._xlws.FILTER(E1340:E4538, C1340:C4538= "6D-PM-1020-01", "No Squirrels Found")</f>
        <v>No Squirrels Found</v>
      </c>
      <c r="G1340" s="8" t="s">
        <v>34</v>
      </c>
      <c r="H1340" s="10">
        <v>10182018</v>
      </c>
      <c r="I1340" s="10">
        <v>8</v>
      </c>
      <c r="J1340" s="8" t="s">
        <v>54</v>
      </c>
      <c r="K1340" s="8" t="s">
        <v>40</v>
      </c>
      <c r="L1340" s="8" t="s">
        <v>117</v>
      </c>
      <c r="M1340" s="8" t="s">
        <v>118</v>
      </c>
      <c r="N1340" s="11" t="s">
        <v>1008</v>
      </c>
      <c r="O1340" s="8" t="s">
        <v>43</v>
      </c>
      <c r="P1340" s="8" t="b">
        <v>0</v>
      </c>
      <c r="R1340" s="8" t="b">
        <v>0</v>
      </c>
      <c r="S1340" s="8" t="b">
        <v>0</v>
      </c>
      <c r="T1340" s="8" t="b">
        <v>0</v>
      </c>
      <c r="U1340" s="8" t="b">
        <v>1</v>
      </c>
      <c r="V1340" s="8" t="b">
        <v>0</v>
      </c>
      <c r="X1340" s="8" t="b">
        <v>0</v>
      </c>
      <c r="Y1340" s="8" t="b">
        <v>0</v>
      </c>
      <c r="Z1340" s="8" t="b">
        <v>0</v>
      </c>
      <c r="AA1340" s="8" t="b">
        <v>0</v>
      </c>
      <c r="AB1340" s="8" t="b">
        <v>0</v>
      </c>
      <c r="AC1340" s="8" t="b">
        <v>0</v>
      </c>
      <c r="AD1340" s="8" t="b">
        <v>0</v>
      </c>
      <c r="AE1340" s="8" t="b">
        <v>0</v>
      </c>
      <c r="AG1340" s="11" t="b" cm="1">
        <f t="array" ref="AG1340">IF(OR(Y1340:AA1340="TRUE", AE1340="true"), "Threatened")</f>
        <v>0</v>
      </c>
      <c r="AH1340" s="11" t="s">
        <v>3566</v>
      </c>
      <c r="AI1340" s="8" t="b">
        <v>1</v>
      </c>
    </row>
    <row r="1341" spans="1:35" ht="31.2">
      <c r="A1341" s="8">
        <v>-73.977308359999995</v>
      </c>
      <c r="B1341" s="8">
        <v>40.771053590000001</v>
      </c>
      <c r="C1341" s="8" t="s">
        <v>3567</v>
      </c>
      <c r="D1341" s="8" t="s">
        <v>808</v>
      </c>
      <c r="E1341" s="8" t="b">
        <f t="shared" si="20"/>
        <v>0</v>
      </c>
      <c r="F1341" s="8" t="str" cm="1">
        <f t="array" ref="F1341">_xlfn._xlws.FILTER(E1341:E4539, C1341:C4539= "6D-PM-1020-01", "No Squirrels Found")</f>
        <v>No Squirrels Found</v>
      </c>
      <c r="G1341" s="8" t="s">
        <v>34</v>
      </c>
      <c r="H1341" s="10">
        <v>10172018</v>
      </c>
      <c r="I1341" s="10">
        <v>1</v>
      </c>
      <c r="J1341" s="8" t="s">
        <v>39</v>
      </c>
      <c r="K1341" s="8" t="s">
        <v>40</v>
      </c>
      <c r="L1341" s="8" t="s">
        <v>84</v>
      </c>
      <c r="M1341" s="8" t="s">
        <v>103</v>
      </c>
      <c r="O1341" s="8" t="s">
        <v>43</v>
      </c>
      <c r="P1341" s="8" t="b">
        <v>0</v>
      </c>
      <c r="R1341" s="8" t="b">
        <v>0</v>
      </c>
      <c r="S1341" s="8" t="b">
        <v>0</v>
      </c>
      <c r="T1341" s="8" t="b">
        <v>0</v>
      </c>
      <c r="U1341" s="8" t="b">
        <v>0</v>
      </c>
      <c r="V1341" s="8" t="b">
        <v>1</v>
      </c>
      <c r="W1341" s="11" t="s">
        <v>355</v>
      </c>
      <c r="X1341" s="8" t="b">
        <v>0</v>
      </c>
      <c r="Y1341" s="8" t="b">
        <v>0</v>
      </c>
      <c r="Z1341" s="8" t="b">
        <v>0</v>
      </c>
      <c r="AA1341" s="8" t="b">
        <v>0</v>
      </c>
      <c r="AB1341" s="8" t="b">
        <v>0</v>
      </c>
      <c r="AC1341" s="8" t="b">
        <v>1</v>
      </c>
      <c r="AD1341" s="8" t="b">
        <v>0</v>
      </c>
      <c r="AE1341" s="8" t="b">
        <v>0</v>
      </c>
      <c r="AG1341" s="11" t="b" cm="1">
        <f t="array" ref="AG1341">IF(OR(Y1341:AA1341="TRUE", AE1341="true"), "Threatened")</f>
        <v>0</v>
      </c>
      <c r="AH1341" s="11" t="s">
        <v>3568</v>
      </c>
      <c r="AI1341" s="8" t="b">
        <v>0</v>
      </c>
    </row>
    <row r="1342" spans="1:35" ht="31.2">
      <c r="A1342" s="8">
        <v>-73.961130089999997</v>
      </c>
      <c r="B1342" s="8">
        <v>40.791874370000002</v>
      </c>
      <c r="C1342" s="8" t="s">
        <v>3569</v>
      </c>
      <c r="D1342" s="8" t="s">
        <v>616</v>
      </c>
      <c r="E1342" s="8" t="b">
        <f t="shared" si="20"/>
        <v>0</v>
      </c>
      <c r="F1342" s="8" t="str" cm="1">
        <f t="array" ref="F1342">_xlfn._xlws.FILTER(E1342:E4540, C1342:C4540= "6D-PM-1020-01", "No Squirrels Found")</f>
        <v>No Squirrels Found</v>
      </c>
      <c r="G1342" s="8" t="s">
        <v>34</v>
      </c>
      <c r="H1342" s="10">
        <v>10132018</v>
      </c>
      <c r="I1342" s="10">
        <v>7</v>
      </c>
      <c r="J1342" s="8" t="s">
        <v>39</v>
      </c>
      <c r="K1342" s="8" t="s">
        <v>40</v>
      </c>
      <c r="L1342" s="8" t="s">
        <v>41</v>
      </c>
      <c r="M1342" s="8" t="s">
        <v>42</v>
      </c>
      <c r="O1342" s="8" t="s">
        <v>43</v>
      </c>
      <c r="P1342" s="8" t="b">
        <v>0</v>
      </c>
      <c r="R1342" s="8" t="b">
        <v>0</v>
      </c>
      <c r="S1342" s="8" t="b">
        <v>0</v>
      </c>
      <c r="T1342" s="8" t="b">
        <v>0</v>
      </c>
      <c r="U1342" s="8" t="b">
        <v>1</v>
      </c>
      <c r="V1342" s="8" t="b">
        <v>1</v>
      </c>
      <c r="X1342" s="8" t="b">
        <v>0</v>
      </c>
      <c r="Y1342" s="8" t="b">
        <v>0</v>
      </c>
      <c r="Z1342" s="8" t="b">
        <v>0</v>
      </c>
      <c r="AA1342" s="8" t="b">
        <v>0</v>
      </c>
      <c r="AB1342" s="8" t="b">
        <v>0</v>
      </c>
      <c r="AC1342" s="8" t="b">
        <v>0</v>
      </c>
      <c r="AD1342" s="8" t="b">
        <v>1</v>
      </c>
      <c r="AE1342" s="8" t="b">
        <v>0</v>
      </c>
      <c r="AG1342" s="11" t="b" cm="1">
        <f t="array" ref="AG1342">IF(OR(Y1342:AA1342="TRUE", AE1342="true"), "Threatened")</f>
        <v>0</v>
      </c>
      <c r="AH1342" s="11" t="s">
        <v>3570</v>
      </c>
      <c r="AI1342" s="8" t="b">
        <v>1</v>
      </c>
    </row>
    <row r="1343" spans="1:35" ht="31.2">
      <c r="A1343" s="8">
        <v>-73.966206360000001</v>
      </c>
      <c r="B1343" s="8">
        <v>40.78907787</v>
      </c>
      <c r="C1343" s="8" t="s">
        <v>3571</v>
      </c>
      <c r="D1343" s="8" t="s">
        <v>174</v>
      </c>
      <c r="E1343" s="8" t="b">
        <f t="shared" si="20"/>
        <v>0</v>
      </c>
      <c r="F1343" s="8" t="str" cm="1">
        <f t="array" ref="F1343">_xlfn._xlws.FILTER(E1343:E4541, C1343:C4541= "6D-PM-1020-01", "No Squirrels Found")</f>
        <v>No Squirrels Found</v>
      </c>
      <c r="G1343" s="8" t="s">
        <v>34</v>
      </c>
      <c r="H1343" s="10">
        <v>10072018</v>
      </c>
      <c r="I1343" s="10">
        <v>4</v>
      </c>
      <c r="J1343" s="8" t="s">
        <v>39</v>
      </c>
      <c r="K1343" s="8" t="s">
        <v>40</v>
      </c>
      <c r="L1343" s="8" t="s">
        <v>84</v>
      </c>
      <c r="M1343" s="8" t="s">
        <v>103</v>
      </c>
      <c r="R1343" s="8" t="b">
        <v>0</v>
      </c>
      <c r="S1343" s="8" t="b">
        <v>0</v>
      </c>
      <c r="T1343" s="8" t="b">
        <v>0</v>
      </c>
      <c r="U1343" s="8" t="b">
        <v>0</v>
      </c>
      <c r="V1343" s="8" t="b">
        <v>0</v>
      </c>
      <c r="W1343" s="11" t="s">
        <v>3572</v>
      </c>
      <c r="X1343" s="8" t="b">
        <v>1</v>
      </c>
      <c r="Y1343" s="8" t="b">
        <v>0</v>
      </c>
      <c r="Z1343" s="8" t="b">
        <v>0</v>
      </c>
      <c r="AA1343" s="8" t="b">
        <v>0</v>
      </c>
      <c r="AB1343" s="8" t="b">
        <v>1</v>
      </c>
      <c r="AC1343" s="8" t="b">
        <v>0</v>
      </c>
      <c r="AD1343" s="8" t="b">
        <v>0</v>
      </c>
      <c r="AE1343" s="8" t="b">
        <v>0</v>
      </c>
      <c r="AF1343" s="11" t="s">
        <v>1445</v>
      </c>
      <c r="AG1343" s="11" t="b" cm="1">
        <f t="array" ref="AG1343">IF(OR(Y1343:AA1343="TRUE", AE1343="true"), "Threatened")</f>
        <v>0</v>
      </c>
      <c r="AH1343" s="11" t="s">
        <v>3573</v>
      </c>
      <c r="AI1343" s="8" t="b">
        <v>0</v>
      </c>
    </row>
    <row r="1344" spans="1:35" ht="31.2">
      <c r="A1344" s="8">
        <v>-73.956366299999999</v>
      </c>
      <c r="B1344" s="8">
        <v>40.799195210000001</v>
      </c>
      <c r="C1344" s="8" t="s">
        <v>3574</v>
      </c>
      <c r="D1344" s="8" t="s">
        <v>350</v>
      </c>
      <c r="E1344" s="8" t="b">
        <f t="shared" si="20"/>
        <v>0</v>
      </c>
      <c r="F1344" s="8" t="str" cm="1">
        <f t="array" ref="F1344">_xlfn._xlws.FILTER(E1344:E4542, C1344:C4542= "6D-PM-1020-01", "No Squirrels Found")</f>
        <v>No Squirrels Found</v>
      </c>
      <c r="G1344" s="8" t="s">
        <v>34</v>
      </c>
      <c r="H1344" s="10">
        <v>10132018</v>
      </c>
      <c r="I1344" s="10">
        <v>1</v>
      </c>
      <c r="J1344" s="8" t="s">
        <v>39</v>
      </c>
      <c r="K1344" s="8" t="s">
        <v>40</v>
      </c>
      <c r="M1344" s="8" t="s">
        <v>55</v>
      </c>
      <c r="O1344" s="8" t="s">
        <v>43</v>
      </c>
      <c r="P1344" s="8" t="b">
        <v>0</v>
      </c>
      <c r="R1344" s="8" t="b">
        <v>0</v>
      </c>
      <c r="S1344" s="8" t="b">
        <v>0</v>
      </c>
      <c r="T1344" s="8" t="b">
        <v>0</v>
      </c>
      <c r="U1344" s="8" t="b">
        <v>0</v>
      </c>
      <c r="V1344" s="8" t="b">
        <v>1</v>
      </c>
      <c r="X1344" s="8" t="b">
        <v>0</v>
      </c>
      <c r="Y1344" s="8" t="b">
        <v>0</v>
      </c>
      <c r="Z1344" s="8" t="b">
        <v>0</v>
      </c>
      <c r="AA1344" s="8" t="b">
        <v>0</v>
      </c>
      <c r="AB1344" s="8" t="b">
        <v>0</v>
      </c>
      <c r="AC1344" s="8" t="b">
        <v>0</v>
      </c>
      <c r="AD1344" s="8" t="b">
        <v>1</v>
      </c>
      <c r="AE1344" s="8" t="b">
        <v>0</v>
      </c>
      <c r="AG1344" s="11" t="b" cm="1">
        <f t="array" ref="AG1344">IF(OR(Y1344:AA1344="TRUE", AE1344="true"), "Threatened")</f>
        <v>0</v>
      </c>
      <c r="AH1344" s="11" t="s">
        <v>3575</v>
      </c>
      <c r="AI1344" s="8" t="b">
        <v>1</v>
      </c>
    </row>
    <row r="1345" spans="1:35" ht="31.2">
      <c r="A1345" s="8">
        <v>-73.961859149999995</v>
      </c>
      <c r="B1345" s="8">
        <v>40.792134369999999</v>
      </c>
      <c r="C1345" s="8" t="s">
        <v>3576</v>
      </c>
      <c r="D1345" s="8" t="s">
        <v>616</v>
      </c>
      <c r="E1345" s="8" t="b">
        <f t="shared" si="20"/>
        <v>0</v>
      </c>
      <c r="F1345" s="8" t="str" cm="1">
        <f t="array" ref="F1345">_xlfn._xlws.FILTER(E1345:E4543, C1345:C4543= "6D-PM-1020-01", "No Squirrels Found")</f>
        <v>No Squirrels Found</v>
      </c>
      <c r="G1345" s="8" t="s">
        <v>34</v>
      </c>
      <c r="H1345" s="10">
        <v>10132018</v>
      </c>
      <c r="I1345" s="10">
        <v>11</v>
      </c>
      <c r="J1345" s="8" t="s">
        <v>54</v>
      </c>
      <c r="K1345" s="8" t="s">
        <v>40</v>
      </c>
      <c r="M1345" s="8" t="s">
        <v>55</v>
      </c>
      <c r="O1345" s="8" t="s">
        <v>43</v>
      </c>
      <c r="P1345" s="8" t="b">
        <v>0</v>
      </c>
      <c r="R1345" s="8" t="b">
        <v>0</v>
      </c>
      <c r="S1345" s="8" t="b">
        <v>0</v>
      </c>
      <c r="T1345" s="8" t="b">
        <v>0</v>
      </c>
      <c r="U1345" s="8" t="b">
        <v>0</v>
      </c>
      <c r="V1345" s="8" t="b">
        <v>1</v>
      </c>
      <c r="X1345" s="8" t="b">
        <v>0</v>
      </c>
      <c r="Y1345" s="8" t="b">
        <v>0</v>
      </c>
      <c r="Z1345" s="8" t="b">
        <v>0</v>
      </c>
      <c r="AA1345" s="8" t="b">
        <v>0</v>
      </c>
      <c r="AB1345" s="8" t="b">
        <v>0</v>
      </c>
      <c r="AC1345" s="8" t="b">
        <v>0</v>
      </c>
      <c r="AD1345" s="8" t="b">
        <v>0</v>
      </c>
      <c r="AE1345" s="8" t="b">
        <v>0</v>
      </c>
      <c r="AG1345" s="11" t="b" cm="1">
        <f t="array" ref="AG1345">IF(OR(Y1345:AA1345="TRUE", AE1345="true"), "Threatened")</f>
        <v>0</v>
      </c>
      <c r="AH1345" s="11" t="s">
        <v>3577</v>
      </c>
      <c r="AI1345" s="8" t="b">
        <v>1</v>
      </c>
    </row>
    <row r="1346" spans="1:35" ht="31.2">
      <c r="A1346" s="8">
        <v>-73.958132660000004</v>
      </c>
      <c r="B1346" s="8">
        <v>40.791807470000002</v>
      </c>
      <c r="C1346" s="8" t="s">
        <v>3578</v>
      </c>
      <c r="D1346" s="8" t="s">
        <v>1965</v>
      </c>
      <c r="E1346" s="8" t="b">
        <f t="shared" si="20"/>
        <v>0</v>
      </c>
      <c r="F1346" s="8" t="str" cm="1">
        <f t="array" ref="F1346">_xlfn._xlws.FILTER(E1346:E4544, C1346:C4544= "6D-PM-1020-01", "No Squirrels Found")</f>
        <v>No Squirrels Found</v>
      </c>
      <c r="G1346" s="8" t="s">
        <v>34</v>
      </c>
      <c r="H1346" s="10">
        <v>10062018</v>
      </c>
      <c r="I1346" s="10">
        <v>2</v>
      </c>
      <c r="J1346" s="8" t="s">
        <v>54</v>
      </c>
      <c r="K1346" s="8" t="s">
        <v>192</v>
      </c>
      <c r="L1346" s="8" t="s">
        <v>135</v>
      </c>
      <c r="M1346" s="8" t="s">
        <v>3579</v>
      </c>
      <c r="O1346" s="8" t="s">
        <v>43</v>
      </c>
      <c r="P1346" s="8" t="b">
        <v>0</v>
      </c>
      <c r="R1346" s="8" t="b">
        <v>0</v>
      </c>
      <c r="S1346" s="8" t="b">
        <v>0</v>
      </c>
      <c r="T1346" s="8" t="b">
        <v>0</v>
      </c>
      <c r="U1346" s="8" t="b">
        <v>1</v>
      </c>
      <c r="V1346" s="8" t="b">
        <v>0</v>
      </c>
      <c r="X1346" s="8" t="b">
        <v>0</v>
      </c>
      <c r="Y1346" s="8" t="b">
        <v>0</v>
      </c>
      <c r="Z1346" s="8" t="b">
        <v>0</v>
      </c>
      <c r="AA1346" s="8" t="b">
        <v>0</v>
      </c>
      <c r="AB1346" s="8" t="b">
        <v>1</v>
      </c>
      <c r="AC1346" s="8" t="b">
        <v>0</v>
      </c>
      <c r="AD1346" s="8" t="b">
        <v>0</v>
      </c>
      <c r="AE1346" s="8" t="b">
        <v>1</v>
      </c>
      <c r="AG1346" s="11" t="b" cm="1">
        <f t="array" ref="AG1346">IF(OR(Y1346:AA1346="TRUE", AE1346="true"), "Threatened")</f>
        <v>0</v>
      </c>
      <c r="AH1346" s="11" t="s">
        <v>3580</v>
      </c>
      <c r="AI1346" s="8" t="b">
        <v>1</v>
      </c>
    </row>
    <row r="1347" spans="1:35" ht="31.2">
      <c r="A1347" s="8">
        <v>-73.973565550000004</v>
      </c>
      <c r="B1347" s="8">
        <v>40.771607269999997</v>
      </c>
      <c r="C1347" s="8" t="s">
        <v>3581</v>
      </c>
      <c r="D1347" s="8" t="s">
        <v>159</v>
      </c>
      <c r="E1347" s="8" t="b">
        <f t="shared" ref="E1347:E1410" si="21">OR(D1347 = "05D", D1347 = "07D", D1347 = "06C", D1347 = "06E")</f>
        <v>0</v>
      </c>
      <c r="F1347" s="8" t="str" cm="1">
        <f t="array" ref="F1347">_xlfn._xlws.FILTER(E1347:E4545, C1347:C4545= "6D-PM-1020-01", "No Squirrels Found")</f>
        <v>No Squirrels Found</v>
      </c>
      <c r="G1347" s="8" t="s">
        <v>34</v>
      </c>
      <c r="H1347" s="10">
        <v>10132018</v>
      </c>
      <c r="I1347" s="10">
        <v>2</v>
      </c>
      <c r="J1347" s="8" t="s">
        <v>39</v>
      </c>
      <c r="K1347" s="8" t="s">
        <v>40</v>
      </c>
      <c r="L1347" s="8" t="s">
        <v>41</v>
      </c>
      <c r="M1347" s="8" t="s">
        <v>42</v>
      </c>
      <c r="O1347" s="8" t="s">
        <v>43</v>
      </c>
      <c r="P1347" s="8" t="b">
        <v>0</v>
      </c>
      <c r="Q1347" s="8" t="s">
        <v>2880</v>
      </c>
      <c r="R1347" s="8" t="b">
        <v>1</v>
      </c>
      <c r="S1347" s="8" t="b">
        <v>0</v>
      </c>
      <c r="T1347" s="8" t="b">
        <v>0</v>
      </c>
      <c r="U1347" s="8" t="b">
        <v>1</v>
      </c>
      <c r="V1347" s="8" t="b">
        <v>1</v>
      </c>
      <c r="X1347" s="8" t="b">
        <v>0</v>
      </c>
      <c r="Y1347" s="8" t="b">
        <v>0</v>
      </c>
      <c r="Z1347" s="8" t="b">
        <v>0</v>
      </c>
      <c r="AA1347" s="8" t="b">
        <v>0</v>
      </c>
      <c r="AB1347" s="8" t="b">
        <v>0</v>
      </c>
      <c r="AC1347" s="8" t="b">
        <v>0</v>
      </c>
      <c r="AD1347" s="8" t="b">
        <v>0</v>
      </c>
      <c r="AE1347" s="8" t="b">
        <v>1</v>
      </c>
      <c r="AG1347" s="11" t="b" cm="1">
        <f t="array" ref="AG1347">IF(OR(Y1347:AA1347="TRUE", AE1347="true"), "Threatened")</f>
        <v>0</v>
      </c>
      <c r="AH1347" s="11" t="s">
        <v>3582</v>
      </c>
      <c r="AI1347" s="8" t="b">
        <v>1</v>
      </c>
    </row>
    <row r="1348" spans="1:35" ht="31.2">
      <c r="A1348" s="8">
        <v>-73.961669369999996</v>
      </c>
      <c r="B1348" s="8">
        <v>40.792971020000003</v>
      </c>
      <c r="C1348" s="8" t="s">
        <v>3583</v>
      </c>
      <c r="D1348" s="8" t="s">
        <v>931</v>
      </c>
      <c r="E1348" s="8" t="b">
        <f t="shared" si="21"/>
        <v>0</v>
      </c>
      <c r="F1348" s="8" t="str" cm="1">
        <f t="array" ref="F1348">_xlfn._xlws.FILTER(E1348:E4546, C1348:C4546= "6D-PM-1020-01", "No Squirrels Found")</f>
        <v>No Squirrels Found</v>
      </c>
      <c r="G1348" s="8" t="s">
        <v>48</v>
      </c>
      <c r="H1348" s="10">
        <v>10102018</v>
      </c>
      <c r="I1348" s="10">
        <v>5</v>
      </c>
      <c r="J1348" s="8" t="s">
        <v>39</v>
      </c>
      <c r="K1348" s="8" t="s">
        <v>40</v>
      </c>
      <c r="L1348" s="8" t="s">
        <v>84</v>
      </c>
      <c r="M1348" s="8" t="s">
        <v>103</v>
      </c>
      <c r="O1348" s="8" t="s">
        <v>43</v>
      </c>
      <c r="P1348" s="8" t="b">
        <v>0</v>
      </c>
      <c r="R1348" s="8" t="b">
        <v>0</v>
      </c>
      <c r="S1348" s="8" t="b">
        <v>0</v>
      </c>
      <c r="T1348" s="8" t="b">
        <v>0</v>
      </c>
      <c r="U1348" s="8" t="b">
        <v>0</v>
      </c>
      <c r="V1348" s="8" t="b">
        <v>1</v>
      </c>
      <c r="X1348" s="8" t="b">
        <v>0</v>
      </c>
      <c r="Y1348" s="8" t="b">
        <v>0</v>
      </c>
      <c r="Z1348" s="8" t="b">
        <v>0</v>
      </c>
      <c r="AA1348" s="8" t="b">
        <v>0</v>
      </c>
      <c r="AB1348" s="8" t="b">
        <v>0</v>
      </c>
      <c r="AC1348" s="8" t="b">
        <v>0</v>
      </c>
      <c r="AD1348" s="8" t="b">
        <v>0</v>
      </c>
      <c r="AE1348" s="8" t="b">
        <v>1</v>
      </c>
      <c r="AG1348" s="11" t="b" cm="1">
        <f t="array" ref="AG1348">IF(OR(Y1348:AA1348="TRUE", AE1348="true"), "Threatened")</f>
        <v>0</v>
      </c>
      <c r="AH1348" s="11" t="s">
        <v>3584</v>
      </c>
      <c r="AI1348" s="8" t="b">
        <v>1</v>
      </c>
    </row>
    <row r="1349" spans="1:35" ht="31.2">
      <c r="A1349" s="8">
        <v>-73.959919760000005</v>
      </c>
      <c r="B1349" s="8">
        <v>40.795483650000001</v>
      </c>
      <c r="C1349" s="8" t="s">
        <v>3585</v>
      </c>
      <c r="D1349" s="8" t="s">
        <v>1406</v>
      </c>
      <c r="E1349" s="8" t="b">
        <f t="shared" si="21"/>
        <v>0</v>
      </c>
      <c r="F1349" s="8" t="str" cm="1">
        <f t="array" ref="F1349">_xlfn._xlws.FILTER(E1349:E4547, C1349:C4547= "6D-PM-1020-01", "No Squirrels Found")</f>
        <v>No Squirrels Found</v>
      </c>
      <c r="G1349" s="8" t="s">
        <v>34</v>
      </c>
      <c r="H1349" s="10">
        <v>10132018</v>
      </c>
      <c r="I1349" s="10">
        <v>5</v>
      </c>
      <c r="J1349" s="8" t="s">
        <v>39</v>
      </c>
      <c r="K1349" s="8" t="s">
        <v>40</v>
      </c>
      <c r="M1349" s="8" t="s">
        <v>55</v>
      </c>
      <c r="O1349" s="8" t="s">
        <v>50</v>
      </c>
      <c r="P1349" s="8">
        <v>4</v>
      </c>
      <c r="R1349" s="8" t="b">
        <v>1</v>
      </c>
      <c r="S1349" s="8" t="b">
        <v>0</v>
      </c>
      <c r="T1349" s="8" t="b">
        <v>0</v>
      </c>
      <c r="U1349" s="8" t="b">
        <v>0</v>
      </c>
      <c r="V1349" s="8" t="b">
        <v>0</v>
      </c>
      <c r="X1349" s="8" t="b">
        <v>0</v>
      </c>
      <c r="Y1349" s="8" t="b">
        <v>0</v>
      </c>
      <c r="Z1349" s="8" t="b">
        <v>0</v>
      </c>
      <c r="AA1349" s="8" t="b">
        <v>0</v>
      </c>
      <c r="AB1349" s="8" t="b">
        <v>0</v>
      </c>
      <c r="AC1349" s="8" t="b">
        <v>0</v>
      </c>
      <c r="AD1349" s="8" t="b">
        <v>0</v>
      </c>
      <c r="AE1349" s="8" t="b">
        <v>1</v>
      </c>
      <c r="AG1349" s="11" t="b" cm="1">
        <f t="array" ref="AG1349">IF(OR(Y1349:AA1349="TRUE", AE1349="true"), "Threatened")</f>
        <v>0</v>
      </c>
      <c r="AH1349" s="11" t="s">
        <v>3586</v>
      </c>
      <c r="AI1349" s="8" t="b">
        <v>1</v>
      </c>
    </row>
    <row r="1350" spans="1:35" ht="31.2">
      <c r="A1350" s="8">
        <v>-73.980680559999996</v>
      </c>
      <c r="B1350" s="8">
        <v>40.7681538</v>
      </c>
      <c r="C1350" s="8" t="s">
        <v>3587</v>
      </c>
      <c r="D1350" s="8" t="s">
        <v>855</v>
      </c>
      <c r="E1350" s="8" t="b">
        <f t="shared" si="21"/>
        <v>0</v>
      </c>
      <c r="F1350" s="8" t="str" cm="1">
        <f t="array" ref="F1350">_xlfn._xlws.FILTER(E1350:E4548, C1350:C4548= "6D-PM-1020-01", "No Squirrels Found")</f>
        <v>No Squirrels Found</v>
      </c>
      <c r="G1350" s="8" t="s">
        <v>48</v>
      </c>
      <c r="H1350" s="10">
        <v>10122018</v>
      </c>
      <c r="I1350" s="10">
        <v>16</v>
      </c>
      <c r="J1350" s="8" t="s">
        <v>39</v>
      </c>
      <c r="K1350" s="8" t="s">
        <v>40</v>
      </c>
      <c r="L1350" s="8" t="s">
        <v>84</v>
      </c>
      <c r="M1350" s="8" t="s">
        <v>103</v>
      </c>
      <c r="O1350" s="8" t="s">
        <v>43</v>
      </c>
      <c r="P1350" s="8" t="b">
        <v>0</v>
      </c>
      <c r="R1350" s="8" t="b">
        <v>0</v>
      </c>
      <c r="S1350" s="8" t="b">
        <v>0</v>
      </c>
      <c r="T1350" s="8" t="b">
        <v>0</v>
      </c>
      <c r="U1350" s="8" t="b">
        <v>1</v>
      </c>
      <c r="V1350" s="8" t="b">
        <v>0</v>
      </c>
      <c r="X1350" s="8" t="b">
        <v>0</v>
      </c>
      <c r="Y1350" s="8" t="b">
        <v>0</v>
      </c>
      <c r="Z1350" s="8" t="b">
        <v>0</v>
      </c>
      <c r="AA1350" s="8" t="b">
        <v>0</v>
      </c>
      <c r="AB1350" s="8" t="b">
        <v>1</v>
      </c>
      <c r="AC1350" s="8" t="b">
        <v>0</v>
      </c>
      <c r="AD1350" s="8" t="b">
        <v>1</v>
      </c>
      <c r="AE1350" s="8" t="b">
        <v>0</v>
      </c>
      <c r="AG1350" s="11" t="b" cm="1">
        <f t="array" ref="AG1350">IF(OR(Y1350:AA1350="TRUE", AE1350="true"), "Threatened")</f>
        <v>0</v>
      </c>
      <c r="AH1350" s="11" t="s">
        <v>3588</v>
      </c>
      <c r="AI1350" s="8" t="b">
        <v>1</v>
      </c>
    </row>
    <row r="1351" spans="1:35" ht="31.2">
      <c r="A1351" s="8">
        <v>-73.972769869999993</v>
      </c>
      <c r="B1351" s="8">
        <v>40.771433530000003</v>
      </c>
      <c r="C1351" s="8" t="s">
        <v>3589</v>
      </c>
      <c r="D1351" s="8" t="s">
        <v>776</v>
      </c>
      <c r="E1351" s="8" t="b">
        <f t="shared" si="21"/>
        <v>0</v>
      </c>
      <c r="F1351" s="8" t="str" cm="1">
        <f t="array" ref="F1351">_xlfn._xlws.FILTER(E1351:E4549, C1351:C4549= "6D-PM-1020-01", "No Squirrels Found")</f>
        <v>No Squirrels Found</v>
      </c>
      <c r="G1351" s="8" t="s">
        <v>34</v>
      </c>
      <c r="H1351" s="10">
        <v>10122018</v>
      </c>
      <c r="I1351" s="10">
        <v>6</v>
      </c>
      <c r="J1351" s="8" t="s">
        <v>39</v>
      </c>
      <c r="K1351" s="8" t="s">
        <v>40</v>
      </c>
      <c r="M1351" s="8" t="s">
        <v>55</v>
      </c>
      <c r="O1351" s="8" t="s">
        <v>43</v>
      </c>
      <c r="P1351" s="8" t="b">
        <v>0</v>
      </c>
      <c r="R1351" s="8" t="b">
        <v>0</v>
      </c>
      <c r="S1351" s="8" t="b">
        <v>0</v>
      </c>
      <c r="T1351" s="8" t="b">
        <v>0</v>
      </c>
      <c r="U1351" s="8" t="b">
        <v>0</v>
      </c>
      <c r="V1351" s="8" t="b">
        <v>1</v>
      </c>
      <c r="X1351" s="8" t="b">
        <v>0</v>
      </c>
      <c r="Y1351" s="8" t="b">
        <v>0</v>
      </c>
      <c r="Z1351" s="8" t="b">
        <v>0</v>
      </c>
      <c r="AA1351" s="8" t="b">
        <v>0</v>
      </c>
      <c r="AB1351" s="8" t="b">
        <v>0</v>
      </c>
      <c r="AC1351" s="8" t="b">
        <v>0</v>
      </c>
      <c r="AD1351" s="8" t="b">
        <v>1</v>
      </c>
      <c r="AE1351" s="8" t="b">
        <v>0</v>
      </c>
      <c r="AG1351" s="11" t="b" cm="1">
        <f t="array" ref="AG1351">IF(OR(Y1351:AA1351="TRUE", AE1351="true"), "Threatened")</f>
        <v>0</v>
      </c>
      <c r="AH1351" s="11" t="s">
        <v>3590</v>
      </c>
      <c r="AI1351" s="8" t="b">
        <v>1</v>
      </c>
    </row>
    <row r="1352" spans="1:35" ht="31.2">
      <c r="A1352" s="8">
        <v>-73.961098519999993</v>
      </c>
      <c r="B1352" s="8">
        <v>40.791386709999998</v>
      </c>
      <c r="C1352" s="8" t="s">
        <v>3591</v>
      </c>
      <c r="D1352" s="8" t="s">
        <v>309</v>
      </c>
      <c r="E1352" s="8" t="b">
        <f t="shared" si="21"/>
        <v>0</v>
      </c>
      <c r="F1352" s="8" t="str" cm="1">
        <f t="array" ref="F1352">_xlfn._xlws.FILTER(E1352:E4550, C1352:C4550= "6D-PM-1020-01", "No Squirrels Found")</f>
        <v>No Squirrels Found</v>
      </c>
      <c r="G1352" s="8" t="s">
        <v>48</v>
      </c>
      <c r="H1352" s="10">
        <v>10132018</v>
      </c>
      <c r="I1352" s="10">
        <v>1</v>
      </c>
      <c r="J1352" s="8" t="s">
        <v>39</v>
      </c>
      <c r="K1352" s="8" t="s">
        <v>41</v>
      </c>
      <c r="L1352" s="8" t="s">
        <v>40</v>
      </c>
      <c r="M1352" s="8" t="s">
        <v>110</v>
      </c>
      <c r="O1352" s="8" t="s">
        <v>50</v>
      </c>
      <c r="P1352" s="8">
        <v>20</v>
      </c>
      <c r="R1352" s="8" t="b">
        <v>0</v>
      </c>
      <c r="S1352" s="8" t="b">
        <v>0</v>
      </c>
      <c r="T1352" s="8" t="b">
        <v>1</v>
      </c>
      <c r="U1352" s="8" t="b">
        <v>0</v>
      </c>
      <c r="V1352" s="8" t="b">
        <v>0</v>
      </c>
      <c r="X1352" s="8" t="b">
        <v>0</v>
      </c>
      <c r="Y1352" s="8" t="b">
        <v>0</v>
      </c>
      <c r="Z1352" s="8" t="b">
        <v>0</v>
      </c>
      <c r="AA1352" s="8" t="b">
        <v>0</v>
      </c>
      <c r="AB1352" s="8" t="b">
        <v>0</v>
      </c>
      <c r="AC1352" s="8" t="b">
        <v>0</v>
      </c>
      <c r="AD1352" s="8" t="b">
        <v>1</v>
      </c>
      <c r="AE1352" s="8" t="b">
        <v>0</v>
      </c>
      <c r="AG1352" s="11" t="b" cm="1">
        <f t="array" ref="AG1352">IF(OR(Y1352:AA1352="TRUE", AE1352="true"), "Threatened")</f>
        <v>0</v>
      </c>
      <c r="AH1352" s="11" t="s">
        <v>3592</v>
      </c>
      <c r="AI1352" s="8" t="b">
        <v>1</v>
      </c>
    </row>
    <row r="1353" spans="1:35" ht="31.2">
      <c r="A1353" s="8">
        <v>-73.961677030000004</v>
      </c>
      <c r="B1353" s="8">
        <v>40.79216486</v>
      </c>
      <c r="C1353" s="8" t="s">
        <v>3593</v>
      </c>
      <c r="D1353" s="8" t="s">
        <v>616</v>
      </c>
      <c r="E1353" s="8" t="b">
        <f t="shared" si="21"/>
        <v>0</v>
      </c>
      <c r="F1353" s="8" t="str" cm="1">
        <f t="array" ref="F1353">_xlfn._xlws.FILTER(E1353:E4551, C1353:C4551= "6D-PM-1020-01", "No Squirrels Found")</f>
        <v>No Squirrels Found</v>
      </c>
      <c r="G1353" s="8" t="s">
        <v>34</v>
      </c>
      <c r="H1353" s="10">
        <v>10132018</v>
      </c>
      <c r="I1353" s="10">
        <v>13</v>
      </c>
      <c r="J1353" s="8" t="s">
        <v>39</v>
      </c>
      <c r="K1353" s="8" t="s">
        <v>40</v>
      </c>
      <c r="M1353" s="8" t="s">
        <v>55</v>
      </c>
      <c r="O1353" s="8" t="s">
        <v>43</v>
      </c>
      <c r="P1353" s="8" t="b">
        <v>0</v>
      </c>
      <c r="R1353" s="8" t="b">
        <v>0</v>
      </c>
      <c r="S1353" s="8" t="b">
        <v>0</v>
      </c>
      <c r="T1353" s="8" t="b">
        <v>0</v>
      </c>
      <c r="U1353" s="8" t="b">
        <v>0</v>
      </c>
      <c r="V1353" s="8" t="b">
        <v>1</v>
      </c>
      <c r="W1353" s="11" t="s">
        <v>3594</v>
      </c>
      <c r="X1353" s="8" t="b">
        <v>0</v>
      </c>
      <c r="Y1353" s="8" t="b">
        <v>0</v>
      </c>
      <c r="Z1353" s="8" t="b">
        <v>0</v>
      </c>
      <c r="AA1353" s="8" t="b">
        <v>0</v>
      </c>
      <c r="AB1353" s="8" t="b">
        <v>1</v>
      </c>
      <c r="AC1353" s="8" t="b">
        <v>0</v>
      </c>
      <c r="AD1353" s="8" t="b">
        <v>0</v>
      </c>
      <c r="AE1353" s="8" t="b">
        <v>0</v>
      </c>
      <c r="AG1353" s="11" t="b" cm="1">
        <f t="array" ref="AG1353">IF(OR(Y1353:AA1353="TRUE", AE1353="true"), "Threatened")</f>
        <v>0</v>
      </c>
      <c r="AH1353" s="11" t="s">
        <v>3595</v>
      </c>
      <c r="AI1353" s="8" t="b">
        <v>0</v>
      </c>
    </row>
    <row r="1354" spans="1:35" ht="31.2">
      <c r="A1354" s="8">
        <v>-73.963647649999999</v>
      </c>
      <c r="B1354" s="8">
        <v>40.777555700000001</v>
      </c>
      <c r="C1354" s="8" t="s">
        <v>3596</v>
      </c>
      <c r="D1354" s="8" t="s">
        <v>1144</v>
      </c>
      <c r="E1354" s="8" t="b">
        <f t="shared" si="21"/>
        <v>0</v>
      </c>
      <c r="F1354" s="8" t="str" cm="1">
        <f t="array" ref="F1354">_xlfn._xlws.FILTER(E1354:E4552, C1354:C4552= "6D-PM-1020-01", "No Squirrels Found")</f>
        <v>No Squirrels Found</v>
      </c>
      <c r="G1354" s="8" t="s">
        <v>48</v>
      </c>
      <c r="H1354" s="10">
        <v>10172018</v>
      </c>
      <c r="I1354" s="10">
        <v>1</v>
      </c>
      <c r="J1354" s="8" t="s">
        <v>39</v>
      </c>
      <c r="K1354" s="8" t="s">
        <v>41</v>
      </c>
      <c r="L1354" s="8" t="s">
        <v>192</v>
      </c>
      <c r="M1354" s="8" t="s">
        <v>1145</v>
      </c>
      <c r="O1354" s="8" t="s">
        <v>43</v>
      </c>
      <c r="P1354" s="8" t="b">
        <v>0</v>
      </c>
      <c r="R1354" s="8" t="b">
        <v>0</v>
      </c>
      <c r="S1354" s="8" t="b">
        <v>0</v>
      </c>
      <c r="T1354" s="8" t="b">
        <v>0</v>
      </c>
      <c r="U1354" s="8" t="b">
        <v>1</v>
      </c>
      <c r="V1354" s="8" t="b">
        <v>0</v>
      </c>
      <c r="X1354" s="8" t="b">
        <v>0</v>
      </c>
      <c r="Y1354" s="8" t="b">
        <v>0</v>
      </c>
      <c r="Z1354" s="8" t="b">
        <v>0</v>
      </c>
      <c r="AA1354" s="8" t="b">
        <v>0</v>
      </c>
      <c r="AB1354" s="8" t="b">
        <v>0</v>
      </c>
      <c r="AC1354" s="8" t="b">
        <v>0</v>
      </c>
      <c r="AD1354" s="8" t="b">
        <v>1</v>
      </c>
      <c r="AE1354" s="8" t="b">
        <v>0</v>
      </c>
      <c r="AG1354" s="11" t="b" cm="1">
        <f t="array" ref="AG1354">IF(OR(Y1354:AA1354="TRUE", AE1354="true"), "Threatened")</f>
        <v>0</v>
      </c>
      <c r="AH1354" s="11" t="s">
        <v>3597</v>
      </c>
      <c r="AI1354" s="8" t="b">
        <v>1</v>
      </c>
    </row>
    <row r="1355" spans="1:35" ht="31.2">
      <c r="A1355" s="8">
        <v>-73.976526930000006</v>
      </c>
      <c r="B1355" s="8">
        <v>40.774687659999998</v>
      </c>
      <c r="C1355" s="8" t="s">
        <v>3598</v>
      </c>
      <c r="D1355" s="8" t="s">
        <v>859</v>
      </c>
      <c r="E1355" s="8" t="b">
        <f t="shared" si="21"/>
        <v>0</v>
      </c>
      <c r="F1355" s="8" t="str" cm="1">
        <f t="array" ref="F1355">_xlfn._xlws.FILTER(E1355:E4553, C1355:C4553= "6D-PM-1020-01", "No Squirrels Found")</f>
        <v>No Squirrels Found</v>
      </c>
      <c r="G1355" s="8" t="s">
        <v>48</v>
      </c>
      <c r="H1355" s="10">
        <v>10132018</v>
      </c>
      <c r="I1355" s="10">
        <v>10</v>
      </c>
      <c r="J1355" s="8" t="s">
        <v>54</v>
      </c>
      <c r="K1355" s="8" t="s">
        <v>41</v>
      </c>
      <c r="L1355" s="8" t="s">
        <v>40</v>
      </c>
      <c r="M1355" s="8" t="s">
        <v>110</v>
      </c>
      <c r="O1355" s="8" t="s">
        <v>43</v>
      </c>
      <c r="P1355" s="8" t="b">
        <v>0</v>
      </c>
      <c r="R1355" s="8" t="b">
        <v>0</v>
      </c>
      <c r="S1355" s="8" t="b">
        <v>0</v>
      </c>
      <c r="T1355" s="8" t="b">
        <v>1</v>
      </c>
      <c r="U1355" s="8" t="b">
        <v>1</v>
      </c>
      <c r="V1355" s="8" t="b">
        <v>0</v>
      </c>
      <c r="X1355" s="8" t="b">
        <v>0</v>
      </c>
      <c r="Y1355" s="8" t="b">
        <v>0</v>
      </c>
      <c r="Z1355" s="8" t="b">
        <v>0</v>
      </c>
      <c r="AA1355" s="8" t="b">
        <v>0</v>
      </c>
      <c r="AB1355" s="8" t="b">
        <v>0</v>
      </c>
      <c r="AC1355" s="8" t="b">
        <v>0</v>
      </c>
      <c r="AD1355" s="8" t="b">
        <v>0</v>
      </c>
      <c r="AE1355" s="8" t="b">
        <v>1</v>
      </c>
      <c r="AG1355" s="11" t="b" cm="1">
        <f t="array" ref="AG1355">IF(OR(Y1355:AA1355="TRUE", AE1355="true"), "Threatened")</f>
        <v>0</v>
      </c>
      <c r="AH1355" s="11" t="s">
        <v>3599</v>
      </c>
      <c r="AI1355" s="8" t="b">
        <v>1</v>
      </c>
    </row>
    <row r="1356" spans="1:35" ht="31.2">
      <c r="A1356" s="8">
        <v>-73.965527730000005</v>
      </c>
      <c r="B1356" s="8">
        <v>40.780612050000002</v>
      </c>
      <c r="C1356" s="8" t="s">
        <v>3600</v>
      </c>
      <c r="D1356" s="8" t="s">
        <v>574</v>
      </c>
      <c r="E1356" s="8" t="b">
        <f t="shared" si="21"/>
        <v>0</v>
      </c>
      <c r="F1356" s="8" t="str" cm="1">
        <f t="array" ref="F1356">_xlfn._xlws.FILTER(E1356:E4554, C1356:C4554= "6D-PM-1020-01", "No Squirrels Found")</f>
        <v>No Squirrels Found</v>
      </c>
      <c r="G1356" s="8" t="s">
        <v>48</v>
      </c>
      <c r="H1356" s="10">
        <v>10142018</v>
      </c>
      <c r="I1356" s="10">
        <v>3</v>
      </c>
      <c r="J1356" s="8" t="s">
        <v>39</v>
      </c>
      <c r="K1356" s="8" t="s">
        <v>40</v>
      </c>
      <c r="M1356" s="8" t="s">
        <v>55</v>
      </c>
      <c r="O1356" s="8" t="s">
        <v>50</v>
      </c>
      <c r="P1356" s="8">
        <v>30</v>
      </c>
      <c r="R1356" s="8" t="b">
        <v>0</v>
      </c>
      <c r="S1356" s="8" t="b">
        <v>0</v>
      </c>
      <c r="T1356" s="8" t="b">
        <v>1</v>
      </c>
      <c r="U1356" s="8" t="b">
        <v>0</v>
      </c>
      <c r="V1356" s="8" t="b">
        <v>0</v>
      </c>
      <c r="X1356" s="8" t="b">
        <v>1</v>
      </c>
      <c r="Y1356" s="8" t="b">
        <v>0</v>
      </c>
      <c r="Z1356" s="8" t="b">
        <v>0</v>
      </c>
      <c r="AA1356" s="8" t="b">
        <v>0</v>
      </c>
      <c r="AB1356" s="8" t="b">
        <v>0</v>
      </c>
      <c r="AC1356" s="8" t="b">
        <v>0</v>
      </c>
      <c r="AD1356" s="8" t="b">
        <v>0</v>
      </c>
      <c r="AE1356" s="8" t="b">
        <v>0</v>
      </c>
      <c r="AG1356" s="11" t="b" cm="1">
        <f t="array" ref="AG1356">IF(OR(Y1356:AA1356="TRUE", AE1356="true"), "Threatened")</f>
        <v>0</v>
      </c>
      <c r="AH1356" s="11" t="s">
        <v>3601</v>
      </c>
      <c r="AI1356" s="8" t="b">
        <v>1</v>
      </c>
    </row>
    <row r="1357" spans="1:35" ht="31.2">
      <c r="A1357" s="8">
        <v>-73.953491060000005</v>
      </c>
      <c r="B1357" s="8">
        <v>40.79357744</v>
      </c>
      <c r="C1357" s="8" t="s">
        <v>3602</v>
      </c>
      <c r="D1357" s="8" t="s">
        <v>867</v>
      </c>
      <c r="E1357" s="8" t="b">
        <f t="shared" si="21"/>
        <v>0</v>
      </c>
      <c r="F1357" s="8" t="str" cm="1">
        <f t="array" ref="F1357">_xlfn._xlws.FILTER(E1357:E4555, C1357:C4555= "6D-PM-1020-01", "No Squirrels Found")</f>
        <v>No Squirrels Found</v>
      </c>
      <c r="G1357" s="8" t="s">
        <v>48</v>
      </c>
      <c r="H1357" s="10">
        <v>10182018</v>
      </c>
      <c r="I1357" s="10">
        <v>4</v>
      </c>
      <c r="J1357" s="8" t="s">
        <v>39</v>
      </c>
      <c r="K1357" s="8" t="s">
        <v>40</v>
      </c>
      <c r="L1357" s="8" t="s">
        <v>84</v>
      </c>
      <c r="M1357" s="8" t="s">
        <v>103</v>
      </c>
      <c r="O1357" s="8" t="s">
        <v>43</v>
      </c>
      <c r="P1357" s="8" t="b">
        <v>0</v>
      </c>
      <c r="R1357" s="8" t="b">
        <v>1</v>
      </c>
      <c r="S1357" s="8" t="b">
        <v>0</v>
      </c>
      <c r="T1357" s="8" t="b">
        <v>0</v>
      </c>
      <c r="U1357" s="8" t="b">
        <v>0</v>
      </c>
      <c r="V1357" s="8" t="b">
        <v>0</v>
      </c>
      <c r="X1357" s="8" t="b">
        <v>0</v>
      </c>
      <c r="Y1357" s="8" t="b">
        <v>0</v>
      </c>
      <c r="Z1357" s="8" t="b">
        <v>0</v>
      </c>
      <c r="AA1357" s="8" t="b">
        <v>0</v>
      </c>
      <c r="AB1357" s="8" t="b">
        <v>1</v>
      </c>
      <c r="AC1357" s="8" t="b">
        <v>0</v>
      </c>
      <c r="AD1357" s="8" t="b">
        <v>0</v>
      </c>
      <c r="AE1357" s="8" t="b">
        <v>1</v>
      </c>
      <c r="AF1357" s="11" t="s">
        <v>3603</v>
      </c>
      <c r="AG1357" s="11" t="b" cm="1">
        <f t="array" ref="AG1357">IF(OR(Y1357:AA1357="TRUE", AE1357="true"), "Threatened")</f>
        <v>0</v>
      </c>
      <c r="AH1357" s="11" t="s">
        <v>3604</v>
      </c>
      <c r="AI1357" s="8" t="b">
        <v>1</v>
      </c>
    </row>
    <row r="1358" spans="1:35" ht="31.2">
      <c r="A1358" s="8">
        <v>-73.963134999999994</v>
      </c>
      <c r="B1358" s="8">
        <v>40.791907209999998</v>
      </c>
      <c r="C1358" s="8" t="s">
        <v>3605</v>
      </c>
      <c r="D1358" s="8" t="s">
        <v>785</v>
      </c>
      <c r="E1358" s="8" t="b">
        <f t="shared" si="21"/>
        <v>0</v>
      </c>
      <c r="F1358" s="8" t="str" cm="1">
        <f t="array" ref="F1358">_xlfn._xlws.FILTER(E1358:E4556, C1358:C4556= "6D-PM-1020-01", "No Squirrels Found")</f>
        <v>No Squirrels Found</v>
      </c>
      <c r="G1358" s="8" t="s">
        <v>34</v>
      </c>
      <c r="H1358" s="10">
        <v>10102018</v>
      </c>
      <c r="I1358" s="10">
        <v>1</v>
      </c>
      <c r="J1358" s="8" t="s">
        <v>54</v>
      </c>
      <c r="K1358" s="8" t="s">
        <v>40</v>
      </c>
      <c r="M1358" s="8" t="s">
        <v>55</v>
      </c>
      <c r="O1358" s="8" t="s">
        <v>50</v>
      </c>
      <c r="P1358" s="8">
        <v>25</v>
      </c>
      <c r="Q1358" s="8" t="s">
        <v>466</v>
      </c>
      <c r="R1358" s="8" t="b">
        <v>0</v>
      </c>
      <c r="S1358" s="8" t="b">
        <v>0</v>
      </c>
      <c r="T1358" s="8" t="b">
        <v>1</v>
      </c>
      <c r="U1358" s="8" t="b">
        <v>0</v>
      </c>
      <c r="V1358" s="8" t="b">
        <v>0</v>
      </c>
      <c r="X1358" s="8" t="b">
        <v>0</v>
      </c>
      <c r="Y1358" s="8" t="b">
        <v>0</v>
      </c>
      <c r="Z1358" s="8" t="b">
        <v>0</v>
      </c>
      <c r="AA1358" s="8" t="b">
        <v>0</v>
      </c>
      <c r="AB1358" s="8" t="b">
        <v>1</v>
      </c>
      <c r="AC1358" s="8" t="b">
        <v>0</v>
      </c>
      <c r="AD1358" s="8" t="b">
        <v>0</v>
      </c>
      <c r="AE1358" s="8" t="b">
        <v>1</v>
      </c>
      <c r="AG1358" s="11" t="b" cm="1">
        <f t="array" ref="AG1358">IF(OR(Y1358:AA1358="TRUE", AE1358="true"), "Threatened")</f>
        <v>0</v>
      </c>
      <c r="AH1358" s="11" t="s">
        <v>3606</v>
      </c>
      <c r="AI1358" s="8" t="b">
        <v>1</v>
      </c>
    </row>
    <row r="1359" spans="1:35" ht="31.2">
      <c r="A1359" s="8">
        <v>-73.969377249999994</v>
      </c>
      <c r="B1359" s="8">
        <v>40.770687590000001</v>
      </c>
      <c r="C1359" s="8" t="s">
        <v>3607</v>
      </c>
      <c r="D1359" s="8" t="s">
        <v>1326</v>
      </c>
      <c r="E1359" s="8" t="b">
        <f t="shared" si="21"/>
        <v>0</v>
      </c>
      <c r="F1359" s="8" t="str" cm="1">
        <f t="array" ref="F1359">_xlfn._xlws.FILTER(E1359:E4557, C1359:C4557= "6D-PM-1020-01", "No Squirrels Found")</f>
        <v>No Squirrels Found</v>
      </c>
      <c r="G1359" s="8" t="s">
        <v>48</v>
      </c>
      <c r="H1359" s="10">
        <v>10062018</v>
      </c>
      <c r="I1359" s="10">
        <v>3</v>
      </c>
      <c r="J1359" s="8" t="s">
        <v>39</v>
      </c>
      <c r="K1359" s="8" t="s">
        <v>40</v>
      </c>
      <c r="L1359" s="8" t="s">
        <v>84</v>
      </c>
      <c r="M1359" s="8" t="s">
        <v>103</v>
      </c>
      <c r="O1359" s="8" t="s">
        <v>43</v>
      </c>
      <c r="P1359" s="8" t="b">
        <v>0</v>
      </c>
      <c r="R1359" s="8" t="b">
        <v>0</v>
      </c>
      <c r="S1359" s="8" t="b">
        <v>0</v>
      </c>
      <c r="T1359" s="8" t="b">
        <v>0</v>
      </c>
      <c r="U1359" s="8" t="b">
        <v>0</v>
      </c>
      <c r="V1359" s="8" t="b">
        <v>1</v>
      </c>
      <c r="X1359" s="8" t="b">
        <v>0</v>
      </c>
      <c r="Y1359" s="8" t="b">
        <v>0</v>
      </c>
      <c r="Z1359" s="8" t="b">
        <v>0</v>
      </c>
      <c r="AA1359" s="8" t="b">
        <v>0</v>
      </c>
      <c r="AB1359" s="8" t="b">
        <v>0</v>
      </c>
      <c r="AC1359" s="8" t="b">
        <v>0</v>
      </c>
      <c r="AD1359" s="8" t="b">
        <v>1</v>
      </c>
      <c r="AE1359" s="8" t="b">
        <v>0</v>
      </c>
      <c r="AG1359" s="11" t="b" cm="1">
        <f t="array" ref="AG1359">IF(OR(Y1359:AA1359="TRUE", AE1359="true"), "Threatened")</f>
        <v>0</v>
      </c>
      <c r="AH1359" s="11" t="s">
        <v>3608</v>
      </c>
      <c r="AI1359" s="8" t="b">
        <v>1</v>
      </c>
    </row>
    <row r="1360" spans="1:35" ht="31.2">
      <c r="A1360" s="8">
        <v>-73.970878299999995</v>
      </c>
      <c r="B1360" s="8">
        <v>40.776946870000003</v>
      </c>
      <c r="C1360" s="8" t="s">
        <v>3609</v>
      </c>
      <c r="D1360" s="8" t="s">
        <v>741</v>
      </c>
      <c r="E1360" s="8" t="b">
        <f t="shared" si="21"/>
        <v>0</v>
      </c>
      <c r="F1360" s="8" t="str" cm="1">
        <f t="array" ref="F1360">_xlfn._xlws.FILTER(E1360:E4558, C1360:C4558= "6D-PM-1020-01", "No Squirrels Found")</f>
        <v>No Squirrels Found</v>
      </c>
      <c r="G1360" s="8" t="s">
        <v>48</v>
      </c>
      <c r="H1360" s="10">
        <v>10142018</v>
      </c>
      <c r="I1360" s="10">
        <v>8</v>
      </c>
      <c r="J1360" s="8" t="s">
        <v>39</v>
      </c>
      <c r="K1360" s="8" t="s">
        <v>40</v>
      </c>
      <c r="L1360" s="8" t="s">
        <v>117</v>
      </c>
      <c r="M1360" s="8" t="s">
        <v>118</v>
      </c>
      <c r="O1360" s="8" t="s">
        <v>43</v>
      </c>
      <c r="P1360" s="8" t="b">
        <v>0</v>
      </c>
      <c r="R1360" s="8" t="b">
        <v>0</v>
      </c>
      <c r="S1360" s="8" t="b">
        <v>0</v>
      </c>
      <c r="T1360" s="8" t="b">
        <v>0</v>
      </c>
      <c r="U1360" s="8" t="b">
        <v>0</v>
      </c>
      <c r="V1360" s="8" t="b">
        <v>1</v>
      </c>
      <c r="X1360" s="8" t="b">
        <v>0</v>
      </c>
      <c r="Y1360" s="8" t="b">
        <v>0</v>
      </c>
      <c r="Z1360" s="8" t="b">
        <v>0</v>
      </c>
      <c r="AA1360" s="8" t="b">
        <v>0</v>
      </c>
      <c r="AB1360" s="8" t="b">
        <v>0</v>
      </c>
      <c r="AC1360" s="8" t="b">
        <v>0</v>
      </c>
      <c r="AD1360" s="8" t="b">
        <v>1</v>
      </c>
      <c r="AE1360" s="8" t="b">
        <v>0</v>
      </c>
      <c r="AG1360" s="11" t="b" cm="1">
        <f t="array" ref="AG1360">IF(OR(Y1360:AA1360="TRUE", AE1360="true"), "Threatened")</f>
        <v>0</v>
      </c>
      <c r="AH1360" s="11" t="s">
        <v>3610</v>
      </c>
      <c r="AI1360" s="8" t="b">
        <v>1</v>
      </c>
    </row>
    <row r="1361" spans="1:35" ht="31.2">
      <c r="A1361" s="8">
        <v>-73.967493070000003</v>
      </c>
      <c r="B1361" s="8">
        <v>40.781351010000002</v>
      </c>
      <c r="C1361" s="8" t="s">
        <v>3611</v>
      </c>
      <c r="D1361" s="8" t="s">
        <v>1183</v>
      </c>
      <c r="E1361" s="8" t="b">
        <f t="shared" si="21"/>
        <v>0</v>
      </c>
      <c r="F1361" s="8" t="str" cm="1">
        <f t="array" ref="F1361">_xlfn._xlws.FILTER(E1361:E4559, C1361:C4559= "6D-PM-1020-01", "No Squirrels Found")</f>
        <v>No Squirrels Found</v>
      </c>
      <c r="G1361" s="8" t="s">
        <v>34</v>
      </c>
      <c r="H1361" s="10">
        <v>10142018</v>
      </c>
      <c r="I1361" s="10">
        <v>1</v>
      </c>
      <c r="J1361" s="8" t="s">
        <v>39</v>
      </c>
      <c r="K1361" s="8" t="s">
        <v>40</v>
      </c>
      <c r="M1361" s="8" t="s">
        <v>55</v>
      </c>
      <c r="O1361" s="8" t="s">
        <v>43</v>
      </c>
      <c r="P1361" s="8" t="b">
        <v>0</v>
      </c>
      <c r="R1361" s="8" t="b">
        <v>0</v>
      </c>
      <c r="S1361" s="8" t="b">
        <v>0</v>
      </c>
      <c r="T1361" s="8" t="b">
        <v>0</v>
      </c>
      <c r="U1361" s="8" t="b">
        <v>1</v>
      </c>
      <c r="V1361" s="8" t="b">
        <v>1</v>
      </c>
      <c r="X1361" s="8" t="b">
        <v>0</v>
      </c>
      <c r="Y1361" s="8" t="b">
        <v>0</v>
      </c>
      <c r="Z1361" s="8" t="b">
        <v>0</v>
      </c>
      <c r="AA1361" s="8" t="b">
        <v>0</v>
      </c>
      <c r="AB1361" s="8" t="b">
        <v>0</v>
      </c>
      <c r="AC1361" s="8" t="b">
        <v>0</v>
      </c>
      <c r="AD1361" s="8" t="b">
        <v>0</v>
      </c>
      <c r="AE1361" s="8" t="b">
        <v>0</v>
      </c>
      <c r="AG1361" s="11" t="b" cm="1">
        <f t="array" ref="AG1361">IF(OR(Y1361:AA1361="TRUE", AE1361="true"), "Threatened")</f>
        <v>0</v>
      </c>
      <c r="AH1361" s="11" t="s">
        <v>3612</v>
      </c>
      <c r="AI1361" s="8" t="b">
        <v>1</v>
      </c>
    </row>
    <row r="1362" spans="1:35" ht="31.2">
      <c r="A1362" s="8">
        <v>-73.961934400000004</v>
      </c>
      <c r="B1362" s="8">
        <v>40.792478950000003</v>
      </c>
      <c r="C1362" s="8" t="s">
        <v>3613</v>
      </c>
      <c r="D1362" s="8" t="s">
        <v>931</v>
      </c>
      <c r="E1362" s="8" t="b">
        <f t="shared" si="21"/>
        <v>0</v>
      </c>
      <c r="F1362" s="8" t="str" cm="1">
        <f t="array" ref="F1362">_xlfn._xlws.FILTER(E1362:E4560, C1362:C4560= "6D-PM-1020-01", "No Squirrels Found")</f>
        <v>No Squirrels Found</v>
      </c>
      <c r="G1362" s="8" t="s">
        <v>34</v>
      </c>
      <c r="H1362" s="10">
        <v>10102018</v>
      </c>
      <c r="I1362" s="10">
        <v>7</v>
      </c>
      <c r="J1362" s="8" t="s">
        <v>39</v>
      </c>
      <c r="M1362" s="8" t="s">
        <v>35</v>
      </c>
      <c r="O1362" s="8" t="s">
        <v>43</v>
      </c>
      <c r="P1362" s="8" t="b">
        <v>0</v>
      </c>
      <c r="R1362" s="8" t="b">
        <v>0</v>
      </c>
      <c r="S1362" s="8" t="b">
        <v>0</v>
      </c>
      <c r="T1362" s="8" t="b">
        <v>0</v>
      </c>
      <c r="U1362" s="8" t="b">
        <v>1</v>
      </c>
      <c r="V1362" s="8" t="b">
        <v>0</v>
      </c>
      <c r="X1362" s="8" t="b">
        <v>0</v>
      </c>
      <c r="Y1362" s="8" t="b">
        <v>0</v>
      </c>
      <c r="Z1362" s="8" t="b">
        <v>0</v>
      </c>
      <c r="AA1362" s="8" t="b">
        <v>0</v>
      </c>
      <c r="AB1362" s="8" t="b">
        <v>0</v>
      </c>
      <c r="AC1362" s="8" t="b">
        <v>0</v>
      </c>
      <c r="AD1362" s="8" t="b">
        <v>0</v>
      </c>
      <c r="AE1362" s="8" t="b">
        <v>1</v>
      </c>
      <c r="AG1362" s="11" t="b" cm="1">
        <f t="array" ref="AG1362">IF(OR(Y1362:AA1362="TRUE", AE1362="true"), "Threatened")</f>
        <v>0</v>
      </c>
      <c r="AH1362" s="11" t="s">
        <v>3614</v>
      </c>
      <c r="AI1362" s="8" t="b">
        <v>1</v>
      </c>
    </row>
    <row r="1363" spans="1:35" ht="31.2">
      <c r="A1363" s="8">
        <v>-73.962918470000005</v>
      </c>
      <c r="B1363" s="8">
        <v>40.792141049999998</v>
      </c>
      <c r="C1363" s="8" t="s">
        <v>3615</v>
      </c>
      <c r="D1363" s="8" t="s">
        <v>785</v>
      </c>
      <c r="E1363" s="8" t="b">
        <f t="shared" si="21"/>
        <v>0</v>
      </c>
      <c r="F1363" s="8" t="str" cm="1">
        <f t="array" ref="F1363">_xlfn._xlws.FILTER(E1363:E4561, C1363:C4561= "6D-PM-1020-01", "No Squirrels Found")</f>
        <v>No Squirrels Found</v>
      </c>
      <c r="G1363" s="8" t="s">
        <v>34</v>
      </c>
      <c r="H1363" s="10">
        <v>10102018</v>
      </c>
      <c r="I1363" s="10">
        <v>4</v>
      </c>
      <c r="J1363" s="8" t="s">
        <v>39</v>
      </c>
      <c r="K1363" s="8" t="s">
        <v>40</v>
      </c>
      <c r="L1363" s="8" t="s">
        <v>41</v>
      </c>
      <c r="M1363" s="8" t="s">
        <v>42</v>
      </c>
      <c r="O1363" s="8" t="s">
        <v>43</v>
      </c>
      <c r="P1363" s="8" t="b">
        <v>0</v>
      </c>
      <c r="R1363" s="8" t="b">
        <v>0</v>
      </c>
      <c r="S1363" s="8" t="b">
        <v>0</v>
      </c>
      <c r="T1363" s="8" t="b">
        <v>0</v>
      </c>
      <c r="U1363" s="8" t="b">
        <v>0</v>
      </c>
      <c r="V1363" s="8" t="b">
        <v>1</v>
      </c>
      <c r="X1363" s="8" t="b">
        <v>0</v>
      </c>
      <c r="Y1363" s="8" t="b">
        <v>0</v>
      </c>
      <c r="Z1363" s="8" t="b">
        <v>0</v>
      </c>
      <c r="AA1363" s="8" t="b">
        <v>0</v>
      </c>
      <c r="AB1363" s="8" t="b">
        <v>0</v>
      </c>
      <c r="AC1363" s="8" t="b">
        <v>0</v>
      </c>
      <c r="AD1363" s="8" t="b">
        <v>1</v>
      </c>
      <c r="AE1363" s="8" t="b">
        <v>0</v>
      </c>
      <c r="AG1363" s="11" t="b" cm="1">
        <f t="array" ref="AG1363">IF(OR(Y1363:AA1363="TRUE", AE1363="true"), "Threatened")</f>
        <v>0</v>
      </c>
      <c r="AH1363" s="11" t="s">
        <v>3616</v>
      </c>
      <c r="AI1363" s="8" t="b">
        <v>1</v>
      </c>
    </row>
    <row r="1364" spans="1:35" ht="31.2">
      <c r="A1364" s="8">
        <v>-73.972112499999994</v>
      </c>
      <c r="B1364" s="8">
        <v>40.770275900000001</v>
      </c>
      <c r="C1364" s="8" t="s">
        <v>3617</v>
      </c>
      <c r="D1364" s="8" t="s">
        <v>413</v>
      </c>
      <c r="E1364" s="8" t="b">
        <f t="shared" si="21"/>
        <v>0</v>
      </c>
      <c r="F1364" s="8" t="str" cm="1">
        <f t="array" ref="F1364">_xlfn._xlws.FILTER(E1364:E4562, C1364:C4562= "6D-PM-1020-01", "No Squirrels Found")</f>
        <v>No Squirrels Found</v>
      </c>
      <c r="G1364" s="8" t="s">
        <v>48</v>
      </c>
      <c r="H1364" s="10">
        <v>10102018</v>
      </c>
      <c r="I1364" s="10">
        <v>8</v>
      </c>
      <c r="J1364" s="8" t="s">
        <v>39</v>
      </c>
      <c r="K1364" s="8" t="s">
        <v>41</v>
      </c>
      <c r="M1364" s="8" t="s">
        <v>49</v>
      </c>
      <c r="O1364" s="8" t="s">
        <v>43</v>
      </c>
      <c r="P1364" s="8" t="b">
        <v>0</v>
      </c>
      <c r="R1364" s="8" t="b">
        <v>0</v>
      </c>
      <c r="S1364" s="8" t="b">
        <v>0</v>
      </c>
      <c r="T1364" s="8" t="b">
        <v>0</v>
      </c>
      <c r="U1364" s="8" t="b">
        <v>0</v>
      </c>
      <c r="V1364" s="8" t="b">
        <v>1</v>
      </c>
      <c r="X1364" s="8" t="b">
        <v>0</v>
      </c>
      <c r="Y1364" s="8" t="b">
        <v>0</v>
      </c>
      <c r="Z1364" s="8" t="b">
        <v>0</v>
      </c>
      <c r="AA1364" s="8" t="b">
        <v>0</v>
      </c>
      <c r="AB1364" s="8" t="b">
        <v>0</v>
      </c>
      <c r="AC1364" s="8" t="b">
        <v>0</v>
      </c>
      <c r="AD1364" s="8" t="b">
        <v>1</v>
      </c>
      <c r="AE1364" s="8" t="b">
        <v>0</v>
      </c>
      <c r="AG1364" s="11" t="b" cm="1">
        <f t="array" ref="AG1364">IF(OR(Y1364:AA1364="TRUE", AE1364="true"), "Threatened")</f>
        <v>0</v>
      </c>
      <c r="AH1364" s="11" t="s">
        <v>3618</v>
      </c>
      <c r="AI1364" s="8" t="b">
        <v>1</v>
      </c>
    </row>
    <row r="1365" spans="1:35" ht="31.2">
      <c r="A1365" s="8">
        <v>-73.972609090000006</v>
      </c>
      <c r="B1365" s="8">
        <v>40.77101991</v>
      </c>
      <c r="C1365" s="8" t="s">
        <v>3619</v>
      </c>
      <c r="D1365" s="8" t="s">
        <v>368</v>
      </c>
      <c r="E1365" s="8" t="b">
        <f t="shared" si="21"/>
        <v>0</v>
      </c>
      <c r="F1365" s="8" t="str" cm="1">
        <f t="array" ref="F1365">_xlfn._xlws.FILTER(E1365:E4563, C1365:C4563= "6D-PM-1020-01", "No Squirrels Found")</f>
        <v>No Squirrels Found</v>
      </c>
      <c r="G1365" s="8" t="s">
        <v>48</v>
      </c>
      <c r="H1365" s="10">
        <v>10082018</v>
      </c>
      <c r="I1365" s="10">
        <v>14</v>
      </c>
      <c r="J1365" s="8" t="s">
        <v>39</v>
      </c>
      <c r="K1365" s="8" t="s">
        <v>40</v>
      </c>
      <c r="L1365" s="8" t="s">
        <v>41</v>
      </c>
      <c r="M1365" s="8" t="s">
        <v>42</v>
      </c>
      <c r="O1365" s="8" t="s">
        <v>43</v>
      </c>
      <c r="P1365" s="8" t="b">
        <v>0</v>
      </c>
      <c r="R1365" s="8" t="b">
        <v>0</v>
      </c>
      <c r="S1365" s="8" t="b">
        <v>0</v>
      </c>
      <c r="T1365" s="8" t="b">
        <v>0</v>
      </c>
      <c r="U1365" s="8" t="b">
        <v>0</v>
      </c>
      <c r="V1365" s="8" t="b">
        <v>0</v>
      </c>
      <c r="W1365" s="11" t="s">
        <v>141</v>
      </c>
      <c r="X1365" s="8" t="b">
        <v>0</v>
      </c>
      <c r="Y1365" s="8" t="b">
        <v>0</v>
      </c>
      <c r="Z1365" s="8" t="b">
        <v>0</v>
      </c>
      <c r="AA1365" s="8" t="b">
        <v>0</v>
      </c>
      <c r="AB1365" s="8" t="b">
        <v>0</v>
      </c>
      <c r="AC1365" s="8" t="b">
        <v>0</v>
      </c>
      <c r="AD1365" s="8" t="b">
        <v>1</v>
      </c>
      <c r="AE1365" s="8" t="b">
        <v>0</v>
      </c>
      <c r="AG1365" s="11" t="b" cm="1">
        <f t="array" ref="AG1365">IF(OR(Y1365:AA1365="TRUE", AE1365="true"), "Threatened")</f>
        <v>0</v>
      </c>
      <c r="AH1365" s="11" t="s">
        <v>3620</v>
      </c>
      <c r="AI1365" s="8" t="b">
        <v>0</v>
      </c>
    </row>
    <row r="1366" spans="1:35" ht="31.2">
      <c r="A1366" s="8">
        <v>-73.979164819999994</v>
      </c>
      <c r="B1366" s="8">
        <v>40.767625440000003</v>
      </c>
      <c r="C1366" s="8" t="s">
        <v>3621</v>
      </c>
      <c r="D1366" s="8" t="s">
        <v>1235</v>
      </c>
      <c r="E1366" s="8" t="b">
        <f t="shared" si="21"/>
        <v>0</v>
      </c>
      <c r="F1366" s="8" t="str" cm="1">
        <f t="array" ref="F1366">_xlfn._xlws.FILTER(E1366:E4564, C1366:C4564= "6D-PM-1020-01", "No Squirrels Found")</f>
        <v>No Squirrels Found</v>
      </c>
      <c r="G1366" s="8" t="s">
        <v>48</v>
      </c>
      <c r="H1366" s="10">
        <v>10102018</v>
      </c>
      <c r="I1366" s="10">
        <v>4</v>
      </c>
      <c r="J1366" s="8" t="s">
        <v>39</v>
      </c>
      <c r="K1366" s="8" t="s">
        <v>40</v>
      </c>
      <c r="M1366" s="8" t="s">
        <v>55</v>
      </c>
      <c r="O1366" s="8" t="s">
        <v>50</v>
      </c>
      <c r="P1366" s="8">
        <v>10</v>
      </c>
      <c r="R1366" s="8" t="b">
        <v>0</v>
      </c>
      <c r="S1366" s="8" t="b">
        <v>0</v>
      </c>
      <c r="T1366" s="8" t="b">
        <v>1</v>
      </c>
      <c r="U1366" s="8" t="b">
        <v>0</v>
      </c>
      <c r="V1366" s="8" t="b">
        <v>0</v>
      </c>
      <c r="X1366" s="8" t="b">
        <v>0</v>
      </c>
      <c r="Y1366" s="8" t="b">
        <v>0</v>
      </c>
      <c r="Z1366" s="8" t="b">
        <v>0</v>
      </c>
      <c r="AA1366" s="8" t="b">
        <v>0</v>
      </c>
      <c r="AB1366" s="8" t="b">
        <v>0</v>
      </c>
      <c r="AC1366" s="8" t="b">
        <v>0</v>
      </c>
      <c r="AD1366" s="8" t="b">
        <v>0</v>
      </c>
      <c r="AE1366" s="8" t="b">
        <v>0</v>
      </c>
      <c r="AG1366" s="11" t="b" cm="1">
        <f t="array" ref="AG1366">IF(OR(Y1366:AA1366="TRUE", AE1366="true"), "Threatened")</f>
        <v>0</v>
      </c>
      <c r="AH1366" s="11" t="s">
        <v>3622</v>
      </c>
      <c r="AI1366" s="8" t="b">
        <v>1</v>
      </c>
    </row>
    <row r="1367" spans="1:35" ht="31.2">
      <c r="A1367" s="8">
        <v>-73.971158220000007</v>
      </c>
      <c r="B1367" s="8">
        <v>40.778367439999997</v>
      </c>
      <c r="C1367" s="8" t="s">
        <v>3623</v>
      </c>
      <c r="D1367" s="8" t="s">
        <v>1631</v>
      </c>
      <c r="E1367" s="8" t="b">
        <f t="shared" si="21"/>
        <v>0</v>
      </c>
      <c r="F1367" s="8" t="str" cm="1">
        <f t="array" ref="F1367">_xlfn._xlws.FILTER(E1367:E4565, C1367:C4565= "6D-PM-1020-01", "No Squirrels Found")</f>
        <v>No Squirrels Found</v>
      </c>
      <c r="G1367" s="8" t="s">
        <v>34</v>
      </c>
      <c r="H1367" s="10">
        <v>10172018</v>
      </c>
      <c r="I1367" s="10">
        <v>5</v>
      </c>
      <c r="J1367" s="8" t="s">
        <v>39</v>
      </c>
      <c r="K1367" s="8" t="s">
        <v>40</v>
      </c>
      <c r="L1367" s="8" t="s">
        <v>41</v>
      </c>
      <c r="M1367" s="8" t="s">
        <v>42</v>
      </c>
      <c r="O1367" s="8" t="s">
        <v>43</v>
      </c>
      <c r="P1367" s="8" t="b">
        <v>0</v>
      </c>
      <c r="R1367" s="8" t="b">
        <v>1</v>
      </c>
      <c r="S1367" s="8" t="b">
        <v>0</v>
      </c>
      <c r="T1367" s="8" t="b">
        <v>0</v>
      </c>
      <c r="U1367" s="8" t="b">
        <v>0</v>
      </c>
      <c r="V1367" s="8" t="b">
        <v>1</v>
      </c>
      <c r="X1367" s="8" t="b">
        <v>1</v>
      </c>
      <c r="Y1367" s="8" t="b">
        <v>0</v>
      </c>
      <c r="Z1367" s="8" t="b">
        <v>0</v>
      </c>
      <c r="AA1367" s="8" t="b">
        <v>0</v>
      </c>
      <c r="AB1367" s="8" t="b">
        <v>1</v>
      </c>
      <c r="AC1367" s="8" t="b">
        <v>1</v>
      </c>
      <c r="AD1367" s="8" t="b">
        <v>0</v>
      </c>
      <c r="AE1367" s="8" t="b">
        <v>0</v>
      </c>
      <c r="AG1367" s="11" t="b" cm="1">
        <f t="array" ref="AG1367">IF(OR(Y1367:AA1367="TRUE", AE1367="true"), "Threatened")</f>
        <v>0</v>
      </c>
      <c r="AH1367" s="11" t="s">
        <v>3624</v>
      </c>
      <c r="AI1367" s="8" t="b">
        <v>1</v>
      </c>
    </row>
    <row r="1368" spans="1:35" ht="31.2">
      <c r="A1368" s="8">
        <v>-73.954268420000005</v>
      </c>
      <c r="B1368" s="8">
        <v>40.794423719999998</v>
      </c>
      <c r="C1368" s="8" t="s">
        <v>3625</v>
      </c>
      <c r="D1368" s="8" t="s">
        <v>293</v>
      </c>
      <c r="E1368" s="8" t="b">
        <f t="shared" si="21"/>
        <v>0</v>
      </c>
      <c r="F1368" s="8" t="str" cm="1">
        <f t="array" ref="F1368">_xlfn._xlws.FILTER(E1368:E4566, C1368:C4566= "6D-PM-1020-01", "No Squirrels Found")</f>
        <v>No Squirrels Found</v>
      </c>
      <c r="G1368" s="8" t="s">
        <v>34</v>
      </c>
      <c r="H1368" s="10">
        <v>10202018</v>
      </c>
      <c r="I1368" s="10">
        <v>5</v>
      </c>
      <c r="J1368" s="8" t="s">
        <v>39</v>
      </c>
      <c r="K1368" s="8" t="s">
        <v>40</v>
      </c>
      <c r="L1368" s="8" t="s">
        <v>41</v>
      </c>
      <c r="M1368" s="8" t="s">
        <v>42</v>
      </c>
      <c r="O1368" s="8" t="s">
        <v>43</v>
      </c>
      <c r="P1368" s="8" t="b">
        <v>0</v>
      </c>
      <c r="R1368" s="8" t="b">
        <v>0</v>
      </c>
      <c r="S1368" s="8" t="b">
        <v>1</v>
      </c>
      <c r="T1368" s="8" t="b">
        <v>0</v>
      </c>
      <c r="U1368" s="8" t="b">
        <v>0</v>
      </c>
      <c r="V1368" s="8" t="b">
        <v>0</v>
      </c>
      <c r="X1368" s="8" t="b">
        <v>0</v>
      </c>
      <c r="Y1368" s="8" t="b">
        <v>1</v>
      </c>
      <c r="Z1368" s="8" t="b">
        <v>0</v>
      </c>
      <c r="AA1368" s="8" t="b">
        <v>1</v>
      </c>
      <c r="AB1368" s="8" t="b">
        <v>0</v>
      </c>
      <c r="AC1368" s="8" t="b">
        <v>0</v>
      </c>
      <c r="AD1368" s="8" t="b">
        <v>1</v>
      </c>
      <c r="AE1368" s="8" t="b">
        <v>0</v>
      </c>
      <c r="AG1368" s="11" t="b" cm="1">
        <f t="array" ref="AG1368">IF(OR(Y1368:AA1368="TRUE", AE1368="true"), "Threatened")</f>
        <v>0</v>
      </c>
      <c r="AH1368" s="11" t="s">
        <v>3626</v>
      </c>
      <c r="AI1368" s="8" t="b">
        <v>1</v>
      </c>
    </row>
    <row r="1369" spans="1:35" ht="31.2">
      <c r="A1369" s="8">
        <v>-73.954277090000005</v>
      </c>
      <c r="B1369" s="8">
        <v>40.794361039999998</v>
      </c>
      <c r="C1369" s="8" t="s">
        <v>3627</v>
      </c>
      <c r="D1369" s="8" t="s">
        <v>293</v>
      </c>
      <c r="E1369" s="8" t="b">
        <f t="shared" si="21"/>
        <v>0</v>
      </c>
      <c r="F1369" s="8" t="str" cm="1">
        <f t="array" ref="F1369">_xlfn._xlws.FILTER(E1369:E4567, C1369:C4567= "6D-PM-1020-01", "No Squirrels Found")</f>
        <v>No Squirrels Found</v>
      </c>
      <c r="G1369" s="8" t="s">
        <v>34</v>
      </c>
      <c r="H1369" s="10">
        <v>10202018</v>
      </c>
      <c r="I1369" s="10">
        <v>4</v>
      </c>
      <c r="J1369" s="8" t="s">
        <v>39</v>
      </c>
      <c r="K1369" s="8" t="s">
        <v>40</v>
      </c>
      <c r="L1369" s="8" t="s">
        <v>41</v>
      </c>
      <c r="M1369" s="8" t="s">
        <v>42</v>
      </c>
      <c r="O1369" s="8" t="s">
        <v>43</v>
      </c>
      <c r="P1369" s="8" t="b">
        <v>0</v>
      </c>
      <c r="R1369" s="8" t="b">
        <v>0</v>
      </c>
      <c r="S1369" s="8" t="b">
        <v>1</v>
      </c>
      <c r="T1369" s="8" t="b">
        <v>0</v>
      </c>
      <c r="U1369" s="8" t="b">
        <v>0</v>
      </c>
      <c r="V1369" s="8" t="b">
        <v>0</v>
      </c>
      <c r="X1369" s="8" t="b">
        <v>0</v>
      </c>
      <c r="Y1369" s="8" t="b">
        <v>1</v>
      </c>
      <c r="Z1369" s="8" t="b">
        <v>0</v>
      </c>
      <c r="AA1369" s="8" t="b">
        <v>1</v>
      </c>
      <c r="AB1369" s="8" t="b">
        <v>0</v>
      </c>
      <c r="AC1369" s="8" t="b">
        <v>0</v>
      </c>
      <c r="AD1369" s="8" t="b">
        <v>1</v>
      </c>
      <c r="AE1369" s="8" t="b">
        <v>0</v>
      </c>
      <c r="AG1369" s="11" t="b" cm="1">
        <f t="array" ref="AG1369">IF(OR(Y1369:AA1369="TRUE", AE1369="true"), "Threatened")</f>
        <v>0</v>
      </c>
      <c r="AH1369" s="11" t="s">
        <v>3628</v>
      </c>
      <c r="AI1369" s="8" t="b">
        <v>1</v>
      </c>
    </row>
    <row r="1370" spans="1:35" ht="31.2">
      <c r="A1370" s="8">
        <v>-73.970271729999993</v>
      </c>
      <c r="B1370" s="8">
        <v>40.768951110000003</v>
      </c>
      <c r="C1370" s="8" t="s">
        <v>3629</v>
      </c>
      <c r="D1370" s="8" t="s">
        <v>242</v>
      </c>
      <c r="E1370" s="8" t="b">
        <f t="shared" si="21"/>
        <v>0</v>
      </c>
      <c r="F1370" s="8" t="str" cm="1">
        <f t="array" ref="F1370">_xlfn._xlws.FILTER(E1370:E4568, C1370:C4568= "6D-PM-1020-01", "No Squirrels Found")</f>
        <v>No Squirrels Found</v>
      </c>
      <c r="G1370" s="8" t="s">
        <v>34</v>
      </c>
      <c r="H1370" s="10">
        <v>10132018</v>
      </c>
      <c r="I1370" s="10">
        <v>3</v>
      </c>
      <c r="J1370" s="8" t="s">
        <v>39</v>
      </c>
      <c r="K1370" s="8" t="s">
        <v>41</v>
      </c>
      <c r="M1370" s="8" t="s">
        <v>49</v>
      </c>
      <c r="O1370" s="8" t="s">
        <v>43</v>
      </c>
      <c r="P1370" s="8" t="b">
        <v>0</v>
      </c>
      <c r="Q1370" s="8" t="s">
        <v>3630</v>
      </c>
      <c r="R1370" s="8" t="b">
        <v>0</v>
      </c>
      <c r="S1370" s="8" t="b">
        <v>0</v>
      </c>
      <c r="T1370" s="8" t="b">
        <v>0</v>
      </c>
      <c r="U1370" s="8" t="b">
        <v>1</v>
      </c>
      <c r="V1370" s="8" t="b">
        <v>0</v>
      </c>
      <c r="X1370" s="8" t="b">
        <v>0</v>
      </c>
      <c r="Y1370" s="8" t="b">
        <v>0</v>
      </c>
      <c r="Z1370" s="8" t="b">
        <v>0</v>
      </c>
      <c r="AA1370" s="8" t="b">
        <v>0</v>
      </c>
      <c r="AB1370" s="8" t="b">
        <v>0</v>
      </c>
      <c r="AC1370" s="8" t="b">
        <v>0</v>
      </c>
      <c r="AD1370" s="8" t="b">
        <v>0</v>
      </c>
      <c r="AE1370" s="8" t="b">
        <v>0</v>
      </c>
      <c r="AG1370" s="11" t="b" cm="1">
        <f t="array" ref="AG1370">IF(OR(Y1370:AA1370="TRUE", AE1370="true"), "Threatened")</f>
        <v>0</v>
      </c>
      <c r="AH1370" s="11" t="s">
        <v>3631</v>
      </c>
      <c r="AI1370" s="8" t="b">
        <v>1</v>
      </c>
    </row>
    <row r="1371" spans="1:35" ht="31.2">
      <c r="A1371" s="8">
        <v>-73.968162730000003</v>
      </c>
      <c r="B1371" s="8">
        <v>40.778509970000002</v>
      </c>
      <c r="C1371" s="8" t="s">
        <v>3632</v>
      </c>
      <c r="D1371" s="8" t="s">
        <v>215</v>
      </c>
      <c r="E1371" s="8" t="b">
        <f t="shared" si="21"/>
        <v>0</v>
      </c>
      <c r="F1371" s="8" t="str" cm="1">
        <f t="array" ref="F1371">_xlfn._xlws.FILTER(E1371:E4569, C1371:C4569= "6D-PM-1020-01", "No Squirrels Found")</f>
        <v>No Squirrels Found</v>
      </c>
      <c r="G1371" s="8" t="s">
        <v>34</v>
      </c>
      <c r="H1371" s="10">
        <v>10182018</v>
      </c>
      <c r="I1371" s="10">
        <v>2</v>
      </c>
      <c r="J1371" s="8" t="s">
        <v>39</v>
      </c>
      <c r="K1371" s="8" t="s">
        <v>40</v>
      </c>
      <c r="M1371" s="8" t="s">
        <v>55</v>
      </c>
      <c r="O1371" s="8" t="s">
        <v>43</v>
      </c>
      <c r="P1371" s="8" t="b">
        <v>0</v>
      </c>
      <c r="Q1371" s="8" t="s">
        <v>3633</v>
      </c>
      <c r="R1371" s="8" t="b">
        <v>1</v>
      </c>
      <c r="S1371" s="8" t="b">
        <v>0</v>
      </c>
      <c r="T1371" s="8" t="b">
        <v>0</v>
      </c>
      <c r="U1371" s="8" t="b">
        <v>0</v>
      </c>
      <c r="V1371" s="8" t="b">
        <v>0</v>
      </c>
      <c r="X1371" s="8" t="b">
        <v>0</v>
      </c>
      <c r="Y1371" s="8" t="b">
        <v>0</v>
      </c>
      <c r="Z1371" s="8" t="b">
        <v>0</v>
      </c>
      <c r="AA1371" s="8" t="b">
        <v>0</v>
      </c>
      <c r="AB1371" s="8" t="b">
        <v>0</v>
      </c>
      <c r="AC1371" s="8" t="b">
        <v>0</v>
      </c>
      <c r="AD1371" s="8" t="b">
        <v>1</v>
      </c>
      <c r="AE1371" s="8" t="b">
        <v>0</v>
      </c>
      <c r="AG1371" s="11" t="b" cm="1">
        <f t="array" ref="AG1371">IF(OR(Y1371:AA1371="TRUE", AE1371="true"), "Threatened")</f>
        <v>0</v>
      </c>
      <c r="AH1371" s="11" t="s">
        <v>3634</v>
      </c>
      <c r="AI1371" s="8" t="b">
        <v>1</v>
      </c>
    </row>
    <row r="1372" spans="1:35" ht="31.2">
      <c r="A1372" s="8">
        <v>-73.954273380000004</v>
      </c>
      <c r="B1372" s="8">
        <v>40.795578650000003</v>
      </c>
      <c r="C1372" s="8" t="s">
        <v>3635</v>
      </c>
      <c r="D1372" s="8" t="s">
        <v>1066</v>
      </c>
      <c r="E1372" s="8" t="b">
        <f t="shared" si="21"/>
        <v>0</v>
      </c>
      <c r="F1372" s="8" t="str" cm="1">
        <f t="array" ref="F1372">_xlfn._xlws.FILTER(E1372:E4570, C1372:C4570= "6D-PM-1020-01", "No Squirrels Found")</f>
        <v>No Squirrels Found</v>
      </c>
      <c r="G1372" s="8" t="s">
        <v>34</v>
      </c>
      <c r="H1372" s="10">
        <v>10062018</v>
      </c>
      <c r="I1372" s="10">
        <v>2</v>
      </c>
      <c r="J1372" s="8" t="s">
        <v>39</v>
      </c>
      <c r="K1372" s="8" t="s">
        <v>40</v>
      </c>
      <c r="M1372" s="8" t="s">
        <v>55</v>
      </c>
      <c r="O1372" s="8" t="s">
        <v>50</v>
      </c>
      <c r="P1372" s="8">
        <v>20</v>
      </c>
      <c r="Q1372" s="8" t="s">
        <v>206</v>
      </c>
      <c r="R1372" s="8" t="b">
        <v>0</v>
      </c>
      <c r="S1372" s="8" t="b">
        <v>0</v>
      </c>
      <c r="T1372" s="8" t="b">
        <v>0</v>
      </c>
      <c r="U1372" s="8" t="b">
        <v>0</v>
      </c>
      <c r="V1372" s="8" t="b">
        <v>0</v>
      </c>
      <c r="X1372" s="8" t="b">
        <v>0</v>
      </c>
      <c r="Y1372" s="8" t="b">
        <v>0</v>
      </c>
      <c r="Z1372" s="8" t="b">
        <v>0</v>
      </c>
      <c r="AA1372" s="8" t="b">
        <v>0</v>
      </c>
      <c r="AB1372" s="8" t="b">
        <v>0</v>
      </c>
      <c r="AC1372" s="8" t="b">
        <v>0</v>
      </c>
      <c r="AD1372" s="8" t="b">
        <v>0</v>
      </c>
      <c r="AE1372" s="8" t="b">
        <v>1</v>
      </c>
      <c r="AF1372" s="11" t="s">
        <v>1068</v>
      </c>
      <c r="AG1372" s="11" t="b" cm="1">
        <f t="array" ref="AG1372">IF(OR(Y1372:AA1372="TRUE", AE1372="true"), "Threatened")</f>
        <v>0</v>
      </c>
      <c r="AH1372" s="11" t="s">
        <v>3636</v>
      </c>
      <c r="AI1372" s="8" t="b">
        <v>1</v>
      </c>
    </row>
    <row r="1373" spans="1:35" ht="31.2">
      <c r="A1373" s="8">
        <v>-73.952835370000003</v>
      </c>
      <c r="B1373" s="8">
        <v>40.797645619999997</v>
      </c>
      <c r="C1373" s="8" t="s">
        <v>3637</v>
      </c>
      <c r="D1373" s="8" t="s">
        <v>3638</v>
      </c>
      <c r="E1373" s="8" t="b">
        <f t="shared" si="21"/>
        <v>0</v>
      </c>
      <c r="F1373" s="8" t="str" cm="1">
        <f t="array" ref="F1373">_xlfn._xlws.FILTER(E1373:E4571, C1373:C4571= "6D-PM-1020-01", "No Squirrels Found")</f>
        <v>No Squirrels Found</v>
      </c>
      <c r="G1373" s="8" t="s">
        <v>34</v>
      </c>
      <c r="H1373" s="10">
        <v>10192018</v>
      </c>
      <c r="I1373" s="10">
        <v>2</v>
      </c>
      <c r="M1373" s="8" t="s">
        <v>35</v>
      </c>
      <c r="R1373" s="8" t="b">
        <v>0</v>
      </c>
      <c r="S1373" s="8" t="b">
        <v>0</v>
      </c>
      <c r="T1373" s="8" t="b">
        <v>0</v>
      </c>
      <c r="U1373" s="8" t="b">
        <v>0</v>
      </c>
      <c r="V1373" s="8" t="b">
        <v>0</v>
      </c>
      <c r="X1373" s="8" t="b">
        <v>0</v>
      </c>
      <c r="Y1373" s="8" t="b">
        <v>0</v>
      </c>
      <c r="Z1373" s="8" t="b">
        <v>0</v>
      </c>
      <c r="AA1373" s="8" t="b">
        <v>0</v>
      </c>
      <c r="AB1373" s="8" t="b">
        <v>0</v>
      </c>
      <c r="AC1373" s="8" t="b">
        <v>0</v>
      </c>
      <c r="AD1373" s="8" t="b">
        <v>0</v>
      </c>
      <c r="AE1373" s="8" t="b">
        <v>0</v>
      </c>
      <c r="AG1373" s="11" t="b" cm="1">
        <f t="array" ref="AG1373">IF(OR(Y1373:AA1373="TRUE", AE1373="true"), "Threatened")</f>
        <v>0</v>
      </c>
      <c r="AH1373" s="11" t="s">
        <v>3639</v>
      </c>
      <c r="AI1373" s="8" t="b">
        <v>1</v>
      </c>
    </row>
    <row r="1374" spans="1:35" ht="31.2">
      <c r="A1374" s="8">
        <v>-73.956737219999994</v>
      </c>
      <c r="B1374" s="8">
        <v>40.79758099</v>
      </c>
      <c r="C1374" s="8" t="s">
        <v>3640</v>
      </c>
      <c r="D1374" s="8" t="s">
        <v>1248</v>
      </c>
      <c r="E1374" s="8" t="b">
        <f t="shared" si="21"/>
        <v>0</v>
      </c>
      <c r="F1374" s="8" t="str" cm="1">
        <f t="array" ref="F1374">_xlfn._xlws.FILTER(E1374:E4572, C1374:C4572= "6D-PM-1020-01", "No Squirrels Found")</f>
        <v>No Squirrels Found</v>
      </c>
      <c r="G1374" s="8" t="s">
        <v>34</v>
      </c>
      <c r="H1374" s="10">
        <v>10062018</v>
      </c>
      <c r="I1374" s="10">
        <v>1</v>
      </c>
      <c r="J1374" s="8" t="s">
        <v>39</v>
      </c>
      <c r="K1374" s="8" t="s">
        <v>40</v>
      </c>
      <c r="M1374" s="8" t="s">
        <v>55</v>
      </c>
      <c r="O1374" s="8" t="s">
        <v>43</v>
      </c>
      <c r="P1374" s="8" t="b">
        <v>0</v>
      </c>
      <c r="R1374" s="8" t="b">
        <v>1</v>
      </c>
      <c r="S1374" s="8" t="b">
        <v>0</v>
      </c>
      <c r="T1374" s="8" t="b">
        <v>0</v>
      </c>
      <c r="U1374" s="8" t="b">
        <v>0</v>
      </c>
      <c r="V1374" s="8" t="b">
        <v>0</v>
      </c>
      <c r="X1374" s="8" t="b">
        <v>0</v>
      </c>
      <c r="Y1374" s="8" t="b">
        <v>0</v>
      </c>
      <c r="Z1374" s="8" t="b">
        <v>0</v>
      </c>
      <c r="AA1374" s="8" t="b">
        <v>0</v>
      </c>
      <c r="AB1374" s="8" t="b">
        <v>0</v>
      </c>
      <c r="AC1374" s="8" t="b">
        <v>0</v>
      </c>
      <c r="AD1374" s="8" t="b">
        <v>0</v>
      </c>
      <c r="AE1374" s="8" t="b">
        <v>0</v>
      </c>
      <c r="AG1374" s="11" t="b" cm="1">
        <f t="array" ref="AG1374">IF(OR(Y1374:AA1374="TRUE", AE1374="true"), "Threatened")</f>
        <v>0</v>
      </c>
      <c r="AH1374" s="11" t="s">
        <v>3641</v>
      </c>
      <c r="AI1374" s="8" t="b">
        <v>1</v>
      </c>
    </row>
    <row r="1375" spans="1:35" ht="31.2">
      <c r="A1375" s="8">
        <v>-73.965373929999998</v>
      </c>
      <c r="B1375" s="8">
        <v>40.788976210000001</v>
      </c>
      <c r="C1375" s="8" t="s">
        <v>3642</v>
      </c>
      <c r="D1375" s="8" t="s">
        <v>3643</v>
      </c>
      <c r="E1375" s="8" t="b">
        <f t="shared" si="21"/>
        <v>0</v>
      </c>
      <c r="F1375" s="8" t="str" cm="1">
        <f t="array" ref="F1375">_xlfn._xlws.FILTER(E1375:E4573, C1375:C4573= "6D-PM-1020-01", "No Squirrels Found")</f>
        <v>No Squirrels Found</v>
      </c>
      <c r="G1375" s="8" t="s">
        <v>34</v>
      </c>
      <c r="H1375" s="10">
        <v>10102018</v>
      </c>
      <c r="I1375" s="10">
        <v>2</v>
      </c>
      <c r="J1375" s="8" t="s">
        <v>39</v>
      </c>
      <c r="K1375" s="8" t="s">
        <v>40</v>
      </c>
      <c r="L1375" s="8" t="s">
        <v>84</v>
      </c>
      <c r="M1375" s="8" t="s">
        <v>103</v>
      </c>
      <c r="O1375" s="8" t="s">
        <v>50</v>
      </c>
      <c r="P1375" s="8">
        <v>4</v>
      </c>
      <c r="R1375" s="8" t="b">
        <v>0</v>
      </c>
      <c r="S1375" s="8" t="b">
        <v>0</v>
      </c>
      <c r="T1375" s="8" t="b">
        <v>1</v>
      </c>
      <c r="U1375" s="8" t="b">
        <v>0</v>
      </c>
      <c r="V1375" s="8" t="b">
        <v>0</v>
      </c>
      <c r="X1375" s="8" t="b">
        <v>0</v>
      </c>
      <c r="Y1375" s="8" t="b">
        <v>0</v>
      </c>
      <c r="Z1375" s="8" t="b">
        <v>0</v>
      </c>
      <c r="AA1375" s="8" t="b">
        <v>0</v>
      </c>
      <c r="AB1375" s="8" t="b">
        <v>0</v>
      </c>
      <c r="AC1375" s="8" t="b">
        <v>0</v>
      </c>
      <c r="AD1375" s="8" t="b">
        <v>0</v>
      </c>
      <c r="AE1375" s="8" t="b">
        <v>0</v>
      </c>
      <c r="AG1375" s="11" t="b" cm="1">
        <f t="array" ref="AG1375">IF(OR(Y1375:AA1375="TRUE", AE1375="true"), "Threatened")</f>
        <v>0</v>
      </c>
      <c r="AH1375" s="11" t="s">
        <v>3644</v>
      </c>
      <c r="AI1375" s="8" t="b">
        <v>1</v>
      </c>
    </row>
    <row r="1376" spans="1:35" ht="31.2">
      <c r="A1376" s="8">
        <v>-73.956474099999994</v>
      </c>
      <c r="B1376" s="8">
        <v>40.793884560000002</v>
      </c>
      <c r="C1376" s="8" t="s">
        <v>3645</v>
      </c>
      <c r="D1376" s="8" t="s">
        <v>702</v>
      </c>
      <c r="E1376" s="8" t="b">
        <f t="shared" si="21"/>
        <v>0</v>
      </c>
      <c r="F1376" s="8" t="str" cm="1">
        <f t="array" ref="F1376">_xlfn._xlws.FILTER(E1376:E4574, C1376:C4574= "6D-PM-1020-01", "No Squirrels Found")</f>
        <v>No Squirrels Found</v>
      </c>
      <c r="G1376" s="8" t="s">
        <v>48</v>
      </c>
      <c r="H1376" s="10">
        <v>10172018</v>
      </c>
      <c r="I1376" s="10">
        <v>3</v>
      </c>
      <c r="J1376" s="8" t="s">
        <v>39</v>
      </c>
      <c r="K1376" s="8" t="s">
        <v>40</v>
      </c>
      <c r="L1376" s="8" t="s">
        <v>41</v>
      </c>
      <c r="M1376" s="8" t="s">
        <v>42</v>
      </c>
      <c r="N1376" s="11" t="s">
        <v>3031</v>
      </c>
      <c r="O1376" s="8" t="s">
        <v>43</v>
      </c>
      <c r="P1376" s="8" t="b">
        <v>0</v>
      </c>
      <c r="R1376" s="8" t="b">
        <v>0</v>
      </c>
      <c r="S1376" s="8" t="b">
        <v>0</v>
      </c>
      <c r="T1376" s="8" t="b">
        <v>0</v>
      </c>
      <c r="U1376" s="8" t="b">
        <v>1</v>
      </c>
      <c r="V1376" s="8" t="b">
        <v>1</v>
      </c>
      <c r="X1376" s="8" t="b">
        <v>0</v>
      </c>
      <c r="Y1376" s="8" t="b">
        <v>0</v>
      </c>
      <c r="Z1376" s="8" t="b">
        <v>0</v>
      </c>
      <c r="AA1376" s="8" t="b">
        <v>0</v>
      </c>
      <c r="AB1376" s="8" t="b">
        <v>0</v>
      </c>
      <c r="AC1376" s="8" t="b">
        <v>0</v>
      </c>
      <c r="AD1376" s="8" t="b">
        <v>0</v>
      </c>
      <c r="AE1376" s="8" t="b">
        <v>1</v>
      </c>
      <c r="AF1376" s="11" t="s">
        <v>782</v>
      </c>
      <c r="AG1376" s="11" t="b" cm="1">
        <f t="array" ref="AG1376">IF(OR(Y1376:AA1376="TRUE", AE1376="true"), "Threatened")</f>
        <v>0</v>
      </c>
      <c r="AH1376" s="11" t="s">
        <v>3646</v>
      </c>
      <c r="AI1376" s="8" t="b">
        <v>1</v>
      </c>
    </row>
    <row r="1377" spans="1:35" ht="31.2">
      <c r="A1377" s="8">
        <v>-73.977336159999993</v>
      </c>
      <c r="B1377" s="8">
        <v>40.772947819999999</v>
      </c>
      <c r="C1377" s="8" t="s">
        <v>3647</v>
      </c>
      <c r="D1377" s="8" t="s">
        <v>72</v>
      </c>
      <c r="E1377" s="8" t="b">
        <f t="shared" si="21"/>
        <v>0</v>
      </c>
      <c r="F1377" s="8" t="str" cm="1">
        <f t="array" ref="F1377">_xlfn._xlws.FILTER(E1377:E4575, C1377:C4575= "6D-PM-1020-01", "No Squirrels Found")</f>
        <v>No Squirrels Found</v>
      </c>
      <c r="G1377" s="8" t="s">
        <v>48</v>
      </c>
      <c r="H1377" s="10">
        <v>10082018</v>
      </c>
      <c r="I1377" s="10">
        <v>13</v>
      </c>
      <c r="J1377" s="8" t="s">
        <v>39</v>
      </c>
      <c r="K1377" s="8" t="s">
        <v>40</v>
      </c>
      <c r="L1377" s="8" t="s">
        <v>41</v>
      </c>
      <c r="M1377" s="8" t="s">
        <v>42</v>
      </c>
      <c r="O1377" s="8" t="s">
        <v>43</v>
      </c>
      <c r="P1377" s="8" t="b">
        <v>0</v>
      </c>
      <c r="R1377" s="8" t="b">
        <v>1</v>
      </c>
      <c r="S1377" s="8" t="b">
        <v>0</v>
      </c>
      <c r="T1377" s="8" t="b">
        <v>0</v>
      </c>
      <c r="U1377" s="8" t="b">
        <v>0</v>
      </c>
      <c r="V1377" s="8" t="b">
        <v>0</v>
      </c>
      <c r="X1377" s="8" t="b">
        <v>0</v>
      </c>
      <c r="Y1377" s="8" t="b">
        <v>0</v>
      </c>
      <c r="Z1377" s="8" t="b">
        <v>0</v>
      </c>
      <c r="AA1377" s="8" t="b">
        <v>0</v>
      </c>
      <c r="AB1377" s="8" t="b">
        <v>0</v>
      </c>
      <c r="AC1377" s="8" t="b">
        <v>0</v>
      </c>
      <c r="AD1377" s="8" t="b">
        <v>1</v>
      </c>
      <c r="AE1377" s="8" t="b">
        <v>0</v>
      </c>
      <c r="AG1377" s="11" t="b" cm="1">
        <f t="array" ref="AG1377">IF(OR(Y1377:AA1377="TRUE", AE1377="true"), "Threatened")</f>
        <v>0</v>
      </c>
      <c r="AH1377" s="11" t="s">
        <v>3648</v>
      </c>
      <c r="AI1377" s="8" t="b">
        <v>1</v>
      </c>
    </row>
    <row r="1378" spans="1:35" ht="31.2">
      <c r="A1378" s="8">
        <v>-73.975226359999994</v>
      </c>
      <c r="B1378" s="8">
        <v>40.772084919999998</v>
      </c>
      <c r="C1378" s="8" t="s">
        <v>3649</v>
      </c>
      <c r="D1378" s="8" t="s">
        <v>2804</v>
      </c>
      <c r="E1378" s="8" t="b">
        <f t="shared" si="21"/>
        <v>0</v>
      </c>
      <c r="F1378" s="8" t="str" cm="1">
        <f t="array" ref="F1378">_xlfn._xlws.FILTER(E1378:E4576, C1378:C4576= "6D-PM-1020-01", "No Squirrels Found")</f>
        <v>No Squirrels Found</v>
      </c>
      <c r="G1378" s="8" t="s">
        <v>34</v>
      </c>
      <c r="H1378" s="10">
        <v>10202018</v>
      </c>
      <c r="I1378" s="10">
        <v>2</v>
      </c>
      <c r="J1378" s="8" t="s">
        <v>39</v>
      </c>
      <c r="K1378" s="8" t="s">
        <v>40</v>
      </c>
      <c r="M1378" s="8" t="s">
        <v>55</v>
      </c>
      <c r="O1378" s="8" t="s">
        <v>43</v>
      </c>
      <c r="P1378" s="8" t="b">
        <v>0</v>
      </c>
      <c r="R1378" s="8" t="b">
        <v>0</v>
      </c>
      <c r="S1378" s="8" t="b">
        <v>0</v>
      </c>
      <c r="T1378" s="8" t="b">
        <v>0</v>
      </c>
      <c r="U1378" s="8" t="b">
        <v>0</v>
      </c>
      <c r="V1378" s="8" t="b">
        <v>1</v>
      </c>
      <c r="X1378" s="8" t="b">
        <v>0</v>
      </c>
      <c r="Y1378" s="8" t="b">
        <v>0</v>
      </c>
      <c r="Z1378" s="8" t="b">
        <v>0</v>
      </c>
      <c r="AA1378" s="8" t="b">
        <v>0</v>
      </c>
      <c r="AB1378" s="8" t="b">
        <v>0</v>
      </c>
      <c r="AC1378" s="8" t="b">
        <v>0</v>
      </c>
      <c r="AD1378" s="8" t="b">
        <v>0</v>
      </c>
      <c r="AE1378" s="8" t="b">
        <v>0</v>
      </c>
      <c r="AG1378" s="11" t="b" cm="1">
        <f t="array" ref="AG1378">IF(OR(Y1378:AA1378="TRUE", AE1378="true"), "Threatened")</f>
        <v>0</v>
      </c>
      <c r="AH1378" s="11" t="s">
        <v>3650</v>
      </c>
      <c r="AI1378" s="8" t="b">
        <v>1</v>
      </c>
    </row>
    <row r="1379" spans="1:35" ht="31.2">
      <c r="A1379" s="8">
        <v>-73.966976270000004</v>
      </c>
      <c r="B1379" s="8">
        <v>40.78359133</v>
      </c>
      <c r="C1379" s="8" t="s">
        <v>3651</v>
      </c>
      <c r="D1379" s="8" t="s">
        <v>698</v>
      </c>
      <c r="E1379" s="8" t="b">
        <f t="shared" si="21"/>
        <v>0</v>
      </c>
      <c r="F1379" s="8" t="str" cm="1">
        <f t="array" ref="F1379">_xlfn._xlws.FILTER(E1379:E4577, C1379:C4577= "6D-PM-1020-01", "No Squirrels Found")</f>
        <v>No Squirrels Found</v>
      </c>
      <c r="G1379" s="8" t="s">
        <v>34</v>
      </c>
      <c r="H1379" s="10">
        <v>10062018</v>
      </c>
      <c r="I1379" s="10">
        <v>8</v>
      </c>
      <c r="J1379" s="8" t="s">
        <v>39</v>
      </c>
      <c r="K1379" s="8" t="s">
        <v>40</v>
      </c>
      <c r="M1379" s="8" t="s">
        <v>55</v>
      </c>
      <c r="O1379" s="8" t="s">
        <v>50</v>
      </c>
      <c r="P1379" s="8">
        <v>10</v>
      </c>
      <c r="R1379" s="8" t="b">
        <v>0</v>
      </c>
      <c r="S1379" s="8" t="b">
        <v>0</v>
      </c>
      <c r="T1379" s="8" t="b">
        <v>1</v>
      </c>
      <c r="U1379" s="8" t="b">
        <v>0</v>
      </c>
      <c r="V1379" s="8" t="b">
        <v>0</v>
      </c>
      <c r="X1379" s="8" t="b">
        <v>0</v>
      </c>
      <c r="Y1379" s="8" t="b">
        <v>0</v>
      </c>
      <c r="Z1379" s="8" t="b">
        <v>0</v>
      </c>
      <c r="AA1379" s="8" t="b">
        <v>0</v>
      </c>
      <c r="AB1379" s="8" t="b">
        <v>0</v>
      </c>
      <c r="AC1379" s="8" t="b">
        <v>0</v>
      </c>
      <c r="AD1379" s="8" t="b">
        <v>0</v>
      </c>
      <c r="AE1379" s="8" t="b">
        <v>0</v>
      </c>
      <c r="AG1379" s="11" t="b" cm="1">
        <f t="array" ref="AG1379">IF(OR(Y1379:AA1379="TRUE", AE1379="true"), "Threatened")</f>
        <v>0</v>
      </c>
      <c r="AH1379" s="11" t="s">
        <v>3652</v>
      </c>
      <c r="AI1379" s="8" t="b">
        <v>1</v>
      </c>
    </row>
    <row r="1380" spans="1:35" ht="31.2">
      <c r="A1380" s="8">
        <v>-73.979647049999997</v>
      </c>
      <c r="B1380" s="8">
        <v>40.76783709</v>
      </c>
      <c r="C1380" s="8" t="s">
        <v>3653</v>
      </c>
      <c r="D1380" s="8" t="s">
        <v>1301</v>
      </c>
      <c r="E1380" s="8" t="b">
        <f t="shared" si="21"/>
        <v>0</v>
      </c>
      <c r="F1380" s="8" t="str" cm="1">
        <f t="array" ref="F1380">_xlfn._xlws.FILTER(E1380:E4578, C1380:C4578= "6D-PM-1020-01", "No Squirrels Found")</f>
        <v>No Squirrels Found</v>
      </c>
      <c r="G1380" s="8" t="s">
        <v>34</v>
      </c>
      <c r="H1380" s="10">
        <v>10132018</v>
      </c>
      <c r="I1380" s="10">
        <v>8</v>
      </c>
      <c r="J1380" s="8" t="s">
        <v>39</v>
      </c>
      <c r="K1380" s="8" t="s">
        <v>41</v>
      </c>
      <c r="M1380" s="8" t="s">
        <v>49</v>
      </c>
      <c r="O1380" s="8" t="s">
        <v>43</v>
      </c>
      <c r="P1380" s="8" t="b">
        <v>0</v>
      </c>
      <c r="R1380" s="8" t="b">
        <v>0</v>
      </c>
      <c r="S1380" s="8" t="b">
        <v>0</v>
      </c>
      <c r="T1380" s="8" t="b">
        <v>0</v>
      </c>
      <c r="U1380" s="8" t="b">
        <v>0</v>
      </c>
      <c r="V1380" s="8" t="b">
        <v>1</v>
      </c>
      <c r="X1380" s="8" t="b">
        <v>0</v>
      </c>
      <c r="Y1380" s="8" t="b">
        <v>0</v>
      </c>
      <c r="Z1380" s="8" t="b">
        <v>0</v>
      </c>
      <c r="AA1380" s="8" t="b">
        <v>0</v>
      </c>
      <c r="AB1380" s="8" t="b">
        <v>0</v>
      </c>
      <c r="AC1380" s="8" t="b">
        <v>0</v>
      </c>
      <c r="AD1380" s="8" t="b">
        <v>0</v>
      </c>
      <c r="AE1380" s="8" t="b">
        <v>0</v>
      </c>
      <c r="AG1380" s="11" t="b" cm="1">
        <f t="array" ref="AG1380">IF(OR(Y1380:AA1380="TRUE", AE1380="true"), "Threatened")</f>
        <v>0</v>
      </c>
      <c r="AH1380" s="11" t="s">
        <v>3654</v>
      </c>
      <c r="AI1380" s="8" t="b">
        <v>1</v>
      </c>
    </row>
    <row r="1381" spans="1:35" ht="31.2">
      <c r="A1381" s="8">
        <v>-73.980695920000002</v>
      </c>
      <c r="B1381" s="8">
        <v>40.768482069999997</v>
      </c>
      <c r="C1381" s="8" t="s">
        <v>3655</v>
      </c>
      <c r="D1381" s="8" t="s">
        <v>1909</v>
      </c>
      <c r="E1381" s="8" t="b">
        <f t="shared" si="21"/>
        <v>0</v>
      </c>
      <c r="F1381" s="8" t="str" cm="1">
        <f t="array" ref="F1381">_xlfn._xlws.FILTER(E1381:E4579, C1381:C4579= "6D-PM-1020-01", "No Squirrels Found")</f>
        <v>No Squirrels Found</v>
      </c>
      <c r="G1381" s="8" t="s">
        <v>48</v>
      </c>
      <c r="H1381" s="10">
        <v>10102018</v>
      </c>
      <c r="I1381" s="10">
        <v>1</v>
      </c>
      <c r="J1381" s="8" t="s">
        <v>39</v>
      </c>
      <c r="K1381" s="8" t="s">
        <v>40</v>
      </c>
      <c r="L1381" s="8" t="s">
        <v>41</v>
      </c>
      <c r="M1381" s="8" t="s">
        <v>42</v>
      </c>
      <c r="O1381" s="8" t="s">
        <v>43</v>
      </c>
      <c r="P1381" s="8" t="b">
        <v>0</v>
      </c>
      <c r="R1381" s="8" t="b">
        <v>0</v>
      </c>
      <c r="S1381" s="8" t="b">
        <v>0</v>
      </c>
      <c r="T1381" s="8" t="b">
        <v>0</v>
      </c>
      <c r="U1381" s="8" t="b">
        <v>1</v>
      </c>
      <c r="V1381" s="8" t="b">
        <v>1</v>
      </c>
      <c r="X1381" s="8" t="b">
        <v>0</v>
      </c>
      <c r="Y1381" s="8" t="b">
        <v>0</v>
      </c>
      <c r="Z1381" s="8" t="b">
        <v>0</v>
      </c>
      <c r="AA1381" s="8" t="b">
        <v>0</v>
      </c>
      <c r="AB1381" s="8" t="b">
        <v>0</v>
      </c>
      <c r="AC1381" s="8" t="b">
        <v>0</v>
      </c>
      <c r="AD1381" s="8" t="b">
        <v>1</v>
      </c>
      <c r="AE1381" s="8" t="b">
        <v>0</v>
      </c>
      <c r="AG1381" s="11" t="b" cm="1">
        <f t="array" ref="AG1381">IF(OR(Y1381:AA1381="TRUE", AE1381="true"), "Threatened")</f>
        <v>0</v>
      </c>
      <c r="AH1381" s="11" t="s">
        <v>3656</v>
      </c>
      <c r="AI1381" s="8" t="b">
        <v>1</v>
      </c>
    </row>
    <row r="1382" spans="1:35" ht="31.2">
      <c r="A1382" s="8">
        <v>-73.958607700000002</v>
      </c>
      <c r="B1382" s="8">
        <v>40.796189650000002</v>
      </c>
      <c r="C1382" s="8" t="s">
        <v>3657</v>
      </c>
      <c r="D1382" s="8" t="s">
        <v>191</v>
      </c>
      <c r="E1382" s="8" t="b">
        <f t="shared" si="21"/>
        <v>0</v>
      </c>
      <c r="F1382" s="8" t="str" cm="1">
        <f t="array" ref="F1382">_xlfn._xlws.FILTER(E1382:E4580, C1382:C4580= "6D-PM-1020-01", "No Squirrels Found")</f>
        <v>No Squirrels Found</v>
      </c>
      <c r="G1382" s="8" t="s">
        <v>48</v>
      </c>
      <c r="H1382" s="10">
        <v>10192018</v>
      </c>
      <c r="I1382" s="10">
        <v>10</v>
      </c>
      <c r="J1382" s="8" t="s">
        <v>39</v>
      </c>
      <c r="K1382" s="8" t="s">
        <v>40</v>
      </c>
      <c r="L1382" s="8" t="s">
        <v>84</v>
      </c>
      <c r="M1382" s="8" t="s">
        <v>103</v>
      </c>
      <c r="O1382" s="8" t="s">
        <v>50</v>
      </c>
      <c r="P1382" s="8">
        <v>20</v>
      </c>
      <c r="R1382" s="8" t="b">
        <v>1</v>
      </c>
      <c r="S1382" s="8" t="b">
        <v>0</v>
      </c>
      <c r="T1382" s="8" t="b">
        <v>1</v>
      </c>
      <c r="U1382" s="8" t="b">
        <v>1</v>
      </c>
      <c r="V1382" s="8" t="b">
        <v>0</v>
      </c>
      <c r="X1382" s="8" t="b">
        <v>1</v>
      </c>
      <c r="Y1382" s="8" t="b">
        <v>0</v>
      </c>
      <c r="Z1382" s="8" t="b">
        <v>0</v>
      </c>
      <c r="AA1382" s="8" t="b">
        <v>0</v>
      </c>
      <c r="AB1382" s="8" t="b">
        <v>1</v>
      </c>
      <c r="AC1382" s="8" t="b">
        <v>0</v>
      </c>
      <c r="AD1382" s="8" t="b">
        <v>0</v>
      </c>
      <c r="AE1382" s="8" t="b">
        <v>1</v>
      </c>
      <c r="AG1382" s="11" t="b" cm="1">
        <f t="array" ref="AG1382">IF(OR(Y1382:AA1382="TRUE", AE1382="true"), "Threatened")</f>
        <v>0</v>
      </c>
      <c r="AH1382" s="11" t="s">
        <v>3658</v>
      </c>
      <c r="AI1382" s="8" t="b">
        <v>1</v>
      </c>
    </row>
    <row r="1383" spans="1:35" ht="31.2">
      <c r="A1383" s="8">
        <v>-73.961127489999996</v>
      </c>
      <c r="B1383" s="8">
        <v>40.791525010000001</v>
      </c>
      <c r="C1383" s="8" t="s">
        <v>3659</v>
      </c>
      <c r="D1383" s="8" t="s">
        <v>616</v>
      </c>
      <c r="E1383" s="8" t="b">
        <f t="shared" si="21"/>
        <v>0</v>
      </c>
      <c r="F1383" s="8" t="str" cm="1">
        <f t="array" ref="F1383">_xlfn._xlws.FILTER(E1383:E4581, C1383:C4581= "6D-PM-1020-01", "No Squirrels Found")</f>
        <v>No Squirrels Found</v>
      </c>
      <c r="G1383" s="8" t="s">
        <v>48</v>
      </c>
      <c r="H1383" s="10">
        <v>10142018</v>
      </c>
      <c r="I1383" s="10">
        <v>5</v>
      </c>
      <c r="J1383" s="8" t="s">
        <v>39</v>
      </c>
      <c r="K1383" s="8" t="s">
        <v>41</v>
      </c>
      <c r="M1383" s="8" t="s">
        <v>49</v>
      </c>
      <c r="O1383" s="8" t="s">
        <v>43</v>
      </c>
      <c r="P1383" s="8" t="b">
        <v>0</v>
      </c>
      <c r="R1383" s="8" t="b">
        <v>0</v>
      </c>
      <c r="S1383" s="8" t="b">
        <v>0</v>
      </c>
      <c r="T1383" s="8" t="b">
        <v>0</v>
      </c>
      <c r="U1383" s="8" t="b">
        <v>1</v>
      </c>
      <c r="V1383" s="8" t="b">
        <v>1</v>
      </c>
      <c r="X1383" s="8" t="b">
        <v>0</v>
      </c>
      <c r="Y1383" s="8" t="b">
        <v>0</v>
      </c>
      <c r="Z1383" s="8" t="b">
        <v>0</v>
      </c>
      <c r="AA1383" s="8" t="b">
        <v>0</v>
      </c>
      <c r="AB1383" s="8" t="b">
        <v>0</v>
      </c>
      <c r="AC1383" s="8" t="b">
        <v>0</v>
      </c>
      <c r="AD1383" s="8" t="b">
        <v>1</v>
      </c>
      <c r="AE1383" s="8" t="b">
        <v>0</v>
      </c>
      <c r="AG1383" s="11" t="b" cm="1">
        <f t="array" ref="AG1383">IF(OR(Y1383:AA1383="TRUE", AE1383="true"), "Threatened")</f>
        <v>0</v>
      </c>
      <c r="AH1383" s="11" t="s">
        <v>3660</v>
      </c>
      <c r="AI1383" s="8" t="b">
        <v>1</v>
      </c>
    </row>
    <row r="1384" spans="1:35" ht="31.2">
      <c r="A1384" s="8">
        <v>-73.967673270000006</v>
      </c>
      <c r="B1384" s="8">
        <v>40.776319440000002</v>
      </c>
      <c r="C1384" s="8" t="s">
        <v>3661</v>
      </c>
      <c r="D1384" s="8" t="s">
        <v>326</v>
      </c>
      <c r="E1384" s="8" t="b">
        <f t="shared" si="21"/>
        <v>0</v>
      </c>
      <c r="F1384" s="8" t="str" cm="1">
        <f t="array" ref="F1384">_xlfn._xlws.FILTER(E1384:E4582, C1384:C4582= "6D-PM-1020-01", "No Squirrels Found")</f>
        <v>No Squirrels Found</v>
      </c>
      <c r="G1384" s="8" t="s">
        <v>34</v>
      </c>
      <c r="H1384" s="10">
        <v>10192018</v>
      </c>
      <c r="I1384" s="10">
        <v>9</v>
      </c>
      <c r="J1384" s="8" t="s">
        <v>39</v>
      </c>
      <c r="K1384" s="8" t="s">
        <v>40</v>
      </c>
      <c r="M1384" s="8" t="s">
        <v>55</v>
      </c>
      <c r="O1384" s="8" t="s">
        <v>43</v>
      </c>
      <c r="P1384" s="8" t="b">
        <v>0</v>
      </c>
      <c r="R1384" s="8" t="b">
        <v>0</v>
      </c>
      <c r="S1384" s="8" t="b">
        <v>0</v>
      </c>
      <c r="T1384" s="8" t="b">
        <v>0</v>
      </c>
      <c r="U1384" s="8" t="b">
        <v>1</v>
      </c>
      <c r="V1384" s="8" t="b">
        <v>0</v>
      </c>
      <c r="X1384" s="8" t="b">
        <v>0</v>
      </c>
      <c r="Y1384" s="8" t="b">
        <v>0</v>
      </c>
      <c r="Z1384" s="8" t="b">
        <v>0</v>
      </c>
      <c r="AA1384" s="8" t="b">
        <v>0</v>
      </c>
      <c r="AB1384" s="8" t="b">
        <v>0</v>
      </c>
      <c r="AC1384" s="8" t="b">
        <v>0</v>
      </c>
      <c r="AD1384" s="8" t="b">
        <v>0</v>
      </c>
      <c r="AE1384" s="8" t="b">
        <v>0</v>
      </c>
      <c r="AG1384" s="11" t="b" cm="1">
        <f t="array" ref="AG1384">IF(OR(Y1384:AA1384="TRUE", AE1384="true"), "Threatened")</f>
        <v>0</v>
      </c>
      <c r="AH1384" s="11" t="s">
        <v>3662</v>
      </c>
      <c r="AI1384" s="8" t="b">
        <v>1</v>
      </c>
    </row>
    <row r="1385" spans="1:35" ht="31.2">
      <c r="A1385" s="8">
        <v>-73.978760879999996</v>
      </c>
      <c r="B1385" s="8">
        <v>40.768606230000003</v>
      </c>
      <c r="C1385" s="8" t="s">
        <v>3663</v>
      </c>
      <c r="D1385" s="8" t="s">
        <v>835</v>
      </c>
      <c r="E1385" s="8" t="b">
        <f t="shared" si="21"/>
        <v>0</v>
      </c>
      <c r="F1385" s="8" t="str" cm="1">
        <f t="array" ref="F1385">_xlfn._xlws.FILTER(E1385:E4583, C1385:C4583= "6D-PM-1020-01", "No Squirrels Found")</f>
        <v>No Squirrels Found</v>
      </c>
      <c r="G1385" s="8" t="s">
        <v>34</v>
      </c>
      <c r="H1385" s="10">
        <v>10082018</v>
      </c>
      <c r="I1385" s="10">
        <v>1</v>
      </c>
      <c r="J1385" s="8" t="s">
        <v>39</v>
      </c>
      <c r="K1385" s="8" t="s">
        <v>41</v>
      </c>
      <c r="L1385" s="8" t="s">
        <v>135</v>
      </c>
      <c r="M1385" s="8" t="s">
        <v>136</v>
      </c>
      <c r="O1385" s="8" t="s">
        <v>50</v>
      </c>
      <c r="P1385" s="8">
        <v>3</v>
      </c>
      <c r="R1385" s="8" t="b">
        <v>0</v>
      </c>
      <c r="S1385" s="8" t="b">
        <v>0</v>
      </c>
      <c r="T1385" s="8" t="b">
        <v>0</v>
      </c>
      <c r="U1385" s="8" t="b">
        <v>0</v>
      </c>
      <c r="V1385" s="8" t="b">
        <v>0</v>
      </c>
      <c r="W1385" s="11" t="s">
        <v>3664</v>
      </c>
      <c r="X1385" s="8" t="b">
        <v>0</v>
      </c>
      <c r="Y1385" s="8" t="b">
        <v>0</v>
      </c>
      <c r="Z1385" s="8" t="b">
        <v>0</v>
      </c>
      <c r="AA1385" s="8" t="b">
        <v>0</v>
      </c>
      <c r="AB1385" s="8" t="b">
        <v>0</v>
      </c>
      <c r="AC1385" s="8" t="b">
        <v>0</v>
      </c>
      <c r="AD1385" s="8" t="b">
        <v>1</v>
      </c>
      <c r="AE1385" s="8" t="b">
        <v>0</v>
      </c>
      <c r="AG1385" s="11" t="b" cm="1">
        <f t="array" ref="AG1385">IF(OR(Y1385:AA1385="TRUE", AE1385="true"), "Threatened")</f>
        <v>0</v>
      </c>
      <c r="AH1385" s="11" t="s">
        <v>3665</v>
      </c>
      <c r="AI1385" s="8" t="b">
        <v>0</v>
      </c>
    </row>
    <row r="1386" spans="1:35" ht="31.2">
      <c r="A1386" s="8">
        <v>-73.961564980000006</v>
      </c>
      <c r="B1386" s="8">
        <v>40.795476129999997</v>
      </c>
      <c r="C1386" s="8" t="s">
        <v>3666</v>
      </c>
      <c r="D1386" s="8" t="s">
        <v>387</v>
      </c>
      <c r="E1386" s="8" t="b">
        <f t="shared" si="21"/>
        <v>0</v>
      </c>
      <c r="F1386" s="8" t="str" cm="1">
        <f t="array" ref="F1386">_xlfn._xlws.FILTER(E1386:E4584, C1386:C4584= "6D-PM-1020-01", "No Squirrels Found")</f>
        <v>No Squirrels Found</v>
      </c>
      <c r="G1386" s="8" t="s">
        <v>34</v>
      </c>
      <c r="H1386" s="10">
        <v>10132018</v>
      </c>
      <c r="I1386" s="10">
        <v>2</v>
      </c>
      <c r="K1386" s="8" t="s">
        <v>40</v>
      </c>
      <c r="L1386" s="8" t="s">
        <v>41</v>
      </c>
      <c r="M1386" s="8" t="s">
        <v>42</v>
      </c>
      <c r="O1386" s="8" t="s">
        <v>50</v>
      </c>
      <c r="P1386" s="8">
        <v>6</v>
      </c>
      <c r="R1386" s="8" t="b">
        <v>0</v>
      </c>
      <c r="S1386" s="8" t="b">
        <v>0</v>
      </c>
      <c r="T1386" s="8" t="b">
        <v>0</v>
      </c>
      <c r="U1386" s="8" t="b">
        <v>0</v>
      </c>
      <c r="V1386" s="8" t="b">
        <v>1</v>
      </c>
      <c r="X1386" s="8" t="b">
        <v>0</v>
      </c>
      <c r="Y1386" s="8" t="b">
        <v>0</v>
      </c>
      <c r="Z1386" s="8" t="b">
        <v>0</v>
      </c>
      <c r="AA1386" s="8" t="b">
        <v>0</v>
      </c>
      <c r="AB1386" s="8" t="b">
        <v>0</v>
      </c>
      <c r="AC1386" s="8" t="b">
        <v>0</v>
      </c>
      <c r="AD1386" s="8" t="b">
        <v>1</v>
      </c>
      <c r="AE1386" s="8" t="b">
        <v>0</v>
      </c>
      <c r="AG1386" s="11" t="b" cm="1">
        <f t="array" ref="AG1386">IF(OR(Y1386:AA1386="TRUE", AE1386="true"), "Threatened")</f>
        <v>0</v>
      </c>
      <c r="AH1386" s="11" t="s">
        <v>3667</v>
      </c>
      <c r="AI1386" s="8" t="b">
        <v>1</v>
      </c>
    </row>
    <row r="1387" spans="1:35" ht="31.2">
      <c r="A1387" s="8">
        <v>-73.973008570000005</v>
      </c>
      <c r="B1387" s="8">
        <v>40.770893360000002</v>
      </c>
      <c r="C1387" s="8" t="s">
        <v>3668</v>
      </c>
      <c r="D1387" s="8" t="s">
        <v>368</v>
      </c>
      <c r="E1387" s="8" t="b">
        <f t="shared" si="21"/>
        <v>0</v>
      </c>
      <c r="F1387" s="8" t="str" cm="1">
        <f t="array" ref="F1387">_xlfn._xlws.FILTER(E1387:E4585, C1387:C4585= "6D-PM-1020-01", "No Squirrels Found")</f>
        <v>No Squirrels Found</v>
      </c>
      <c r="G1387" s="8" t="s">
        <v>48</v>
      </c>
      <c r="H1387" s="10">
        <v>10082018</v>
      </c>
      <c r="I1387" s="10">
        <v>12</v>
      </c>
      <c r="J1387" s="8" t="s">
        <v>39</v>
      </c>
      <c r="K1387" s="8" t="s">
        <v>40</v>
      </c>
      <c r="M1387" s="8" t="s">
        <v>55</v>
      </c>
      <c r="O1387" s="8" t="s">
        <v>43</v>
      </c>
      <c r="P1387" s="8" t="b">
        <v>0</v>
      </c>
      <c r="R1387" s="8" t="b">
        <v>0</v>
      </c>
      <c r="S1387" s="8" t="b">
        <v>0</v>
      </c>
      <c r="T1387" s="8" t="b">
        <v>0</v>
      </c>
      <c r="U1387" s="8" t="b">
        <v>0</v>
      </c>
      <c r="V1387" s="8" t="b">
        <v>1</v>
      </c>
      <c r="X1387" s="8" t="b">
        <v>0</v>
      </c>
      <c r="Y1387" s="8" t="b">
        <v>0</v>
      </c>
      <c r="Z1387" s="8" t="b">
        <v>0</v>
      </c>
      <c r="AA1387" s="8" t="b">
        <v>0</v>
      </c>
      <c r="AB1387" s="8" t="b">
        <v>0</v>
      </c>
      <c r="AC1387" s="8" t="b">
        <v>0</v>
      </c>
      <c r="AD1387" s="8" t="b">
        <v>1</v>
      </c>
      <c r="AE1387" s="8" t="b">
        <v>0</v>
      </c>
      <c r="AG1387" s="11" t="b" cm="1">
        <f t="array" ref="AG1387">IF(OR(Y1387:AA1387="TRUE", AE1387="true"), "Threatened")</f>
        <v>0</v>
      </c>
      <c r="AH1387" s="11" t="s">
        <v>3669</v>
      </c>
      <c r="AI1387" s="8" t="b">
        <v>1</v>
      </c>
    </row>
    <row r="1388" spans="1:35" ht="31.2">
      <c r="A1388" s="8">
        <v>-73.969716059999996</v>
      </c>
      <c r="B1388" s="8">
        <v>40.771144560000003</v>
      </c>
      <c r="C1388" s="8" t="s">
        <v>3670</v>
      </c>
      <c r="D1388" s="8" t="s">
        <v>2059</v>
      </c>
      <c r="E1388" s="8" t="b">
        <f t="shared" si="21"/>
        <v>0</v>
      </c>
      <c r="F1388" s="8" t="str" cm="1">
        <f t="array" ref="F1388">_xlfn._xlws.FILTER(E1388:E4586, C1388:C4586= "6D-PM-1020-01", "No Squirrels Found")</f>
        <v>No Squirrels Found</v>
      </c>
      <c r="G1388" s="8" t="s">
        <v>48</v>
      </c>
      <c r="H1388" s="10">
        <v>10062018</v>
      </c>
      <c r="I1388" s="10">
        <v>2</v>
      </c>
      <c r="J1388" s="8" t="s">
        <v>39</v>
      </c>
      <c r="K1388" s="8" t="s">
        <v>40</v>
      </c>
      <c r="L1388" s="8" t="s">
        <v>84</v>
      </c>
      <c r="M1388" s="8" t="s">
        <v>103</v>
      </c>
      <c r="O1388" s="8" t="s">
        <v>43</v>
      </c>
      <c r="P1388" s="8" t="b">
        <v>0</v>
      </c>
      <c r="R1388" s="8" t="b">
        <v>0</v>
      </c>
      <c r="S1388" s="8" t="b">
        <v>0</v>
      </c>
      <c r="T1388" s="8" t="b">
        <v>0</v>
      </c>
      <c r="U1388" s="8" t="b">
        <v>0</v>
      </c>
      <c r="V1388" s="8" t="b">
        <v>1</v>
      </c>
      <c r="X1388" s="8" t="b">
        <v>0</v>
      </c>
      <c r="Y1388" s="8" t="b">
        <v>0</v>
      </c>
      <c r="Z1388" s="8" t="b">
        <v>0</v>
      </c>
      <c r="AA1388" s="8" t="b">
        <v>0</v>
      </c>
      <c r="AB1388" s="8" t="b">
        <v>1</v>
      </c>
      <c r="AC1388" s="8" t="b">
        <v>0</v>
      </c>
      <c r="AD1388" s="8" t="b">
        <v>1</v>
      </c>
      <c r="AE1388" s="8" t="b">
        <v>0</v>
      </c>
      <c r="AG1388" s="11" t="b" cm="1">
        <f t="array" ref="AG1388">IF(OR(Y1388:AA1388="TRUE", AE1388="true"), "Threatened")</f>
        <v>0</v>
      </c>
      <c r="AH1388" s="11" t="s">
        <v>3671</v>
      </c>
      <c r="AI1388" s="8" t="b">
        <v>1</v>
      </c>
    </row>
    <row r="1389" spans="1:35" ht="31.2">
      <c r="A1389" s="8">
        <v>-73.96857095</v>
      </c>
      <c r="B1389" s="8">
        <v>40.774487700000002</v>
      </c>
      <c r="C1389" s="8" t="s">
        <v>3672</v>
      </c>
      <c r="D1389" s="8" t="s">
        <v>991</v>
      </c>
      <c r="E1389" s="8" t="b">
        <f t="shared" si="21"/>
        <v>0</v>
      </c>
      <c r="F1389" s="8" t="str" cm="1">
        <f t="array" ref="F1389">_xlfn._xlws.FILTER(E1389:E4587, C1389:C4587= "6D-PM-1020-01", "No Squirrels Found")</f>
        <v>No Squirrels Found</v>
      </c>
      <c r="G1389" s="8" t="s">
        <v>34</v>
      </c>
      <c r="H1389" s="10">
        <v>10072018</v>
      </c>
      <c r="I1389" s="10">
        <v>7</v>
      </c>
      <c r="J1389" s="8" t="s">
        <v>54</v>
      </c>
      <c r="M1389" s="8" t="s">
        <v>35</v>
      </c>
      <c r="O1389" s="8" t="s">
        <v>50</v>
      </c>
      <c r="P1389" s="8">
        <v>45</v>
      </c>
      <c r="R1389" s="8" t="b">
        <v>0</v>
      </c>
      <c r="S1389" s="8" t="b">
        <v>0</v>
      </c>
      <c r="T1389" s="8" t="b">
        <v>0</v>
      </c>
      <c r="U1389" s="8" t="b">
        <v>1</v>
      </c>
      <c r="V1389" s="8" t="b">
        <v>0</v>
      </c>
      <c r="W1389" s="11" t="s">
        <v>3673</v>
      </c>
      <c r="X1389" s="8" t="b">
        <v>0</v>
      </c>
      <c r="Y1389" s="8" t="b">
        <v>0</v>
      </c>
      <c r="Z1389" s="8" t="b">
        <v>0</v>
      </c>
      <c r="AA1389" s="8" t="b">
        <v>0</v>
      </c>
      <c r="AB1389" s="8" t="b">
        <v>0</v>
      </c>
      <c r="AC1389" s="8" t="b">
        <v>0</v>
      </c>
      <c r="AD1389" s="8" t="b">
        <v>0</v>
      </c>
      <c r="AE1389" s="8" t="b">
        <v>0</v>
      </c>
      <c r="AG1389" s="11" t="b" cm="1">
        <f t="array" ref="AG1389">IF(OR(Y1389:AA1389="TRUE", AE1389="true"), "Threatened")</f>
        <v>0</v>
      </c>
      <c r="AH1389" s="11" t="s">
        <v>3674</v>
      </c>
      <c r="AI1389" s="8" t="b">
        <v>0</v>
      </c>
    </row>
    <row r="1390" spans="1:35" ht="31.2">
      <c r="A1390" s="8">
        <v>-73.958002100000002</v>
      </c>
      <c r="B1390" s="8">
        <v>40.795514009999998</v>
      </c>
      <c r="C1390" s="8" t="s">
        <v>3675</v>
      </c>
      <c r="D1390" s="8" t="s">
        <v>405</v>
      </c>
      <c r="E1390" s="8" t="b">
        <f t="shared" si="21"/>
        <v>0</v>
      </c>
      <c r="F1390" s="8" t="str" cm="1">
        <f t="array" ref="F1390">_xlfn._xlws.FILTER(E1390:E4588, C1390:C4588= "6D-PM-1020-01", "No Squirrels Found")</f>
        <v>No Squirrels Found</v>
      </c>
      <c r="G1390" s="8" t="s">
        <v>34</v>
      </c>
      <c r="H1390" s="10">
        <v>10142018</v>
      </c>
      <c r="I1390" s="10">
        <v>7</v>
      </c>
      <c r="J1390" s="8" t="s">
        <v>39</v>
      </c>
      <c r="K1390" s="8" t="s">
        <v>40</v>
      </c>
      <c r="M1390" s="8" t="s">
        <v>55</v>
      </c>
      <c r="O1390" s="8" t="s">
        <v>43</v>
      </c>
      <c r="P1390" s="8" t="b">
        <v>0</v>
      </c>
      <c r="R1390" s="8" t="b">
        <v>0</v>
      </c>
      <c r="S1390" s="8" t="b">
        <v>0</v>
      </c>
      <c r="T1390" s="8" t="b">
        <v>0</v>
      </c>
      <c r="U1390" s="8" t="b">
        <v>0</v>
      </c>
      <c r="V1390" s="8" t="b">
        <v>1</v>
      </c>
      <c r="X1390" s="8" t="b">
        <v>0</v>
      </c>
      <c r="Y1390" s="8" t="b">
        <v>0</v>
      </c>
      <c r="Z1390" s="8" t="b">
        <v>0</v>
      </c>
      <c r="AA1390" s="8" t="b">
        <v>0</v>
      </c>
      <c r="AB1390" s="8" t="b">
        <v>0</v>
      </c>
      <c r="AC1390" s="8" t="b">
        <v>0</v>
      </c>
      <c r="AD1390" s="8" t="b">
        <v>0</v>
      </c>
      <c r="AE1390" s="8" t="b">
        <v>1</v>
      </c>
      <c r="AG1390" s="11" t="b" cm="1">
        <f t="array" ref="AG1390">IF(OR(Y1390:AA1390="TRUE", AE1390="true"), "Threatened")</f>
        <v>0</v>
      </c>
      <c r="AH1390" s="11" t="s">
        <v>3676</v>
      </c>
      <c r="AI1390" s="8" t="b">
        <v>1</v>
      </c>
    </row>
    <row r="1391" spans="1:35" ht="31.2">
      <c r="A1391" s="8">
        <v>-73.967714670000007</v>
      </c>
      <c r="B1391" s="8">
        <v>40.778823129999999</v>
      </c>
      <c r="C1391" s="8" t="s">
        <v>3677</v>
      </c>
      <c r="D1391" s="8" t="s">
        <v>215</v>
      </c>
      <c r="E1391" s="8" t="b">
        <f t="shared" si="21"/>
        <v>0</v>
      </c>
      <c r="F1391" s="8" t="str" cm="1">
        <f t="array" ref="F1391">_xlfn._xlws.FILTER(E1391:E4589, C1391:C4589= "6D-PM-1020-01", "No Squirrels Found")</f>
        <v>No Squirrels Found</v>
      </c>
      <c r="G1391" s="8" t="s">
        <v>48</v>
      </c>
      <c r="H1391" s="10">
        <v>10172018</v>
      </c>
      <c r="I1391" s="10">
        <v>7</v>
      </c>
      <c r="J1391" s="8" t="s">
        <v>39</v>
      </c>
      <c r="K1391" s="8" t="s">
        <v>40</v>
      </c>
      <c r="M1391" s="8" t="s">
        <v>55</v>
      </c>
      <c r="O1391" s="8" t="s">
        <v>43</v>
      </c>
      <c r="P1391" s="8" t="b">
        <v>0</v>
      </c>
      <c r="R1391" s="8" t="b">
        <v>0</v>
      </c>
      <c r="S1391" s="8" t="b">
        <v>1</v>
      </c>
      <c r="T1391" s="8" t="b">
        <v>0</v>
      </c>
      <c r="U1391" s="8" t="b">
        <v>0</v>
      </c>
      <c r="V1391" s="8" t="b">
        <v>0</v>
      </c>
      <c r="X1391" s="8" t="b">
        <v>0</v>
      </c>
      <c r="Y1391" s="8" t="b">
        <v>0</v>
      </c>
      <c r="Z1391" s="8" t="b">
        <v>0</v>
      </c>
      <c r="AA1391" s="8" t="b">
        <v>0</v>
      </c>
      <c r="AB1391" s="8" t="b">
        <v>0</v>
      </c>
      <c r="AC1391" s="8" t="b">
        <v>0</v>
      </c>
      <c r="AD1391" s="8" t="b">
        <v>1</v>
      </c>
      <c r="AE1391" s="8" t="b">
        <v>0</v>
      </c>
      <c r="AG1391" s="11" t="b" cm="1">
        <f t="array" ref="AG1391">IF(OR(Y1391:AA1391="TRUE", AE1391="true"), "Threatened")</f>
        <v>0</v>
      </c>
      <c r="AH1391" s="11" t="s">
        <v>3678</v>
      </c>
      <c r="AI1391" s="8" t="b">
        <v>1</v>
      </c>
    </row>
    <row r="1392" spans="1:35" ht="31.2">
      <c r="A1392" s="8">
        <v>-73.957865859999998</v>
      </c>
      <c r="B1392" s="8">
        <v>40.793371219999997</v>
      </c>
      <c r="C1392" s="8" t="s">
        <v>3679</v>
      </c>
      <c r="D1392" s="8" t="s">
        <v>493</v>
      </c>
      <c r="E1392" s="8" t="b">
        <f t="shared" si="21"/>
        <v>0</v>
      </c>
      <c r="F1392" s="8" t="str" cm="1">
        <f t="array" ref="F1392">_xlfn._xlws.FILTER(E1392:E4590, C1392:C4590= "6D-PM-1020-01", "No Squirrels Found")</f>
        <v>No Squirrels Found</v>
      </c>
      <c r="G1392" s="8" t="s">
        <v>48</v>
      </c>
      <c r="H1392" s="10">
        <v>10202018</v>
      </c>
      <c r="I1392" s="10">
        <v>4</v>
      </c>
      <c r="J1392" s="8" t="s">
        <v>39</v>
      </c>
      <c r="K1392" s="8" t="s">
        <v>40</v>
      </c>
      <c r="L1392" s="8" t="s">
        <v>41</v>
      </c>
      <c r="M1392" s="8" t="s">
        <v>42</v>
      </c>
      <c r="O1392" s="8" t="s">
        <v>50</v>
      </c>
      <c r="P1392" s="8">
        <v>30</v>
      </c>
      <c r="R1392" s="8" t="b">
        <v>0</v>
      </c>
      <c r="S1392" s="8" t="b">
        <v>0</v>
      </c>
      <c r="T1392" s="8" t="b">
        <v>0</v>
      </c>
      <c r="U1392" s="8" t="b">
        <v>0</v>
      </c>
      <c r="V1392" s="8" t="b">
        <v>0</v>
      </c>
      <c r="W1392" s="11" t="s">
        <v>3680</v>
      </c>
      <c r="X1392" s="8" t="b">
        <v>0</v>
      </c>
      <c r="Y1392" s="8" t="b">
        <v>0</v>
      </c>
      <c r="Z1392" s="8" t="b">
        <v>0</v>
      </c>
      <c r="AA1392" s="8" t="b">
        <v>0</v>
      </c>
      <c r="AB1392" s="8" t="b">
        <v>0</v>
      </c>
      <c r="AC1392" s="8" t="b">
        <v>0</v>
      </c>
      <c r="AD1392" s="8" t="b">
        <v>1</v>
      </c>
      <c r="AE1392" s="8" t="b">
        <v>0</v>
      </c>
      <c r="AG1392" s="11" t="b" cm="1">
        <f t="array" ref="AG1392">IF(OR(Y1392:AA1392="TRUE", AE1392="true"), "Threatened")</f>
        <v>0</v>
      </c>
      <c r="AH1392" s="11" t="s">
        <v>3681</v>
      </c>
      <c r="AI1392" s="8" t="b">
        <v>0</v>
      </c>
    </row>
    <row r="1393" spans="1:35" ht="46.8">
      <c r="A1393" s="8">
        <v>-73.964809070000001</v>
      </c>
      <c r="B1393" s="8">
        <v>40.790388210000003</v>
      </c>
      <c r="C1393" s="8" t="s">
        <v>3682</v>
      </c>
      <c r="D1393" s="8" t="s">
        <v>3394</v>
      </c>
      <c r="E1393" s="8" t="b">
        <f t="shared" si="21"/>
        <v>0</v>
      </c>
      <c r="F1393" s="8" t="str" cm="1">
        <f t="array" ref="F1393">_xlfn._xlws.FILTER(E1393:E4591, C1393:C4591= "6D-PM-1020-01", "No Squirrels Found")</f>
        <v>No Squirrels Found</v>
      </c>
      <c r="G1393" s="8" t="s">
        <v>34</v>
      </c>
      <c r="H1393" s="10">
        <v>10192018</v>
      </c>
      <c r="I1393" s="10">
        <v>3</v>
      </c>
      <c r="J1393" s="8" t="s">
        <v>54</v>
      </c>
      <c r="K1393" s="8" t="s">
        <v>192</v>
      </c>
      <c r="L1393" s="8" t="s">
        <v>41</v>
      </c>
      <c r="M1393" s="8" t="s">
        <v>717</v>
      </c>
      <c r="O1393" s="8" t="s">
        <v>43</v>
      </c>
      <c r="P1393" s="8" t="b">
        <v>0</v>
      </c>
      <c r="R1393" s="8" t="b">
        <v>0</v>
      </c>
      <c r="S1393" s="8" t="b">
        <v>0</v>
      </c>
      <c r="T1393" s="8" t="b">
        <v>0</v>
      </c>
      <c r="U1393" s="8" t="b">
        <v>0</v>
      </c>
      <c r="V1393" s="8" t="b">
        <v>0</v>
      </c>
      <c r="X1393" s="8" t="b">
        <v>0</v>
      </c>
      <c r="Y1393" s="8" t="b">
        <v>0</v>
      </c>
      <c r="Z1393" s="8" t="b">
        <v>0</v>
      </c>
      <c r="AA1393" s="8" t="b">
        <v>0</v>
      </c>
      <c r="AB1393" s="8" t="b">
        <v>0</v>
      </c>
      <c r="AC1393" s="8" t="b">
        <v>1</v>
      </c>
      <c r="AD1393" s="8" t="b">
        <v>0</v>
      </c>
      <c r="AE1393" s="8" t="b">
        <v>1</v>
      </c>
      <c r="AF1393" s="11" t="s">
        <v>3683</v>
      </c>
      <c r="AG1393" s="11" t="b" cm="1">
        <f t="array" ref="AG1393">IF(OR(Y1393:AA1393="TRUE", AE1393="true"), "Threatened")</f>
        <v>0</v>
      </c>
      <c r="AH1393" s="11" t="s">
        <v>3684</v>
      </c>
      <c r="AI1393" s="8" t="b">
        <v>1</v>
      </c>
    </row>
    <row r="1394" spans="1:35" ht="31.2">
      <c r="A1394" s="8">
        <v>-73.968713410000007</v>
      </c>
      <c r="B1394" s="8">
        <v>40.781220789999999</v>
      </c>
      <c r="C1394" s="8" t="s">
        <v>3685</v>
      </c>
      <c r="D1394" s="8" t="s">
        <v>319</v>
      </c>
      <c r="E1394" s="8" t="b">
        <f t="shared" si="21"/>
        <v>0</v>
      </c>
      <c r="F1394" s="8" t="str" cm="1">
        <f t="array" ref="F1394">_xlfn._xlws.FILTER(E1394:E4592, C1394:C4592= "6D-PM-1020-01", "No Squirrels Found")</f>
        <v>No Squirrels Found</v>
      </c>
      <c r="G1394" s="8" t="s">
        <v>34</v>
      </c>
      <c r="H1394" s="10">
        <v>10182018</v>
      </c>
      <c r="I1394" s="10">
        <v>3</v>
      </c>
      <c r="J1394" s="8" t="s">
        <v>39</v>
      </c>
      <c r="K1394" s="8" t="s">
        <v>40</v>
      </c>
      <c r="L1394" s="8" t="s">
        <v>41</v>
      </c>
      <c r="M1394" s="8" t="s">
        <v>42</v>
      </c>
      <c r="O1394" s="8" t="s">
        <v>43</v>
      </c>
      <c r="P1394" s="8" t="b">
        <v>0</v>
      </c>
      <c r="R1394" s="8" t="b">
        <v>0</v>
      </c>
      <c r="S1394" s="8" t="b">
        <v>1</v>
      </c>
      <c r="T1394" s="8" t="b">
        <v>0</v>
      </c>
      <c r="U1394" s="8" t="b">
        <v>0</v>
      </c>
      <c r="V1394" s="8" t="b">
        <v>0</v>
      </c>
      <c r="X1394" s="8" t="b">
        <v>0</v>
      </c>
      <c r="Y1394" s="8" t="b">
        <v>0</v>
      </c>
      <c r="Z1394" s="8" t="b">
        <v>0</v>
      </c>
      <c r="AA1394" s="8" t="b">
        <v>0</v>
      </c>
      <c r="AB1394" s="8" t="b">
        <v>0</v>
      </c>
      <c r="AC1394" s="8" t="b">
        <v>0</v>
      </c>
      <c r="AD1394" s="8" t="b">
        <v>1</v>
      </c>
      <c r="AE1394" s="8" t="b">
        <v>0</v>
      </c>
      <c r="AG1394" s="11" t="b" cm="1">
        <f t="array" ref="AG1394">IF(OR(Y1394:AA1394="TRUE", AE1394="true"), "Threatened")</f>
        <v>0</v>
      </c>
      <c r="AH1394" s="11" t="s">
        <v>3686</v>
      </c>
      <c r="AI1394" s="8" t="b">
        <v>1</v>
      </c>
    </row>
    <row r="1395" spans="1:35" ht="31.2">
      <c r="A1395" s="8">
        <v>-73.954882639999994</v>
      </c>
      <c r="B1395" s="8">
        <v>40.795947460000001</v>
      </c>
      <c r="C1395" s="8" t="s">
        <v>3687</v>
      </c>
      <c r="D1395" s="8" t="s">
        <v>1066</v>
      </c>
      <c r="E1395" s="8" t="b">
        <f t="shared" si="21"/>
        <v>0</v>
      </c>
      <c r="F1395" s="8" t="str" cm="1">
        <f t="array" ref="F1395">_xlfn._xlws.FILTER(E1395:E4593, C1395:C4593= "6D-PM-1020-01", "No Squirrels Found")</f>
        <v>No Squirrels Found</v>
      </c>
      <c r="G1395" s="8" t="s">
        <v>48</v>
      </c>
      <c r="H1395" s="10">
        <v>10142018</v>
      </c>
      <c r="I1395" s="10">
        <v>5</v>
      </c>
      <c r="J1395" s="8" t="s">
        <v>54</v>
      </c>
      <c r="K1395" s="8" t="s">
        <v>41</v>
      </c>
      <c r="M1395" s="8" t="s">
        <v>49</v>
      </c>
      <c r="O1395" s="8" t="s">
        <v>50</v>
      </c>
      <c r="P1395" s="8">
        <v>2</v>
      </c>
      <c r="Q1395" s="8" t="s">
        <v>3688</v>
      </c>
      <c r="R1395" s="8" t="b">
        <v>1</v>
      </c>
      <c r="S1395" s="8" t="b">
        <v>0</v>
      </c>
      <c r="T1395" s="8" t="b">
        <v>1</v>
      </c>
      <c r="U1395" s="8" t="b">
        <v>0</v>
      </c>
      <c r="V1395" s="8" t="b">
        <v>1</v>
      </c>
      <c r="X1395" s="8" t="b">
        <v>0</v>
      </c>
      <c r="Y1395" s="8" t="b">
        <v>0</v>
      </c>
      <c r="Z1395" s="8" t="b">
        <v>0</v>
      </c>
      <c r="AA1395" s="8" t="b">
        <v>0</v>
      </c>
      <c r="AB1395" s="8" t="b">
        <v>1</v>
      </c>
      <c r="AC1395" s="8" t="b">
        <v>0</v>
      </c>
      <c r="AD1395" s="8" t="b">
        <v>1</v>
      </c>
      <c r="AE1395" s="8" t="b">
        <v>0</v>
      </c>
      <c r="AG1395" s="11" t="b" cm="1">
        <f t="array" ref="AG1395">IF(OR(Y1395:AA1395="TRUE", AE1395="true"), "Threatened")</f>
        <v>0</v>
      </c>
      <c r="AH1395" s="11" t="s">
        <v>3689</v>
      </c>
      <c r="AI1395" s="8" t="b">
        <v>1</v>
      </c>
    </row>
    <row r="1396" spans="1:35" ht="31.2">
      <c r="A1396" s="8">
        <v>-73.971080150000006</v>
      </c>
      <c r="B1396" s="8">
        <v>40.776087250000003</v>
      </c>
      <c r="C1396" s="8" t="s">
        <v>3690</v>
      </c>
      <c r="D1396" s="8" t="s">
        <v>426</v>
      </c>
      <c r="E1396" s="8" t="b">
        <f t="shared" si="21"/>
        <v>0</v>
      </c>
      <c r="F1396" s="8" t="str" cm="1">
        <f t="array" ref="F1396">_xlfn._xlws.FILTER(E1396:E4594, C1396:C4594= "6D-PM-1020-01", "No Squirrels Found")</f>
        <v>No Squirrels Found</v>
      </c>
      <c r="G1396" s="8" t="s">
        <v>48</v>
      </c>
      <c r="H1396" s="10">
        <v>10142018</v>
      </c>
      <c r="I1396" s="10">
        <v>3</v>
      </c>
      <c r="J1396" s="8" t="s">
        <v>54</v>
      </c>
      <c r="K1396" s="8" t="s">
        <v>40</v>
      </c>
      <c r="L1396" s="8" t="s">
        <v>84</v>
      </c>
      <c r="M1396" s="8" t="s">
        <v>103</v>
      </c>
      <c r="O1396" s="8" t="s">
        <v>50</v>
      </c>
      <c r="P1396" s="8">
        <v>2</v>
      </c>
      <c r="R1396" s="8" t="b">
        <v>0</v>
      </c>
      <c r="S1396" s="8" t="b">
        <v>1</v>
      </c>
      <c r="T1396" s="8" t="b">
        <v>1</v>
      </c>
      <c r="U1396" s="8" t="b">
        <v>1</v>
      </c>
      <c r="V1396" s="8" t="b">
        <v>0</v>
      </c>
      <c r="X1396" s="8" t="b">
        <v>0</v>
      </c>
      <c r="Y1396" s="8" t="b">
        <v>0</v>
      </c>
      <c r="Z1396" s="8" t="b">
        <v>0</v>
      </c>
      <c r="AA1396" s="8" t="b">
        <v>0</v>
      </c>
      <c r="AB1396" s="8" t="b">
        <v>0</v>
      </c>
      <c r="AC1396" s="8" t="b">
        <v>0</v>
      </c>
      <c r="AD1396" s="8" t="b">
        <v>0</v>
      </c>
      <c r="AE1396" s="8" t="b">
        <v>1</v>
      </c>
      <c r="AG1396" s="11" t="b" cm="1">
        <f t="array" ref="AG1396">IF(OR(Y1396:AA1396="TRUE", AE1396="true"), "Threatened")</f>
        <v>0</v>
      </c>
      <c r="AH1396" s="11" t="s">
        <v>3691</v>
      </c>
      <c r="AI1396" s="8" t="b">
        <v>1</v>
      </c>
    </row>
    <row r="1397" spans="1:35" ht="31.2">
      <c r="A1397" s="8">
        <v>-73.9704677</v>
      </c>
      <c r="B1397" s="8">
        <v>40.778686010000001</v>
      </c>
      <c r="C1397" s="8" t="s">
        <v>3692</v>
      </c>
      <c r="D1397" s="8" t="s">
        <v>116</v>
      </c>
      <c r="E1397" s="8" t="b">
        <f t="shared" si="21"/>
        <v>0</v>
      </c>
      <c r="F1397" s="8" t="str" cm="1">
        <f t="array" ref="F1397">_xlfn._xlws.FILTER(E1397:E4595, C1397:C4595= "6D-PM-1020-01", "No Squirrels Found")</f>
        <v>No Squirrels Found</v>
      </c>
      <c r="G1397" s="8" t="s">
        <v>34</v>
      </c>
      <c r="H1397" s="10">
        <v>10182018</v>
      </c>
      <c r="I1397" s="10">
        <v>2</v>
      </c>
      <c r="J1397" s="8" t="s">
        <v>39</v>
      </c>
      <c r="K1397" s="8" t="s">
        <v>40</v>
      </c>
      <c r="L1397" s="8" t="s">
        <v>117</v>
      </c>
      <c r="M1397" s="8" t="s">
        <v>118</v>
      </c>
      <c r="O1397" s="8" t="s">
        <v>50</v>
      </c>
      <c r="P1397" s="8">
        <v>6</v>
      </c>
      <c r="R1397" s="8" t="b">
        <v>0</v>
      </c>
      <c r="S1397" s="8" t="b">
        <v>1</v>
      </c>
      <c r="T1397" s="8" t="b">
        <v>0</v>
      </c>
      <c r="U1397" s="8" t="b">
        <v>1</v>
      </c>
      <c r="V1397" s="8" t="b">
        <v>1</v>
      </c>
      <c r="X1397" s="8" t="b">
        <v>0</v>
      </c>
      <c r="Y1397" s="8" t="b">
        <v>0</v>
      </c>
      <c r="Z1397" s="8" t="b">
        <v>0</v>
      </c>
      <c r="AA1397" s="8" t="b">
        <v>0</v>
      </c>
      <c r="AB1397" s="8" t="b">
        <v>1</v>
      </c>
      <c r="AC1397" s="8" t="b">
        <v>0</v>
      </c>
      <c r="AD1397" s="8" t="b">
        <v>1</v>
      </c>
      <c r="AE1397" s="8" t="b">
        <v>0</v>
      </c>
      <c r="AG1397" s="11" t="b" cm="1">
        <f t="array" ref="AG1397">IF(OR(Y1397:AA1397="TRUE", AE1397="true"), "Threatened")</f>
        <v>0</v>
      </c>
      <c r="AH1397" s="11" t="s">
        <v>3693</v>
      </c>
      <c r="AI1397" s="8" t="b">
        <v>1</v>
      </c>
    </row>
    <row r="1398" spans="1:35" ht="31.2">
      <c r="A1398" s="8">
        <v>-73.96552337</v>
      </c>
      <c r="B1398" s="8">
        <v>40.77927373</v>
      </c>
      <c r="C1398" s="8" t="s">
        <v>3694</v>
      </c>
      <c r="D1398" s="8" t="s">
        <v>520</v>
      </c>
      <c r="E1398" s="8" t="b">
        <f t="shared" si="21"/>
        <v>0</v>
      </c>
      <c r="F1398" s="8" t="str" cm="1">
        <f t="array" ref="F1398">_xlfn._xlws.FILTER(E1398:E4596, C1398:C4596= "6D-PM-1020-01", "No Squirrels Found")</f>
        <v>No Squirrels Found</v>
      </c>
      <c r="G1398" s="8" t="s">
        <v>48</v>
      </c>
      <c r="H1398" s="10">
        <v>10142018</v>
      </c>
      <c r="I1398" s="10">
        <v>1</v>
      </c>
      <c r="J1398" s="8" t="s">
        <v>54</v>
      </c>
      <c r="K1398" s="8" t="s">
        <v>40</v>
      </c>
      <c r="L1398" s="8" t="s">
        <v>84</v>
      </c>
      <c r="M1398" s="8" t="s">
        <v>103</v>
      </c>
      <c r="O1398" s="8" t="s">
        <v>50</v>
      </c>
      <c r="P1398" s="8">
        <v>10</v>
      </c>
      <c r="R1398" s="8" t="b">
        <v>0</v>
      </c>
      <c r="S1398" s="8" t="b">
        <v>0</v>
      </c>
      <c r="T1398" s="8" t="b">
        <v>1</v>
      </c>
      <c r="U1398" s="8" t="b">
        <v>0</v>
      </c>
      <c r="V1398" s="8" t="b">
        <v>0</v>
      </c>
      <c r="X1398" s="8" t="b">
        <v>1</v>
      </c>
      <c r="Y1398" s="8" t="b">
        <v>0</v>
      </c>
      <c r="Z1398" s="8" t="b">
        <v>0</v>
      </c>
      <c r="AA1398" s="8" t="b">
        <v>0</v>
      </c>
      <c r="AB1398" s="8" t="b">
        <v>0</v>
      </c>
      <c r="AC1398" s="8" t="b">
        <v>0</v>
      </c>
      <c r="AD1398" s="8" t="b">
        <v>1</v>
      </c>
      <c r="AE1398" s="8" t="b">
        <v>0</v>
      </c>
      <c r="AF1398" s="11" t="s">
        <v>3695</v>
      </c>
      <c r="AG1398" s="11" t="b" cm="1">
        <f t="array" ref="AG1398">IF(OR(Y1398:AA1398="TRUE", AE1398="true"), "Threatened")</f>
        <v>0</v>
      </c>
      <c r="AH1398" s="11" t="s">
        <v>3696</v>
      </c>
      <c r="AI1398" s="8" t="b">
        <v>1</v>
      </c>
    </row>
    <row r="1399" spans="1:35" ht="31.2">
      <c r="A1399" s="8">
        <v>-73.960280800000007</v>
      </c>
      <c r="B1399" s="8">
        <v>40.79061308</v>
      </c>
      <c r="C1399" s="8" t="s">
        <v>3697</v>
      </c>
      <c r="D1399" s="8" t="s">
        <v>75</v>
      </c>
      <c r="E1399" s="8" t="b">
        <f t="shared" si="21"/>
        <v>0</v>
      </c>
      <c r="F1399" s="8" t="str" cm="1">
        <f t="array" ref="F1399">_xlfn._xlws.FILTER(E1399:E4597, C1399:C4597= "6D-PM-1020-01", "No Squirrels Found")</f>
        <v>No Squirrels Found</v>
      </c>
      <c r="G1399" s="8" t="s">
        <v>48</v>
      </c>
      <c r="H1399" s="10">
        <v>10072018</v>
      </c>
      <c r="I1399" s="10">
        <v>14</v>
      </c>
      <c r="J1399" s="8" t="s">
        <v>39</v>
      </c>
      <c r="K1399" s="8" t="s">
        <v>40</v>
      </c>
      <c r="M1399" s="8" t="s">
        <v>55</v>
      </c>
      <c r="O1399" s="8" t="s">
        <v>50</v>
      </c>
      <c r="P1399" s="8">
        <v>50</v>
      </c>
      <c r="Q1399" s="8" t="s">
        <v>3698</v>
      </c>
      <c r="R1399" s="8" t="b">
        <v>0</v>
      </c>
      <c r="S1399" s="8" t="b">
        <v>0</v>
      </c>
      <c r="T1399" s="8" t="b">
        <v>0</v>
      </c>
      <c r="U1399" s="8" t="b">
        <v>0</v>
      </c>
      <c r="V1399" s="8" t="b">
        <v>0</v>
      </c>
      <c r="W1399" s="11" t="s">
        <v>3699</v>
      </c>
      <c r="X1399" s="8" t="b">
        <v>0</v>
      </c>
      <c r="Y1399" s="8" t="b">
        <v>0</v>
      </c>
      <c r="Z1399" s="8" t="b">
        <v>0</v>
      </c>
      <c r="AA1399" s="8" t="b">
        <v>0</v>
      </c>
      <c r="AB1399" s="8" t="b">
        <v>0</v>
      </c>
      <c r="AC1399" s="8" t="b">
        <v>0</v>
      </c>
      <c r="AD1399" s="8" t="b">
        <v>0</v>
      </c>
      <c r="AE1399" s="8" t="b">
        <v>1</v>
      </c>
      <c r="AG1399" s="11" t="b" cm="1">
        <f t="array" ref="AG1399">IF(OR(Y1399:AA1399="TRUE", AE1399="true"), "Threatened")</f>
        <v>0</v>
      </c>
      <c r="AH1399" s="11" t="s">
        <v>3700</v>
      </c>
      <c r="AI1399" s="8" t="b">
        <v>0</v>
      </c>
    </row>
    <row r="1400" spans="1:35" ht="31.2">
      <c r="A1400" s="8">
        <v>-73.970442879999993</v>
      </c>
      <c r="B1400" s="8">
        <v>40.776375559999998</v>
      </c>
      <c r="C1400" s="8" t="s">
        <v>3701</v>
      </c>
      <c r="D1400" s="8" t="s">
        <v>121</v>
      </c>
      <c r="E1400" s="8" t="b">
        <f t="shared" si="21"/>
        <v>0</v>
      </c>
      <c r="F1400" s="8" t="str" cm="1">
        <f t="array" ref="F1400">_xlfn._xlws.FILTER(E1400:E4598, C1400:C4598= "6D-PM-1020-01", "No Squirrels Found")</f>
        <v>No Squirrels Found</v>
      </c>
      <c r="G1400" s="8" t="s">
        <v>48</v>
      </c>
      <c r="H1400" s="10">
        <v>10082018</v>
      </c>
      <c r="I1400" s="10">
        <v>22</v>
      </c>
      <c r="J1400" s="8" t="s">
        <v>39</v>
      </c>
      <c r="K1400" s="8" t="s">
        <v>40</v>
      </c>
      <c r="M1400" s="8" t="s">
        <v>55</v>
      </c>
      <c r="O1400" s="8" t="s">
        <v>43</v>
      </c>
      <c r="P1400" s="8" t="b">
        <v>0</v>
      </c>
      <c r="R1400" s="8" t="b">
        <v>0</v>
      </c>
      <c r="S1400" s="8" t="b">
        <v>0</v>
      </c>
      <c r="T1400" s="8" t="b">
        <v>0</v>
      </c>
      <c r="U1400" s="8" t="b">
        <v>1</v>
      </c>
      <c r="V1400" s="8" t="b">
        <v>1</v>
      </c>
      <c r="W1400" s="11" t="s">
        <v>521</v>
      </c>
      <c r="X1400" s="8" t="b">
        <v>0</v>
      </c>
      <c r="Y1400" s="8" t="b">
        <v>0</v>
      </c>
      <c r="Z1400" s="8" t="b">
        <v>0</v>
      </c>
      <c r="AA1400" s="8" t="b">
        <v>0</v>
      </c>
      <c r="AB1400" s="8" t="b">
        <v>0</v>
      </c>
      <c r="AC1400" s="8" t="b">
        <v>0</v>
      </c>
      <c r="AD1400" s="8" t="b">
        <v>1</v>
      </c>
      <c r="AE1400" s="8" t="b">
        <v>0</v>
      </c>
      <c r="AG1400" s="11" t="b" cm="1">
        <f t="array" ref="AG1400">IF(OR(Y1400:AA1400="TRUE", AE1400="true"), "Threatened")</f>
        <v>0</v>
      </c>
      <c r="AH1400" s="11" t="s">
        <v>3702</v>
      </c>
      <c r="AI1400" s="8" t="b">
        <v>0</v>
      </c>
    </row>
    <row r="1401" spans="1:35" ht="31.2">
      <c r="A1401" s="8">
        <v>-73.977349579999995</v>
      </c>
      <c r="B1401" s="8">
        <v>40.766455989999997</v>
      </c>
      <c r="C1401" s="8" t="s">
        <v>3703</v>
      </c>
      <c r="D1401" s="8" t="s">
        <v>2590</v>
      </c>
      <c r="E1401" s="8" t="b">
        <f t="shared" si="21"/>
        <v>0</v>
      </c>
      <c r="F1401" s="8" t="str" cm="1">
        <f t="array" ref="F1401">_xlfn._xlws.FILTER(E1401:E4599, C1401:C4599= "6D-PM-1020-01", "No Squirrels Found")</f>
        <v>No Squirrels Found</v>
      </c>
      <c r="G1401" s="8" t="s">
        <v>48</v>
      </c>
      <c r="H1401" s="10">
        <v>10062018</v>
      </c>
      <c r="I1401" s="10">
        <v>5</v>
      </c>
      <c r="J1401" s="8" t="s">
        <v>39</v>
      </c>
      <c r="K1401" s="8" t="s">
        <v>40</v>
      </c>
      <c r="L1401" s="8" t="s">
        <v>41</v>
      </c>
      <c r="M1401" s="8" t="s">
        <v>42</v>
      </c>
      <c r="O1401" s="8" t="s">
        <v>50</v>
      </c>
      <c r="P1401" s="8">
        <v>20</v>
      </c>
      <c r="R1401" s="8" t="b">
        <v>0</v>
      </c>
      <c r="S1401" s="8" t="b">
        <v>0</v>
      </c>
      <c r="T1401" s="8" t="b">
        <v>1</v>
      </c>
      <c r="U1401" s="8" t="b">
        <v>0</v>
      </c>
      <c r="V1401" s="8" t="b">
        <v>0</v>
      </c>
      <c r="X1401" s="8" t="b">
        <v>0</v>
      </c>
      <c r="Y1401" s="8" t="b">
        <v>0</v>
      </c>
      <c r="Z1401" s="8" t="b">
        <v>0</v>
      </c>
      <c r="AA1401" s="8" t="b">
        <v>0</v>
      </c>
      <c r="AB1401" s="8" t="b">
        <v>0</v>
      </c>
      <c r="AC1401" s="8" t="b">
        <v>0</v>
      </c>
      <c r="AD1401" s="8" t="b">
        <v>1</v>
      </c>
      <c r="AE1401" s="8" t="b">
        <v>0</v>
      </c>
      <c r="AG1401" s="11" t="b" cm="1">
        <f t="array" ref="AG1401">IF(OR(Y1401:AA1401="TRUE", AE1401="true"), "Threatened")</f>
        <v>0</v>
      </c>
      <c r="AH1401" s="11" t="s">
        <v>3704</v>
      </c>
      <c r="AI1401" s="8" t="b">
        <v>1</v>
      </c>
    </row>
    <row r="1402" spans="1:35" ht="31.2">
      <c r="A1402" s="8">
        <v>-73.968120209999995</v>
      </c>
      <c r="B1402" s="8">
        <v>40.77439794</v>
      </c>
      <c r="C1402" s="8" t="s">
        <v>3705</v>
      </c>
      <c r="D1402" s="8" t="s">
        <v>2019</v>
      </c>
      <c r="E1402" s="8" t="b">
        <f t="shared" si="21"/>
        <v>0</v>
      </c>
      <c r="F1402" s="8" t="str" cm="1">
        <f t="array" ref="F1402">_xlfn._xlws.FILTER(E1402:E4600, C1402:C4600= "6D-PM-1020-01", "No Squirrels Found")</f>
        <v>No Squirrels Found</v>
      </c>
      <c r="G1402" s="8" t="s">
        <v>34</v>
      </c>
      <c r="H1402" s="10">
        <v>10082018</v>
      </c>
      <c r="I1402" s="10">
        <v>4</v>
      </c>
      <c r="J1402" s="8" t="s">
        <v>39</v>
      </c>
      <c r="K1402" s="8" t="s">
        <v>40</v>
      </c>
      <c r="L1402" s="8" t="s">
        <v>41</v>
      </c>
      <c r="M1402" s="8" t="s">
        <v>42</v>
      </c>
      <c r="O1402" s="8" t="s">
        <v>43</v>
      </c>
      <c r="P1402" s="8" t="b">
        <v>0</v>
      </c>
      <c r="Q1402" s="8" t="s">
        <v>3706</v>
      </c>
      <c r="R1402" s="8" t="b">
        <v>0</v>
      </c>
      <c r="S1402" s="8" t="b">
        <v>0</v>
      </c>
      <c r="T1402" s="8" t="b">
        <v>0</v>
      </c>
      <c r="U1402" s="8" t="b">
        <v>0</v>
      </c>
      <c r="V1402" s="8" t="b">
        <v>1</v>
      </c>
      <c r="X1402" s="8" t="b">
        <v>0</v>
      </c>
      <c r="Y1402" s="8" t="b">
        <v>0</v>
      </c>
      <c r="Z1402" s="8" t="b">
        <v>0</v>
      </c>
      <c r="AA1402" s="8" t="b">
        <v>0</v>
      </c>
      <c r="AB1402" s="8" t="b">
        <v>0</v>
      </c>
      <c r="AC1402" s="8" t="b">
        <v>0</v>
      </c>
      <c r="AD1402" s="8" t="b">
        <v>1</v>
      </c>
      <c r="AE1402" s="8" t="b">
        <v>0</v>
      </c>
      <c r="AG1402" s="11" t="b" cm="1">
        <f t="array" ref="AG1402">IF(OR(Y1402:AA1402="TRUE", AE1402="true"), "Threatened")</f>
        <v>0</v>
      </c>
      <c r="AH1402" s="11" t="s">
        <v>3707</v>
      </c>
      <c r="AI1402" s="8" t="b">
        <v>1</v>
      </c>
    </row>
    <row r="1403" spans="1:35" ht="31.2">
      <c r="A1403" s="8">
        <v>-73.974500989999996</v>
      </c>
      <c r="B1403" s="8">
        <v>40.774157410000001</v>
      </c>
      <c r="C1403" s="8" t="s">
        <v>3708</v>
      </c>
      <c r="D1403" s="8" t="s">
        <v>845</v>
      </c>
      <c r="E1403" s="8" t="b">
        <f t="shared" si="21"/>
        <v>0</v>
      </c>
      <c r="F1403" s="8" t="str" cm="1">
        <f t="array" ref="F1403">_xlfn._xlws.FILTER(E1403:E4601, C1403:C4601= "6D-PM-1020-01", "No Squirrels Found")</f>
        <v>No Squirrels Found</v>
      </c>
      <c r="G1403" s="8" t="s">
        <v>48</v>
      </c>
      <c r="H1403" s="10">
        <v>10182018</v>
      </c>
      <c r="I1403" s="10">
        <v>1</v>
      </c>
      <c r="J1403" s="8" t="s">
        <v>39</v>
      </c>
      <c r="K1403" s="8" t="s">
        <v>40</v>
      </c>
      <c r="M1403" s="8" t="s">
        <v>55</v>
      </c>
      <c r="O1403" s="8" t="s">
        <v>50</v>
      </c>
      <c r="P1403" s="8">
        <v>5</v>
      </c>
      <c r="R1403" s="8" t="b">
        <v>0</v>
      </c>
      <c r="S1403" s="8" t="b">
        <v>0</v>
      </c>
      <c r="T1403" s="8" t="b">
        <v>1</v>
      </c>
      <c r="U1403" s="8" t="b">
        <v>0</v>
      </c>
      <c r="V1403" s="8" t="b">
        <v>0</v>
      </c>
      <c r="X1403" s="8" t="b">
        <v>0</v>
      </c>
      <c r="Y1403" s="8" t="b">
        <v>0</v>
      </c>
      <c r="Z1403" s="8" t="b">
        <v>0</v>
      </c>
      <c r="AA1403" s="8" t="b">
        <v>0</v>
      </c>
      <c r="AB1403" s="8" t="b">
        <v>0</v>
      </c>
      <c r="AC1403" s="8" t="b">
        <v>0</v>
      </c>
      <c r="AD1403" s="8" t="b">
        <v>1</v>
      </c>
      <c r="AE1403" s="8" t="b">
        <v>0</v>
      </c>
      <c r="AG1403" s="11" t="b" cm="1">
        <f t="array" ref="AG1403">IF(OR(Y1403:AA1403="TRUE", AE1403="true"), "Threatened")</f>
        <v>0</v>
      </c>
      <c r="AH1403" s="11" t="s">
        <v>3709</v>
      </c>
      <c r="AI1403" s="8" t="b">
        <v>1</v>
      </c>
    </row>
    <row r="1404" spans="1:35" ht="31.2">
      <c r="A1404" s="8">
        <v>-73.976163260000007</v>
      </c>
      <c r="B1404" s="8">
        <v>40.774108560000002</v>
      </c>
      <c r="C1404" s="8" t="s">
        <v>3710</v>
      </c>
      <c r="D1404" s="8" t="s">
        <v>802</v>
      </c>
      <c r="E1404" s="8" t="b">
        <f t="shared" si="21"/>
        <v>0</v>
      </c>
      <c r="F1404" s="8" t="str" cm="1">
        <f t="array" ref="F1404">_xlfn._xlws.FILTER(E1404:E4602, C1404:C4602= "6D-PM-1020-01", "No Squirrels Found")</f>
        <v>No Squirrels Found</v>
      </c>
      <c r="G1404" s="8" t="s">
        <v>34</v>
      </c>
      <c r="H1404" s="10">
        <v>10132018</v>
      </c>
      <c r="I1404" s="10">
        <v>5</v>
      </c>
      <c r="J1404" s="8" t="s">
        <v>54</v>
      </c>
      <c r="K1404" s="8" t="s">
        <v>40</v>
      </c>
      <c r="L1404" s="8" t="s">
        <v>84</v>
      </c>
      <c r="M1404" s="8" t="s">
        <v>103</v>
      </c>
      <c r="O1404" s="8" t="s">
        <v>43</v>
      </c>
      <c r="P1404" s="8" t="b">
        <v>0</v>
      </c>
      <c r="R1404" s="8" t="b">
        <v>1</v>
      </c>
      <c r="S1404" s="8" t="b">
        <v>0</v>
      </c>
      <c r="T1404" s="8" t="b">
        <v>0</v>
      </c>
      <c r="U1404" s="8" t="b">
        <v>0</v>
      </c>
      <c r="V1404" s="8" t="b">
        <v>0</v>
      </c>
      <c r="X1404" s="8" t="b">
        <v>0</v>
      </c>
      <c r="Y1404" s="8" t="b">
        <v>0</v>
      </c>
      <c r="Z1404" s="8" t="b">
        <v>0</v>
      </c>
      <c r="AA1404" s="8" t="b">
        <v>1</v>
      </c>
      <c r="AB1404" s="8" t="b">
        <v>0</v>
      </c>
      <c r="AC1404" s="8" t="b">
        <v>0</v>
      </c>
      <c r="AD1404" s="8" t="b">
        <v>1</v>
      </c>
      <c r="AE1404" s="8" t="b">
        <v>0</v>
      </c>
      <c r="AG1404" s="11" t="b" cm="1">
        <f t="array" ref="AG1404">IF(OR(Y1404:AA1404="TRUE", AE1404="true"), "Threatened")</f>
        <v>0</v>
      </c>
      <c r="AH1404" s="11" t="s">
        <v>3711</v>
      </c>
      <c r="AI1404" s="8" t="b">
        <v>1</v>
      </c>
    </row>
    <row r="1405" spans="1:35" ht="31.2">
      <c r="A1405" s="8">
        <v>-73.970066669999994</v>
      </c>
      <c r="B1405" s="8">
        <v>40.7742857</v>
      </c>
      <c r="C1405" s="8" t="s">
        <v>3712</v>
      </c>
      <c r="D1405" s="8" t="s">
        <v>655</v>
      </c>
      <c r="E1405" s="8" t="b">
        <f t="shared" si="21"/>
        <v>0</v>
      </c>
      <c r="F1405" s="8" t="str" cm="1">
        <f t="array" ref="F1405">_xlfn._xlws.FILTER(E1405:E4603, C1405:C4603= "6D-PM-1020-01", "No Squirrels Found")</f>
        <v>No Squirrels Found</v>
      </c>
      <c r="G1405" s="8" t="s">
        <v>34</v>
      </c>
      <c r="H1405" s="10">
        <v>10072018</v>
      </c>
      <c r="I1405" s="10">
        <v>8</v>
      </c>
      <c r="J1405" s="8" t="s">
        <v>39</v>
      </c>
      <c r="K1405" s="8" t="s">
        <v>40</v>
      </c>
      <c r="L1405" s="8" t="s">
        <v>41</v>
      </c>
      <c r="M1405" s="8" t="s">
        <v>42</v>
      </c>
      <c r="O1405" s="8" t="s">
        <v>43</v>
      </c>
      <c r="P1405" s="8" t="b">
        <v>0</v>
      </c>
      <c r="R1405" s="8" t="b">
        <v>0</v>
      </c>
      <c r="S1405" s="8" t="b">
        <v>0</v>
      </c>
      <c r="T1405" s="8" t="b">
        <v>0</v>
      </c>
      <c r="U1405" s="8" t="b">
        <v>1</v>
      </c>
      <c r="V1405" s="8" t="b">
        <v>1</v>
      </c>
      <c r="X1405" s="8" t="b">
        <v>0</v>
      </c>
      <c r="Y1405" s="8" t="b">
        <v>0</v>
      </c>
      <c r="Z1405" s="8" t="b">
        <v>0</v>
      </c>
      <c r="AA1405" s="8" t="b">
        <v>0</v>
      </c>
      <c r="AB1405" s="8" t="b">
        <v>0</v>
      </c>
      <c r="AC1405" s="8" t="b">
        <v>0</v>
      </c>
      <c r="AD1405" s="8" t="b">
        <v>0</v>
      </c>
      <c r="AE1405" s="8" t="b">
        <v>0</v>
      </c>
      <c r="AF1405" s="11" t="s">
        <v>656</v>
      </c>
      <c r="AG1405" s="11" t="b" cm="1">
        <f t="array" ref="AG1405">IF(OR(Y1405:AA1405="TRUE", AE1405="true"), "Threatened")</f>
        <v>0</v>
      </c>
      <c r="AH1405" s="11" t="s">
        <v>3713</v>
      </c>
      <c r="AI1405" s="8" t="b">
        <v>1</v>
      </c>
    </row>
    <row r="1406" spans="1:35" ht="31.2">
      <c r="A1406" s="8">
        <v>-73.958937160000005</v>
      </c>
      <c r="B1406" s="8">
        <v>40.795981249999997</v>
      </c>
      <c r="C1406" s="8" t="s">
        <v>3714</v>
      </c>
      <c r="D1406" s="8" t="s">
        <v>928</v>
      </c>
      <c r="E1406" s="8" t="b">
        <f t="shared" si="21"/>
        <v>0</v>
      </c>
      <c r="F1406" s="8" t="str" cm="1">
        <f t="array" ref="F1406">_xlfn._xlws.FILTER(E1406:E4604, C1406:C4604= "6D-PM-1020-01", "No Squirrels Found")</f>
        <v>No Squirrels Found</v>
      </c>
      <c r="G1406" s="8" t="s">
        <v>34</v>
      </c>
      <c r="H1406" s="10">
        <v>10132018</v>
      </c>
      <c r="I1406" s="10">
        <v>4</v>
      </c>
      <c r="J1406" s="8" t="s">
        <v>39</v>
      </c>
      <c r="K1406" s="8" t="s">
        <v>40</v>
      </c>
      <c r="L1406" s="8" t="s">
        <v>84</v>
      </c>
      <c r="M1406" s="8" t="s">
        <v>103</v>
      </c>
      <c r="R1406" s="8" t="b">
        <v>0</v>
      </c>
      <c r="S1406" s="8" t="b">
        <v>0</v>
      </c>
      <c r="T1406" s="8" t="b">
        <v>0</v>
      </c>
      <c r="U1406" s="8" t="b">
        <v>0</v>
      </c>
      <c r="V1406" s="8" t="b">
        <v>1</v>
      </c>
      <c r="X1406" s="8" t="b">
        <v>0</v>
      </c>
      <c r="Y1406" s="8" t="b">
        <v>0</v>
      </c>
      <c r="Z1406" s="8" t="b">
        <v>0</v>
      </c>
      <c r="AA1406" s="8" t="b">
        <v>0</v>
      </c>
      <c r="AB1406" s="8" t="b">
        <v>0</v>
      </c>
      <c r="AC1406" s="8" t="b">
        <v>0</v>
      </c>
      <c r="AD1406" s="8" t="b">
        <v>1</v>
      </c>
      <c r="AE1406" s="8" t="b">
        <v>0</v>
      </c>
      <c r="AG1406" s="11" t="b" cm="1">
        <f t="array" ref="AG1406">IF(OR(Y1406:AA1406="TRUE", AE1406="true"), "Threatened")</f>
        <v>0</v>
      </c>
      <c r="AH1406" s="11" t="s">
        <v>3715</v>
      </c>
      <c r="AI1406" s="8" t="b">
        <v>1</v>
      </c>
    </row>
    <row r="1407" spans="1:35" ht="31.2">
      <c r="A1407" s="8">
        <v>-73.974620479999999</v>
      </c>
      <c r="B1407" s="8">
        <v>40.769929480000002</v>
      </c>
      <c r="C1407" s="8" t="s">
        <v>3716</v>
      </c>
      <c r="D1407" s="8" t="s">
        <v>3052</v>
      </c>
      <c r="E1407" s="8" t="b">
        <f t="shared" si="21"/>
        <v>1</v>
      </c>
      <c r="F1407" s="8" t="str" cm="1">
        <f t="array" ref="F1407">_xlfn._xlws.FILTER(E1407:E4605, C1407:C4605= "6D-PM-1020-01", "No Squirrels Found")</f>
        <v>No Squirrels Found</v>
      </c>
      <c r="G1407" s="8" t="s">
        <v>34</v>
      </c>
      <c r="H1407" s="10">
        <v>10102018</v>
      </c>
      <c r="I1407" s="10">
        <v>1</v>
      </c>
      <c r="J1407" s="8" t="s">
        <v>54</v>
      </c>
      <c r="M1407" s="8" t="s">
        <v>35</v>
      </c>
      <c r="O1407" s="8" t="s">
        <v>43</v>
      </c>
      <c r="P1407" s="8" t="b">
        <v>0</v>
      </c>
      <c r="Q1407" s="8" t="s">
        <v>3717</v>
      </c>
      <c r="R1407" s="8" t="b">
        <v>0</v>
      </c>
      <c r="S1407" s="8" t="b">
        <v>0</v>
      </c>
      <c r="T1407" s="8" t="b">
        <v>0</v>
      </c>
      <c r="U1407" s="8" t="b">
        <v>0</v>
      </c>
      <c r="V1407" s="8" t="b">
        <v>0</v>
      </c>
      <c r="X1407" s="8" t="b">
        <v>0</v>
      </c>
      <c r="Y1407" s="8" t="b">
        <v>0</v>
      </c>
      <c r="Z1407" s="8" t="b">
        <v>0</v>
      </c>
      <c r="AA1407" s="8" t="b">
        <v>0</v>
      </c>
      <c r="AB1407" s="8" t="b">
        <v>0</v>
      </c>
      <c r="AC1407" s="8" t="b">
        <v>0</v>
      </c>
      <c r="AD1407" s="8" t="b">
        <v>1</v>
      </c>
      <c r="AE1407" s="8" t="b">
        <v>0</v>
      </c>
      <c r="AG1407" s="11" t="b" cm="1">
        <f t="array" ref="AG1407">IF(OR(Y1407:AA1407="TRUE", AE1407="true"), "Threatened")</f>
        <v>0</v>
      </c>
      <c r="AH1407" s="11" t="s">
        <v>3718</v>
      </c>
      <c r="AI1407" s="8" t="b">
        <v>1</v>
      </c>
    </row>
    <row r="1408" spans="1:35" ht="31.2">
      <c r="A1408" s="8">
        <v>-73.970477860000003</v>
      </c>
      <c r="B1408" s="8">
        <v>40.778311909999999</v>
      </c>
      <c r="C1408" s="8" t="s">
        <v>3719</v>
      </c>
      <c r="D1408" s="8" t="s">
        <v>554</v>
      </c>
      <c r="E1408" s="8" t="b">
        <f t="shared" si="21"/>
        <v>0</v>
      </c>
      <c r="F1408" s="8" t="str" cm="1">
        <f t="array" ref="F1408">_xlfn._xlws.FILTER(E1408:E4606, C1408:C4606= "6D-PM-1020-01", "No Squirrels Found")</f>
        <v>No Squirrels Found</v>
      </c>
      <c r="G1408" s="8" t="s">
        <v>48</v>
      </c>
      <c r="H1408" s="10">
        <v>10072018</v>
      </c>
      <c r="I1408" s="10">
        <v>5</v>
      </c>
      <c r="J1408" s="8" t="s">
        <v>39</v>
      </c>
      <c r="M1408" s="8" t="s">
        <v>35</v>
      </c>
      <c r="R1408" s="8" t="b">
        <v>0</v>
      </c>
      <c r="S1408" s="8" t="b">
        <v>0</v>
      </c>
      <c r="T1408" s="8" t="b">
        <v>0</v>
      </c>
      <c r="U1408" s="8" t="b">
        <v>0</v>
      </c>
      <c r="V1408" s="8" t="b">
        <v>0</v>
      </c>
      <c r="X1408" s="8" t="b">
        <v>0</v>
      </c>
      <c r="Y1408" s="8" t="b">
        <v>0</v>
      </c>
      <c r="Z1408" s="8" t="b">
        <v>0</v>
      </c>
      <c r="AA1408" s="8" t="b">
        <v>0</v>
      </c>
      <c r="AB1408" s="8" t="b">
        <v>0</v>
      </c>
      <c r="AC1408" s="8" t="b">
        <v>0</v>
      </c>
      <c r="AD1408" s="8" t="b">
        <v>0</v>
      </c>
      <c r="AE1408" s="8" t="b">
        <v>0</v>
      </c>
      <c r="AG1408" s="11" t="b" cm="1">
        <f t="array" ref="AG1408">IF(OR(Y1408:AA1408="TRUE", AE1408="true"), "Threatened")</f>
        <v>0</v>
      </c>
      <c r="AH1408" s="11" t="s">
        <v>3720</v>
      </c>
      <c r="AI1408" s="8" t="b">
        <v>1</v>
      </c>
    </row>
    <row r="1409" spans="1:35" ht="31.2">
      <c r="A1409" s="8">
        <v>-73.97323016</v>
      </c>
      <c r="B1409" s="8">
        <v>40.768982450000003</v>
      </c>
      <c r="C1409" s="8" t="s">
        <v>3721</v>
      </c>
      <c r="D1409" s="8" t="s">
        <v>264</v>
      </c>
      <c r="E1409" s="8" t="b">
        <f t="shared" si="21"/>
        <v>0</v>
      </c>
      <c r="F1409" s="8" t="str" cm="1">
        <f t="array" ref="F1409">_xlfn._xlws.FILTER(E1409:E4607, C1409:C4607= "6D-PM-1020-01", "No Squirrels Found")</f>
        <v>No Squirrels Found</v>
      </c>
      <c r="G1409" s="8" t="s">
        <v>48</v>
      </c>
      <c r="H1409" s="10">
        <v>10072018</v>
      </c>
      <c r="I1409" s="10">
        <v>1</v>
      </c>
      <c r="J1409" s="8" t="s">
        <v>39</v>
      </c>
      <c r="K1409" s="8" t="s">
        <v>40</v>
      </c>
      <c r="L1409" s="8" t="s">
        <v>41</v>
      </c>
      <c r="M1409" s="8" t="s">
        <v>42</v>
      </c>
      <c r="O1409" s="8" t="s">
        <v>50</v>
      </c>
      <c r="P1409" s="8">
        <v>5</v>
      </c>
      <c r="Q1409" s="8" t="s">
        <v>754</v>
      </c>
      <c r="R1409" s="8" t="b">
        <v>1</v>
      </c>
      <c r="S1409" s="8" t="b">
        <v>0</v>
      </c>
      <c r="T1409" s="8" t="b">
        <v>0</v>
      </c>
      <c r="U1409" s="8" t="b">
        <v>1</v>
      </c>
      <c r="V1409" s="8" t="b">
        <v>0</v>
      </c>
      <c r="X1409" s="8" t="b">
        <v>0</v>
      </c>
      <c r="Y1409" s="8" t="b">
        <v>0</v>
      </c>
      <c r="Z1409" s="8" t="b">
        <v>0</v>
      </c>
      <c r="AA1409" s="8" t="b">
        <v>0</v>
      </c>
      <c r="AB1409" s="8" t="b">
        <v>0</v>
      </c>
      <c r="AC1409" s="8" t="b">
        <v>0</v>
      </c>
      <c r="AD1409" s="8" t="b">
        <v>0</v>
      </c>
      <c r="AE1409" s="8" t="b">
        <v>0</v>
      </c>
      <c r="AG1409" s="11" t="b" cm="1">
        <f t="array" ref="AG1409">IF(OR(Y1409:AA1409="TRUE", AE1409="true"), "Threatened")</f>
        <v>0</v>
      </c>
      <c r="AH1409" s="11" t="s">
        <v>3722</v>
      </c>
      <c r="AI1409" s="8" t="b">
        <v>1</v>
      </c>
    </row>
    <row r="1410" spans="1:35" ht="31.2">
      <c r="A1410" s="8">
        <v>-73.958154469999997</v>
      </c>
      <c r="B1410" s="8">
        <v>40.795808129999998</v>
      </c>
      <c r="C1410" s="8" t="s">
        <v>3723</v>
      </c>
      <c r="D1410" s="8" t="s">
        <v>928</v>
      </c>
      <c r="E1410" s="8" t="b">
        <f t="shared" si="21"/>
        <v>0</v>
      </c>
      <c r="F1410" s="8" t="str" cm="1">
        <f t="array" ref="F1410">_xlfn._xlws.FILTER(E1410:E4608, C1410:C4608= "6D-PM-1020-01", "No Squirrels Found")</f>
        <v>No Squirrels Found</v>
      </c>
      <c r="G1410" s="8" t="s">
        <v>34</v>
      </c>
      <c r="H1410" s="10">
        <v>10132018</v>
      </c>
      <c r="I1410" s="10">
        <v>2</v>
      </c>
      <c r="J1410" s="8" t="s">
        <v>39</v>
      </c>
      <c r="K1410" s="8" t="s">
        <v>40</v>
      </c>
      <c r="L1410" s="8" t="s">
        <v>117</v>
      </c>
      <c r="M1410" s="8" t="s">
        <v>118</v>
      </c>
      <c r="O1410" s="8" t="s">
        <v>43</v>
      </c>
      <c r="P1410" s="8" t="b">
        <v>0</v>
      </c>
      <c r="R1410" s="8" t="b">
        <v>0</v>
      </c>
      <c r="S1410" s="8" t="b">
        <v>0</v>
      </c>
      <c r="T1410" s="8" t="b">
        <v>0</v>
      </c>
      <c r="U1410" s="8" t="b">
        <v>0</v>
      </c>
      <c r="V1410" s="8" t="b">
        <v>1</v>
      </c>
      <c r="X1410" s="8" t="b">
        <v>0</v>
      </c>
      <c r="Y1410" s="8" t="b">
        <v>0</v>
      </c>
      <c r="Z1410" s="8" t="b">
        <v>0</v>
      </c>
      <c r="AA1410" s="8" t="b">
        <v>0</v>
      </c>
      <c r="AB1410" s="8" t="b">
        <v>0</v>
      </c>
      <c r="AC1410" s="8" t="b">
        <v>0</v>
      </c>
      <c r="AD1410" s="8" t="b">
        <v>1</v>
      </c>
      <c r="AE1410" s="8" t="b">
        <v>0</v>
      </c>
      <c r="AG1410" s="11" t="b" cm="1">
        <f t="array" ref="AG1410">IF(OR(Y1410:AA1410="TRUE", AE1410="true"), "Threatened")</f>
        <v>0</v>
      </c>
      <c r="AH1410" s="11" t="s">
        <v>3724</v>
      </c>
      <c r="AI1410" s="8" t="b">
        <v>1</v>
      </c>
    </row>
    <row r="1411" spans="1:35" ht="31.2">
      <c r="A1411" s="8">
        <v>-73.958791329999997</v>
      </c>
      <c r="B1411" s="8">
        <v>40.796170760000003</v>
      </c>
      <c r="C1411" s="8" t="s">
        <v>3725</v>
      </c>
      <c r="D1411" s="8" t="s">
        <v>191</v>
      </c>
      <c r="E1411" s="8" t="b">
        <f t="shared" ref="E1411:E1474" si="22">OR(D1411 = "05D", D1411 = "07D", D1411 = "06C", D1411 = "06E")</f>
        <v>0</v>
      </c>
      <c r="F1411" s="8" t="str" cm="1">
        <f t="array" ref="F1411">_xlfn._xlws.FILTER(E1411:E4609, C1411:C4609= "6D-PM-1020-01", "No Squirrels Found")</f>
        <v>No Squirrels Found</v>
      </c>
      <c r="G1411" s="8" t="s">
        <v>48</v>
      </c>
      <c r="H1411" s="10">
        <v>10192018</v>
      </c>
      <c r="I1411" s="10">
        <v>11</v>
      </c>
      <c r="J1411" s="8" t="s">
        <v>39</v>
      </c>
      <c r="K1411" s="8" t="s">
        <v>40</v>
      </c>
      <c r="L1411" s="8" t="s">
        <v>84</v>
      </c>
      <c r="M1411" s="8" t="s">
        <v>103</v>
      </c>
      <c r="O1411" s="8" t="s">
        <v>50</v>
      </c>
      <c r="P1411" s="8">
        <v>20</v>
      </c>
      <c r="R1411" s="8" t="b">
        <v>1</v>
      </c>
      <c r="S1411" s="8" t="b">
        <v>0</v>
      </c>
      <c r="T1411" s="8" t="b">
        <v>1</v>
      </c>
      <c r="U1411" s="8" t="b">
        <v>1</v>
      </c>
      <c r="V1411" s="8" t="b">
        <v>0</v>
      </c>
      <c r="X1411" s="8" t="b">
        <v>1</v>
      </c>
      <c r="Y1411" s="8" t="b">
        <v>0</v>
      </c>
      <c r="Z1411" s="8" t="b">
        <v>0</v>
      </c>
      <c r="AA1411" s="8" t="b">
        <v>0</v>
      </c>
      <c r="AB1411" s="8" t="b">
        <v>1</v>
      </c>
      <c r="AC1411" s="8" t="b">
        <v>0</v>
      </c>
      <c r="AD1411" s="8" t="b">
        <v>0</v>
      </c>
      <c r="AE1411" s="8" t="b">
        <v>1</v>
      </c>
      <c r="AG1411" s="11" t="b" cm="1">
        <f t="array" ref="AG1411">IF(OR(Y1411:AA1411="TRUE", AE1411="true"), "Threatened")</f>
        <v>0</v>
      </c>
      <c r="AH1411" s="11" t="s">
        <v>3726</v>
      </c>
      <c r="AI1411" s="8" t="b">
        <v>1</v>
      </c>
    </row>
    <row r="1412" spans="1:35" ht="31.2">
      <c r="A1412" s="8">
        <v>-73.980283999999997</v>
      </c>
      <c r="B1412" s="8">
        <v>40.767859909999999</v>
      </c>
      <c r="C1412" s="8" t="s">
        <v>3727</v>
      </c>
      <c r="D1412" s="8" t="s">
        <v>855</v>
      </c>
      <c r="E1412" s="8" t="b">
        <f t="shared" si="22"/>
        <v>0</v>
      </c>
      <c r="F1412" s="8" t="str" cm="1">
        <f t="array" ref="F1412">_xlfn._xlws.FILTER(E1412:E4610, C1412:C4610= "6D-PM-1020-01", "No Squirrels Found")</f>
        <v>No Squirrels Found</v>
      </c>
      <c r="G1412" s="8" t="s">
        <v>34</v>
      </c>
      <c r="H1412" s="10">
        <v>10192018</v>
      </c>
      <c r="I1412" s="10">
        <v>4</v>
      </c>
      <c r="J1412" s="8" t="s">
        <v>54</v>
      </c>
      <c r="K1412" s="8" t="s">
        <v>40</v>
      </c>
      <c r="L1412" s="8" t="s">
        <v>84</v>
      </c>
      <c r="M1412" s="8" t="s">
        <v>103</v>
      </c>
      <c r="O1412" s="8" t="s">
        <v>50</v>
      </c>
      <c r="P1412" s="8">
        <v>25</v>
      </c>
      <c r="Q1412" s="8" t="s">
        <v>466</v>
      </c>
      <c r="R1412" s="8" t="b">
        <v>0</v>
      </c>
      <c r="S1412" s="8" t="b">
        <v>1</v>
      </c>
      <c r="T1412" s="8" t="b">
        <v>0</v>
      </c>
      <c r="U1412" s="8" t="b">
        <v>0</v>
      </c>
      <c r="V1412" s="8" t="b">
        <v>0</v>
      </c>
      <c r="X1412" s="8" t="b">
        <v>0</v>
      </c>
      <c r="Y1412" s="8" t="b">
        <v>0</v>
      </c>
      <c r="Z1412" s="8" t="b">
        <v>0</v>
      </c>
      <c r="AA1412" s="8" t="b">
        <v>0</v>
      </c>
      <c r="AB1412" s="8" t="b">
        <v>0</v>
      </c>
      <c r="AC1412" s="8" t="b">
        <v>0</v>
      </c>
      <c r="AD1412" s="8" t="b">
        <v>0</v>
      </c>
      <c r="AE1412" s="8" t="b">
        <v>0</v>
      </c>
      <c r="AG1412" s="11" t="b" cm="1">
        <f t="array" ref="AG1412">IF(OR(Y1412:AA1412="TRUE", AE1412="true"), "Threatened")</f>
        <v>0</v>
      </c>
      <c r="AH1412" s="11" t="s">
        <v>3728</v>
      </c>
      <c r="AI1412" s="8" t="b">
        <v>1</v>
      </c>
    </row>
    <row r="1413" spans="1:35" ht="31.2">
      <c r="A1413" s="8">
        <v>-73.959467630000006</v>
      </c>
      <c r="B1413" s="8">
        <v>40.798445739999998</v>
      </c>
      <c r="C1413" s="8" t="s">
        <v>3729</v>
      </c>
      <c r="D1413" s="8" t="s">
        <v>591</v>
      </c>
      <c r="E1413" s="8" t="b">
        <f t="shared" si="22"/>
        <v>0</v>
      </c>
      <c r="F1413" s="8" t="str" cm="1">
        <f t="array" ref="F1413">_xlfn._xlws.FILTER(E1413:E4611, C1413:C4611= "6D-PM-1020-01", "No Squirrels Found")</f>
        <v>No Squirrels Found</v>
      </c>
      <c r="G1413" s="8" t="s">
        <v>48</v>
      </c>
      <c r="H1413" s="10">
        <v>10132018</v>
      </c>
      <c r="I1413" s="10">
        <v>1</v>
      </c>
      <c r="J1413" s="8" t="s">
        <v>54</v>
      </c>
      <c r="K1413" s="8" t="s">
        <v>41</v>
      </c>
      <c r="L1413" s="8" t="s">
        <v>135</v>
      </c>
      <c r="M1413" s="8" t="s">
        <v>136</v>
      </c>
      <c r="O1413" s="8" t="s">
        <v>43</v>
      </c>
      <c r="P1413" s="8" t="b">
        <v>0</v>
      </c>
      <c r="R1413" s="8" t="b">
        <v>1</v>
      </c>
      <c r="S1413" s="8" t="b">
        <v>0</v>
      </c>
      <c r="T1413" s="8" t="b">
        <v>0</v>
      </c>
      <c r="U1413" s="8" t="b">
        <v>1</v>
      </c>
      <c r="V1413" s="8" t="b">
        <v>1</v>
      </c>
      <c r="X1413" s="8" t="b">
        <v>0</v>
      </c>
      <c r="Y1413" s="8" t="b">
        <v>0</v>
      </c>
      <c r="Z1413" s="8" t="b">
        <v>0</v>
      </c>
      <c r="AA1413" s="8" t="b">
        <v>0</v>
      </c>
      <c r="AB1413" s="8" t="b">
        <v>0</v>
      </c>
      <c r="AC1413" s="8" t="b">
        <v>0</v>
      </c>
      <c r="AD1413" s="8" t="b">
        <v>0</v>
      </c>
      <c r="AE1413" s="8" t="b">
        <v>1</v>
      </c>
      <c r="AG1413" s="11" t="b" cm="1">
        <f t="array" ref="AG1413">IF(OR(Y1413:AA1413="TRUE", AE1413="true"), "Threatened")</f>
        <v>0</v>
      </c>
      <c r="AH1413" s="11" t="s">
        <v>3730</v>
      </c>
      <c r="AI1413" s="8" t="b">
        <v>1</v>
      </c>
    </row>
    <row r="1414" spans="1:35" ht="31.2">
      <c r="A1414" s="8">
        <v>-73.981003220000005</v>
      </c>
      <c r="B1414" s="8">
        <v>40.76816256</v>
      </c>
      <c r="C1414" s="8" t="s">
        <v>3731</v>
      </c>
      <c r="D1414" s="8" t="s">
        <v>1780</v>
      </c>
      <c r="E1414" s="8" t="b">
        <f t="shared" si="22"/>
        <v>0</v>
      </c>
      <c r="F1414" s="8" t="str" cm="1">
        <f t="array" ref="F1414">_xlfn._xlws.FILTER(E1414:E4612, C1414:C4612= "6D-PM-1020-01", "No Squirrels Found")</f>
        <v>No Squirrels Found</v>
      </c>
      <c r="G1414" s="8" t="s">
        <v>48</v>
      </c>
      <c r="H1414" s="10">
        <v>10072018</v>
      </c>
      <c r="I1414" s="10">
        <v>1</v>
      </c>
      <c r="J1414" s="8" t="s">
        <v>39</v>
      </c>
      <c r="K1414" s="8" t="s">
        <v>40</v>
      </c>
      <c r="L1414" s="8" t="s">
        <v>84</v>
      </c>
      <c r="M1414" s="8" t="s">
        <v>103</v>
      </c>
      <c r="O1414" s="8" t="s">
        <v>50</v>
      </c>
      <c r="P1414" s="8">
        <v>7</v>
      </c>
      <c r="R1414" s="8" t="b">
        <v>0</v>
      </c>
      <c r="S1414" s="8" t="b">
        <v>0</v>
      </c>
      <c r="T1414" s="8" t="b">
        <v>1</v>
      </c>
      <c r="U1414" s="8" t="b">
        <v>0</v>
      </c>
      <c r="V1414" s="8" t="b">
        <v>0</v>
      </c>
      <c r="X1414" s="8" t="b">
        <v>0</v>
      </c>
      <c r="Y1414" s="8" t="b">
        <v>0</v>
      </c>
      <c r="Z1414" s="8" t="b">
        <v>0</v>
      </c>
      <c r="AA1414" s="8" t="b">
        <v>0</v>
      </c>
      <c r="AB1414" s="8" t="b">
        <v>1</v>
      </c>
      <c r="AC1414" s="8" t="b">
        <v>0</v>
      </c>
      <c r="AD1414" s="8" t="b">
        <v>1</v>
      </c>
      <c r="AE1414" s="8" t="b">
        <v>0</v>
      </c>
      <c r="AG1414" s="11" t="b" cm="1">
        <f t="array" ref="AG1414">IF(OR(Y1414:AA1414="TRUE", AE1414="true"), "Threatened")</f>
        <v>0</v>
      </c>
      <c r="AH1414" s="11" t="s">
        <v>3732</v>
      </c>
      <c r="AI1414" s="8" t="b">
        <v>1</v>
      </c>
    </row>
    <row r="1415" spans="1:35" ht="31.2">
      <c r="A1415" s="8">
        <v>-73.958051310000002</v>
      </c>
      <c r="B1415" s="8">
        <v>40.799096419999998</v>
      </c>
      <c r="C1415" s="8" t="s">
        <v>3733</v>
      </c>
      <c r="D1415" s="8" t="s">
        <v>382</v>
      </c>
      <c r="E1415" s="8" t="b">
        <f t="shared" si="22"/>
        <v>0</v>
      </c>
      <c r="F1415" s="8" t="str" cm="1">
        <f t="array" ref="F1415">_xlfn._xlws.FILTER(E1415:E4613, C1415:C4613= "6D-PM-1020-01", "No Squirrels Found")</f>
        <v>No Squirrels Found</v>
      </c>
      <c r="G1415" s="8" t="s">
        <v>48</v>
      </c>
      <c r="H1415" s="10">
        <v>10102018</v>
      </c>
      <c r="I1415" s="10">
        <v>2</v>
      </c>
      <c r="J1415" s="8" t="s">
        <v>39</v>
      </c>
      <c r="K1415" s="8" t="s">
        <v>40</v>
      </c>
      <c r="L1415" s="8" t="s">
        <v>84</v>
      </c>
      <c r="M1415" s="8" t="s">
        <v>103</v>
      </c>
      <c r="O1415" s="8" t="s">
        <v>50</v>
      </c>
      <c r="P1415" s="8">
        <v>16</v>
      </c>
      <c r="R1415" s="8" t="b">
        <v>0</v>
      </c>
      <c r="S1415" s="8" t="b">
        <v>1</v>
      </c>
      <c r="T1415" s="8" t="b">
        <v>0</v>
      </c>
      <c r="U1415" s="8" t="b">
        <v>0</v>
      </c>
      <c r="V1415" s="8" t="b">
        <v>0</v>
      </c>
      <c r="X1415" s="8" t="b">
        <v>0</v>
      </c>
      <c r="Y1415" s="8" t="b">
        <v>0</v>
      </c>
      <c r="Z1415" s="8" t="b">
        <v>0</v>
      </c>
      <c r="AA1415" s="8" t="b">
        <v>0</v>
      </c>
      <c r="AB1415" s="8" t="b">
        <v>0</v>
      </c>
      <c r="AC1415" s="8" t="b">
        <v>0</v>
      </c>
      <c r="AD1415" s="8" t="b">
        <v>0</v>
      </c>
      <c r="AE1415" s="8" t="b">
        <v>0</v>
      </c>
      <c r="AG1415" s="11" t="b" cm="1">
        <f t="array" ref="AG1415">IF(OR(Y1415:AA1415="TRUE", AE1415="true"), "Threatened")</f>
        <v>0</v>
      </c>
      <c r="AH1415" s="11" t="s">
        <v>3734</v>
      </c>
      <c r="AI1415" s="8" t="b">
        <v>1</v>
      </c>
    </row>
    <row r="1416" spans="1:35" ht="62.4">
      <c r="A1416" s="8">
        <v>-73.967856139999995</v>
      </c>
      <c r="B1416" s="8">
        <v>40.778287740000003</v>
      </c>
      <c r="C1416" s="8" t="s">
        <v>3735</v>
      </c>
      <c r="D1416" s="8" t="s">
        <v>271</v>
      </c>
      <c r="E1416" s="8" t="b">
        <f t="shared" si="22"/>
        <v>0</v>
      </c>
      <c r="F1416" s="8" t="str" cm="1">
        <f t="array" ref="F1416">_xlfn._xlws.FILTER(E1416:E4614, C1416:C4614= "6D-PM-1020-01", "No Squirrels Found")</f>
        <v>No Squirrels Found</v>
      </c>
      <c r="G1416" s="8" t="s">
        <v>34</v>
      </c>
      <c r="H1416" s="10">
        <v>10182018</v>
      </c>
      <c r="I1416" s="10">
        <v>2</v>
      </c>
      <c r="J1416" s="8" t="s">
        <v>54</v>
      </c>
      <c r="K1416" s="8" t="s">
        <v>41</v>
      </c>
      <c r="L1416" s="8" t="s">
        <v>40</v>
      </c>
      <c r="M1416" s="8" t="s">
        <v>110</v>
      </c>
      <c r="O1416" s="8" t="s">
        <v>43</v>
      </c>
      <c r="P1416" s="8" t="b">
        <v>0</v>
      </c>
      <c r="R1416" s="8" t="b">
        <v>0</v>
      </c>
      <c r="S1416" s="8" t="b">
        <v>1</v>
      </c>
      <c r="T1416" s="8" t="b">
        <v>0</v>
      </c>
      <c r="U1416" s="8" t="b">
        <v>0</v>
      </c>
      <c r="V1416" s="8" t="b">
        <v>0</v>
      </c>
      <c r="X1416" s="8" t="b">
        <v>0</v>
      </c>
      <c r="Y1416" s="8" t="b">
        <v>0</v>
      </c>
      <c r="Z1416" s="8" t="b">
        <v>0</v>
      </c>
      <c r="AA1416" s="8" t="b">
        <v>1</v>
      </c>
      <c r="AB1416" s="8" t="b">
        <v>0</v>
      </c>
      <c r="AC1416" s="8" t="b">
        <v>0</v>
      </c>
      <c r="AD1416" s="8" t="b">
        <v>0</v>
      </c>
      <c r="AE1416" s="8" t="b">
        <v>0</v>
      </c>
      <c r="AF1416" s="11" t="s">
        <v>3736</v>
      </c>
      <c r="AG1416" s="11" t="b" cm="1">
        <f t="array" ref="AG1416">IF(OR(Y1416:AA1416="TRUE", AE1416="true"), "Threatened")</f>
        <v>0</v>
      </c>
      <c r="AH1416" s="11" t="s">
        <v>3737</v>
      </c>
      <c r="AI1416" s="8" t="b">
        <v>1</v>
      </c>
    </row>
    <row r="1417" spans="1:35" ht="31.2">
      <c r="A1417" s="8">
        <v>-73.975731350000004</v>
      </c>
      <c r="B1417" s="8">
        <v>40.775470409999997</v>
      </c>
      <c r="C1417" s="8" t="s">
        <v>3738</v>
      </c>
      <c r="D1417" s="8" t="s">
        <v>1640</v>
      </c>
      <c r="E1417" s="8" t="b">
        <f t="shared" si="22"/>
        <v>0</v>
      </c>
      <c r="F1417" s="8" t="str" cm="1">
        <f t="array" ref="F1417">_xlfn._xlws.FILTER(E1417:E4615, C1417:C4615= "6D-PM-1020-01", "No Squirrels Found")</f>
        <v>No Squirrels Found</v>
      </c>
      <c r="G1417" s="8" t="s">
        <v>34</v>
      </c>
      <c r="H1417" s="10">
        <v>10132018</v>
      </c>
      <c r="I1417" s="10">
        <v>4</v>
      </c>
      <c r="J1417" s="8" t="s">
        <v>39</v>
      </c>
      <c r="K1417" s="8" t="s">
        <v>41</v>
      </c>
      <c r="L1417" s="8" t="s">
        <v>40</v>
      </c>
      <c r="M1417" s="8" t="s">
        <v>110</v>
      </c>
      <c r="O1417" s="8" t="s">
        <v>43</v>
      </c>
      <c r="P1417" s="8" t="b">
        <v>0</v>
      </c>
      <c r="R1417" s="8" t="b">
        <v>1</v>
      </c>
      <c r="S1417" s="8" t="b">
        <v>0</v>
      </c>
      <c r="T1417" s="8" t="b">
        <v>0</v>
      </c>
      <c r="U1417" s="8" t="b">
        <v>1</v>
      </c>
      <c r="V1417" s="8" t="b">
        <v>1</v>
      </c>
      <c r="X1417" s="8" t="b">
        <v>0</v>
      </c>
      <c r="Y1417" s="8" t="b">
        <v>0</v>
      </c>
      <c r="Z1417" s="8" t="b">
        <v>0</v>
      </c>
      <c r="AA1417" s="8" t="b">
        <v>0</v>
      </c>
      <c r="AB1417" s="8" t="b">
        <v>0</v>
      </c>
      <c r="AC1417" s="8" t="b">
        <v>0</v>
      </c>
      <c r="AD1417" s="8" t="b">
        <v>0</v>
      </c>
      <c r="AE1417" s="8" t="b">
        <v>0</v>
      </c>
      <c r="AG1417" s="11" t="b" cm="1">
        <f t="array" ref="AG1417">IF(OR(Y1417:AA1417="TRUE", AE1417="true"), "Threatened")</f>
        <v>0</v>
      </c>
      <c r="AH1417" s="11" t="s">
        <v>3739</v>
      </c>
      <c r="AI1417" s="8" t="b">
        <v>1</v>
      </c>
    </row>
    <row r="1418" spans="1:35" ht="31.2">
      <c r="A1418" s="8">
        <v>-73.974828939999995</v>
      </c>
      <c r="B1418" s="8">
        <v>40.766888610000002</v>
      </c>
      <c r="C1418" s="8" t="s">
        <v>3740</v>
      </c>
      <c r="D1418" s="8" t="s">
        <v>481</v>
      </c>
      <c r="E1418" s="8" t="b">
        <f t="shared" si="22"/>
        <v>0</v>
      </c>
      <c r="F1418" s="8" t="str" cm="1">
        <f t="array" ref="F1418">_xlfn._xlws.FILTER(E1418:E4616, C1418:C4616= "6D-PM-1020-01", "No Squirrels Found")</f>
        <v>No Squirrels Found</v>
      </c>
      <c r="G1418" s="8" t="s">
        <v>34</v>
      </c>
      <c r="H1418" s="10">
        <v>10142018</v>
      </c>
      <c r="I1418" s="10">
        <v>11</v>
      </c>
      <c r="J1418" s="8" t="s">
        <v>39</v>
      </c>
      <c r="K1418" s="8" t="s">
        <v>40</v>
      </c>
      <c r="M1418" s="8" t="s">
        <v>55</v>
      </c>
      <c r="O1418" s="8" t="s">
        <v>43</v>
      </c>
      <c r="P1418" s="8" t="b">
        <v>0</v>
      </c>
      <c r="R1418" s="8" t="b">
        <v>0</v>
      </c>
      <c r="S1418" s="8" t="b">
        <v>1</v>
      </c>
      <c r="T1418" s="8" t="b">
        <v>0</v>
      </c>
      <c r="U1418" s="8" t="b">
        <v>0</v>
      </c>
      <c r="V1418" s="8" t="b">
        <v>0</v>
      </c>
      <c r="X1418" s="8" t="b">
        <v>0</v>
      </c>
      <c r="Y1418" s="8" t="b">
        <v>0</v>
      </c>
      <c r="Z1418" s="8" t="b">
        <v>0</v>
      </c>
      <c r="AA1418" s="8" t="b">
        <v>0</v>
      </c>
      <c r="AB1418" s="8" t="b">
        <v>0</v>
      </c>
      <c r="AC1418" s="8" t="b">
        <v>0</v>
      </c>
      <c r="AD1418" s="8" t="b">
        <v>1</v>
      </c>
      <c r="AE1418" s="8" t="b">
        <v>0</v>
      </c>
      <c r="AG1418" s="11" t="b" cm="1">
        <f t="array" ref="AG1418">IF(OR(Y1418:AA1418="TRUE", AE1418="true"), "Threatened")</f>
        <v>0</v>
      </c>
      <c r="AH1418" s="11" t="s">
        <v>3741</v>
      </c>
      <c r="AI1418" s="8" t="b">
        <v>1</v>
      </c>
    </row>
    <row r="1419" spans="1:35" ht="31.2">
      <c r="A1419" s="8">
        <v>-73.967392410000002</v>
      </c>
      <c r="B1419" s="8">
        <v>40.77887819</v>
      </c>
      <c r="C1419" s="8" t="s">
        <v>3742</v>
      </c>
      <c r="D1419" s="8" t="s">
        <v>131</v>
      </c>
      <c r="E1419" s="8" t="b">
        <f t="shared" si="22"/>
        <v>0</v>
      </c>
      <c r="F1419" s="8" t="str" cm="1">
        <f t="array" ref="F1419">_xlfn._xlws.FILTER(E1419:E4617, C1419:C4617= "6D-PM-1020-01", "No Squirrels Found")</f>
        <v>No Squirrels Found</v>
      </c>
      <c r="G1419" s="8" t="s">
        <v>48</v>
      </c>
      <c r="H1419" s="10">
        <v>10072018</v>
      </c>
      <c r="I1419" s="10">
        <v>3</v>
      </c>
      <c r="J1419" s="8" t="s">
        <v>39</v>
      </c>
      <c r="K1419" s="8" t="s">
        <v>41</v>
      </c>
      <c r="L1419" s="8" t="s">
        <v>84</v>
      </c>
      <c r="M1419" s="8" t="s">
        <v>85</v>
      </c>
      <c r="O1419" s="8" t="s">
        <v>43</v>
      </c>
      <c r="P1419" s="8" t="b">
        <v>0</v>
      </c>
      <c r="R1419" s="8" t="b">
        <v>1</v>
      </c>
      <c r="S1419" s="8" t="b">
        <v>0</v>
      </c>
      <c r="T1419" s="8" t="b">
        <v>0</v>
      </c>
      <c r="U1419" s="8" t="b">
        <v>0</v>
      </c>
      <c r="V1419" s="8" t="b">
        <v>0</v>
      </c>
      <c r="X1419" s="8" t="b">
        <v>0</v>
      </c>
      <c r="Y1419" s="8" t="b">
        <v>0</v>
      </c>
      <c r="Z1419" s="8" t="b">
        <v>0</v>
      </c>
      <c r="AA1419" s="8" t="b">
        <v>0</v>
      </c>
      <c r="AB1419" s="8" t="b">
        <v>0</v>
      </c>
      <c r="AC1419" s="8" t="b">
        <v>0</v>
      </c>
      <c r="AD1419" s="8" t="b">
        <v>1</v>
      </c>
      <c r="AE1419" s="8" t="b">
        <v>0</v>
      </c>
      <c r="AG1419" s="11" t="b" cm="1">
        <f t="array" ref="AG1419">IF(OR(Y1419:AA1419="TRUE", AE1419="true"), "Threatened")</f>
        <v>0</v>
      </c>
      <c r="AH1419" s="11" t="s">
        <v>3743</v>
      </c>
      <c r="AI1419" s="8" t="b">
        <v>1</v>
      </c>
    </row>
    <row r="1420" spans="1:35" ht="31.2">
      <c r="A1420" s="8">
        <v>-73.975601760000004</v>
      </c>
      <c r="B1420" s="8">
        <v>40.768033600000003</v>
      </c>
      <c r="C1420" s="8" t="s">
        <v>3744</v>
      </c>
      <c r="D1420" s="8" t="s">
        <v>230</v>
      </c>
      <c r="E1420" s="8" t="b">
        <f t="shared" si="22"/>
        <v>0</v>
      </c>
      <c r="F1420" s="8" t="str" cm="1">
        <f t="array" ref="F1420">_xlfn._xlws.FILTER(E1420:E4618, C1420:C4618= "6D-PM-1020-01", "No Squirrels Found")</f>
        <v>No Squirrels Found</v>
      </c>
      <c r="G1420" s="8" t="s">
        <v>34</v>
      </c>
      <c r="H1420" s="10">
        <v>10082018</v>
      </c>
      <c r="I1420" s="10">
        <v>6</v>
      </c>
      <c r="J1420" s="8" t="s">
        <v>39</v>
      </c>
      <c r="K1420" s="8" t="s">
        <v>40</v>
      </c>
      <c r="L1420" s="8" t="s">
        <v>41</v>
      </c>
      <c r="M1420" s="8" t="s">
        <v>42</v>
      </c>
      <c r="O1420" s="8" t="s">
        <v>43</v>
      </c>
      <c r="P1420" s="8" t="b">
        <v>0</v>
      </c>
      <c r="R1420" s="8" t="b">
        <v>0</v>
      </c>
      <c r="S1420" s="8" t="b">
        <v>0</v>
      </c>
      <c r="T1420" s="8" t="b">
        <v>0</v>
      </c>
      <c r="U1420" s="8" t="b">
        <v>1</v>
      </c>
      <c r="V1420" s="8" t="b">
        <v>1</v>
      </c>
      <c r="X1420" s="8" t="b">
        <v>0</v>
      </c>
      <c r="Y1420" s="8" t="b">
        <v>0</v>
      </c>
      <c r="Z1420" s="8" t="b">
        <v>0</v>
      </c>
      <c r="AA1420" s="8" t="b">
        <v>0</v>
      </c>
      <c r="AB1420" s="8" t="b">
        <v>0</v>
      </c>
      <c r="AC1420" s="8" t="b">
        <v>0</v>
      </c>
      <c r="AD1420" s="8" t="b">
        <v>0</v>
      </c>
      <c r="AE1420" s="8" t="b">
        <v>0</v>
      </c>
      <c r="AG1420" s="11" t="b" cm="1">
        <f t="array" ref="AG1420">IF(OR(Y1420:AA1420="TRUE", AE1420="true"), "Threatened")</f>
        <v>0</v>
      </c>
      <c r="AH1420" s="11" t="s">
        <v>3745</v>
      </c>
      <c r="AI1420" s="8" t="b">
        <v>1</v>
      </c>
    </row>
    <row r="1421" spans="1:35" ht="31.2">
      <c r="A1421" s="8">
        <v>-73.964760510000005</v>
      </c>
      <c r="B1421" s="8">
        <v>40.780396150000001</v>
      </c>
      <c r="C1421" s="8" t="s">
        <v>3746</v>
      </c>
      <c r="D1421" s="8" t="s">
        <v>2206</v>
      </c>
      <c r="E1421" s="8" t="b">
        <f t="shared" si="22"/>
        <v>0</v>
      </c>
      <c r="F1421" s="8" t="str" cm="1">
        <f t="array" ref="F1421">_xlfn._xlws.FILTER(E1421:E4619, C1421:C4619= "6D-PM-1020-01", "No Squirrels Found")</f>
        <v>No Squirrels Found</v>
      </c>
      <c r="G1421" s="8" t="s">
        <v>48</v>
      </c>
      <c r="H1421" s="10">
        <v>10182018</v>
      </c>
      <c r="I1421" s="10">
        <v>3</v>
      </c>
      <c r="J1421" s="8" t="s">
        <v>39</v>
      </c>
      <c r="K1421" s="8" t="s">
        <v>40</v>
      </c>
      <c r="M1421" s="8" t="s">
        <v>55</v>
      </c>
      <c r="O1421" s="8" t="s">
        <v>50</v>
      </c>
      <c r="P1421" s="8">
        <v>12</v>
      </c>
      <c r="Q1421" s="8" t="s">
        <v>466</v>
      </c>
      <c r="R1421" s="8" t="b">
        <v>1</v>
      </c>
      <c r="S1421" s="8" t="b">
        <v>0</v>
      </c>
      <c r="T1421" s="8" t="b">
        <v>0</v>
      </c>
      <c r="U1421" s="8" t="b">
        <v>0</v>
      </c>
      <c r="V1421" s="8" t="b">
        <v>0</v>
      </c>
      <c r="X1421" s="8" t="b">
        <v>1</v>
      </c>
      <c r="Y1421" s="8" t="b">
        <v>0</v>
      </c>
      <c r="Z1421" s="8" t="b">
        <v>0</v>
      </c>
      <c r="AA1421" s="8" t="b">
        <v>0</v>
      </c>
      <c r="AB1421" s="8" t="b">
        <v>0</v>
      </c>
      <c r="AC1421" s="8" t="b">
        <v>0</v>
      </c>
      <c r="AD1421" s="8" t="b">
        <v>0</v>
      </c>
      <c r="AE1421" s="8" t="b">
        <v>0</v>
      </c>
      <c r="AG1421" s="11" t="b" cm="1">
        <f t="array" ref="AG1421">IF(OR(Y1421:AA1421="TRUE", AE1421="true"), "Threatened")</f>
        <v>0</v>
      </c>
      <c r="AH1421" s="11" t="s">
        <v>3747</v>
      </c>
      <c r="AI1421" s="8" t="b">
        <v>1</v>
      </c>
    </row>
    <row r="1422" spans="1:35" ht="31.2">
      <c r="A1422" s="8">
        <v>-73.959502229999998</v>
      </c>
      <c r="B1422" s="8">
        <v>40.783115129999999</v>
      </c>
      <c r="C1422" s="8" t="s">
        <v>3748</v>
      </c>
      <c r="D1422" s="8" t="s">
        <v>2570</v>
      </c>
      <c r="E1422" s="8" t="b">
        <f t="shared" si="22"/>
        <v>0</v>
      </c>
      <c r="F1422" s="8" t="str" cm="1">
        <f t="array" ref="F1422">_xlfn._xlws.FILTER(E1422:E4620, C1422:C4620= "6D-PM-1020-01", "No Squirrels Found")</f>
        <v>No Squirrels Found</v>
      </c>
      <c r="G1422" s="8" t="s">
        <v>34</v>
      </c>
      <c r="H1422" s="10">
        <v>10072018</v>
      </c>
      <c r="I1422" s="10">
        <v>2</v>
      </c>
      <c r="J1422" s="8" t="s">
        <v>39</v>
      </c>
      <c r="K1422" s="8" t="s">
        <v>40</v>
      </c>
      <c r="L1422" s="8" t="s">
        <v>84</v>
      </c>
      <c r="M1422" s="8" t="s">
        <v>103</v>
      </c>
      <c r="N1422" s="11" t="s">
        <v>2632</v>
      </c>
      <c r="O1422" s="8" t="s">
        <v>43</v>
      </c>
      <c r="P1422" s="8" t="b">
        <v>0</v>
      </c>
      <c r="R1422" s="8" t="b">
        <v>0</v>
      </c>
      <c r="S1422" s="8" t="b">
        <v>0</v>
      </c>
      <c r="T1422" s="8" t="b">
        <v>0</v>
      </c>
      <c r="U1422" s="8" t="b">
        <v>0</v>
      </c>
      <c r="V1422" s="8" t="b">
        <v>1</v>
      </c>
      <c r="X1422" s="8" t="b">
        <v>0</v>
      </c>
      <c r="Y1422" s="8" t="b">
        <v>0</v>
      </c>
      <c r="Z1422" s="8" t="b">
        <v>0</v>
      </c>
      <c r="AA1422" s="8" t="b">
        <v>1</v>
      </c>
      <c r="AB1422" s="8" t="b">
        <v>1</v>
      </c>
      <c r="AC1422" s="8" t="b">
        <v>0</v>
      </c>
      <c r="AD1422" s="8" t="b">
        <v>0</v>
      </c>
      <c r="AE1422" s="8" t="b">
        <v>1</v>
      </c>
      <c r="AG1422" s="11" t="b" cm="1">
        <f t="array" ref="AG1422">IF(OR(Y1422:AA1422="TRUE", AE1422="true"), "Threatened")</f>
        <v>0</v>
      </c>
      <c r="AH1422" s="11" t="s">
        <v>3749</v>
      </c>
      <c r="AI1422" s="8" t="b">
        <v>1</v>
      </c>
    </row>
    <row r="1423" spans="1:35" ht="31.2">
      <c r="A1423" s="8">
        <v>-73.953735609999995</v>
      </c>
      <c r="B1423" s="8">
        <v>40.791727379999998</v>
      </c>
      <c r="C1423" s="8" t="s">
        <v>3750</v>
      </c>
      <c r="D1423" s="8" t="s">
        <v>3751</v>
      </c>
      <c r="E1423" s="8" t="b">
        <f t="shared" si="22"/>
        <v>0</v>
      </c>
      <c r="F1423" s="8" t="str" cm="1">
        <f t="array" ref="F1423">_xlfn._xlws.FILTER(E1423:E4621, C1423:C4621= "6D-PM-1020-01", "No Squirrels Found")</f>
        <v>No Squirrels Found</v>
      </c>
      <c r="G1423" s="8" t="s">
        <v>34</v>
      </c>
      <c r="H1423" s="10">
        <v>10062018</v>
      </c>
      <c r="I1423" s="10">
        <v>2</v>
      </c>
      <c r="J1423" s="8" t="s">
        <v>39</v>
      </c>
      <c r="K1423" s="8" t="s">
        <v>40</v>
      </c>
      <c r="M1423" s="8" t="s">
        <v>55</v>
      </c>
      <c r="O1423" s="8" t="s">
        <v>50</v>
      </c>
      <c r="P1423" s="8">
        <v>6</v>
      </c>
      <c r="R1423" s="8" t="b">
        <v>0</v>
      </c>
      <c r="S1423" s="8" t="b">
        <v>0</v>
      </c>
      <c r="T1423" s="8" t="b">
        <v>1</v>
      </c>
      <c r="U1423" s="8" t="b">
        <v>1</v>
      </c>
      <c r="V1423" s="8" t="b">
        <v>0</v>
      </c>
      <c r="X1423" s="8" t="b">
        <v>0</v>
      </c>
      <c r="Y1423" s="8" t="b">
        <v>0</v>
      </c>
      <c r="Z1423" s="8" t="b">
        <v>0</v>
      </c>
      <c r="AA1423" s="8" t="b">
        <v>0</v>
      </c>
      <c r="AB1423" s="8" t="b">
        <v>0</v>
      </c>
      <c r="AC1423" s="8" t="b">
        <v>0</v>
      </c>
      <c r="AD1423" s="8" t="b">
        <v>1</v>
      </c>
      <c r="AE1423" s="8" t="b">
        <v>0</v>
      </c>
      <c r="AG1423" s="11" t="b" cm="1">
        <f t="array" ref="AG1423">IF(OR(Y1423:AA1423="TRUE", AE1423="true"), "Threatened")</f>
        <v>0</v>
      </c>
      <c r="AH1423" s="11" t="s">
        <v>3752</v>
      </c>
      <c r="AI1423" s="8" t="b">
        <v>1</v>
      </c>
    </row>
    <row r="1424" spans="1:35" ht="31.2">
      <c r="A1424" s="8">
        <v>-73.96002043</v>
      </c>
      <c r="B1424" s="8">
        <v>40.782877290000002</v>
      </c>
      <c r="C1424" s="8" t="s">
        <v>3753</v>
      </c>
      <c r="D1424" s="8" t="s">
        <v>3754</v>
      </c>
      <c r="E1424" s="8" t="b">
        <f t="shared" si="22"/>
        <v>0</v>
      </c>
      <c r="F1424" s="8" t="str" cm="1">
        <f t="array" ref="F1424">_xlfn._xlws.FILTER(E1424:E4622, C1424:C4622= "6D-PM-1020-01", "No Squirrels Found")</f>
        <v>No Squirrels Found</v>
      </c>
      <c r="G1424" s="8" t="s">
        <v>48</v>
      </c>
      <c r="H1424" s="10">
        <v>10192018</v>
      </c>
      <c r="I1424" s="10">
        <v>1</v>
      </c>
      <c r="J1424" s="8" t="s">
        <v>39</v>
      </c>
      <c r="K1424" s="8" t="s">
        <v>40</v>
      </c>
      <c r="L1424" s="8" t="s">
        <v>84</v>
      </c>
      <c r="M1424" s="8" t="s">
        <v>103</v>
      </c>
      <c r="O1424" s="8" t="s">
        <v>50</v>
      </c>
      <c r="P1424" s="8">
        <v>10</v>
      </c>
      <c r="R1424" s="8" t="b">
        <v>0</v>
      </c>
      <c r="S1424" s="8" t="b">
        <v>0</v>
      </c>
      <c r="T1424" s="8" t="b">
        <v>0</v>
      </c>
      <c r="U1424" s="8" t="b">
        <v>1</v>
      </c>
      <c r="V1424" s="8" t="b">
        <v>0</v>
      </c>
      <c r="X1424" s="8" t="b">
        <v>0</v>
      </c>
      <c r="Y1424" s="8" t="b">
        <v>0</v>
      </c>
      <c r="Z1424" s="8" t="b">
        <v>0</v>
      </c>
      <c r="AA1424" s="8" t="b">
        <v>0</v>
      </c>
      <c r="AB1424" s="8" t="b">
        <v>0</v>
      </c>
      <c r="AC1424" s="8" t="b">
        <v>0</v>
      </c>
      <c r="AD1424" s="8" t="b">
        <v>0</v>
      </c>
      <c r="AE1424" s="8" t="b">
        <v>0</v>
      </c>
      <c r="AG1424" s="11" t="b" cm="1">
        <f t="array" ref="AG1424">IF(OR(Y1424:AA1424="TRUE", AE1424="true"), "Threatened")</f>
        <v>0</v>
      </c>
      <c r="AH1424" s="11" t="s">
        <v>3755</v>
      </c>
      <c r="AI1424" s="8" t="b">
        <v>1</v>
      </c>
    </row>
    <row r="1425" spans="1:35" ht="31.2">
      <c r="A1425" s="8">
        <v>-73.970972219999993</v>
      </c>
      <c r="B1425" s="8">
        <v>40.776732959999997</v>
      </c>
      <c r="C1425" s="8" t="s">
        <v>3756</v>
      </c>
      <c r="D1425" s="8" t="s">
        <v>741</v>
      </c>
      <c r="E1425" s="8" t="b">
        <f t="shared" si="22"/>
        <v>0</v>
      </c>
      <c r="F1425" s="8" t="str" cm="1">
        <f t="array" ref="F1425">_xlfn._xlws.FILTER(E1425:E4623, C1425:C4623= "6D-PM-1020-01", "No Squirrels Found")</f>
        <v>No Squirrels Found</v>
      </c>
      <c r="G1425" s="8" t="s">
        <v>48</v>
      </c>
      <c r="H1425" s="10">
        <v>10142018</v>
      </c>
      <c r="I1425" s="10">
        <v>6</v>
      </c>
      <c r="J1425" s="8" t="s">
        <v>39</v>
      </c>
      <c r="K1425" s="8" t="s">
        <v>40</v>
      </c>
      <c r="L1425" s="8" t="s">
        <v>117</v>
      </c>
      <c r="M1425" s="8" t="s">
        <v>118</v>
      </c>
      <c r="O1425" s="8" t="s">
        <v>43</v>
      </c>
      <c r="P1425" s="8" t="b">
        <v>0</v>
      </c>
      <c r="R1425" s="8" t="b">
        <v>0</v>
      </c>
      <c r="S1425" s="8" t="b">
        <v>0</v>
      </c>
      <c r="T1425" s="8" t="b">
        <v>0</v>
      </c>
      <c r="U1425" s="8" t="b">
        <v>0</v>
      </c>
      <c r="V1425" s="8" t="b">
        <v>1</v>
      </c>
      <c r="X1425" s="8" t="b">
        <v>0</v>
      </c>
      <c r="Y1425" s="8" t="b">
        <v>0</v>
      </c>
      <c r="Z1425" s="8" t="b">
        <v>0</v>
      </c>
      <c r="AA1425" s="8" t="b">
        <v>0</v>
      </c>
      <c r="AB1425" s="8" t="b">
        <v>0</v>
      </c>
      <c r="AC1425" s="8" t="b">
        <v>0</v>
      </c>
      <c r="AD1425" s="8" t="b">
        <v>1</v>
      </c>
      <c r="AE1425" s="8" t="b">
        <v>0</v>
      </c>
      <c r="AG1425" s="11" t="b" cm="1">
        <f t="array" ref="AG1425">IF(OR(Y1425:AA1425="TRUE", AE1425="true"), "Threatened")</f>
        <v>0</v>
      </c>
      <c r="AH1425" s="11" t="s">
        <v>3757</v>
      </c>
      <c r="AI1425" s="8" t="b">
        <v>1</v>
      </c>
    </row>
    <row r="1426" spans="1:35" ht="31.2">
      <c r="A1426" s="8">
        <v>-73.958625290000001</v>
      </c>
      <c r="B1426" s="8">
        <v>40.785202759999997</v>
      </c>
      <c r="C1426" s="8" t="s">
        <v>3758</v>
      </c>
      <c r="D1426" s="8" t="s">
        <v>1086</v>
      </c>
      <c r="E1426" s="8" t="b">
        <f t="shared" si="22"/>
        <v>0</v>
      </c>
      <c r="F1426" s="8" t="str" cm="1">
        <f t="array" ref="F1426">_xlfn._xlws.FILTER(E1426:E4624, C1426:C4624= "6D-PM-1020-01", "No Squirrels Found")</f>
        <v>No Squirrels Found</v>
      </c>
      <c r="G1426" s="8" t="s">
        <v>48</v>
      </c>
      <c r="H1426" s="10">
        <v>10072018</v>
      </c>
      <c r="I1426" s="10">
        <v>3</v>
      </c>
      <c r="J1426" s="8" t="s">
        <v>39</v>
      </c>
      <c r="K1426" s="8" t="s">
        <v>40</v>
      </c>
      <c r="L1426" s="8" t="s">
        <v>41</v>
      </c>
      <c r="M1426" s="8" t="s">
        <v>42</v>
      </c>
      <c r="N1426" s="11" t="s">
        <v>3759</v>
      </c>
      <c r="O1426" s="8" t="s">
        <v>50</v>
      </c>
      <c r="P1426" s="8">
        <v>20</v>
      </c>
      <c r="R1426" s="8" t="b">
        <v>0</v>
      </c>
      <c r="S1426" s="8" t="b">
        <v>0</v>
      </c>
      <c r="T1426" s="8" t="b">
        <v>1</v>
      </c>
      <c r="U1426" s="8" t="b">
        <v>0</v>
      </c>
      <c r="V1426" s="8" t="b">
        <v>1</v>
      </c>
      <c r="X1426" s="8" t="b">
        <v>0</v>
      </c>
      <c r="Y1426" s="8" t="b">
        <v>0</v>
      </c>
      <c r="Z1426" s="8" t="b">
        <v>0</v>
      </c>
      <c r="AA1426" s="8" t="b">
        <v>0</v>
      </c>
      <c r="AB1426" s="8" t="b">
        <v>0</v>
      </c>
      <c r="AC1426" s="8" t="b">
        <v>0</v>
      </c>
      <c r="AD1426" s="8" t="b">
        <v>1</v>
      </c>
      <c r="AE1426" s="8" t="b">
        <v>0</v>
      </c>
      <c r="AG1426" s="11" t="b" cm="1">
        <f t="array" ref="AG1426">IF(OR(Y1426:AA1426="TRUE", AE1426="true"), "Threatened")</f>
        <v>0</v>
      </c>
      <c r="AH1426" s="11" t="s">
        <v>3760</v>
      </c>
      <c r="AI1426" s="8" t="b">
        <v>1</v>
      </c>
    </row>
    <row r="1427" spans="1:35" ht="31.2">
      <c r="A1427" s="8">
        <v>-73.966498639999998</v>
      </c>
      <c r="B1427" s="8">
        <v>40.778308330000002</v>
      </c>
      <c r="C1427" s="8" t="s">
        <v>3761</v>
      </c>
      <c r="D1427" s="8" t="s">
        <v>2220</v>
      </c>
      <c r="E1427" s="8" t="b">
        <f t="shared" si="22"/>
        <v>0</v>
      </c>
      <c r="F1427" s="8" t="str" cm="1">
        <f t="array" ref="F1427">_xlfn._xlws.FILTER(E1427:E4625, C1427:C4625= "6D-PM-1020-01", "No Squirrels Found")</f>
        <v>No Squirrels Found</v>
      </c>
      <c r="G1427" s="8" t="s">
        <v>34</v>
      </c>
      <c r="H1427" s="10">
        <v>10172018</v>
      </c>
      <c r="I1427" s="10">
        <v>2</v>
      </c>
      <c r="J1427" s="8" t="s">
        <v>39</v>
      </c>
      <c r="K1427" s="8" t="s">
        <v>40</v>
      </c>
      <c r="M1427" s="8" t="s">
        <v>55</v>
      </c>
      <c r="O1427" s="8" t="s">
        <v>50</v>
      </c>
      <c r="P1427" s="8">
        <v>15</v>
      </c>
      <c r="R1427" s="8" t="b">
        <v>1</v>
      </c>
      <c r="S1427" s="8" t="b">
        <v>0</v>
      </c>
      <c r="T1427" s="8" t="b">
        <v>1</v>
      </c>
      <c r="U1427" s="8" t="b">
        <v>0</v>
      </c>
      <c r="V1427" s="8" t="b">
        <v>0</v>
      </c>
      <c r="X1427" s="8" t="b">
        <v>0</v>
      </c>
      <c r="Y1427" s="8" t="b">
        <v>0</v>
      </c>
      <c r="Z1427" s="8" t="b">
        <v>0</v>
      </c>
      <c r="AA1427" s="8" t="b">
        <v>0</v>
      </c>
      <c r="AB1427" s="8" t="b">
        <v>0</v>
      </c>
      <c r="AC1427" s="8" t="b">
        <v>0</v>
      </c>
      <c r="AD1427" s="8" t="b">
        <v>0</v>
      </c>
      <c r="AE1427" s="8" t="b">
        <v>1</v>
      </c>
      <c r="AG1427" s="11" t="b" cm="1">
        <f t="array" ref="AG1427">IF(OR(Y1427:AA1427="TRUE", AE1427="true"), "Threatened")</f>
        <v>0</v>
      </c>
      <c r="AH1427" s="11" t="s">
        <v>3762</v>
      </c>
      <c r="AI1427" s="8" t="b">
        <v>1</v>
      </c>
    </row>
    <row r="1428" spans="1:35" ht="31.2">
      <c r="A1428" s="8">
        <v>-73.975532200000004</v>
      </c>
      <c r="B1428" s="8">
        <v>40.766831160000002</v>
      </c>
      <c r="C1428" s="8" t="s">
        <v>3763</v>
      </c>
      <c r="D1428" s="8" t="s">
        <v>481</v>
      </c>
      <c r="E1428" s="8" t="b">
        <f t="shared" si="22"/>
        <v>0</v>
      </c>
      <c r="F1428" s="8" t="str" cm="1">
        <f t="array" ref="F1428">_xlfn._xlws.FILTER(E1428:E4626, C1428:C4626= "6D-PM-1020-01", "No Squirrels Found")</f>
        <v>No Squirrels Found</v>
      </c>
      <c r="G1428" s="8" t="s">
        <v>34</v>
      </c>
      <c r="H1428" s="10">
        <v>10142018</v>
      </c>
      <c r="I1428" s="10">
        <v>1</v>
      </c>
      <c r="J1428" s="8" t="s">
        <v>39</v>
      </c>
      <c r="K1428" s="8" t="s">
        <v>40</v>
      </c>
      <c r="M1428" s="8" t="s">
        <v>55</v>
      </c>
      <c r="O1428" s="8" t="s">
        <v>43</v>
      </c>
      <c r="P1428" s="8" t="b">
        <v>0</v>
      </c>
      <c r="R1428" s="8" t="b">
        <v>1</v>
      </c>
      <c r="S1428" s="8" t="b">
        <v>0</v>
      </c>
      <c r="T1428" s="8" t="b">
        <v>0</v>
      </c>
      <c r="U1428" s="8" t="b">
        <v>0</v>
      </c>
      <c r="V1428" s="8" t="b">
        <v>0</v>
      </c>
      <c r="X1428" s="8" t="b">
        <v>0</v>
      </c>
      <c r="Y1428" s="8" t="b">
        <v>0</v>
      </c>
      <c r="Z1428" s="8" t="b">
        <v>0</v>
      </c>
      <c r="AA1428" s="8" t="b">
        <v>0</v>
      </c>
      <c r="AB1428" s="8" t="b">
        <v>0</v>
      </c>
      <c r="AC1428" s="8" t="b">
        <v>0</v>
      </c>
      <c r="AD1428" s="8" t="b">
        <v>1</v>
      </c>
      <c r="AE1428" s="8" t="b">
        <v>0</v>
      </c>
      <c r="AG1428" s="11" t="b" cm="1">
        <f t="array" ref="AG1428">IF(OR(Y1428:AA1428="TRUE", AE1428="true"), "Threatened")</f>
        <v>0</v>
      </c>
      <c r="AH1428" s="11" t="s">
        <v>3764</v>
      </c>
      <c r="AI1428" s="8" t="b">
        <v>1</v>
      </c>
    </row>
    <row r="1429" spans="1:35" ht="46.8">
      <c r="A1429" s="8">
        <v>-73.966611360000002</v>
      </c>
      <c r="B1429" s="8">
        <v>40.775266260000002</v>
      </c>
      <c r="C1429" s="8" t="s">
        <v>3765</v>
      </c>
      <c r="D1429" s="8" t="s">
        <v>1320</v>
      </c>
      <c r="E1429" s="8" t="b">
        <f t="shared" si="22"/>
        <v>0</v>
      </c>
      <c r="F1429" s="8" t="str" cm="1">
        <f t="array" ref="F1429">_xlfn._xlws.FILTER(E1429:E4627, C1429:C4627= "6D-PM-1020-01", "No Squirrels Found")</f>
        <v>No Squirrels Found</v>
      </c>
      <c r="G1429" s="8" t="s">
        <v>34</v>
      </c>
      <c r="H1429" s="10">
        <v>10122018</v>
      </c>
      <c r="I1429" s="10">
        <v>5</v>
      </c>
      <c r="J1429" s="8" t="s">
        <v>39</v>
      </c>
      <c r="K1429" s="8" t="s">
        <v>40</v>
      </c>
      <c r="M1429" s="8" t="s">
        <v>55</v>
      </c>
      <c r="O1429" s="8" t="s">
        <v>43</v>
      </c>
      <c r="P1429" s="8" t="b">
        <v>0</v>
      </c>
      <c r="R1429" s="8" t="b">
        <v>0</v>
      </c>
      <c r="S1429" s="8" t="b">
        <v>0</v>
      </c>
      <c r="T1429" s="8" t="b">
        <v>0</v>
      </c>
      <c r="U1429" s="8" t="b">
        <v>1</v>
      </c>
      <c r="V1429" s="8" t="b">
        <v>0</v>
      </c>
      <c r="X1429" s="8" t="b">
        <v>0</v>
      </c>
      <c r="Y1429" s="8" t="b">
        <v>0</v>
      </c>
      <c r="Z1429" s="8" t="b">
        <v>0</v>
      </c>
      <c r="AA1429" s="8" t="b">
        <v>0</v>
      </c>
      <c r="AB1429" s="8" t="b">
        <v>0</v>
      </c>
      <c r="AC1429" s="8" t="b">
        <v>1</v>
      </c>
      <c r="AD1429" s="8" t="b">
        <v>0</v>
      </c>
      <c r="AE1429" s="8" t="b">
        <v>0</v>
      </c>
      <c r="AF1429" s="11" t="s">
        <v>3766</v>
      </c>
      <c r="AG1429" s="11" t="b" cm="1">
        <f t="array" ref="AG1429">IF(OR(Y1429:AA1429="TRUE", AE1429="true"), "Threatened")</f>
        <v>0</v>
      </c>
      <c r="AH1429" s="11" t="s">
        <v>3767</v>
      </c>
      <c r="AI1429" s="8" t="b">
        <v>1</v>
      </c>
    </row>
    <row r="1430" spans="1:35" ht="31.2">
      <c r="A1430" s="8">
        <v>-73.970653310000003</v>
      </c>
      <c r="B1430" s="8">
        <v>40.76890203</v>
      </c>
      <c r="C1430" s="8" t="s">
        <v>3768</v>
      </c>
      <c r="D1430" s="8" t="s">
        <v>242</v>
      </c>
      <c r="E1430" s="8" t="b">
        <f t="shared" si="22"/>
        <v>0</v>
      </c>
      <c r="F1430" s="8" t="str" cm="1">
        <f t="array" ref="F1430">_xlfn._xlws.FILTER(E1430:E4628, C1430:C4628= "6D-PM-1020-01", "No Squirrels Found")</f>
        <v>No Squirrels Found</v>
      </c>
      <c r="G1430" s="8" t="s">
        <v>48</v>
      </c>
      <c r="H1430" s="10">
        <v>10062018</v>
      </c>
      <c r="I1430" s="10">
        <v>1</v>
      </c>
      <c r="J1430" s="8" t="s">
        <v>39</v>
      </c>
      <c r="K1430" s="8" t="s">
        <v>40</v>
      </c>
      <c r="L1430" s="8" t="s">
        <v>41</v>
      </c>
      <c r="M1430" s="8" t="s">
        <v>42</v>
      </c>
      <c r="O1430" s="8" t="s">
        <v>50</v>
      </c>
      <c r="R1430" s="8" t="b">
        <v>1</v>
      </c>
      <c r="S1430" s="8" t="b">
        <v>0</v>
      </c>
      <c r="T1430" s="8" t="b">
        <v>1</v>
      </c>
      <c r="U1430" s="8" t="b">
        <v>1</v>
      </c>
      <c r="V1430" s="8" t="b">
        <v>1</v>
      </c>
      <c r="X1430" s="8" t="b">
        <v>0</v>
      </c>
      <c r="Y1430" s="8" t="b">
        <v>0</v>
      </c>
      <c r="Z1430" s="8" t="b">
        <v>0</v>
      </c>
      <c r="AA1430" s="8" t="b">
        <v>0</v>
      </c>
      <c r="AB1430" s="8" t="b">
        <v>0</v>
      </c>
      <c r="AC1430" s="8" t="b">
        <v>0</v>
      </c>
      <c r="AD1430" s="8" t="b">
        <v>0</v>
      </c>
      <c r="AE1430" s="8" t="b">
        <v>1</v>
      </c>
      <c r="AF1430" s="11" t="s">
        <v>3769</v>
      </c>
      <c r="AG1430" s="11" t="b" cm="1">
        <f t="array" ref="AG1430">IF(OR(Y1430:AA1430="TRUE", AE1430="true"), "Threatened")</f>
        <v>0</v>
      </c>
      <c r="AH1430" s="11" t="s">
        <v>3770</v>
      </c>
      <c r="AI1430" s="8" t="b">
        <v>1</v>
      </c>
    </row>
    <row r="1431" spans="1:35" ht="31.2">
      <c r="A1431" s="8">
        <v>-73.970804709999996</v>
      </c>
      <c r="B1431" s="8">
        <v>40.775861110000001</v>
      </c>
      <c r="C1431" s="8" t="s">
        <v>3771</v>
      </c>
      <c r="D1431" s="8" t="s">
        <v>79</v>
      </c>
      <c r="E1431" s="8" t="b">
        <f t="shared" si="22"/>
        <v>0</v>
      </c>
      <c r="F1431" s="8" t="str" cm="1">
        <f t="array" ref="F1431">_xlfn._xlws.FILTER(E1431:E4629, C1431:C4629= "6D-PM-1020-01", "No Squirrels Found")</f>
        <v>No Squirrels Found</v>
      </c>
      <c r="G1431" s="8" t="s">
        <v>34</v>
      </c>
      <c r="H1431" s="10">
        <v>10082018</v>
      </c>
      <c r="I1431" s="10">
        <v>1</v>
      </c>
      <c r="J1431" s="8" t="s">
        <v>39</v>
      </c>
      <c r="K1431" s="8" t="s">
        <v>40</v>
      </c>
      <c r="L1431" s="8" t="s">
        <v>84</v>
      </c>
      <c r="M1431" s="8" t="s">
        <v>103</v>
      </c>
      <c r="O1431" s="8" t="s">
        <v>43</v>
      </c>
      <c r="P1431" s="8" t="b">
        <v>0</v>
      </c>
      <c r="R1431" s="8" t="b">
        <v>0</v>
      </c>
      <c r="S1431" s="8" t="b">
        <v>0</v>
      </c>
      <c r="T1431" s="8" t="b">
        <v>0</v>
      </c>
      <c r="U1431" s="8" t="b">
        <v>1</v>
      </c>
      <c r="V1431" s="8" t="b">
        <v>0</v>
      </c>
      <c r="X1431" s="8" t="b">
        <v>0</v>
      </c>
      <c r="Y1431" s="8" t="b">
        <v>0</v>
      </c>
      <c r="Z1431" s="8" t="b">
        <v>0</v>
      </c>
      <c r="AA1431" s="8" t="b">
        <v>0</v>
      </c>
      <c r="AB1431" s="8" t="b">
        <v>1</v>
      </c>
      <c r="AC1431" s="8" t="b">
        <v>0</v>
      </c>
      <c r="AD1431" s="8" t="b">
        <v>1</v>
      </c>
      <c r="AE1431" s="8" t="b">
        <v>0</v>
      </c>
      <c r="AG1431" s="11" t="b" cm="1">
        <f t="array" ref="AG1431">IF(OR(Y1431:AA1431="TRUE", AE1431="true"), "Threatened")</f>
        <v>0</v>
      </c>
      <c r="AH1431" s="11" t="s">
        <v>3772</v>
      </c>
      <c r="AI1431" s="8" t="b">
        <v>1</v>
      </c>
    </row>
    <row r="1432" spans="1:35" ht="31.2">
      <c r="A1432" s="8">
        <v>-73.960191890000004</v>
      </c>
      <c r="B1432" s="8">
        <v>40.794413470000002</v>
      </c>
      <c r="C1432" s="8" t="s">
        <v>3773</v>
      </c>
      <c r="D1432" s="8" t="s">
        <v>69</v>
      </c>
      <c r="E1432" s="8" t="b">
        <f t="shared" si="22"/>
        <v>0</v>
      </c>
      <c r="F1432" s="8" t="str" cm="1">
        <f t="array" ref="F1432">_xlfn._xlws.FILTER(E1432:E4630, C1432:C4630= "6D-PM-1020-01", "No Squirrels Found")</f>
        <v>No Squirrels Found</v>
      </c>
      <c r="G1432" s="8" t="s">
        <v>48</v>
      </c>
      <c r="H1432" s="10">
        <v>10072018</v>
      </c>
      <c r="I1432" s="10">
        <v>1</v>
      </c>
      <c r="J1432" s="8" t="s">
        <v>54</v>
      </c>
      <c r="K1432" s="8" t="s">
        <v>40</v>
      </c>
      <c r="L1432" s="8" t="s">
        <v>41</v>
      </c>
      <c r="M1432" s="8" t="s">
        <v>42</v>
      </c>
      <c r="O1432" s="8" t="s">
        <v>50</v>
      </c>
      <c r="P1432" s="8">
        <v>20</v>
      </c>
      <c r="Q1432" s="8" t="s">
        <v>3774</v>
      </c>
      <c r="R1432" s="8" t="b">
        <v>0</v>
      </c>
      <c r="S1432" s="8" t="b">
        <v>0</v>
      </c>
      <c r="T1432" s="8" t="b">
        <v>0</v>
      </c>
      <c r="U1432" s="8" t="b">
        <v>0</v>
      </c>
      <c r="V1432" s="8" t="b">
        <v>0</v>
      </c>
      <c r="W1432" s="11" t="s">
        <v>639</v>
      </c>
      <c r="X1432" s="8" t="b">
        <v>0</v>
      </c>
      <c r="Y1432" s="8" t="b">
        <v>0</v>
      </c>
      <c r="Z1432" s="8" t="b">
        <v>0</v>
      </c>
      <c r="AA1432" s="8" t="b">
        <v>0</v>
      </c>
      <c r="AB1432" s="8" t="b">
        <v>0</v>
      </c>
      <c r="AC1432" s="8" t="b">
        <v>0</v>
      </c>
      <c r="AD1432" s="8" t="b">
        <v>0</v>
      </c>
      <c r="AE1432" s="8" t="b">
        <v>0</v>
      </c>
      <c r="AG1432" s="11" t="b" cm="1">
        <f t="array" ref="AG1432">IF(OR(Y1432:AA1432="TRUE", AE1432="true"), "Threatened")</f>
        <v>0</v>
      </c>
      <c r="AH1432" s="11" t="s">
        <v>3775</v>
      </c>
      <c r="AI1432" s="8" t="b">
        <v>0</v>
      </c>
    </row>
    <row r="1433" spans="1:35" ht="31.2">
      <c r="A1433" s="8">
        <v>-73.96325779</v>
      </c>
      <c r="B1433" s="8">
        <v>40.793112839999999</v>
      </c>
      <c r="C1433" s="8" t="s">
        <v>3776</v>
      </c>
      <c r="D1433" s="8" t="s">
        <v>2439</v>
      </c>
      <c r="E1433" s="8" t="b">
        <f t="shared" si="22"/>
        <v>0</v>
      </c>
      <c r="F1433" s="8" t="str" cm="1">
        <f t="array" ref="F1433">_xlfn._xlws.FILTER(E1433:E4631, C1433:C4631= "6D-PM-1020-01", "No Squirrels Found")</f>
        <v>No Squirrels Found</v>
      </c>
      <c r="G1433" s="8" t="s">
        <v>48</v>
      </c>
      <c r="H1433" s="10">
        <v>10082018</v>
      </c>
      <c r="I1433" s="10">
        <v>1</v>
      </c>
      <c r="J1433" s="8" t="s">
        <v>39</v>
      </c>
      <c r="K1433" s="8" t="s">
        <v>40</v>
      </c>
      <c r="L1433" s="8" t="s">
        <v>117</v>
      </c>
      <c r="M1433" s="8" t="s">
        <v>118</v>
      </c>
      <c r="O1433" s="8" t="s">
        <v>43</v>
      </c>
      <c r="P1433" s="8" t="b">
        <v>0</v>
      </c>
      <c r="R1433" s="8" t="b">
        <v>0</v>
      </c>
      <c r="S1433" s="8" t="b">
        <v>0</v>
      </c>
      <c r="T1433" s="8" t="b">
        <v>0</v>
      </c>
      <c r="U1433" s="8" t="b">
        <v>0</v>
      </c>
      <c r="V1433" s="8" t="b">
        <v>1</v>
      </c>
      <c r="X1433" s="8" t="b">
        <v>0</v>
      </c>
      <c r="Y1433" s="8" t="b">
        <v>0</v>
      </c>
      <c r="Z1433" s="8" t="b">
        <v>0</v>
      </c>
      <c r="AA1433" s="8" t="b">
        <v>0</v>
      </c>
      <c r="AB1433" s="8" t="b">
        <v>0</v>
      </c>
      <c r="AC1433" s="8" t="b">
        <v>0</v>
      </c>
      <c r="AD1433" s="8" t="b">
        <v>0</v>
      </c>
      <c r="AE1433" s="8" t="b">
        <v>0</v>
      </c>
      <c r="AF1433" s="11" t="s">
        <v>3777</v>
      </c>
      <c r="AG1433" s="11" t="b" cm="1">
        <f t="array" ref="AG1433">IF(OR(Y1433:AA1433="TRUE", AE1433="true"), "Threatened")</f>
        <v>0</v>
      </c>
      <c r="AH1433" s="11" t="s">
        <v>3778</v>
      </c>
      <c r="AI1433" s="8" t="b">
        <v>1</v>
      </c>
    </row>
    <row r="1434" spans="1:35" ht="31.2">
      <c r="A1434" s="8">
        <v>-73.957407750000002</v>
      </c>
      <c r="B1434" s="8">
        <v>40.800118519999998</v>
      </c>
      <c r="C1434" s="8" t="s">
        <v>3779</v>
      </c>
      <c r="D1434" s="8" t="s">
        <v>1465</v>
      </c>
      <c r="E1434" s="8" t="b">
        <f t="shared" si="22"/>
        <v>0</v>
      </c>
      <c r="F1434" s="8" t="str" cm="1">
        <f t="array" ref="F1434">_xlfn._xlws.FILTER(E1434:E4632, C1434:C4632= "6D-PM-1020-01", "No Squirrels Found")</f>
        <v>No Squirrels Found</v>
      </c>
      <c r="G1434" s="8" t="s">
        <v>48</v>
      </c>
      <c r="H1434" s="10">
        <v>10142018</v>
      </c>
      <c r="I1434" s="10">
        <v>1</v>
      </c>
      <c r="J1434" s="8" t="s">
        <v>39</v>
      </c>
      <c r="K1434" s="8" t="s">
        <v>40</v>
      </c>
      <c r="M1434" s="8" t="s">
        <v>55</v>
      </c>
      <c r="O1434" s="8" t="s">
        <v>50</v>
      </c>
      <c r="P1434" s="8">
        <v>3</v>
      </c>
      <c r="R1434" s="8" t="b">
        <v>0</v>
      </c>
      <c r="S1434" s="8" t="b">
        <v>0</v>
      </c>
      <c r="T1434" s="8" t="b">
        <v>1</v>
      </c>
      <c r="U1434" s="8" t="b">
        <v>0</v>
      </c>
      <c r="V1434" s="8" t="b">
        <v>0</v>
      </c>
      <c r="X1434" s="8" t="b">
        <v>0</v>
      </c>
      <c r="Y1434" s="8" t="b">
        <v>0</v>
      </c>
      <c r="Z1434" s="8" t="b">
        <v>0</v>
      </c>
      <c r="AA1434" s="8" t="b">
        <v>0</v>
      </c>
      <c r="AB1434" s="8" t="b">
        <v>0</v>
      </c>
      <c r="AC1434" s="8" t="b">
        <v>0</v>
      </c>
      <c r="AD1434" s="8" t="b">
        <v>1</v>
      </c>
      <c r="AE1434" s="8" t="b">
        <v>0</v>
      </c>
      <c r="AG1434" s="11" t="b" cm="1">
        <f t="array" ref="AG1434">IF(OR(Y1434:AA1434="TRUE", AE1434="true"), "Threatened")</f>
        <v>0</v>
      </c>
      <c r="AH1434" s="11" t="s">
        <v>3780</v>
      </c>
      <c r="AI1434" s="8" t="b">
        <v>1</v>
      </c>
    </row>
    <row r="1435" spans="1:35" ht="31.2">
      <c r="A1435" s="8">
        <v>-73.976074980000007</v>
      </c>
      <c r="B1435" s="8">
        <v>40.770328489999997</v>
      </c>
      <c r="C1435" s="8" t="s">
        <v>3781</v>
      </c>
      <c r="D1435" s="8" t="s">
        <v>53</v>
      </c>
      <c r="E1435" s="8" t="b">
        <f t="shared" si="22"/>
        <v>1</v>
      </c>
      <c r="F1435" s="8" t="str" cm="1">
        <f t="array" ref="F1435">_xlfn._xlws.FILTER(E1435:E4633, C1435:C4633= "6D-PM-1020-01", "No Squirrels Found")</f>
        <v>No Squirrels Found</v>
      </c>
      <c r="G1435" s="8" t="s">
        <v>34</v>
      </c>
      <c r="H1435" s="10">
        <v>10182018</v>
      </c>
      <c r="I1435" s="10">
        <v>2</v>
      </c>
      <c r="J1435" s="8" t="s">
        <v>39</v>
      </c>
      <c r="K1435" s="8" t="s">
        <v>40</v>
      </c>
      <c r="M1435" s="8" t="s">
        <v>55</v>
      </c>
      <c r="O1435" s="8" t="s">
        <v>50</v>
      </c>
      <c r="P1435" s="8">
        <v>2</v>
      </c>
      <c r="Q1435" s="8" t="s">
        <v>3782</v>
      </c>
      <c r="R1435" s="8" t="b">
        <v>0</v>
      </c>
      <c r="S1435" s="8" t="b">
        <v>0</v>
      </c>
      <c r="T1435" s="8" t="b">
        <v>0</v>
      </c>
      <c r="U1435" s="8" t="b">
        <v>1</v>
      </c>
      <c r="V1435" s="8" t="b">
        <v>0</v>
      </c>
      <c r="X1435" s="8" t="b">
        <v>0</v>
      </c>
      <c r="Y1435" s="8" t="b">
        <v>0</v>
      </c>
      <c r="Z1435" s="8" t="b">
        <v>0</v>
      </c>
      <c r="AA1435" s="8" t="b">
        <v>0</v>
      </c>
      <c r="AB1435" s="8" t="b">
        <v>0</v>
      </c>
      <c r="AC1435" s="8" t="b">
        <v>0</v>
      </c>
      <c r="AD1435" s="8" t="b">
        <v>0</v>
      </c>
      <c r="AE1435" s="8" t="b">
        <v>1</v>
      </c>
      <c r="AG1435" s="11" t="b" cm="1">
        <f t="array" ref="AG1435">IF(OR(Y1435:AA1435="TRUE", AE1435="true"), "Threatened")</f>
        <v>0</v>
      </c>
      <c r="AH1435" s="11" t="s">
        <v>3783</v>
      </c>
      <c r="AI1435" s="8" t="b">
        <v>1</v>
      </c>
    </row>
    <row r="1436" spans="1:35" ht="31.2">
      <c r="A1436" s="8">
        <v>-73.958253439999993</v>
      </c>
      <c r="B1436" s="8">
        <v>40.791777230000001</v>
      </c>
      <c r="C1436" s="8" t="s">
        <v>3784</v>
      </c>
      <c r="D1436" s="8" t="s">
        <v>202</v>
      </c>
      <c r="E1436" s="8" t="b">
        <f t="shared" si="22"/>
        <v>0</v>
      </c>
      <c r="F1436" s="8" t="str" cm="1">
        <f t="array" ref="F1436">_xlfn._xlws.FILTER(E1436:E4634, C1436:C4634= "6D-PM-1020-01", "No Squirrels Found")</f>
        <v>No Squirrels Found</v>
      </c>
      <c r="G1436" s="8" t="s">
        <v>34</v>
      </c>
      <c r="H1436" s="10">
        <v>10122018</v>
      </c>
      <c r="I1436" s="10">
        <v>1</v>
      </c>
      <c r="J1436" s="8" t="s">
        <v>39</v>
      </c>
      <c r="K1436" s="8" t="s">
        <v>40</v>
      </c>
      <c r="L1436" s="8" t="s">
        <v>84</v>
      </c>
      <c r="M1436" s="8" t="s">
        <v>103</v>
      </c>
      <c r="O1436" s="8" t="s">
        <v>43</v>
      </c>
      <c r="P1436" s="8" t="b">
        <v>0</v>
      </c>
      <c r="R1436" s="8" t="b">
        <v>0</v>
      </c>
      <c r="S1436" s="8" t="b">
        <v>0</v>
      </c>
      <c r="T1436" s="8" t="b">
        <v>0</v>
      </c>
      <c r="U1436" s="8" t="b">
        <v>0</v>
      </c>
      <c r="V1436" s="8" t="b">
        <v>1</v>
      </c>
      <c r="X1436" s="8" t="b">
        <v>0</v>
      </c>
      <c r="Y1436" s="8" t="b">
        <v>0</v>
      </c>
      <c r="Z1436" s="8" t="b">
        <v>0</v>
      </c>
      <c r="AA1436" s="8" t="b">
        <v>0</v>
      </c>
      <c r="AB1436" s="8" t="b">
        <v>0</v>
      </c>
      <c r="AC1436" s="8" t="b">
        <v>0</v>
      </c>
      <c r="AD1436" s="8" t="b">
        <v>1</v>
      </c>
      <c r="AE1436" s="8" t="b">
        <v>0</v>
      </c>
      <c r="AG1436" s="11" t="b" cm="1">
        <f t="array" ref="AG1436">IF(OR(Y1436:AA1436="TRUE", AE1436="true"), "Threatened")</f>
        <v>0</v>
      </c>
      <c r="AH1436" s="11" t="s">
        <v>3785</v>
      </c>
      <c r="AI1436" s="8" t="b">
        <v>1</v>
      </c>
    </row>
    <row r="1437" spans="1:35" ht="31.2">
      <c r="A1437" s="8">
        <v>-73.976677960000004</v>
      </c>
      <c r="B1437" s="8">
        <v>40.766967379999997</v>
      </c>
      <c r="C1437" s="8" t="s">
        <v>3786</v>
      </c>
      <c r="D1437" s="8" t="s">
        <v>47</v>
      </c>
      <c r="E1437" s="8" t="b">
        <f t="shared" si="22"/>
        <v>0</v>
      </c>
      <c r="F1437" s="8" t="str" cm="1">
        <f t="array" ref="F1437">_xlfn._xlws.FILTER(E1437:E4635, C1437:C4635= "6D-PM-1020-01", "No Squirrels Found")</f>
        <v>No Squirrels Found</v>
      </c>
      <c r="G1437" s="8" t="s">
        <v>48</v>
      </c>
      <c r="H1437" s="10">
        <v>10102018</v>
      </c>
      <c r="I1437" s="10">
        <v>4</v>
      </c>
      <c r="J1437" s="8" t="s">
        <v>54</v>
      </c>
      <c r="K1437" s="8" t="s">
        <v>40</v>
      </c>
      <c r="L1437" s="8" t="s">
        <v>117</v>
      </c>
      <c r="M1437" s="8" t="s">
        <v>118</v>
      </c>
      <c r="O1437" s="8" t="s">
        <v>43</v>
      </c>
      <c r="P1437" s="8" t="b">
        <v>0</v>
      </c>
      <c r="R1437" s="8" t="b">
        <v>0</v>
      </c>
      <c r="S1437" s="8" t="b">
        <v>0</v>
      </c>
      <c r="T1437" s="8" t="b">
        <v>0</v>
      </c>
      <c r="U1437" s="8" t="b">
        <v>1</v>
      </c>
      <c r="V1437" s="8" t="b">
        <v>0</v>
      </c>
      <c r="X1437" s="8" t="b">
        <v>1</v>
      </c>
      <c r="Y1437" s="8" t="b">
        <v>0</v>
      </c>
      <c r="Z1437" s="8" t="b">
        <v>0</v>
      </c>
      <c r="AA1437" s="8" t="b">
        <v>0</v>
      </c>
      <c r="AB1437" s="8" t="b">
        <v>0</v>
      </c>
      <c r="AC1437" s="8" t="b">
        <v>0</v>
      </c>
      <c r="AD1437" s="8" t="b">
        <v>1</v>
      </c>
      <c r="AE1437" s="8" t="b">
        <v>0</v>
      </c>
      <c r="AG1437" s="11" t="b" cm="1">
        <f t="array" ref="AG1437">IF(OR(Y1437:AA1437="TRUE", AE1437="true"), "Threatened")</f>
        <v>0</v>
      </c>
      <c r="AH1437" s="11" t="s">
        <v>3787</v>
      </c>
      <c r="AI1437" s="8" t="b">
        <v>1</v>
      </c>
    </row>
    <row r="1438" spans="1:35" ht="31.2">
      <c r="A1438" s="8">
        <v>-73.972127979999996</v>
      </c>
      <c r="B1438" s="8">
        <v>40.76611587</v>
      </c>
      <c r="C1438" s="8" t="s">
        <v>3788</v>
      </c>
      <c r="D1438" s="8" t="s">
        <v>988</v>
      </c>
      <c r="E1438" s="8" t="b">
        <f t="shared" si="22"/>
        <v>0</v>
      </c>
      <c r="F1438" s="8" t="str" cm="1">
        <f t="array" ref="F1438">_xlfn._xlws.FILTER(E1438:E4636, C1438:C4636= "6D-PM-1020-01", "No Squirrels Found")</f>
        <v>No Squirrels Found</v>
      </c>
      <c r="G1438" s="8" t="s">
        <v>34</v>
      </c>
      <c r="H1438" s="10">
        <v>10132018</v>
      </c>
      <c r="I1438" s="10">
        <v>2</v>
      </c>
      <c r="J1438" s="8" t="s">
        <v>39</v>
      </c>
      <c r="K1438" s="8" t="s">
        <v>41</v>
      </c>
      <c r="L1438" s="8" t="s">
        <v>40</v>
      </c>
      <c r="M1438" s="8" t="s">
        <v>110</v>
      </c>
      <c r="O1438" s="8" t="s">
        <v>43</v>
      </c>
      <c r="P1438" s="8" t="b">
        <v>0</v>
      </c>
      <c r="R1438" s="8" t="b">
        <v>0</v>
      </c>
      <c r="S1438" s="8" t="b">
        <v>0</v>
      </c>
      <c r="T1438" s="8" t="b">
        <v>0</v>
      </c>
      <c r="U1438" s="8" t="b">
        <v>0</v>
      </c>
      <c r="V1438" s="8" t="b">
        <v>1</v>
      </c>
      <c r="X1438" s="8" t="b">
        <v>0</v>
      </c>
      <c r="Y1438" s="8" t="b">
        <v>0</v>
      </c>
      <c r="Z1438" s="8" t="b">
        <v>0</v>
      </c>
      <c r="AA1438" s="8" t="b">
        <v>0</v>
      </c>
      <c r="AB1438" s="8" t="b">
        <v>0</v>
      </c>
      <c r="AC1438" s="8" t="b">
        <v>0</v>
      </c>
      <c r="AD1438" s="8" t="b">
        <v>1</v>
      </c>
      <c r="AE1438" s="8" t="b">
        <v>0</v>
      </c>
      <c r="AG1438" s="11" t="b" cm="1">
        <f t="array" ref="AG1438">IF(OR(Y1438:AA1438="TRUE", AE1438="true"), "Threatened")</f>
        <v>0</v>
      </c>
      <c r="AH1438" s="11" t="s">
        <v>3789</v>
      </c>
      <c r="AI1438" s="8" t="b">
        <v>1</v>
      </c>
    </row>
    <row r="1439" spans="1:35" ht="31.2">
      <c r="A1439" s="8">
        <v>-73.971685480000005</v>
      </c>
      <c r="B1439" s="8">
        <v>40.770666849999998</v>
      </c>
      <c r="C1439" s="8" t="s">
        <v>3790</v>
      </c>
      <c r="D1439" s="8" t="s">
        <v>413</v>
      </c>
      <c r="E1439" s="8" t="b">
        <f t="shared" si="22"/>
        <v>0</v>
      </c>
      <c r="F1439" s="8" t="str" cm="1">
        <f t="array" ref="F1439">_xlfn._xlws.FILTER(E1439:E4637, C1439:C4637= "6D-PM-1020-01", "No Squirrels Found")</f>
        <v>No Squirrels Found</v>
      </c>
      <c r="G1439" s="8" t="s">
        <v>34</v>
      </c>
      <c r="H1439" s="10">
        <v>10182018</v>
      </c>
      <c r="I1439" s="10">
        <v>7</v>
      </c>
      <c r="J1439" s="8" t="s">
        <v>39</v>
      </c>
      <c r="K1439" s="8" t="s">
        <v>40</v>
      </c>
      <c r="M1439" s="8" t="s">
        <v>55</v>
      </c>
      <c r="O1439" s="8" t="s">
        <v>43</v>
      </c>
      <c r="P1439" s="8" t="b">
        <v>0</v>
      </c>
      <c r="R1439" s="8" t="b">
        <v>0</v>
      </c>
      <c r="S1439" s="8" t="b">
        <v>0</v>
      </c>
      <c r="T1439" s="8" t="b">
        <v>0</v>
      </c>
      <c r="U1439" s="8" t="b">
        <v>0</v>
      </c>
      <c r="V1439" s="8" t="b">
        <v>1</v>
      </c>
      <c r="X1439" s="8" t="b">
        <v>0</v>
      </c>
      <c r="Y1439" s="8" t="b">
        <v>0</v>
      </c>
      <c r="Z1439" s="8" t="b">
        <v>0</v>
      </c>
      <c r="AA1439" s="8" t="b">
        <v>0</v>
      </c>
      <c r="AB1439" s="8" t="b">
        <v>0</v>
      </c>
      <c r="AC1439" s="8" t="b">
        <v>0</v>
      </c>
      <c r="AD1439" s="8" t="b">
        <v>1</v>
      </c>
      <c r="AE1439" s="8" t="b">
        <v>0</v>
      </c>
      <c r="AG1439" s="11" t="b" cm="1">
        <f t="array" ref="AG1439">IF(OR(Y1439:AA1439="TRUE", AE1439="true"), "Threatened")</f>
        <v>0</v>
      </c>
      <c r="AH1439" s="11" t="s">
        <v>3791</v>
      </c>
      <c r="AI1439" s="8" t="b">
        <v>1</v>
      </c>
    </row>
    <row r="1440" spans="1:35" ht="31.2">
      <c r="A1440" s="8">
        <v>-73.972964520000005</v>
      </c>
      <c r="B1440" s="8">
        <v>40.772331020000003</v>
      </c>
      <c r="C1440" s="8" t="s">
        <v>3792</v>
      </c>
      <c r="D1440" s="8" t="s">
        <v>1923</v>
      </c>
      <c r="E1440" s="8" t="b">
        <f t="shared" si="22"/>
        <v>0</v>
      </c>
      <c r="F1440" s="8" t="str" cm="1">
        <f t="array" ref="F1440">_xlfn._xlws.FILTER(E1440:E4638, C1440:C4638= "6D-PM-1020-01", "No Squirrels Found")</f>
        <v>No Squirrels Found</v>
      </c>
      <c r="G1440" s="8" t="s">
        <v>48</v>
      </c>
      <c r="H1440" s="10">
        <v>10082018</v>
      </c>
      <c r="I1440" s="10">
        <v>2</v>
      </c>
      <c r="J1440" s="8" t="s">
        <v>39</v>
      </c>
      <c r="K1440" s="8" t="s">
        <v>40</v>
      </c>
      <c r="L1440" s="8" t="s">
        <v>84</v>
      </c>
      <c r="M1440" s="8" t="s">
        <v>103</v>
      </c>
      <c r="O1440" s="8" t="s">
        <v>43</v>
      </c>
      <c r="P1440" s="8" t="b">
        <v>0</v>
      </c>
      <c r="R1440" s="8" t="b">
        <v>0</v>
      </c>
      <c r="S1440" s="8" t="b">
        <v>0</v>
      </c>
      <c r="T1440" s="8" t="b">
        <v>0</v>
      </c>
      <c r="U1440" s="8" t="b">
        <v>1</v>
      </c>
      <c r="V1440" s="8" t="b">
        <v>0</v>
      </c>
      <c r="X1440" s="8" t="b">
        <v>0</v>
      </c>
      <c r="Y1440" s="8" t="b">
        <v>0</v>
      </c>
      <c r="Z1440" s="8" t="b">
        <v>0</v>
      </c>
      <c r="AA1440" s="8" t="b">
        <v>0</v>
      </c>
      <c r="AB1440" s="8" t="b">
        <v>0</v>
      </c>
      <c r="AC1440" s="8" t="b">
        <v>0</v>
      </c>
      <c r="AD1440" s="8" t="b">
        <v>1</v>
      </c>
      <c r="AE1440" s="8" t="b">
        <v>0</v>
      </c>
      <c r="AG1440" s="11" t="b" cm="1">
        <f t="array" ref="AG1440">IF(OR(Y1440:AA1440="TRUE", AE1440="true"), "Threatened")</f>
        <v>0</v>
      </c>
      <c r="AH1440" s="11" t="s">
        <v>3793</v>
      </c>
      <c r="AI1440" s="8" t="b">
        <v>1</v>
      </c>
    </row>
    <row r="1441" spans="1:35" ht="31.2">
      <c r="A1441" s="8">
        <v>-73.974866919999997</v>
      </c>
      <c r="B1441" s="8">
        <v>40.774387920000002</v>
      </c>
      <c r="C1441" s="8" t="s">
        <v>3794</v>
      </c>
      <c r="D1441" s="8" t="s">
        <v>472</v>
      </c>
      <c r="E1441" s="8" t="b">
        <f t="shared" si="22"/>
        <v>0</v>
      </c>
      <c r="F1441" s="8" t="str" cm="1">
        <f t="array" ref="F1441">_xlfn._xlws.FILTER(E1441:E4639, C1441:C4639= "6D-PM-1020-01", "No Squirrels Found")</f>
        <v>No Squirrels Found</v>
      </c>
      <c r="G1441" s="8" t="s">
        <v>48</v>
      </c>
      <c r="H1441" s="10">
        <v>10062018</v>
      </c>
      <c r="I1441" s="10">
        <v>1</v>
      </c>
      <c r="J1441" s="8" t="s">
        <v>39</v>
      </c>
      <c r="K1441" s="8" t="s">
        <v>40</v>
      </c>
      <c r="L1441" s="8" t="s">
        <v>41</v>
      </c>
      <c r="M1441" s="8" t="s">
        <v>42</v>
      </c>
      <c r="O1441" s="8" t="s">
        <v>43</v>
      </c>
      <c r="P1441" s="8" t="b">
        <v>0</v>
      </c>
      <c r="R1441" s="8" t="b">
        <v>1</v>
      </c>
      <c r="S1441" s="8" t="b">
        <v>0</v>
      </c>
      <c r="T1441" s="8" t="b">
        <v>0</v>
      </c>
      <c r="U1441" s="8" t="b">
        <v>0</v>
      </c>
      <c r="V1441" s="8" t="b">
        <v>0</v>
      </c>
      <c r="X1441" s="8" t="b">
        <v>0</v>
      </c>
      <c r="Y1441" s="8" t="b">
        <v>0</v>
      </c>
      <c r="Z1441" s="8" t="b">
        <v>0</v>
      </c>
      <c r="AA1441" s="8" t="b">
        <v>0</v>
      </c>
      <c r="AB1441" s="8" t="b">
        <v>0</v>
      </c>
      <c r="AC1441" s="8" t="b">
        <v>0</v>
      </c>
      <c r="AD1441" s="8" t="b">
        <v>0</v>
      </c>
      <c r="AE1441" s="8" t="b">
        <v>1</v>
      </c>
      <c r="AG1441" s="11" t="b" cm="1">
        <f t="array" ref="AG1441">IF(OR(Y1441:AA1441="TRUE", AE1441="true"), "Threatened")</f>
        <v>0</v>
      </c>
      <c r="AH1441" s="11" t="s">
        <v>3795</v>
      </c>
      <c r="AI1441" s="8" t="b">
        <v>1</v>
      </c>
    </row>
    <row r="1442" spans="1:35" ht="31.2">
      <c r="A1442" s="8">
        <v>-73.961335649999995</v>
      </c>
      <c r="B1442" s="8">
        <v>40.781887689999998</v>
      </c>
      <c r="C1442" s="8" t="s">
        <v>3796</v>
      </c>
      <c r="D1442" s="8" t="s">
        <v>3797</v>
      </c>
      <c r="E1442" s="8" t="b">
        <f t="shared" si="22"/>
        <v>0</v>
      </c>
      <c r="F1442" s="8" t="str" cm="1">
        <f t="array" ref="F1442">_xlfn._xlws.FILTER(E1442:E4640, C1442:C4640= "6D-PM-1020-01", "No Squirrels Found")</f>
        <v>No Squirrels Found</v>
      </c>
      <c r="G1442" s="8" t="s">
        <v>34</v>
      </c>
      <c r="H1442" s="10">
        <v>10192018</v>
      </c>
      <c r="I1442" s="10">
        <v>1</v>
      </c>
      <c r="J1442" s="8" t="s">
        <v>39</v>
      </c>
      <c r="K1442" s="8" t="s">
        <v>40</v>
      </c>
      <c r="M1442" s="8" t="s">
        <v>55</v>
      </c>
      <c r="O1442" s="8" t="s">
        <v>43</v>
      </c>
      <c r="P1442" s="8" t="b">
        <v>0</v>
      </c>
      <c r="R1442" s="8" t="b">
        <v>1</v>
      </c>
      <c r="S1442" s="8" t="b">
        <v>0</v>
      </c>
      <c r="T1442" s="8" t="b">
        <v>0</v>
      </c>
      <c r="U1442" s="8" t="b">
        <v>0</v>
      </c>
      <c r="V1442" s="8" t="b">
        <v>0</v>
      </c>
      <c r="X1442" s="8" t="b">
        <v>0</v>
      </c>
      <c r="Y1442" s="8" t="b">
        <v>0</v>
      </c>
      <c r="Z1442" s="8" t="b">
        <v>0</v>
      </c>
      <c r="AA1442" s="8" t="b">
        <v>0</v>
      </c>
      <c r="AB1442" s="8" t="b">
        <v>0</v>
      </c>
      <c r="AC1442" s="8" t="b">
        <v>0</v>
      </c>
      <c r="AD1442" s="8" t="b">
        <v>0</v>
      </c>
      <c r="AE1442" s="8" t="b">
        <v>0</v>
      </c>
      <c r="AG1442" s="11" t="b" cm="1">
        <f t="array" ref="AG1442">IF(OR(Y1442:AA1442="TRUE", AE1442="true"), "Threatened")</f>
        <v>0</v>
      </c>
      <c r="AH1442" s="11" t="s">
        <v>3798</v>
      </c>
      <c r="AI1442" s="8" t="b">
        <v>1</v>
      </c>
    </row>
    <row r="1443" spans="1:35" ht="109.2">
      <c r="A1443" s="8">
        <v>-73.961241950000002</v>
      </c>
      <c r="B1443" s="8">
        <v>40.794167710000004</v>
      </c>
      <c r="C1443" s="8" t="s">
        <v>3799</v>
      </c>
      <c r="D1443" s="8" t="s">
        <v>434</v>
      </c>
      <c r="E1443" s="8" t="b">
        <f t="shared" si="22"/>
        <v>0</v>
      </c>
      <c r="F1443" s="8" t="str" cm="1">
        <f t="array" ref="F1443">_xlfn._xlws.FILTER(E1443:E4641, C1443:C4641= "6D-PM-1020-01", "No Squirrels Found")</f>
        <v>No Squirrels Found</v>
      </c>
      <c r="G1443" s="8" t="s">
        <v>34</v>
      </c>
      <c r="H1443" s="10">
        <v>10132018</v>
      </c>
      <c r="I1443" s="10">
        <v>7</v>
      </c>
      <c r="J1443" s="8" t="s">
        <v>39</v>
      </c>
      <c r="K1443" s="8" t="s">
        <v>40</v>
      </c>
      <c r="M1443" s="8" t="s">
        <v>55</v>
      </c>
      <c r="O1443" s="8" t="s">
        <v>43</v>
      </c>
      <c r="P1443" s="8" t="b">
        <v>0</v>
      </c>
      <c r="R1443" s="8" t="b">
        <v>1</v>
      </c>
      <c r="S1443" s="8" t="b">
        <v>0</v>
      </c>
      <c r="T1443" s="8" t="b">
        <v>1</v>
      </c>
      <c r="U1443" s="8" t="b">
        <v>1</v>
      </c>
      <c r="V1443" s="8" t="b">
        <v>0</v>
      </c>
      <c r="W1443" s="11" t="s">
        <v>3800</v>
      </c>
      <c r="X1443" s="8" t="b">
        <v>0</v>
      </c>
      <c r="Y1443" s="8" t="b">
        <v>0</v>
      </c>
      <c r="Z1443" s="8" t="b">
        <v>0</v>
      </c>
      <c r="AA1443" s="8" t="b">
        <v>0</v>
      </c>
      <c r="AB1443" s="8" t="b">
        <v>0</v>
      </c>
      <c r="AC1443" s="8" t="b">
        <v>1</v>
      </c>
      <c r="AD1443" s="8" t="b">
        <v>1</v>
      </c>
      <c r="AE1443" s="8" t="b">
        <v>1</v>
      </c>
      <c r="AF1443" s="11" t="s">
        <v>3801</v>
      </c>
      <c r="AG1443" s="11" t="b" cm="1">
        <f t="array" ref="AG1443">IF(OR(Y1443:AA1443="TRUE", AE1443="true"), "Threatened")</f>
        <v>0</v>
      </c>
      <c r="AH1443" s="11" t="s">
        <v>3802</v>
      </c>
      <c r="AI1443" s="8" t="b">
        <v>0</v>
      </c>
    </row>
    <row r="1444" spans="1:35" ht="31.2">
      <c r="A1444" s="8">
        <v>-73.972851149999997</v>
      </c>
      <c r="B1444" s="8">
        <v>40.778265480000002</v>
      </c>
      <c r="C1444" s="8" t="s">
        <v>3803</v>
      </c>
      <c r="D1444" s="8" t="s">
        <v>1764</v>
      </c>
      <c r="E1444" s="8" t="b">
        <f t="shared" si="22"/>
        <v>0</v>
      </c>
      <c r="F1444" s="8" t="str" cm="1">
        <f t="array" ref="F1444">_xlfn._xlws.FILTER(E1444:E4642, C1444:C4642= "6D-PM-1020-01", "No Squirrels Found")</f>
        <v>No Squirrels Found</v>
      </c>
      <c r="G1444" s="8" t="s">
        <v>34</v>
      </c>
      <c r="H1444" s="10">
        <v>10142018</v>
      </c>
      <c r="I1444" s="10">
        <v>3</v>
      </c>
      <c r="J1444" s="8" t="s">
        <v>39</v>
      </c>
      <c r="K1444" s="8" t="s">
        <v>40</v>
      </c>
      <c r="L1444" s="8" t="s">
        <v>41</v>
      </c>
      <c r="M1444" s="8" t="s">
        <v>42</v>
      </c>
      <c r="O1444" s="8" t="s">
        <v>43</v>
      </c>
      <c r="P1444" s="8" t="b">
        <v>0</v>
      </c>
      <c r="R1444" s="8" t="b">
        <v>0</v>
      </c>
      <c r="S1444" s="8" t="b">
        <v>0</v>
      </c>
      <c r="T1444" s="8" t="b">
        <v>0</v>
      </c>
      <c r="U1444" s="8" t="b">
        <v>0</v>
      </c>
      <c r="V1444" s="8" t="b">
        <v>1</v>
      </c>
      <c r="X1444" s="8" t="b">
        <v>0</v>
      </c>
      <c r="Y1444" s="8" t="b">
        <v>0</v>
      </c>
      <c r="Z1444" s="8" t="b">
        <v>0</v>
      </c>
      <c r="AA1444" s="8" t="b">
        <v>0</v>
      </c>
      <c r="AB1444" s="8" t="b">
        <v>0</v>
      </c>
      <c r="AC1444" s="8" t="b">
        <v>0</v>
      </c>
      <c r="AD1444" s="8" t="b">
        <v>0</v>
      </c>
      <c r="AE1444" s="8" t="b">
        <v>1</v>
      </c>
      <c r="AG1444" s="11" t="b" cm="1">
        <f t="array" ref="AG1444">IF(OR(Y1444:AA1444="TRUE", AE1444="true"), "Threatened")</f>
        <v>0</v>
      </c>
      <c r="AH1444" s="11" t="s">
        <v>3804</v>
      </c>
      <c r="AI1444" s="8" t="b">
        <v>1</v>
      </c>
    </row>
    <row r="1445" spans="1:35" ht="31.2">
      <c r="A1445" s="8">
        <v>-73.976385239999999</v>
      </c>
      <c r="B1445" s="8">
        <v>40.768876249999998</v>
      </c>
      <c r="C1445" s="8" t="s">
        <v>3805</v>
      </c>
      <c r="D1445" s="8" t="s">
        <v>544</v>
      </c>
      <c r="E1445" s="8" t="b">
        <f t="shared" si="22"/>
        <v>0</v>
      </c>
      <c r="F1445" s="8" t="str" cm="1">
        <f t="array" ref="F1445">_xlfn._xlws.FILTER(E1445:E4643, C1445:C4643= "6D-PM-1020-01", "No Squirrels Found")</f>
        <v>No Squirrels Found</v>
      </c>
      <c r="G1445" s="8" t="s">
        <v>48</v>
      </c>
      <c r="H1445" s="10">
        <v>10122018</v>
      </c>
      <c r="I1445" s="10">
        <v>2</v>
      </c>
      <c r="J1445" s="8" t="s">
        <v>39</v>
      </c>
      <c r="K1445" s="8" t="s">
        <v>40</v>
      </c>
      <c r="L1445" s="8" t="s">
        <v>41</v>
      </c>
      <c r="M1445" s="8" t="s">
        <v>42</v>
      </c>
      <c r="O1445" s="8" t="s">
        <v>43</v>
      </c>
      <c r="P1445" s="8" t="b">
        <v>0</v>
      </c>
      <c r="R1445" s="8" t="b">
        <v>0</v>
      </c>
      <c r="S1445" s="8" t="b">
        <v>0</v>
      </c>
      <c r="T1445" s="8" t="b">
        <v>1</v>
      </c>
      <c r="U1445" s="8" t="b">
        <v>1</v>
      </c>
      <c r="V1445" s="8" t="b">
        <v>0</v>
      </c>
      <c r="X1445" s="8" t="b">
        <v>0</v>
      </c>
      <c r="Y1445" s="8" t="b">
        <v>0</v>
      </c>
      <c r="Z1445" s="8" t="b">
        <v>0</v>
      </c>
      <c r="AA1445" s="8" t="b">
        <v>0</v>
      </c>
      <c r="AB1445" s="8" t="b">
        <v>0</v>
      </c>
      <c r="AC1445" s="8" t="b">
        <v>0</v>
      </c>
      <c r="AD1445" s="8" t="b">
        <v>1</v>
      </c>
      <c r="AE1445" s="8" t="b">
        <v>0</v>
      </c>
      <c r="AG1445" s="11" t="b" cm="1">
        <f t="array" ref="AG1445">IF(OR(Y1445:AA1445="TRUE", AE1445="true"), "Threatened")</f>
        <v>0</v>
      </c>
      <c r="AH1445" s="11" t="s">
        <v>3806</v>
      </c>
      <c r="AI1445" s="8" t="b">
        <v>1</v>
      </c>
    </row>
    <row r="1446" spans="1:35" ht="31.2">
      <c r="A1446" s="8">
        <v>-73.969619679999994</v>
      </c>
      <c r="B1446" s="8">
        <v>40.78364311</v>
      </c>
      <c r="C1446" s="8" t="s">
        <v>3807</v>
      </c>
      <c r="D1446" s="8" t="s">
        <v>2014</v>
      </c>
      <c r="E1446" s="8" t="b">
        <f t="shared" si="22"/>
        <v>0</v>
      </c>
      <c r="F1446" s="8" t="str" cm="1">
        <f t="array" ref="F1446">_xlfn._xlws.FILTER(E1446:E4644, C1446:C4644= "6D-PM-1020-01", "No Squirrels Found")</f>
        <v>No Squirrels Found</v>
      </c>
      <c r="G1446" s="8" t="s">
        <v>48</v>
      </c>
      <c r="H1446" s="10">
        <v>10192018</v>
      </c>
      <c r="I1446" s="10">
        <v>9</v>
      </c>
      <c r="J1446" s="8" t="s">
        <v>39</v>
      </c>
      <c r="K1446" s="8" t="s">
        <v>40</v>
      </c>
      <c r="M1446" s="8" t="s">
        <v>55</v>
      </c>
      <c r="O1446" s="8" t="s">
        <v>43</v>
      </c>
      <c r="P1446" s="8" t="b">
        <v>0</v>
      </c>
      <c r="R1446" s="8" t="b">
        <v>0</v>
      </c>
      <c r="S1446" s="8" t="b">
        <v>0</v>
      </c>
      <c r="T1446" s="8" t="b">
        <v>0</v>
      </c>
      <c r="U1446" s="8" t="b">
        <v>0</v>
      </c>
      <c r="V1446" s="8" t="b">
        <v>1</v>
      </c>
      <c r="X1446" s="8" t="b">
        <v>0</v>
      </c>
      <c r="Y1446" s="8" t="b">
        <v>0</v>
      </c>
      <c r="Z1446" s="8" t="b">
        <v>0</v>
      </c>
      <c r="AA1446" s="8" t="b">
        <v>0</v>
      </c>
      <c r="AB1446" s="8" t="b">
        <v>0</v>
      </c>
      <c r="AC1446" s="8" t="b">
        <v>0</v>
      </c>
      <c r="AD1446" s="8" t="b">
        <v>1</v>
      </c>
      <c r="AE1446" s="8" t="b">
        <v>0</v>
      </c>
      <c r="AG1446" s="11" t="b" cm="1">
        <f t="array" ref="AG1446">IF(OR(Y1446:AA1446="TRUE", AE1446="true"), "Threatened")</f>
        <v>0</v>
      </c>
      <c r="AH1446" s="11" t="s">
        <v>3808</v>
      </c>
      <c r="AI1446" s="8" t="b">
        <v>1</v>
      </c>
    </row>
    <row r="1447" spans="1:35" ht="31.2">
      <c r="A1447" s="8">
        <v>-73.977523880000007</v>
      </c>
      <c r="B1447" s="8">
        <v>40.767579269999999</v>
      </c>
      <c r="C1447" s="8" t="s">
        <v>3809</v>
      </c>
      <c r="D1447" s="8" t="s">
        <v>768</v>
      </c>
      <c r="E1447" s="8" t="b">
        <f t="shared" si="22"/>
        <v>0</v>
      </c>
      <c r="F1447" s="8" t="str" cm="1">
        <f t="array" ref="F1447">_xlfn._xlws.FILTER(E1447:E4645, C1447:C4645= "6D-PM-1020-01", "No Squirrels Found")</f>
        <v>No Squirrels Found</v>
      </c>
      <c r="G1447" s="8" t="s">
        <v>48</v>
      </c>
      <c r="H1447" s="10">
        <v>10072018</v>
      </c>
      <c r="I1447" s="10">
        <v>5</v>
      </c>
      <c r="J1447" s="8" t="s">
        <v>39</v>
      </c>
      <c r="K1447" s="8" t="s">
        <v>40</v>
      </c>
      <c r="M1447" s="8" t="s">
        <v>55</v>
      </c>
      <c r="O1447" s="8" t="s">
        <v>50</v>
      </c>
      <c r="P1447" s="8">
        <v>100</v>
      </c>
      <c r="R1447" s="8" t="b">
        <v>1</v>
      </c>
      <c r="S1447" s="8" t="b">
        <v>0</v>
      </c>
      <c r="T1447" s="8" t="b">
        <v>0</v>
      </c>
      <c r="U1447" s="8" t="b">
        <v>0</v>
      </c>
      <c r="V1447" s="8" t="b">
        <v>0</v>
      </c>
      <c r="X1447" s="8" t="b">
        <v>0</v>
      </c>
      <c r="Y1447" s="8" t="b">
        <v>0</v>
      </c>
      <c r="Z1447" s="8" t="b">
        <v>0</v>
      </c>
      <c r="AA1447" s="8" t="b">
        <v>0</v>
      </c>
      <c r="AB1447" s="8" t="b">
        <v>0</v>
      </c>
      <c r="AC1447" s="8" t="b">
        <v>0</v>
      </c>
      <c r="AD1447" s="8" t="b">
        <v>0</v>
      </c>
      <c r="AE1447" s="8" t="b">
        <v>0</v>
      </c>
      <c r="AG1447" s="11" t="b" cm="1">
        <f t="array" ref="AG1447">IF(OR(Y1447:AA1447="TRUE", AE1447="true"), "Threatened")</f>
        <v>0</v>
      </c>
      <c r="AH1447" s="11" t="s">
        <v>3810</v>
      </c>
      <c r="AI1447" s="8" t="b">
        <v>1</v>
      </c>
    </row>
    <row r="1448" spans="1:35" ht="31.2">
      <c r="A1448" s="8">
        <v>-73.960196809999999</v>
      </c>
      <c r="B1448" s="8">
        <v>40.793583179999999</v>
      </c>
      <c r="C1448" s="8" t="s">
        <v>3811</v>
      </c>
      <c r="D1448" s="8" t="s">
        <v>3812</v>
      </c>
      <c r="E1448" s="8" t="b">
        <f t="shared" si="22"/>
        <v>0</v>
      </c>
      <c r="F1448" s="8" t="str" cm="1">
        <f t="array" ref="F1448">_xlfn._xlws.FILTER(E1448:E4646, C1448:C4646= "6D-PM-1020-01", "No Squirrels Found")</f>
        <v>No Squirrels Found</v>
      </c>
      <c r="G1448" s="8" t="s">
        <v>34</v>
      </c>
      <c r="H1448" s="10">
        <v>10122018</v>
      </c>
      <c r="I1448" s="10">
        <v>3</v>
      </c>
      <c r="J1448" s="8" t="s">
        <v>39</v>
      </c>
      <c r="K1448" s="8" t="s">
        <v>40</v>
      </c>
      <c r="L1448" s="8" t="s">
        <v>41</v>
      </c>
      <c r="M1448" s="8" t="s">
        <v>42</v>
      </c>
      <c r="O1448" s="8" t="s">
        <v>43</v>
      </c>
      <c r="P1448" s="8" t="b">
        <v>0</v>
      </c>
      <c r="R1448" s="8" t="b">
        <v>1</v>
      </c>
      <c r="S1448" s="8" t="b">
        <v>0</v>
      </c>
      <c r="T1448" s="8" t="b">
        <v>0</v>
      </c>
      <c r="U1448" s="8" t="b">
        <v>0</v>
      </c>
      <c r="V1448" s="8" t="b">
        <v>1</v>
      </c>
      <c r="X1448" s="8" t="b">
        <v>0</v>
      </c>
      <c r="Y1448" s="8" t="b">
        <v>0</v>
      </c>
      <c r="Z1448" s="8" t="b">
        <v>0</v>
      </c>
      <c r="AA1448" s="8" t="b">
        <v>0</v>
      </c>
      <c r="AB1448" s="8" t="b">
        <v>0</v>
      </c>
      <c r="AC1448" s="8" t="b">
        <v>0</v>
      </c>
      <c r="AD1448" s="8" t="b">
        <v>1</v>
      </c>
      <c r="AE1448" s="8" t="b">
        <v>0</v>
      </c>
      <c r="AG1448" s="11" t="b" cm="1">
        <f t="array" ref="AG1448">IF(OR(Y1448:AA1448="TRUE", AE1448="true"), "Threatened")</f>
        <v>0</v>
      </c>
      <c r="AH1448" s="11" t="s">
        <v>3813</v>
      </c>
      <c r="AI1448" s="8" t="b">
        <v>1</v>
      </c>
    </row>
    <row r="1449" spans="1:35" ht="31.2">
      <c r="A1449" s="8">
        <v>-73.977281009999999</v>
      </c>
      <c r="B1449" s="8">
        <v>40.769357749999998</v>
      </c>
      <c r="C1449" s="8" t="s">
        <v>3814</v>
      </c>
      <c r="D1449" s="8" t="s">
        <v>1586</v>
      </c>
      <c r="E1449" s="8" t="b">
        <f t="shared" si="22"/>
        <v>0</v>
      </c>
      <c r="F1449" s="8" t="str" cm="1">
        <f t="array" ref="F1449">_xlfn._xlws.FILTER(E1449:E4647, C1449:C4647= "6D-PM-1020-01", "No Squirrels Found")</f>
        <v>No Squirrels Found</v>
      </c>
      <c r="G1449" s="8" t="s">
        <v>34</v>
      </c>
      <c r="H1449" s="10">
        <v>10102018</v>
      </c>
      <c r="I1449" s="10">
        <v>3</v>
      </c>
      <c r="J1449" s="8" t="s">
        <v>39</v>
      </c>
      <c r="K1449" s="8" t="s">
        <v>41</v>
      </c>
      <c r="L1449" s="8" t="s">
        <v>40</v>
      </c>
      <c r="M1449" s="8" t="s">
        <v>110</v>
      </c>
      <c r="O1449" s="8" t="s">
        <v>43</v>
      </c>
      <c r="P1449" s="8" t="b">
        <v>0</v>
      </c>
      <c r="R1449" s="8" t="b">
        <v>0</v>
      </c>
      <c r="S1449" s="8" t="b">
        <v>1</v>
      </c>
      <c r="T1449" s="8" t="b">
        <v>0</v>
      </c>
      <c r="U1449" s="8" t="b">
        <v>0</v>
      </c>
      <c r="V1449" s="8" t="b">
        <v>1</v>
      </c>
      <c r="X1449" s="8" t="b">
        <v>0</v>
      </c>
      <c r="Y1449" s="8" t="b">
        <v>0</v>
      </c>
      <c r="Z1449" s="8" t="b">
        <v>0</v>
      </c>
      <c r="AA1449" s="8" t="b">
        <v>0</v>
      </c>
      <c r="AB1449" s="8" t="b">
        <v>0</v>
      </c>
      <c r="AC1449" s="8" t="b">
        <v>0</v>
      </c>
      <c r="AD1449" s="8" t="b">
        <v>1</v>
      </c>
      <c r="AE1449" s="8" t="b">
        <v>0</v>
      </c>
      <c r="AG1449" s="11" t="b" cm="1">
        <f t="array" ref="AG1449">IF(OR(Y1449:AA1449="TRUE", AE1449="true"), "Threatened")</f>
        <v>0</v>
      </c>
      <c r="AH1449" s="11" t="s">
        <v>3815</v>
      </c>
      <c r="AI1449" s="8" t="b">
        <v>1</v>
      </c>
    </row>
    <row r="1450" spans="1:35" ht="31.2">
      <c r="A1450" s="8">
        <v>-73.956112489999995</v>
      </c>
      <c r="B1450" s="8">
        <v>40.794944059999999</v>
      </c>
      <c r="C1450" s="8" t="s">
        <v>3816</v>
      </c>
      <c r="D1450" s="8" t="s">
        <v>38</v>
      </c>
      <c r="E1450" s="8" t="b">
        <f t="shared" si="22"/>
        <v>0</v>
      </c>
      <c r="F1450" s="8" t="str" cm="1">
        <f t="array" ref="F1450">_xlfn._xlws.FILTER(E1450:E4648, C1450:C4648= "6D-PM-1020-01", "No Squirrels Found")</f>
        <v>No Squirrels Found</v>
      </c>
      <c r="G1450" s="8" t="s">
        <v>48</v>
      </c>
      <c r="H1450" s="10">
        <v>10132018</v>
      </c>
      <c r="I1450" s="10">
        <v>4</v>
      </c>
      <c r="J1450" s="8" t="s">
        <v>39</v>
      </c>
      <c r="K1450" s="8" t="s">
        <v>40</v>
      </c>
      <c r="L1450" s="8" t="s">
        <v>117</v>
      </c>
      <c r="M1450" s="8" t="s">
        <v>118</v>
      </c>
      <c r="O1450" s="8" t="s">
        <v>50</v>
      </c>
      <c r="P1450" s="8">
        <v>8</v>
      </c>
      <c r="R1450" s="8" t="b">
        <v>0</v>
      </c>
      <c r="S1450" s="8" t="b">
        <v>0</v>
      </c>
      <c r="T1450" s="8" t="b">
        <v>1</v>
      </c>
      <c r="U1450" s="8" t="b">
        <v>1</v>
      </c>
      <c r="V1450" s="8" t="b">
        <v>0</v>
      </c>
      <c r="X1450" s="8" t="b">
        <v>1</v>
      </c>
      <c r="Y1450" s="8" t="b">
        <v>0</v>
      </c>
      <c r="Z1450" s="8" t="b">
        <v>0</v>
      </c>
      <c r="AA1450" s="8" t="b">
        <v>0</v>
      </c>
      <c r="AB1450" s="8" t="b">
        <v>0</v>
      </c>
      <c r="AC1450" s="8" t="b">
        <v>0</v>
      </c>
      <c r="AD1450" s="8" t="b">
        <v>0</v>
      </c>
      <c r="AE1450" s="8" t="b">
        <v>1</v>
      </c>
      <c r="AG1450" s="11" t="b" cm="1">
        <f t="array" ref="AG1450">IF(OR(Y1450:AA1450="TRUE", AE1450="true"), "Threatened")</f>
        <v>0</v>
      </c>
      <c r="AH1450" s="11" t="s">
        <v>3817</v>
      </c>
      <c r="AI1450" s="8" t="b">
        <v>1</v>
      </c>
    </row>
    <row r="1451" spans="1:35" ht="31.2">
      <c r="A1451" s="8">
        <v>-73.958081309999997</v>
      </c>
      <c r="B1451" s="8">
        <v>40.79055382</v>
      </c>
      <c r="C1451" s="8" t="s">
        <v>3818</v>
      </c>
      <c r="D1451" s="8" t="s">
        <v>144</v>
      </c>
      <c r="E1451" s="8" t="b">
        <f t="shared" si="22"/>
        <v>0</v>
      </c>
      <c r="F1451" s="8" t="str" cm="1">
        <f t="array" ref="F1451">_xlfn._xlws.FILTER(E1451:E4649, C1451:C4649= "6D-PM-1020-01", "No Squirrels Found")</f>
        <v>No Squirrels Found</v>
      </c>
      <c r="G1451" s="8" t="s">
        <v>34</v>
      </c>
      <c r="H1451" s="10">
        <v>10082018</v>
      </c>
      <c r="I1451" s="10">
        <v>4</v>
      </c>
      <c r="J1451" s="8" t="s">
        <v>39</v>
      </c>
      <c r="K1451" s="8" t="s">
        <v>40</v>
      </c>
      <c r="M1451" s="8" t="s">
        <v>55</v>
      </c>
      <c r="O1451" s="8" t="s">
        <v>43</v>
      </c>
      <c r="P1451" s="8" t="b">
        <v>0</v>
      </c>
      <c r="R1451" s="8" t="b">
        <v>0</v>
      </c>
      <c r="S1451" s="8" t="b">
        <v>0</v>
      </c>
      <c r="T1451" s="8" t="b">
        <v>0</v>
      </c>
      <c r="U1451" s="8" t="b">
        <v>0</v>
      </c>
      <c r="V1451" s="8" t="b">
        <v>1</v>
      </c>
      <c r="X1451" s="8" t="b">
        <v>0</v>
      </c>
      <c r="Y1451" s="8" t="b">
        <v>0</v>
      </c>
      <c r="Z1451" s="8" t="b">
        <v>0</v>
      </c>
      <c r="AA1451" s="8" t="b">
        <v>0</v>
      </c>
      <c r="AB1451" s="8" t="b">
        <v>0</v>
      </c>
      <c r="AC1451" s="8" t="b">
        <v>0</v>
      </c>
      <c r="AD1451" s="8" t="b">
        <v>0</v>
      </c>
      <c r="AE1451" s="8" t="b">
        <v>0</v>
      </c>
      <c r="AG1451" s="11" t="b" cm="1">
        <f t="array" ref="AG1451">IF(OR(Y1451:AA1451="TRUE", AE1451="true"), "Threatened")</f>
        <v>0</v>
      </c>
      <c r="AH1451" s="11" t="s">
        <v>3819</v>
      </c>
      <c r="AI1451" s="8" t="b">
        <v>1</v>
      </c>
    </row>
    <row r="1452" spans="1:35" ht="31.2">
      <c r="A1452" s="8">
        <v>-73.964536519999996</v>
      </c>
      <c r="B1452" s="8">
        <v>40.778153099999997</v>
      </c>
      <c r="C1452" s="8" t="s">
        <v>3820</v>
      </c>
      <c r="D1452" s="8" t="s">
        <v>1813</v>
      </c>
      <c r="E1452" s="8" t="b">
        <f t="shared" si="22"/>
        <v>0</v>
      </c>
      <c r="F1452" s="8" t="str" cm="1">
        <f t="array" ref="F1452">_xlfn._xlws.FILTER(E1452:E4650, C1452:C4650= "6D-PM-1020-01", "No Squirrels Found")</f>
        <v>No Squirrels Found</v>
      </c>
      <c r="G1452" s="8" t="s">
        <v>48</v>
      </c>
      <c r="H1452" s="10">
        <v>10182018</v>
      </c>
      <c r="I1452" s="10">
        <v>2</v>
      </c>
      <c r="J1452" s="8" t="s">
        <v>39</v>
      </c>
      <c r="K1452" s="8" t="s">
        <v>40</v>
      </c>
      <c r="L1452" s="8" t="s">
        <v>41</v>
      </c>
      <c r="M1452" s="8" t="s">
        <v>42</v>
      </c>
      <c r="O1452" s="8" t="s">
        <v>50</v>
      </c>
      <c r="Q1452" s="8" t="s">
        <v>2868</v>
      </c>
      <c r="R1452" s="8" t="b">
        <v>1</v>
      </c>
      <c r="S1452" s="8" t="b">
        <v>1</v>
      </c>
      <c r="T1452" s="8" t="b">
        <v>0</v>
      </c>
      <c r="U1452" s="8" t="b">
        <v>0</v>
      </c>
      <c r="V1452" s="8" t="b">
        <v>0</v>
      </c>
      <c r="W1452" s="11" t="s">
        <v>3821</v>
      </c>
      <c r="X1452" s="8" t="b">
        <v>0</v>
      </c>
      <c r="Y1452" s="8" t="b">
        <v>0</v>
      </c>
      <c r="Z1452" s="8" t="b">
        <v>0</v>
      </c>
      <c r="AA1452" s="8" t="b">
        <v>0</v>
      </c>
      <c r="AB1452" s="8" t="b">
        <v>0</v>
      </c>
      <c r="AC1452" s="8" t="b">
        <v>0</v>
      </c>
      <c r="AD1452" s="8" t="b">
        <v>0</v>
      </c>
      <c r="AE1452" s="8" t="b">
        <v>0</v>
      </c>
      <c r="AG1452" s="11" t="b" cm="1">
        <f t="array" ref="AG1452">IF(OR(Y1452:AA1452="TRUE", AE1452="true"), "Threatened")</f>
        <v>0</v>
      </c>
      <c r="AH1452" s="11" t="s">
        <v>3822</v>
      </c>
      <c r="AI1452" s="8" t="b">
        <v>0</v>
      </c>
    </row>
    <row r="1453" spans="1:35" ht="31.2">
      <c r="A1453" s="8">
        <v>-73.96419899</v>
      </c>
      <c r="B1453" s="8">
        <v>40.789081039999999</v>
      </c>
      <c r="C1453" s="8" t="s">
        <v>3823</v>
      </c>
      <c r="D1453" s="8" t="s">
        <v>3643</v>
      </c>
      <c r="E1453" s="8" t="b">
        <f t="shared" si="22"/>
        <v>0</v>
      </c>
      <c r="F1453" s="8" t="str" cm="1">
        <f t="array" ref="F1453">_xlfn._xlws.FILTER(E1453:E4651, C1453:C4651= "6D-PM-1020-01", "No Squirrels Found")</f>
        <v>No Squirrels Found</v>
      </c>
      <c r="G1453" s="8" t="s">
        <v>48</v>
      </c>
      <c r="H1453" s="10">
        <v>10072018</v>
      </c>
      <c r="I1453" s="10">
        <v>1</v>
      </c>
      <c r="J1453" s="8" t="s">
        <v>39</v>
      </c>
      <c r="K1453" s="8" t="s">
        <v>40</v>
      </c>
      <c r="L1453" s="8" t="s">
        <v>41</v>
      </c>
      <c r="M1453" s="8" t="s">
        <v>42</v>
      </c>
      <c r="O1453" s="8" t="s">
        <v>43</v>
      </c>
      <c r="P1453" s="8" t="b">
        <v>0</v>
      </c>
      <c r="R1453" s="8" t="b">
        <v>0</v>
      </c>
      <c r="S1453" s="8" t="b">
        <v>0</v>
      </c>
      <c r="T1453" s="8" t="b">
        <v>0</v>
      </c>
      <c r="U1453" s="8" t="b">
        <v>0</v>
      </c>
      <c r="V1453" s="8" t="b">
        <v>1</v>
      </c>
      <c r="W1453" s="11" t="s">
        <v>3824</v>
      </c>
      <c r="X1453" s="8" t="b">
        <v>0</v>
      </c>
      <c r="Y1453" s="8" t="b">
        <v>0</v>
      </c>
      <c r="Z1453" s="8" t="b">
        <v>0</v>
      </c>
      <c r="AA1453" s="8" t="b">
        <v>0</v>
      </c>
      <c r="AB1453" s="8" t="b">
        <v>0</v>
      </c>
      <c r="AC1453" s="8" t="b">
        <v>0</v>
      </c>
      <c r="AD1453" s="8" t="b">
        <v>0</v>
      </c>
      <c r="AE1453" s="8" t="b">
        <v>0</v>
      </c>
      <c r="AG1453" s="11" t="b" cm="1">
        <f t="array" ref="AG1453">IF(OR(Y1453:AA1453="TRUE", AE1453="true"), "Threatened")</f>
        <v>0</v>
      </c>
      <c r="AH1453" s="11" t="s">
        <v>3825</v>
      </c>
      <c r="AI1453" s="8" t="b">
        <v>0</v>
      </c>
    </row>
    <row r="1454" spans="1:35" ht="31.2">
      <c r="A1454" s="8">
        <v>-73.95558561</v>
      </c>
      <c r="B1454" s="8">
        <v>40.796945770000001</v>
      </c>
      <c r="C1454" s="8" t="s">
        <v>3826</v>
      </c>
      <c r="D1454" s="8" t="s">
        <v>636</v>
      </c>
      <c r="E1454" s="8" t="b">
        <f t="shared" si="22"/>
        <v>0</v>
      </c>
      <c r="F1454" s="8" t="str" cm="1">
        <f t="array" ref="F1454">_xlfn._xlws.FILTER(E1454:E4652, C1454:C4652= "6D-PM-1020-01", "No Squirrels Found")</f>
        <v>No Squirrels Found</v>
      </c>
      <c r="G1454" s="8" t="s">
        <v>48</v>
      </c>
      <c r="H1454" s="10">
        <v>10142018</v>
      </c>
      <c r="I1454" s="10">
        <v>4</v>
      </c>
      <c r="J1454" s="8" t="s">
        <v>39</v>
      </c>
      <c r="K1454" s="8" t="s">
        <v>40</v>
      </c>
      <c r="L1454" s="8" t="s">
        <v>84</v>
      </c>
      <c r="M1454" s="8" t="s">
        <v>103</v>
      </c>
      <c r="O1454" s="8" t="s">
        <v>43</v>
      </c>
      <c r="P1454" s="8" t="b">
        <v>0</v>
      </c>
      <c r="Q1454" s="8" t="s">
        <v>3827</v>
      </c>
      <c r="R1454" s="8" t="b">
        <v>1</v>
      </c>
      <c r="S1454" s="8" t="b">
        <v>0</v>
      </c>
      <c r="T1454" s="8" t="b">
        <v>0</v>
      </c>
      <c r="U1454" s="8" t="b">
        <v>0</v>
      </c>
      <c r="V1454" s="8" t="b">
        <v>0</v>
      </c>
      <c r="W1454" s="11" t="s">
        <v>3828</v>
      </c>
      <c r="X1454" s="8" t="b">
        <v>0</v>
      </c>
      <c r="Y1454" s="8" t="b">
        <v>1</v>
      </c>
      <c r="Z1454" s="8" t="b">
        <v>0</v>
      </c>
      <c r="AA1454" s="8" t="b">
        <v>0</v>
      </c>
      <c r="AB1454" s="8" t="b">
        <v>1</v>
      </c>
      <c r="AC1454" s="8" t="b">
        <v>0</v>
      </c>
      <c r="AD1454" s="8" t="b">
        <v>1</v>
      </c>
      <c r="AE1454" s="8" t="b">
        <v>0</v>
      </c>
      <c r="AG1454" s="11" t="b" cm="1">
        <f t="array" ref="AG1454">IF(OR(Y1454:AA1454="TRUE", AE1454="true"), "Threatened")</f>
        <v>0</v>
      </c>
      <c r="AH1454" s="11" t="s">
        <v>3829</v>
      </c>
      <c r="AI1454" s="8" t="b">
        <v>0</v>
      </c>
    </row>
    <row r="1455" spans="1:35" ht="31.2">
      <c r="A1455" s="8">
        <v>-73.97538188</v>
      </c>
      <c r="B1455" s="8">
        <v>40.769784100000003</v>
      </c>
      <c r="C1455" s="8" t="s">
        <v>3830</v>
      </c>
      <c r="D1455" s="8" t="s">
        <v>53</v>
      </c>
      <c r="E1455" s="8" t="b">
        <f t="shared" si="22"/>
        <v>1</v>
      </c>
      <c r="F1455" s="8" t="str" cm="1">
        <f t="array" ref="F1455">_xlfn._xlws.FILTER(E1455:E4653, C1455:C4653= "6D-PM-1020-01", "No Squirrels Found")</f>
        <v>No Squirrels Found</v>
      </c>
      <c r="G1455" s="8" t="s">
        <v>34</v>
      </c>
      <c r="H1455" s="10">
        <v>10182018</v>
      </c>
      <c r="I1455" s="10">
        <v>6</v>
      </c>
      <c r="J1455" s="8" t="s">
        <v>39</v>
      </c>
      <c r="K1455" s="8" t="s">
        <v>40</v>
      </c>
      <c r="M1455" s="8" t="s">
        <v>55</v>
      </c>
      <c r="O1455" s="8" t="s">
        <v>43</v>
      </c>
      <c r="P1455" s="8" t="b">
        <v>0</v>
      </c>
      <c r="R1455" s="8" t="b">
        <v>0</v>
      </c>
      <c r="S1455" s="8" t="b">
        <v>0</v>
      </c>
      <c r="T1455" s="8" t="b">
        <v>0</v>
      </c>
      <c r="U1455" s="8" t="b">
        <v>0</v>
      </c>
      <c r="V1455" s="8" t="b">
        <v>1</v>
      </c>
      <c r="X1455" s="8" t="b">
        <v>0</v>
      </c>
      <c r="Y1455" s="8" t="b">
        <v>0</v>
      </c>
      <c r="Z1455" s="8" t="b">
        <v>0</v>
      </c>
      <c r="AA1455" s="8" t="b">
        <v>0</v>
      </c>
      <c r="AB1455" s="8" t="b">
        <v>0</v>
      </c>
      <c r="AC1455" s="8" t="b">
        <v>0</v>
      </c>
      <c r="AD1455" s="8" t="b">
        <v>1</v>
      </c>
      <c r="AE1455" s="8" t="b">
        <v>0</v>
      </c>
      <c r="AG1455" s="11" t="b" cm="1">
        <f t="array" ref="AG1455">IF(OR(Y1455:AA1455="TRUE", AE1455="true"), "Threatened")</f>
        <v>0</v>
      </c>
      <c r="AH1455" s="11" t="s">
        <v>3831</v>
      </c>
      <c r="AI1455" s="8" t="b">
        <v>1</v>
      </c>
    </row>
    <row r="1456" spans="1:35" ht="31.2">
      <c r="A1456" s="8">
        <v>-73.971562109999994</v>
      </c>
      <c r="B1456" s="8">
        <v>40.769591869999999</v>
      </c>
      <c r="C1456" s="8" t="s">
        <v>3832</v>
      </c>
      <c r="D1456" s="8" t="s">
        <v>113</v>
      </c>
      <c r="E1456" s="8" t="b">
        <f t="shared" si="22"/>
        <v>0</v>
      </c>
      <c r="F1456" s="8" t="str" cm="1">
        <f t="array" ref="F1456">_xlfn._xlws.FILTER(E1456:E4654, C1456:C4654= "6D-PM-1020-01", "No Squirrels Found")</f>
        <v>No Squirrels Found</v>
      </c>
      <c r="G1456" s="8" t="s">
        <v>48</v>
      </c>
      <c r="H1456" s="10">
        <v>10062018</v>
      </c>
      <c r="I1456" s="10">
        <v>2</v>
      </c>
      <c r="J1456" s="8" t="s">
        <v>39</v>
      </c>
      <c r="K1456" s="8" t="s">
        <v>40</v>
      </c>
      <c r="L1456" s="8" t="s">
        <v>41</v>
      </c>
      <c r="M1456" s="8" t="s">
        <v>42</v>
      </c>
      <c r="O1456" s="8" t="s">
        <v>43</v>
      </c>
      <c r="P1456" s="8" t="b">
        <v>0</v>
      </c>
      <c r="R1456" s="8" t="b">
        <v>1</v>
      </c>
      <c r="S1456" s="8" t="b">
        <v>0</v>
      </c>
      <c r="T1456" s="8" t="b">
        <v>0</v>
      </c>
      <c r="U1456" s="8" t="b">
        <v>0</v>
      </c>
      <c r="V1456" s="8" t="b">
        <v>1</v>
      </c>
      <c r="W1456" s="11" t="s">
        <v>3833</v>
      </c>
      <c r="X1456" s="8" t="b">
        <v>0</v>
      </c>
      <c r="Y1456" s="8" t="b">
        <v>0</v>
      </c>
      <c r="Z1456" s="8" t="b">
        <v>0</v>
      </c>
      <c r="AA1456" s="8" t="b">
        <v>0</v>
      </c>
      <c r="AB1456" s="8" t="b">
        <v>0</v>
      </c>
      <c r="AC1456" s="8" t="b">
        <v>0</v>
      </c>
      <c r="AD1456" s="8" t="b">
        <v>1</v>
      </c>
      <c r="AE1456" s="8" t="b">
        <v>0</v>
      </c>
      <c r="AG1456" s="11" t="b" cm="1">
        <f t="array" ref="AG1456">IF(OR(Y1456:AA1456="TRUE", AE1456="true"), "Threatened")</f>
        <v>0</v>
      </c>
      <c r="AH1456" s="11" t="s">
        <v>3834</v>
      </c>
      <c r="AI1456" s="8" t="b">
        <v>0</v>
      </c>
    </row>
    <row r="1457" spans="1:35" ht="31.2">
      <c r="A1457" s="8">
        <v>-73.971424240000005</v>
      </c>
      <c r="B1457" s="8">
        <v>40.774453579999999</v>
      </c>
      <c r="C1457" s="8" t="s">
        <v>3835</v>
      </c>
      <c r="D1457" s="8" t="s">
        <v>1115</v>
      </c>
      <c r="E1457" s="8" t="b">
        <f t="shared" si="22"/>
        <v>0</v>
      </c>
      <c r="F1457" s="8" t="str" cm="1">
        <f t="array" ref="F1457">_xlfn._xlws.FILTER(E1457:E4655, C1457:C4655= "6D-PM-1020-01", "No Squirrels Found")</f>
        <v>No Squirrels Found</v>
      </c>
      <c r="G1457" s="8" t="s">
        <v>34</v>
      </c>
      <c r="H1457" s="10">
        <v>10122018</v>
      </c>
      <c r="I1457" s="10">
        <v>5</v>
      </c>
      <c r="J1457" s="8" t="s">
        <v>39</v>
      </c>
      <c r="K1457" s="8" t="s">
        <v>40</v>
      </c>
      <c r="L1457" s="8" t="s">
        <v>84</v>
      </c>
      <c r="M1457" s="8" t="s">
        <v>103</v>
      </c>
      <c r="O1457" s="8" t="s">
        <v>43</v>
      </c>
      <c r="P1457" s="8" t="b">
        <v>0</v>
      </c>
      <c r="R1457" s="8" t="b">
        <v>1</v>
      </c>
      <c r="S1457" s="8" t="b">
        <v>0</v>
      </c>
      <c r="T1457" s="8" t="b">
        <v>0</v>
      </c>
      <c r="U1457" s="8" t="b">
        <v>1</v>
      </c>
      <c r="V1457" s="8" t="b">
        <v>1</v>
      </c>
      <c r="W1457" s="11" t="s">
        <v>3836</v>
      </c>
      <c r="X1457" s="8" t="b">
        <v>0</v>
      </c>
      <c r="Y1457" s="8" t="b">
        <v>0</v>
      </c>
      <c r="Z1457" s="8" t="b">
        <v>0</v>
      </c>
      <c r="AA1457" s="8" t="b">
        <v>0</v>
      </c>
      <c r="AB1457" s="8" t="b">
        <v>0</v>
      </c>
      <c r="AC1457" s="8" t="b">
        <v>0</v>
      </c>
      <c r="AD1457" s="8" t="b">
        <v>1</v>
      </c>
      <c r="AE1457" s="8" t="b">
        <v>0</v>
      </c>
      <c r="AG1457" s="11" t="b" cm="1">
        <f t="array" ref="AG1457">IF(OR(Y1457:AA1457="TRUE", AE1457="true"), "Threatened")</f>
        <v>0</v>
      </c>
      <c r="AH1457" s="11" t="s">
        <v>3837</v>
      </c>
      <c r="AI1457" s="8" t="b">
        <v>0</v>
      </c>
    </row>
    <row r="1458" spans="1:35" ht="31.2">
      <c r="A1458" s="8">
        <v>-73.969774470000004</v>
      </c>
      <c r="B1458" s="8">
        <v>40.775595039999999</v>
      </c>
      <c r="C1458" s="8" t="s">
        <v>3838</v>
      </c>
      <c r="D1458" s="8" t="s">
        <v>275</v>
      </c>
      <c r="E1458" s="8" t="b">
        <f t="shared" si="22"/>
        <v>0</v>
      </c>
      <c r="F1458" s="8" t="str" cm="1">
        <f t="array" ref="F1458">_xlfn._xlws.FILTER(E1458:E4656, C1458:C4656= "6D-PM-1020-01", "No Squirrels Found")</f>
        <v>No Squirrels Found</v>
      </c>
      <c r="G1458" s="8" t="s">
        <v>48</v>
      </c>
      <c r="H1458" s="10">
        <v>10072018</v>
      </c>
      <c r="I1458" s="10">
        <v>4</v>
      </c>
      <c r="J1458" s="8" t="s">
        <v>39</v>
      </c>
      <c r="K1458" s="8" t="s">
        <v>41</v>
      </c>
      <c r="L1458" s="8" t="s">
        <v>40</v>
      </c>
      <c r="M1458" s="8" t="s">
        <v>110</v>
      </c>
      <c r="O1458" s="8" t="s">
        <v>43</v>
      </c>
      <c r="P1458" s="8" t="b">
        <v>0</v>
      </c>
      <c r="R1458" s="8" t="b">
        <v>0</v>
      </c>
      <c r="S1458" s="8" t="b">
        <v>0</v>
      </c>
      <c r="T1458" s="8" t="b">
        <v>0</v>
      </c>
      <c r="U1458" s="8" t="b">
        <v>1</v>
      </c>
      <c r="V1458" s="8" t="b">
        <v>1</v>
      </c>
      <c r="X1458" s="8" t="b">
        <v>0</v>
      </c>
      <c r="Y1458" s="8" t="b">
        <v>0</v>
      </c>
      <c r="Z1458" s="8" t="b">
        <v>0</v>
      </c>
      <c r="AA1458" s="8" t="b">
        <v>0</v>
      </c>
      <c r="AB1458" s="8" t="b">
        <v>0</v>
      </c>
      <c r="AC1458" s="8" t="b">
        <v>0</v>
      </c>
      <c r="AD1458" s="8" t="b">
        <v>1</v>
      </c>
      <c r="AE1458" s="8" t="b">
        <v>0</v>
      </c>
      <c r="AG1458" s="11" t="b" cm="1">
        <f t="array" ref="AG1458">IF(OR(Y1458:AA1458="TRUE", AE1458="true"), "Threatened")</f>
        <v>0</v>
      </c>
      <c r="AH1458" s="11" t="s">
        <v>3839</v>
      </c>
      <c r="AI1458" s="8" t="b">
        <v>1</v>
      </c>
    </row>
    <row r="1459" spans="1:35" ht="31.2">
      <c r="A1459" s="8">
        <v>-73.954503720000005</v>
      </c>
      <c r="B1459" s="8">
        <v>40.79002251</v>
      </c>
      <c r="C1459" s="8" t="s">
        <v>3840</v>
      </c>
      <c r="D1459" s="8" t="s">
        <v>924</v>
      </c>
      <c r="E1459" s="8" t="b">
        <f t="shared" si="22"/>
        <v>0</v>
      </c>
      <c r="F1459" s="8" t="str" cm="1">
        <f t="array" ref="F1459">_xlfn._xlws.FILTER(E1459:E4657, C1459:C4657= "6D-PM-1020-01", "No Squirrels Found")</f>
        <v>No Squirrels Found</v>
      </c>
      <c r="G1459" s="8" t="s">
        <v>34</v>
      </c>
      <c r="H1459" s="10">
        <v>10062018</v>
      </c>
      <c r="I1459" s="10">
        <v>4</v>
      </c>
      <c r="J1459" s="8" t="s">
        <v>39</v>
      </c>
      <c r="K1459" s="8" t="s">
        <v>40</v>
      </c>
      <c r="M1459" s="8" t="s">
        <v>55</v>
      </c>
      <c r="O1459" s="8" t="s">
        <v>43</v>
      </c>
      <c r="P1459" s="8" t="b">
        <v>0</v>
      </c>
      <c r="R1459" s="8" t="b">
        <v>1</v>
      </c>
      <c r="S1459" s="8" t="b">
        <v>0</v>
      </c>
      <c r="T1459" s="8" t="b">
        <v>0</v>
      </c>
      <c r="U1459" s="8" t="b">
        <v>0</v>
      </c>
      <c r="V1459" s="8" t="b">
        <v>0</v>
      </c>
      <c r="X1459" s="8" t="b">
        <v>0</v>
      </c>
      <c r="Y1459" s="8" t="b">
        <v>0</v>
      </c>
      <c r="Z1459" s="8" t="b">
        <v>0</v>
      </c>
      <c r="AA1459" s="8" t="b">
        <v>0</v>
      </c>
      <c r="AB1459" s="8" t="b">
        <v>0</v>
      </c>
      <c r="AC1459" s="8" t="b">
        <v>0</v>
      </c>
      <c r="AD1459" s="8" t="b">
        <v>1</v>
      </c>
      <c r="AE1459" s="8" t="b">
        <v>0</v>
      </c>
      <c r="AG1459" s="11" t="b" cm="1">
        <f t="array" ref="AG1459">IF(OR(Y1459:AA1459="TRUE", AE1459="true"), "Threatened")</f>
        <v>0</v>
      </c>
      <c r="AH1459" s="11" t="s">
        <v>3841</v>
      </c>
      <c r="AI1459" s="8" t="b">
        <v>1</v>
      </c>
    </row>
    <row r="1460" spans="1:35" ht="31.2">
      <c r="A1460" s="8">
        <v>-73.956384790000001</v>
      </c>
      <c r="B1460" s="8">
        <v>40.79060123</v>
      </c>
      <c r="C1460" s="8" t="s">
        <v>3842</v>
      </c>
      <c r="D1460" s="8" t="s">
        <v>533</v>
      </c>
      <c r="E1460" s="8" t="b">
        <f t="shared" si="22"/>
        <v>0</v>
      </c>
      <c r="F1460" s="8" t="str" cm="1">
        <f t="array" ref="F1460">_xlfn._xlws.FILTER(E1460:E4658, C1460:C4658= "6D-PM-1020-01", "No Squirrels Found")</f>
        <v>No Squirrels Found</v>
      </c>
      <c r="G1460" s="8" t="s">
        <v>48</v>
      </c>
      <c r="H1460" s="10">
        <v>10132018</v>
      </c>
      <c r="I1460" s="10">
        <v>3</v>
      </c>
      <c r="J1460" s="8" t="s">
        <v>3843</v>
      </c>
      <c r="M1460" s="8" t="s">
        <v>35</v>
      </c>
      <c r="N1460" s="11" t="s">
        <v>3844</v>
      </c>
      <c r="O1460" s="8" t="s">
        <v>50</v>
      </c>
      <c r="P1460" s="8">
        <v>13</v>
      </c>
      <c r="R1460" s="8" t="b">
        <v>0</v>
      </c>
      <c r="S1460" s="8" t="b">
        <v>0</v>
      </c>
      <c r="T1460" s="8" t="b">
        <v>0</v>
      </c>
      <c r="U1460" s="8" t="b">
        <v>0</v>
      </c>
      <c r="V1460" s="8" t="b">
        <v>0</v>
      </c>
      <c r="W1460" s="11" t="s">
        <v>3845</v>
      </c>
      <c r="X1460" s="8" t="b">
        <v>0</v>
      </c>
      <c r="Y1460" s="8" t="b">
        <v>0</v>
      </c>
      <c r="Z1460" s="8" t="b">
        <v>0</v>
      </c>
      <c r="AA1460" s="8" t="b">
        <v>0</v>
      </c>
      <c r="AB1460" s="8" t="b">
        <v>0</v>
      </c>
      <c r="AC1460" s="8" t="b">
        <v>0</v>
      </c>
      <c r="AD1460" s="8" t="b">
        <v>0</v>
      </c>
      <c r="AE1460" s="8" t="b">
        <v>0</v>
      </c>
      <c r="AG1460" s="11" t="b" cm="1">
        <f t="array" ref="AG1460">IF(OR(Y1460:AA1460="TRUE", AE1460="true"), "Threatened")</f>
        <v>0</v>
      </c>
      <c r="AH1460" s="11" t="s">
        <v>3846</v>
      </c>
      <c r="AI1460" s="8" t="b">
        <v>0</v>
      </c>
    </row>
    <row r="1461" spans="1:35" ht="31.2">
      <c r="A1461" s="8">
        <v>-73.971433000000005</v>
      </c>
      <c r="B1461" s="8">
        <v>40.774187339999997</v>
      </c>
      <c r="C1461" s="8" t="s">
        <v>3847</v>
      </c>
      <c r="D1461" s="8" t="s">
        <v>1115</v>
      </c>
      <c r="E1461" s="8" t="b">
        <f t="shared" si="22"/>
        <v>0</v>
      </c>
      <c r="F1461" s="8" t="str" cm="1">
        <f t="array" ref="F1461">_xlfn._xlws.FILTER(E1461:E4659, C1461:C4659= "6D-PM-1020-01", "No Squirrels Found")</f>
        <v>No Squirrels Found</v>
      </c>
      <c r="G1461" s="8" t="s">
        <v>34</v>
      </c>
      <c r="H1461" s="10">
        <v>10122018</v>
      </c>
      <c r="I1461" s="10">
        <v>4</v>
      </c>
      <c r="J1461" s="8" t="s">
        <v>39</v>
      </c>
      <c r="K1461" s="8" t="s">
        <v>40</v>
      </c>
      <c r="L1461" s="8" t="s">
        <v>84</v>
      </c>
      <c r="M1461" s="8" t="s">
        <v>103</v>
      </c>
      <c r="O1461" s="8" t="s">
        <v>43</v>
      </c>
      <c r="P1461" s="8" t="b">
        <v>0</v>
      </c>
      <c r="R1461" s="8" t="b">
        <v>0</v>
      </c>
      <c r="S1461" s="8" t="b">
        <v>0</v>
      </c>
      <c r="T1461" s="8" t="b">
        <v>0</v>
      </c>
      <c r="U1461" s="8" t="b">
        <v>0</v>
      </c>
      <c r="V1461" s="8" t="b">
        <v>1</v>
      </c>
      <c r="X1461" s="8" t="b">
        <v>0</v>
      </c>
      <c r="Y1461" s="8" t="b">
        <v>0</v>
      </c>
      <c r="Z1461" s="8" t="b">
        <v>0</v>
      </c>
      <c r="AA1461" s="8" t="b">
        <v>0</v>
      </c>
      <c r="AB1461" s="8" t="b">
        <v>0</v>
      </c>
      <c r="AC1461" s="8" t="b">
        <v>0</v>
      </c>
      <c r="AD1461" s="8" t="b">
        <v>1</v>
      </c>
      <c r="AE1461" s="8" t="b">
        <v>0</v>
      </c>
      <c r="AG1461" s="11" t="b" cm="1">
        <f t="array" ref="AG1461">IF(OR(Y1461:AA1461="TRUE", AE1461="true"), "Threatened")</f>
        <v>0</v>
      </c>
      <c r="AH1461" s="11" t="s">
        <v>3848</v>
      </c>
      <c r="AI1461" s="8" t="b">
        <v>1</v>
      </c>
    </row>
    <row r="1462" spans="1:35" ht="31.2">
      <c r="A1462" s="8">
        <v>-73.956926910000007</v>
      </c>
      <c r="B1462" s="8">
        <v>40.796532329999998</v>
      </c>
      <c r="C1462" s="8" t="s">
        <v>3849</v>
      </c>
      <c r="D1462" s="8" t="s">
        <v>1948</v>
      </c>
      <c r="E1462" s="8" t="b">
        <f t="shared" si="22"/>
        <v>0</v>
      </c>
      <c r="F1462" s="8" t="str" cm="1">
        <f t="array" ref="F1462">_xlfn._xlws.FILTER(E1462:E4660, C1462:C4660= "6D-PM-1020-01", "No Squirrels Found")</f>
        <v>No Squirrels Found</v>
      </c>
      <c r="G1462" s="8" t="s">
        <v>34</v>
      </c>
      <c r="H1462" s="10">
        <v>10122018</v>
      </c>
      <c r="I1462" s="10">
        <v>3</v>
      </c>
      <c r="J1462" s="8" t="s">
        <v>39</v>
      </c>
      <c r="K1462" s="8" t="s">
        <v>40</v>
      </c>
      <c r="L1462" s="8" t="s">
        <v>84</v>
      </c>
      <c r="M1462" s="8" t="s">
        <v>103</v>
      </c>
      <c r="O1462" s="8" t="s">
        <v>43</v>
      </c>
      <c r="P1462" s="8" t="b">
        <v>0</v>
      </c>
      <c r="R1462" s="8" t="b">
        <v>1</v>
      </c>
      <c r="S1462" s="8" t="b">
        <v>0</v>
      </c>
      <c r="T1462" s="8" t="b">
        <v>0</v>
      </c>
      <c r="U1462" s="8" t="b">
        <v>0</v>
      </c>
      <c r="V1462" s="8" t="b">
        <v>0</v>
      </c>
      <c r="X1462" s="8" t="b">
        <v>0</v>
      </c>
      <c r="Y1462" s="8" t="b">
        <v>0</v>
      </c>
      <c r="Z1462" s="8" t="b">
        <v>0</v>
      </c>
      <c r="AA1462" s="8" t="b">
        <v>0</v>
      </c>
      <c r="AB1462" s="8" t="b">
        <v>0</v>
      </c>
      <c r="AC1462" s="8" t="b">
        <v>0</v>
      </c>
      <c r="AD1462" s="8" t="b">
        <v>0</v>
      </c>
      <c r="AE1462" s="8" t="b">
        <v>1</v>
      </c>
      <c r="AG1462" s="11" t="b" cm="1">
        <f t="array" ref="AG1462">IF(OR(Y1462:AA1462="TRUE", AE1462="true"), "Threatened")</f>
        <v>0</v>
      </c>
      <c r="AH1462" s="11" t="s">
        <v>3850</v>
      </c>
      <c r="AI1462" s="8" t="b">
        <v>1</v>
      </c>
    </row>
    <row r="1463" spans="1:35" ht="31.2">
      <c r="A1463" s="8">
        <v>-73.958406420000003</v>
      </c>
      <c r="B1463" s="8">
        <v>40.791227249999999</v>
      </c>
      <c r="C1463" s="8" t="s">
        <v>3851</v>
      </c>
      <c r="D1463" s="8" t="s">
        <v>92</v>
      </c>
      <c r="E1463" s="8" t="b">
        <f t="shared" si="22"/>
        <v>0</v>
      </c>
      <c r="F1463" s="8" t="str" cm="1">
        <f t="array" ref="F1463">_xlfn._xlws.FILTER(E1463:E4661, C1463:C4661= "6D-PM-1020-01", "No Squirrels Found")</f>
        <v>No Squirrels Found</v>
      </c>
      <c r="G1463" s="8" t="s">
        <v>34</v>
      </c>
      <c r="H1463" s="10">
        <v>10122018</v>
      </c>
      <c r="I1463" s="10">
        <v>4</v>
      </c>
      <c r="J1463" s="8" t="s">
        <v>39</v>
      </c>
      <c r="K1463" s="8" t="s">
        <v>40</v>
      </c>
      <c r="L1463" s="8" t="s">
        <v>117</v>
      </c>
      <c r="M1463" s="8" t="s">
        <v>118</v>
      </c>
      <c r="O1463" s="8" t="s">
        <v>43</v>
      </c>
      <c r="P1463" s="8" t="b">
        <v>0</v>
      </c>
      <c r="R1463" s="8" t="b">
        <v>1</v>
      </c>
      <c r="S1463" s="8" t="b">
        <v>0</v>
      </c>
      <c r="T1463" s="8" t="b">
        <v>0</v>
      </c>
      <c r="U1463" s="8" t="b">
        <v>1</v>
      </c>
      <c r="V1463" s="8" t="b">
        <v>1</v>
      </c>
      <c r="X1463" s="8" t="b">
        <v>0</v>
      </c>
      <c r="Y1463" s="8" t="b">
        <v>0</v>
      </c>
      <c r="Z1463" s="8" t="b">
        <v>0</v>
      </c>
      <c r="AA1463" s="8" t="b">
        <v>0</v>
      </c>
      <c r="AB1463" s="8" t="b">
        <v>1</v>
      </c>
      <c r="AC1463" s="8" t="b">
        <v>0</v>
      </c>
      <c r="AD1463" s="8" t="b">
        <v>0</v>
      </c>
      <c r="AE1463" s="8" t="b">
        <v>1</v>
      </c>
      <c r="AG1463" s="11" t="b" cm="1">
        <f t="array" ref="AG1463">IF(OR(Y1463:AA1463="TRUE", AE1463="true"), "Threatened")</f>
        <v>0</v>
      </c>
      <c r="AH1463" s="11" t="s">
        <v>3852</v>
      </c>
      <c r="AI1463" s="8" t="b">
        <v>1</v>
      </c>
    </row>
    <row r="1464" spans="1:35" ht="31.2">
      <c r="A1464" s="8">
        <v>-73.963009729999996</v>
      </c>
      <c r="B1464" s="8">
        <v>40.793665840000003</v>
      </c>
      <c r="C1464" s="8" t="s">
        <v>3853</v>
      </c>
      <c r="D1464" s="8" t="s">
        <v>2439</v>
      </c>
      <c r="E1464" s="8" t="b">
        <f t="shared" si="22"/>
        <v>0</v>
      </c>
      <c r="F1464" s="8" t="str" cm="1">
        <f t="array" ref="F1464">_xlfn._xlws.FILTER(E1464:E4662, C1464:C4662= "6D-PM-1020-01", "No Squirrels Found")</f>
        <v>No Squirrels Found</v>
      </c>
      <c r="G1464" s="8" t="s">
        <v>34</v>
      </c>
      <c r="H1464" s="10">
        <v>10182018</v>
      </c>
      <c r="I1464" s="10">
        <v>4</v>
      </c>
      <c r="J1464" s="8" t="s">
        <v>39</v>
      </c>
      <c r="K1464" s="8" t="s">
        <v>40</v>
      </c>
      <c r="L1464" s="8" t="s">
        <v>41</v>
      </c>
      <c r="M1464" s="8" t="s">
        <v>42</v>
      </c>
      <c r="O1464" s="8" t="s">
        <v>43</v>
      </c>
      <c r="P1464" s="8" t="b">
        <v>0</v>
      </c>
      <c r="R1464" s="8" t="b">
        <v>0</v>
      </c>
      <c r="S1464" s="8" t="b">
        <v>0</v>
      </c>
      <c r="T1464" s="8" t="b">
        <v>0</v>
      </c>
      <c r="U1464" s="8" t="b">
        <v>0</v>
      </c>
      <c r="V1464" s="8" t="b">
        <v>1</v>
      </c>
      <c r="X1464" s="8" t="b">
        <v>0</v>
      </c>
      <c r="Y1464" s="8" t="b">
        <v>0</v>
      </c>
      <c r="Z1464" s="8" t="b">
        <v>0</v>
      </c>
      <c r="AA1464" s="8" t="b">
        <v>0</v>
      </c>
      <c r="AB1464" s="8" t="b">
        <v>0</v>
      </c>
      <c r="AC1464" s="8" t="b">
        <v>0</v>
      </c>
      <c r="AD1464" s="8" t="b">
        <v>1</v>
      </c>
      <c r="AE1464" s="8" t="b">
        <v>0</v>
      </c>
      <c r="AG1464" s="11" t="b" cm="1">
        <f t="array" ref="AG1464">IF(OR(Y1464:AA1464="TRUE", AE1464="true"), "Threatened")</f>
        <v>0</v>
      </c>
      <c r="AH1464" s="11" t="s">
        <v>3854</v>
      </c>
      <c r="AI1464" s="8" t="b">
        <v>1</v>
      </c>
    </row>
    <row r="1465" spans="1:35" ht="31.2">
      <c r="A1465" s="8">
        <v>-73.953207460000002</v>
      </c>
      <c r="B1465" s="8">
        <v>40.793466950000003</v>
      </c>
      <c r="C1465" s="8" t="s">
        <v>3855</v>
      </c>
      <c r="D1465" s="8" t="s">
        <v>867</v>
      </c>
      <c r="E1465" s="8" t="b">
        <f t="shared" si="22"/>
        <v>0</v>
      </c>
      <c r="F1465" s="8" t="str" cm="1">
        <f t="array" ref="F1465">_xlfn._xlws.FILTER(E1465:E4663, C1465:C4663= "6D-PM-1020-01", "No Squirrels Found")</f>
        <v>No Squirrels Found</v>
      </c>
      <c r="G1465" s="8" t="s">
        <v>34</v>
      </c>
      <c r="H1465" s="10">
        <v>10062018</v>
      </c>
      <c r="I1465" s="10">
        <v>6</v>
      </c>
      <c r="J1465" s="8" t="s">
        <v>39</v>
      </c>
      <c r="K1465" s="8" t="s">
        <v>40</v>
      </c>
      <c r="L1465" s="8" t="s">
        <v>41</v>
      </c>
      <c r="M1465" s="8" t="s">
        <v>42</v>
      </c>
      <c r="O1465" s="8" t="s">
        <v>50</v>
      </c>
      <c r="P1465" s="8">
        <v>40</v>
      </c>
      <c r="Q1465" s="8" t="s">
        <v>206</v>
      </c>
      <c r="R1465" s="8" t="b">
        <v>1</v>
      </c>
      <c r="S1465" s="8" t="b">
        <v>0</v>
      </c>
      <c r="T1465" s="8" t="b">
        <v>1</v>
      </c>
      <c r="U1465" s="8" t="b">
        <v>0</v>
      </c>
      <c r="V1465" s="8" t="b">
        <v>0</v>
      </c>
      <c r="X1465" s="8" t="b">
        <v>0</v>
      </c>
      <c r="Y1465" s="8" t="b">
        <v>0</v>
      </c>
      <c r="Z1465" s="8" t="b">
        <v>0</v>
      </c>
      <c r="AA1465" s="8" t="b">
        <v>0</v>
      </c>
      <c r="AB1465" s="8" t="b">
        <v>0</v>
      </c>
      <c r="AC1465" s="8" t="b">
        <v>0</v>
      </c>
      <c r="AD1465" s="8" t="b">
        <v>0</v>
      </c>
      <c r="AE1465" s="8" t="b">
        <v>0</v>
      </c>
      <c r="AG1465" s="11" t="b" cm="1">
        <f t="array" ref="AG1465">IF(OR(Y1465:AA1465="TRUE", AE1465="true"), "Threatened")</f>
        <v>0</v>
      </c>
      <c r="AH1465" s="11" t="s">
        <v>3856</v>
      </c>
      <c r="AI1465" s="8" t="b">
        <v>1</v>
      </c>
    </row>
    <row r="1466" spans="1:35" ht="31.2">
      <c r="A1466" s="8">
        <v>-73.972028989999998</v>
      </c>
      <c r="B1466" s="8">
        <v>40.776374959999998</v>
      </c>
      <c r="C1466" s="8" t="s">
        <v>3857</v>
      </c>
      <c r="D1466" s="8" t="s">
        <v>613</v>
      </c>
      <c r="E1466" s="8" t="b">
        <f t="shared" si="22"/>
        <v>0</v>
      </c>
      <c r="F1466" s="8" t="str" cm="1">
        <f t="array" ref="F1466">_xlfn._xlws.FILTER(E1466:E4664, C1466:C4664= "6D-PM-1020-01", "No Squirrels Found")</f>
        <v>No Squirrels Found</v>
      </c>
      <c r="G1466" s="8" t="s">
        <v>34</v>
      </c>
      <c r="H1466" s="10">
        <v>10192018</v>
      </c>
      <c r="I1466" s="10">
        <v>3</v>
      </c>
      <c r="J1466" s="8" t="s">
        <v>39</v>
      </c>
      <c r="K1466" s="8" t="s">
        <v>40</v>
      </c>
      <c r="L1466" s="8" t="s">
        <v>84</v>
      </c>
      <c r="M1466" s="8" t="s">
        <v>103</v>
      </c>
      <c r="O1466" s="8" t="s">
        <v>43</v>
      </c>
      <c r="P1466" s="8" t="b">
        <v>0</v>
      </c>
      <c r="R1466" s="8" t="b">
        <v>1</v>
      </c>
      <c r="S1466" s="8" t="b">
        <v>0</v>
      </c>
      <c r="T1466" s="8" t="b">
        <v>0</v>
      </c>
      <c r="U1466" s="8" t="b">
        <v>1</v>
      </c>
      <c r="V1466" s="8" t="b">
        <v>0</v>
      </c>
      <c r="X1466" s="8" t="b">
        <v>0</v>
      </c>
      <c r="Y1466" s="8" t="b">
        <v>0</v>
      </c>
      <c r="Z1466" s="8" t="b">
        <v>0</v>
      </c>
      <c r="AA1466" s="8" t="b">
        <v>0</v>
      </c>
      <c r="AB1466" s="8" t="b">
        <v>0</v>
      </c>
      <c r="AC1466" s="8" t="b">
        <v>0</v>
      </c>
      <c r="AD1466" s="8" t="b">
        <v>0</v>
      </c>
      <c r="AE1466" s="8" t="b">
        <v>1</v>
      </c>
      <c r="AG1466" s="11" t="b" cm="1">
        <f t="array" ref="AG1466">IF(OR(Y1466:AA1466="TRUE", AE1466="true"), "Threatened")</f>
        <v>0</v>
      </c>
      <c r="AH1466" s="11" t="s">
        <v>3858</v>
      </c>
      <c r="AI1466" s="8" t="b">
        <v>1</v>
      </c>
    </row>
    <row r="1467" spans="1:35" ht="31.2">
      <c r="A1467" s="8">
        <v>-73.965117770000006</v>
      </c>
      <c r="B1467" s="8">
        <v>40.78124081</v>
      </c>
      <c r="C1467" s="8" t="s">
        <v>3859</v>
      </c>
      <c r="D1467" s="8" t="s">
        <v>574</v>
      </c>
      <c r="E1467" s="8" t="b">
        <f t="shared" si="22"/>
        <v>0</v>
      </c>
      <c r="F1467" s="8" t="str" cm="1">
        <f t="array" ref="F1467">_xlfn._xlws.FILTER(E1467:E4665, C1467:C4665= "6D-PM-1020-01", "No Squirrels Found")</f>
        <v>No Squirrels Found</v>
      </c>
      <c r="G1467" s="8" t="s">
        <v>34</v>
      </c>
      <c r="H1467" s="10">
        <v>10072018</v>
      </c>
      <c r="I1467" s="10">
        <v>5</v>
      </c>
      <c r="J1467" s="8" t="s">
        <v>54</v>
      </c>
      <c r="K1467" s="8" t="s">
        <v>40</v>
      </c>
      <c r="L1467" s="8" t="s">
        <v>84</v>
      </c>
      <c r="M1467" s="8" t="s">
        <v>103</v>
      </c>
      <c r="N1467" s="11" t="s">
        <v>3860</v>
      </c>
      <c r="O1467" s="8" t="s">
        <v>50</v>
      </c>
      <c r="P1467" s="8">
        <v>20</v>
      </c>
      <c r="R1467" s="8" t="b">
        <v>0</v>
      </c>
      <c r="S1467" s="8" t="b">
        <v>0</v>
      </c>
      <c r="T1467" s="8" t="b">
        <v>1</v>
      </c>
      <c r="U1467" s="8" t="b">
        <v>0</v>
      </c>
      <c r="V1467" s="8" t="b">
        <v>0</v>
      </c>
      <c r="X1467" s="8" t="b">
        <v>0</v>
      </c>
      <c r="Y1467" s="8" t="b">
        <v>0</v>
      </c>
      <c r="Z1467" s="8" t="b">
        <v>0</v>
      </c>
      <c r="AA1467" s="8" t="b">
        <v>0</v>
      </c>
      <c r="AB1467" s="8" t="b">
        <v>0</v>
      </c>
      <c r="AC1467" s="8" t="b">
        <v>0</v>
      </c>
      <c r="AD1467" s="8" t="b">
        <v>0</v>
      </c>
      <c r="AE1467" s="8" t="b">
        <v>1</v>
      </c>
      <c r="AG1467" s="11" t="b" cm="1">
        <f t="array" ref="AG1467">IF(OR(Y1467:AA1467="TRUE", AE1467="true"), "Threatened")</f>
        <v>0</v>
      </c>
      <c r="AH1467" s="11" t="s">
        <v>3861</v>
      </c>
      <c r="AI1467" s="8" t="b">
        <v>1</v>
      </c>
    </row>
    <row r="1468" spans="1:35" ht="46.8">
      <c r="A1468" s="8">
        <v>-73.968465730000005</v>
      </c>
      <c r="B1468" s="8">
        <v>40.784011360000001</v>
      </c>
      <c r="C1468" s="8" t="s">
        <v>3862</v>
      </c>
      <c r="D1468" s="8" t="s">
        <v>335</v>
      </c>
      <c r="E1468" s="8" t="b">
        <f t="shared" si="22"/>
        <v>0</v>
      </c>
      <c r="F1468" s="8" t="str" cm="1">
        <f t="array" ref="F1468">_xlfn._xlws.FILTER(E1468:E4666, C1468:C4666= "6D-PM-1020-01", "No Squirrels Found")</f>
        <v>No Squirrels Found</v>
      </c>
      <c r="G1468" s="8" t="s">
        <v>48</v>
      </c>
      <c r="H1468" s="10">
        <v>10132018</v>
      </c>
      <c r="I1468" s="10">
        <v>5</v>
      </c>
      <c r="J1468" s="8" t="s">
        <v>39</v>
      </c>
      <c r="K1468" s="8" t="s">
        <v>40</v>
      </c>
      <c r="L1468" s="8" t="s">
        <v>41</v>
      </c>
      <c r="M1468" s="8" t="s">
        <v>42</v>
      </c>
      <c r="O1468" s="8" t="s">
        <v>50</v>
      </c>
      <c r="Q1468" s="8" t="s">
        <v>206</v>
      </c>
      <c r="R1468" s="8" t="b">
        <v>0</v>
      </c>
      <c r="S1468" s="8" t="b">
        <v>0</v>
      </c>
      <c r="T1468" s="8" t="b">
        <v>1</v>
      </c>
      <c r="U1468" s="8" t="b">
        <v>0</v>
      </c>
      <c r="V1468" s="8" t="b">
        <v>0</v>
      </c>
      <c r="X1468" s="8" t="b">
        <v>0</v>
      </c>
      <c r="Y1468" s="8" t="b">
        <v>0</v>
      </c>
      <c r="Z1468" s="8" t="b">
        <v>0</v>
      </c>
      <c r="AA1468" s="8" t="b">
        <v>0</v>
      </c>
      <c r="AB1468" s="8" t="b">
        <v>0</v>
      </c>
      <c r="AC1468" s="8" t="b">
        <v>0</v>
      </c>
      <c r="AD1468" s="8" t="b">
        <v>0</v>
      </c>
      <c r="AE1468" s="8" t="b">
        <v>0</v>
      </c>
      <c r="AF1468" s="11" t="s">
        <v>3863</v>
      </c>
      <c r="AG1468" s="11" t="b" cm="1">
        <f t="array" ref="AG1468">IF(OR(Y1468:AA1468="TRUE", AE1468="true"), "Threatened")</f>
        <v>0</v>
      </c>
      <c r="AH1468" s="11" t="s">
        <v>3864</v>
      </c>
      <c r="AI1468" s="8" t="b">
        <v>1</v>
      </c>
    </row>
    <row r="1469" spans="1:35" ht="31.2">
      <c r="A1469" s="8">
        <v>-73.964058890000004</v>
      </c>
      <c r="B1469" s="8">
        <v>40.790044100000003</v>
      </c>
      <c r="C1469" s="8" t="s">
        <v>3865</v>
      </c>
      <c r="D1469" s="8" t="s">
        <v>1136</v>
      </c>
      <c r="E1469" s="8" t="b">
        <f t="shared" si="22"/>
        <v>0</v>
      </c>
      <c r="F1469" s="8" t="str" cm="1">
        <f t="array" ref="F1469">_xlfn._xlws.FILTER(E1469:E4667, C1469:C4667= "6D-PM-1020-01", "No Squirrels Found")</f>
        <v>No Squirrels Found</v>
      </c>
      <c r="G1469" s="8" t="s">
        <v>34</v>
      </c>
      <c r="H1469" s="10">
        <v>10102018</v>
      </c>
      <c r="I1469" s="10">
        <v>4</v>
      </c>
      <c r="J1469" s="8" t="s">
        <v>39</v>
      </c>
      <c r="K1469" s="8" t="s">
        <v>40</v>
      </c>
      <c r="L1469" s="8" t="s">
        <v>117</v>
      </c>
      <c r="M1469" s="8" t="s">
        <v>118</v>
      </c>
      <c r="O1469" s="8" t="s">
        <v>43</v>
      </c>
      <c r="P1469" s="8" t="b">
        <v>0</v>
      </c>
      <c r="R1469" s="8" t="b">
        <v>0</v>
      </c>
      <c r="S1469" s="8" t="b">
        <v>0</v>
      </c>
      <c r="T1469" s="8" t="b">
        <v>0</v>
      </c>
      <c r="U1469" s="8" t="b">
        <v>1</v>
      </c>
      <c r="V1469" s="8" t="b">
        <v>1</v>
      </c>
      <c r="X1469" s="8" t="b">
        <v>0</v>
      </c>
      <c r="Y1469" s="8" t="b">
        <v>0</v>
      </c>
      <c r="Z1469" s="8" t="b">
        <v>0</v>
      </c>
      <c r="AA1469" s="8" t="b">
        <v>0</v>
      </c>
      <c r="AB1469" s="8" t="b">
        <v>0</v>
      </c>
      <c r="AC1469" s="8" t="b">
        <v>0</v>
      </c>
      <c r="AD1469" s="8" t="b">
        <v>1</v>
      </c>
      <c r="AE1469" s="8" t="b">
        <v>0</v>
      </c>
      <c r="AG1469" s="11" t="b" cm="1">
        <f t="array" ref="AG1469">IF(OR(Y1469:AA1469="TRUE", AE1469="true"), "Threatened")</f>
        <v>0</v>
      </c>
      <c r="AH1469" s="11" t="s">
        <v>3866</v>
      </c>
      <c r="AI1469" s="8" t="b">
        <v>1</v>
      </c>
    </row>
    <row r="1470" spans="1:35" ht="31.2">
      <c r="A1470" s="8">
        <v>-73.970483119999997</v>
      </c>
      <c r="B1470" s="8">
        <v>40.769987899999997</v>
      </c>
      <c r="C1470" s="8" t="s">
        <v>3867</v>
      </c>
      <c r="D1470" s="8" t="s">
        <v>113</v>
      </c>
      <c r="E1470" s="8" t="b">
        <f t="shared" si="22"/>
        <v>0</v>
      </c>
      <c r="F1470" s="8" t="str" cm="1">
        <f t="array" ref="F1470">_xlfn._xlws.FILTER(E1470:E4668, C1470:C4668= "6D-PM-1020-01", "No Squirrels Found")</f>
        <v>No Squirrels Found</v>
      </c>
      <c r="G1470" s="8" t="s">
        <v>48</v>
      </c>
      <c r="H1470" s="10">
        <v>10062018</v>
      </c>
      <c r="I1470" s="10">
        <v>10</v>
      </c>
      <c r="J1470" s="8" t="s">
        <v>39</v>
      </c>
      <c r="K1470" s="8" t="s">
        <v>40</v>
      </c>
      <c r="L1470" s="8" t="s">
        <v>41</v>
      </c>
      <c r="M1470" s="8" t="s">
        <v>42</v>
      </c>
      <c r="O1470" s="8" t="s">
        <v>43</v>
      </c>
      <c r="P1470" s="8" t="b">
        <v>0</v>
      </c>
      <c r="R1470" s="8" t="b">
        <v>1</v>
      </c>
      <c r="S1470" s="8" t="b">
        <v>0</v>
      </c>
      <c r="T1470" s="8" t="b">
        <v>0</v>
      </c>
      <c r="U1470" s="8" t="b">
        <v>0</v>
      </c>
      <c r="V1470" s="8" t="b">
        <v>0</v>
      </c>
      <c r="X1470" s="8" t="b">
        <v>0</v>
      </c>
      <c r="Y1470" s="8" t="b">
        <v>0</v>
      </c>
      <c r="Z1470" s="8" t="b">
        <v>0</v>
      </c>
      <c r="AA1470" s="8" t="b">
        <v>0</v>
      </c>
      <c r="AB1470" s="8" t="b">
        <v>0</v>
      </c>
      <c r="AC1470" s="8" t="b">
        <v>0</v>
      </c>
      <c r="AD1470" s="8" t="b">
        <v>1</v>
      </c>
      <c r="AE1470" s="8" t="b">
        <v>0</v>
      </c>
      <c r="AG1470" s="11" t="b" cm="1">
        <f t="array" ref="AG1470">IF(OR(Y1470:AA1470="TRUE", AE1470="true"), "Threatened")</f>
        <v>0</v>
      </c>
      <c r="AH1470" s="11" t="s">
        <v>3868</v>
      </c>
      <c r="AI1470" s="8" t="b">
        <v>1</v>
      </c>
    </row>
    <row r="1471" spans="1:35" ht="31.2">
      <c r="A1471" s="8">
        <v>-73.972480660000002</v>
      </c>
      <c r="B1471" s="8">
        <v>40.77100772</v>
      </c>
      <c r="C1471" s="8" t="s">
        <v>3869</v>
      </c>
      <c r="D1471" s="8" t="s">
        <v>368</v>
      </c>
      <c r="E1471" s="8" t="b">
        <f t="shared" si="22"/>
        <v>0</v>
      </c>
      <c r="F1471" s="8" t="str" cm="1">
        <f t="array" ref="F1471">_xlfn._xlws.FILTER(E1471:E4669, C1471:C4669= "6D-PM-1020-01", "No Squirrels Found")</f>
        <v>No Squirrels Found</v>
      </c>
      <c r="G1471" s="8" t="s">
        <v>48</v>
      </c>
      <c r="H1471" s="10">
        <v>10082018</v>
      </c>
      <c r="I1471" s="10">
        <v>15</v>
      </c>
      <c r="J1471" s="8" t="s">
        <v>54</v>
      </c>
      <c r="K1471" s="8" t="s">
        <v>40</v>
      </c>
      <c r="M1471" s="8" t="s">
        <v>55</v>
      </c>
      <c r="O1471" s="8" t="s">
        <v>43</v>
      </c>
      <c r="P1471" s="8" t="b">
        <v>0</v>
      </c>
      <c r="R1471" s="8" t="b">
        <v>1</v>
      </c>
      <c r="S1471" s="8" t="b">
        <v>0</v>
      </c>
      <c r="T1471" s="8" t="b">
        <v>0</v>
      </c>
      <c r="U1471" s="8" t="b">
        <v>0</v>
      </c>
      <c r="V1471" s="8" t="b">
        <v>0</v>
      </c>
      <c r="X1471" s="8" t="b">
        <v>0</v>
      </c>
      <c r="Y1471" s="8" t="b">
        <v>0</v>
      </c>
      <c r="Z1471" s="8" t="b">
        <v>0</v>
      </c>
      <c r="AA1471" s="8" t="b">
        <v>0</v>
      </c>
      <c r="AB1471" s="8" t="b">
        <v>0</v>
      </c>
      <c r="AC1471" s="8" t="b">
        <v>0</v>
      </c>
      <c r="AD1471" s="8" t="b">
        <v>1</v>
      </c>
      <c r="AE1471" s="8" t="b">
        <v>0</v>
      </c>
      <c r="AG1471" s="11" t="b" cm="1">
        <f t="array" ref="AG1471">IF(OR(Y1471:AA1471="TRUE", AE1471="true"), "Threatened")</f>
        <v>0</v>
      </c>
      <c r="AH1471" s="11" t="s">
        <v>3870</v>
      </c>
      <c r="AI1471" s="8" t="b">
        <v>1</v>
      </c>
    </row>
    <row r="1472" spans="1:35" ht="31.2">
      <c r="A1472" s="8">
        <v>-73.961490240000003</v>
      </c>
      <c r="B1472" s="8">
        <v>40.7891282</v>
      </c>
      <c r="C1472" s="8" t="s">
        <v>3871</v>
      </c>
      <c r="D1472" s="8" t="s">
        <v>705</v>
      </c>
      <c r="E1472" s="8" t="b">
        <f t="shared" si="22"/>
        <v>0</v>
      </c>
      <c r="F1472" s="8" t="str" cm="1">
        <f t="array" ref="F1472">_xlfn._xlws.FILTER(E1472:E4670, C1472:C4670= "6D-PM-1020-01", "No Squirrels Found")</f>
        <v>No Squirrels Found</v>
      </c>
      <c r="G1472" s="8" t="s">
        <v>48</v>
      </c>
      <c r="H1472" s="10">
        <v>10172018</v>
      </c>
      <c r="I1472" s="10">
        <v>1</v>
      </c>
      <c r="J1472" s="8" t="s">
        <v>39</v>
      </c>
      <c r="K1472" s="8" t="s">
        <v>40</v>
      </c>
      <c r="M1472" s="8" t="s">
        <v>55</v>
      </c>
      <c r="O1472" s="8" t="s">
        <v>43</v>
      </c>
      <c r="P1472" s="8" t="b">
        <v>0</v>
      </c>
      <c r="R1472" s="8" t="b">
        <v>0</v>
      </c>
      <c r="S1472" s="8" t="b">
        <v>0</v>
      </c>
      <c r="T1472" s="8" t="b">
        <v>0</v>
      </c>
      <c r="U1472" s="8" t="b">
        <v>0</v>
      </c>
      <c r="V1472" s="8" t="b">
        <v>1</v>
      </c>
      <c r="X1472" s="8" t="b">
        <v>0</v>
      </c>
      <c r="Y1472" s="8" t="b">
        <v>0</v>
      </c>
      <c r="Z1472" s="8" t="b">
        <v>0</v>
      </c>
      <c r="AA1472" s="8" t="b">
        <v>0</v>
      </c>
      <c r="AB1472" s="8" t="b">
        <v>0</v>
      </c>
      <c r="AC1472" s="8" t="b">
        <v>0</v>
      </c>
      <c r="AD1472" s="8" t="b">
        <v>1</v>
      </c>
      <c r="AE1472" s="8" t="b">
        <v>0</v>
      </c>
      <c r="AG1472" s="11" t="b" cm="1">
        <f t="array" ref="AG1472">IF(OR(Y1472:AA1472="TRUE", AE1472="true"), "Threatened")</f>
        <v>0</v>
      </c>
      <c r="AH1472" s="11" t="s">
        <v>3872</v>
      </c>
      <c r="AI1472" s="8" t="b">
        <v>1</v>
      </c>
    </row>
    <row r="1473" spans="1:35" ht="31.2">
      <c r="A1473" s="8">
        <v>-73.969861199999997</v>
      </c>
      <c r="B1473" s="8">
        <v>40.775391560000003</v>
      </c>
      <c r="C1473" s="8" t="s">
        <v>3873</v>
      </c>
      <c r="D1473" s="8" t="s">
        <v>275</v>
      </c>
      <c r="E1473" s="8" t="b">
        <f t="shared" si="22"/>
        <v>0</v>
      </c>
      <c r="F1473" s="8" t="str" cm="1">
        <f t="array" ref="F1473">_xlfn._xlws.FILTER(E1473:E4671, C1473:C4671= "6D-PM-1020-01", "No Squirrels Found")</f>
        <v>No Squirrels Found</v>
      </c>
      <c r="G1473" s="8" t="s">
        <v>34</v>
      </c>
      <c r="H1473" s="10">
        <v>10082018</v>
      </c>
      <c r="I1473" s="10">
        <v>2</v>
      </c>
      <c r="J1473" s="8" t="s">
        <v>39</v>
      </c>
      <c r="K1473" s="8" t="s">
        <v>40</v>
      </c>
      <c r="L1473" s="8" t="s">
        <v>41</v>
      </c>
      <c r="M1473" s="8" t="s">
        <v>42</v>
      </c>
      <c r="O1473" s="8" t="s">
        <v>43</v>
      </c>
      <c r="P1473" s="8" t="b">
        <v>0</v>
      </c>
      <c r="R1473" s="8" t="b">
        <v>0</v>
      </c>
      <c r="S1473" s="8" t="b">
        <v>0</v>
      </c>
      <c r="T1473" s="8" t="b">
        <v>0</v>
      </c>
      <c r="U1473" s="8" t="b">
        <v>1</v>
      </c>
      <c r="V1473" s="8" t="b">
        <v>1</v>
      </c>
      <c r="X1473" s="8" t="b">
        <v>0</v>
      </c>
      <c r="Y1473" s="8" t="b">
        <v>0</v>
      </c>
      <c r="Z1473" s="8" t="b">
        <v>0</v>
      </c>
      <c r="AA1473" s="8" t="b">
        <v>0</v>
      </c>
      <c r="AB1473" s="8" t="b">
        <v>0</v>
      </c>
      <c r="AC1473" s="8" t="b">
        <v>0</v>
      </c>
      <c r="AD1473" s="8" t="b">
        <v>0</v>
      </c>
      <c r="AE1473" s="8" t="b">
        <v>1</v>
      </c>
      <c r="AG1473" s="11" t="b" cm="1">
        <f t="array" ref="AG1473">IF(OR(Y1473:AA1473="TRUE", AE1473="true"), "Threatened")</f>
        <v>0</v>
      </c>
      <c r="AH1473" s="11" t="s">
        <v>3874</v>
      </c>
      <c r="AI1473" s="8" t="b">
        <v>1</v>
      </c>
    </row>
    <row r="1474" spans="1:35" ht="31.2">
      <c r="A1474" s="8">
        <v>-73.958406420000003</v>
      </c>
      <c r="B1474" s="8">
        <v>40.791299289999998</v>
      </c>
      <c r="C1474" s="8" t="s">
        <v>3875</v>
      </c>
      <c r="D1474" s="8" t="s">
        <v>92</v>
      </c>
      <c r="E1474" s="8" t="b">
        <f t="shared" si="22"/>
        <v>0</v>
      </c>
      <c r="F1474" s="8" t="str" cm="1">
        <f t="array" ref="F1474">_xlfn._xlws.FILTER(E1474:E4672, C1474:C4672= "6D-PM-1020-01", "No Squirrels Found")</f>
        <v>No Squirrels Found</v>
      </c>
      <c r="G1474" s="8" t="s">
        <v>34</v>
      </c>
      <c r="H1474" s="10">
        <v>10122018</v>
      </c>
      <c r="I1474" s="10">
        <v>3</v>
      </c>
      <c r="J1474" s="8" t="s">
        <v>39</v>
      </c>
      <c r="K1474" s="8" t="s">
        <v>192</v>
      </c>
      <c r="L1474" s="8" t="s">
        <v>40</v>
      </c>
      <c r="M1474" s="8" t="s">
        <v>1236</v>
      </c>
      <c r="O1474" s="8" t="s">
        <v>43</v>
      </c>
      <c r="P1474" s="8" t="b">
        <v>0</v>
      </c>
      <c r="R1474" s="8" t="b">
        <v>0</v>
      </c>
      <c r="S1474" s="8" t="b">
        <v>0</v>
      </c>
      <c r="T1474" s="8" t="b">
        <v>0</v>
      </c>
      <c r="U1474" s="8" t="b">
        <v>1</v>
      </c>
      <c r="V1474" s="8" t="b">
        <v>1</v>
      </c>
      <c r="X1474" s="8" t="b">
        <v>0</v>
      </c>
      <c r="Y1474" s="8" t="b">
        <v>0</v>
      </c>
      <c r="Z1474" s="8" t="b">
        <v>0</v>
      </c>
      <c r="AA1474" s="8" t="b">
        <v>0</v>
      </c>
      <c r="AB1474" s="8" t="b">
        <v>1</v>
      </c>
      <c r="AC1474" s="8" t="b">
        <v>0</v>
      </c>
      <c r="AD1474" s="8" t="b">
        <v>1</v>
      </c>
      <c r="AE1474" s="8" t="b">
        <v>0</v>
      </c>
      <c r="AG1474" s="11" t="b" cm="1">
        <f t="array" ref="AG1474">IF(OR(Y1474:AA1474="TRUE", AE1474="true"), "Threatened")</f>
        <v>0</v>
      </c>
      <c r="AH1474" s="11" t="s">
        <v>3876</v>
      </c>
      <c r="AI1474" s="8" t="b">
        <v>1</v>
      </c>
    </row>
    <row r="1475" spans="1:35" ht="31.2">
      <c r="A1475" s="8">
        <v>-73.980197149999995</v>
      </c>
      <c r="B1475" s="8">
        <v>40.769708170000001</v>
      </c>
      <c r="C1475" s="8" t="s">
        <v>3877</v>
      </c>
      <c r="D1475" s="8" t="s">
        <v>253</v>
      </c>
      <c r="E1475" s="8" t="b">
        <f t="shared" ref="E1475:E1538" si="23">OR(D1475 = "05D", D1475 = "07D", D1475 = "06C", D1475 = "06E")</f>
        <v>0</v>
      </c>
      <c r="F1475" s="8" t="str" cm="1">
        <f t="array" ref="F1475">_xlfn._xlws.FILTER(E1475:E4673, C1475:C4673= "6D-PM-1020-01", "No Squirrels Found")</f>
        <v>No Squirrels Found</v>
      </c>
      <c r="G1475" s="8" t="s">
        <v>34</v>
      </c>
      <c r="H1475" s="10">
        <v>10172018</v>
      </c>
      <c r="I1475" s="10">
        <v>4</v>
      </c>
      <c r="J1475" s="8" t="s">
        <v>39</v>
      </c>
      <c r="K1475" s="8" t="s">
        <v>40</v>
      </c>
      <c r="L1475" s="8" t="s">
        <v>41</v>
      </c>
      <c r="M1475" s="8" t="s">
        <v>42</v>
      </c>
      <c r="O1475" s="8" t="s">
        <v>43</v>
      </c>
      <c r="P1475" s="8" t="b">
        <v>0</v>
      </c>
      <c r="R1475" s="8" t="b">
        <v>0</v>
      </c>
      <c r="S1475" s="8" t="b">
        <v>0</v>
      </c>
      <c r="T1475" s="8" t="b">
        <v>0</v>
      </c>
      <c r="U1475" s="8" t="b">
        <v>0</v>
      </c>
      <c r="V1475" s="8" t="b">
        <v>1</v>
      </c>
      <c r="X1475" s="8" t="b">
        <v>0</v>
      </c>
      <c r="Y1475" s="8" t="b">
        <v>0</v>
      </c>
      <c r="Z1475" s="8" t="b">
        <v>0</v>
      </c>
      <c r="AA1475" s="8" t="b">
        <v>0</v>
      </c>
      <c r="AB1475" s="8" t="b">
        <v>0</v>
      </c>
      <c r="AC1475" s="8" t="b">
        <v>1</v>
      </c>
      <c r="AD1475" s="8" t="b">
        <v>0</v>
      </c>
      <c r="AE1475" s="8" t="b">
        <v>0</v>
      </c>
      <c r="AG1475" s="11" t="b" cm="1">
        <f t="array" ref="AG1475">IF(OR(Y1475:AA1475="TRUE", AE1475="true"), "Threatened")</f>
        <v>0</v>
      </c>
      <c r="AH1475" s="11" t="s">
        <v>3878</v>
      </c>
      <c r="AI1475" s="8" t="b">
        <v>1</v>
      </c>
    </row>
    <row r="1476" spans="1:35" ht="31.2">
      <c r="A1476" s="8">
        <v>-73.968677819999996</v>
      </c>
      <c r="B1476" s="8">
        <v>40.77656253</v>
      </c>
      <c r="C1476" s="8" t="s">
        <v>3879</v>
      </c>
      <c r="D1476" s="8" t="s">
        <v>239</v>
      </c>
      <c r="E1476" s="8" t="b">
        <f t="shared" si="23"/>
        <v>0</v>
      </c>
      <c r="F1476" s="8" t="str" cm="1">
        <f t="array" ref="F1476">_xlfn._xlws.FILTER(E1476:E4674, C1476:C4674= "6D-PM-1020-01", "No Squirrels Found")</f>
        <v>No Squirrels Found</v>
      </c>
      <c r="G1476" s="8" t="s">
        <v>34</v>
      </c>
      <c r="H1476" s="10">
        <v>10122018</v>
      </c>
      <c r="I1476" s="10">
        <v>4</v>
      </c>
      <c r="M1476" s="8" t="s">
        <v>35</v>
      </c>
      <c r="R1476" s="8" t="b">
        <v>0</v>
      </c>
      <c r="S1476" s="8" t="b">
        <v>0</v>
      </c>
      <c r="T1476" s="8" t="b">
        <v>0</v>
      </c>
      <c r="U1476" s="8" t="b">
        <v>0</v>
      </c>
      <c r="V1476" s="8" t="b">
        <v>0</v>
      </c>
      <c r="X1476" s="8" t="b">
        <v>1</v>
      </c>
      <c r="Y1476" s="8" t="b">
        <v>1</v>
      </c>
      <c r="Z1476" s="8" t="b">
        <v>0</v>
      </c>
      <c r="AA1476" s="8" t="b">
        <v>0</v>
      </c>
      <c r="AB1476" s="8" t="b">
        <v>0</v>
      </c>
      <c r="AC1476" s="8" t="b">
        <v>0</v>
      </c>
      <c r="AD1476" s="8" t="b">
        <v>0</v>
      </c>
      <c r="AE1476" s="8" t="b">
        <v>0</v>
      </c>
      <c r="AG1476" s="11" t="b" cm="1">
        <f t="array" ref="AG1476">IF(OR(Y1476:AA1476="TRUE", AE1476="true"), "Threatened")</f>
        <v>0</v>
      </c>
      <c r="AH1476" s="11" t="s">
        <v>3880</v>
      </c>
      <c r="AI1476" s="8" t="b">
        <v>1</v>
      </c>
    </row>
    <row r="1477" spans="1:35" ht="31.2">
      <c r="A1477" s="8">
        <v>-73.976609490000001</v>
      </c>
      <c r="B1477" s="8">
        <v>40.771783290000002</v>
      </c>
      <c r="C1477" s="8" t="s">
        <v>3881</v>
      </c>
      <c r="D1477" s="8" t="s">
        <v>2804</v>
      </c>
      <c r="E1477" s="8" t="b">
        <f t="shared" si="23"/>
        <v>0</v>
      </c>
      <c r="F1477" s="8" t="str" cm="1">
        <f t="array" ref="F1477">_xlfn._xlws.FILTER(E1477:E4675, C1477:C4675= "6D-PM-1020-01", "No Squirrels Found")</f>
        <v>No Squirrels Found</v>
      </c>
      <c r="G1477" s="8" t="s">
        <v>34</v>
      </c>
      <c r="H1477" s="10">
        <v>10202018</v>
      </c>
      <c r="I1477" s="10">
        <v>4</v>
      </c>
      <c r="J1477" s="8" t="s">
        <v>39</v>
      </c>
      <c r="K1477" s="8" t="s">
        <v>40</v>
      </c>
      <c r="M1477" s="8" t="s">
        <v>55</v>
      </c>
      <c r="O1477" s="8" t="s">
        <v>50</v>
      </c>
      <c r="P1477" s="8">
        <v>1</v>
      </c>
      <c r="R1477" s="8" t="b">
        <v>0</v>
      </c>
      <c r="S1477" s="8" t="b">
        <v>0</v>
      </c>
      <c r="T1477" s="8" t="b">
        <v>1</v>
      </c>
      <c r="U1477" s="8" t="b">
        <v>0</v>
      </c>
      <c r="V1477" s="8" t="b">
        <v>0</v>
      </c>
      <c r="X1477" s="8" t="b">
        <v>0</v>
      </c>
      <c r="Y1477" s="8" t="b">
        <v>0</v>
      </c>
      <c r="Z1477" s="8" t="b">
        <v>0</v>
      </c>
      <c r="AA1477" s="8" t="b">
        <v>0</v>
      </c>
      <c r="AB1477" s="8" t="b">
        <v>0</v>
      </c>
      <c r="AC1477" s="8" t="b">
        <v>0</v>
      </c>
      <c r="AD1477" s="8" t="b">
        <v>0</v>
      </c>
      <c r="AE1477" s="8" t="b">
        <v>1</v>
      </c>
      <c r="AG1477" s="11" t="b" cm="1">
        <f t="array" ref="AG1477">IF(OR(Y1477:AA1477="TRUE", AE1477="true"), "Threatened")</f>
        <v>0</v>
      </c>
      <c r="AH1477" s="11" t="s">
        <v>3882</v>
      </c>
      <c r="AI1477" s="8" t="b">
        <v>1</v>
      </c>
    </row>
    <row r="1478" spans="1:35" ht="31.2">
      <c r="A1478" s="8">
        <v>-73.958963530000005</v>
      </c>
      <c r="B1478" s="8">
        <v>40.795174869999997</v>
      </c>
      <c r="C1478" s="8" t="s">
        <v>3883</v>
      </c>
      <c r="D1478" s="8" t="s">
        <v>928</v>
      </c>
      <c r="E1478" s="8" t="b">
        <f t="shared" si="23"/>
        <v>0</v>
      </c>
      <c r="F1478" s="8" t="str" cm="1">
        <f t="array" ref="F1478">_xlfn._xlws.FILTER(E1478:E4676, C1478:C4676= "6D-PM-1020-01", "No Squirrels Found")</f>
        <v>No Squirrels Found</v>
      </c>
      <c r="G1478" s="8" t="s">
        <v>48</v>
      </c>
      <c r="H1478" s="10">
        <v>10122018</v>
      </c>
      <c r="I1478" s="10">
        <v>2</v>
      </c>
      <c r="J1478" s="8" t="s">
        <v>39</v>
      </c>
      <c r="K1478" s="8" t="s">
        <v>40</v>
      </c>
      <c r="L1478" s="8" t="s">
        <v>41</v>
      </c>
      <c r="M1478" s="8" t="s">
        <v>42</v>
      </c>
      <c r="N1478" s="11" t="s">
        <v>3884</v>
      </c>
      <c r="O1478" s="8" t="s">
        <v>43</v>
      </c>
      <c r="P1478" s="8" t="b">
        <v>0</v>
      </c>
      <c r="R1478" s="8" t="b">
        <v>0</v>
      </c>
      <c r="S1478" s="8" t="b">
        <v>0</v>
      </c>
      <c r="T1478" s="8" t="b">
        <v>0</v>
      </c>
      <c r="U1478" s="8" t="b">
        <v>0</v>
      </c>
      <c r="V1478" s="8" t="b">
        <v>1</v>
      </c>
      <c r="W1478" s="11" t="s">
        <v>3885</v>
      </c>
      <c r="X1478" s="8" t="b">
        <v>0</v>
      </c>
      <c r="Y1478" s="8" t="b">
        <v>0</v>
      </c>
      <c r="Z1478" s="8" t="b">
        <v>0</v>
      </c>
      <c r="AA1478" s="8" t="b">
        <v>0</v>
      </c>
      <c r="AB1478" s="8" t="b">
        <v>0</v>
      </c>
      <c r="AC1478" s="8" t="b">
        <v>0</v>
      </c>
      <c r="AD1478" s="8" t="b">
        <v>1</v>
      </c>
      <c r="AE1478" s="8" t="b">
        <v>0</v>
      </c>
      <c r="AG1478" s="11" t="b" cm="1">
        <f t="array" ref="AG1478">IF(OR(Y1478:AA1478="TRUE", AE1478="true"), "Threatened")</f>
        <v>0</v>
      </c>
      <c r="AH1478" s="11" t="s">
        <v>3886</v>
      </c>
      <c r="AI1478" s="8" t="b">
        <v>0</v>
      </c>
    </row>
    <row r="1479" spans="1:35" ht="31.2">
      <c r="A1479" s="8">
        <v>-73.967637100000005</v>
      </c>
      <c r="B1479" s="8">
        <v>40.786988860000001</v>
      </c>
      <c r="C1479" s="8" t="s">
        <v>3887</v>
      </c>
      <c r="D1479" s="8" t="s">
        <v>147</v>
      </c>
      <c r="E1479" s="8" t="b">
        <f t="shared" si="23"/>
        <v>0</v>
      </c>
      <c r="F1479" s="8" t="str" cm="1">
        <f t="array" ref="F1479">_xlfn._xlws.FILTER(E1479:E4677, C1479:C4677= "6D-PM-1020-01", "No Squirrels Found")</f>
        <v>No Squirrels Found</v>
      </c>
      <c r="G1479" s="8" t="s">
        <v>48</v>
      </c>
      <c r="H1479" s="10">
        <v>10132018</v>
      </c>
      <c r="I1479" s="10">
        <v>1</v>
      </c>
      <c r="K1479" s="8" t="s">
        <v>40</v>
      </c>
      <c r="L1479" s="8" t="s">
        <v>84</v>
      </c>
      <c r="M1479" s="8" t="s">
        <v>103</v>
      </c>
      <c r="N1479" s="11" t="s">
        <v>3888</v>
      </c>
      <c r="O1479" s="8" t="s">
        <v>43</v>
      </c>
      <c r="P1479" s="8" t="b">
        <v>0</v>
      </c>
      <c r="R1479" s="8" t="b">
        <v>0</v>
      </c>
      <c r="S1479" s="8" t="b">
        <v>0</v>
      </c>
      <c r="T1479" s="8" t="b">
        <v>0</v>
      </c>
      <c r="U1479" s="8" t="b">
        <v>1</v>
      </c>
      <c r="V1479" s="8" t="b">
        <v>0</v>
      </c>
      <c r="W1479" s="11" t="s">
        <v>3889</v>
      </c>
      <c r="X1479" s="8" t="b">
        <v>0</v>
      </c>
      <c r="Y1479" s="8" t="b">
        <v>0</v>
      </c>
      <c r="Z1479" s="8" t="b">
        <v>0</v>
      </c>
      <c r="AA1479" s="8" t="b">
        <v>0</v>
      </c>
      <c r="AB1479" s="8" t="b">
        <v>0</v>
      </c>
      <c r="AC1479" s="8" t="b">
        <v>0</v>
      </c>
      <c r="AD1479" s="8" t="b">
        <v>1</v>
      </c>
      <c r="AE1479" s="8" t="b">
        <v>0</v>
      </c>
      <c r="AG1479" s="11" t="b" cm="1">
        <f t="array" ref="AG1479">IF(OR(Y1479:AA1479="TRUE", AE1479="true"), "Threatened")</f>
        <v>0</v>
      </c>
      <c r="AH1479" s="11" t="s">
        <v>3890</v>
      </c>
      <c r="AI1479" s="8" t="b">
        <v>0</v>
      </c>
    </row>
    <row r="1480" spans="1:35" ht="31.2">
      <c r="A1480" s="8">
        <v>-73.970749839999996</v>
      </c>
      <c r="B1480" s="8">
        <v>40.772372449999999</v>
      </c>
      <c r="C1480" s="8" t="s">
        <v>3891</v>
      </c>
      <c r="D1480" s="8" t="s">
        <v>609</v>
      </c>
      <c r="E1480" s="8" t="b">
        <f t="shared" si="23"/>
        <v>0</v>
      </c>
      <c r="F1480" s="8" t="str" cm="1">
        <f t="array" ref="F1480">_xlfn._xlws.FILTER(E1480:E4678, C1480:C4678= "6D-PM-1020-01", "No Squirrels Found")</f>
        <v>No Squirrels Found</v>
      </c>
      <c r="G1480" s="8" t="s">
        <v>34</v>
      </c>
      <c r="H1480" s="10">
        <v>10172018</v>
      </c>
      <c r="I1480" s="10">
        <v>9</v>
      </c>
      <c r="J1480" s="8" t="s">
        <v>39</v>
      </c>
      <c r="K1480" s="8" t="s">
        <v>40</v>
      </c>
      <c r="M1480" s="8" t="s">
        <v>55</v>
      </c>
      <c r="O1480" s="8" t="s">
        <v>43</v>
      </c>
      <c r="P1480" s="8" t="b">
        <v>0</v>
      </c>
      <c r="R1480" s="8" t="b">
        <v>0</v>
      </c>
      <c r="S1480" s="8" t="b">
        <v>1</v>
      </c>
      <c r="T1480" s="8" t="b">
        <v>0</v>
      </c>
      <c r="U1480" s="8" t="b">
        <v>0</v>
      </c>
      <c r="V1480" s="8" t="b">
        <v>0</v>
      </c>
      <c r="X1480" s="8" t="b">
        <v>0</v>
      </c>
      <c r="Y1480" s="8" t="b">
        <v>0</v>
      </c>
      <c r="Z1480" s="8" t="b">
        <v>0</v>
      </c>
      <c r="AA1480" s="8" t="b">
        <v>0</v>
      </c>
      <c r="AB1480" s="8" t="b">
        <v>0</v>
      </c>
      <c r="AC1480" s="8" t="b">
        <v>0</v>
      </c>
      <c r="AD1480" s="8" t="b">
        <v>1</v>
      </c>
      <c r="AE1480" s="8" t="b">
        <v>0</v>
      </c>
      <c r="AG1480" s="11" t="b" cm="1">
        <f t="array" ref="AG1480">IF(OR(Y1480:AA1480="TRUE", AE1480="true"), "Threatened")</f>
        <v>0</v>
      </c>
      <c r="AH1480" s="11" t="s">
        <v>3892</v>
      </c>
      <c r="AI1480" s="8" t="b">
        <v>1</v>
      </c>
    </row>
    <row r="1481" spans="1:35" ht="31.2">
      <c r="A1481" s="8">
        <v>-73.962852549999994</v>
      </c>
      <c r="B1481" s="8">
        <v>40.793844929999999</v>
      </c>
      <c r="C1481" s="8" t="s">
        <v>3893</v>
      </c>
      <c r="D1481" s="8" t="s">
        <v>2657</v>
      </c>
      <c r="E1481" s="8" t="b">
        <f t="shared" si="23"/>
        <v>0</v>
      </c>
      <c r="F1481" s="8" t="str" cm="1">
        <f t="array" ref="F1481">_xlfn._xlws.FILTER(E1481:E4679, C1481:C4679= "6D-PM-1020-01", "No Squirrels Found")</f>
        <v>No Squirrels Found</v>
      </c>
      <c r="G1481" s="8" t="s">
        <v>34</v>
      </c>
      <c r="H1481" s="10">
        <v>10132018</v>
      </c>
      <c r="I1481" s="10">
        <v>2</v>
      </c>
      <c r="J1481" s="8" t="s">
        <v>39</v>
      </c>
      <c r="K1481" s="8" t="s">
        <v>40</v>
      </c>
      <c r="L1481" s="8" t="s">
        <v>41</v>
      </c>
      <c r="M1481" s="8" t="s">
        <v>42</v>
      </c>
      <c r="O1481" s="8" t="s">
        <v>43</v>
      </c>
      <c r="P1481" s="8" t="b">
        <v>0</v>
      </c>
      <c r="R1481" s="8" t="b">
        <v>0</v>
      </c>
      <c r="S1481" s="8" t="b">
        <v>0</v>
      </c>
      <c r="T1481" s="8" t="b">
        <v>1</v>
      </c>
      <c r="U1481" s="8" t="b">
        <v>1</v>
      </c>
      <c r="V1481" s="8" t="b">
        <v>1</v>
      </c>
      <c r="W1481" s="11" t="s">
        <v>3894</v>
      </c>
      <c r="X1481" s="8" t="b">
        <v>0</v>
      </c>
      <c r="Y1481" s="8" t="b">
        <v>0</v>
      </c>
      <c r="Z1481" s="8" t="b">
        <v>0</v>
      </c>
      <c r="AA1481" s="8" t="b">
        <v>0</v>
      </c>
      <c r="AB1481" s="8" t="b">
        <v>0</v>
      </c>
      <c r="AC1481" s="8" t="b">
        <v>0</v>
      </c>
      <c r="AD1481" s="8" t="b">
        <v>0</v>
      </c>
      <c r="AE1481" s="8" t="b">
        <v>0</v>
      </c>
      <c r="AG1481" s="11" t="b" cm="1">
        <f t="array" ref="AG1481">IF(OR(Y1481:AA1481="TRUE", AE1481="true"), "Threatened")</f>
        <v>0</v>
      </c>
      <c r="AH1481" s="11" t="s">
        <v>3895</v>
      </c>
      <c r="AI1481" s="8" t="b">
        <v>0</v>
      </c>
    </row>
    <row r="1482" spans="1:35" ht="31.2">
      <c r="A1482" s="8">
        <v>-73.95388672</v>
      </c>
      <c r="B1482" s="8">
        <v>40.794140939999998</v>
      </c>
      <c r="C1482" s="8" t="s">
        <v>3896</v>
      </c>
      <c r="D1482" s="8" t="s">
        <v>293</v>
      </c>
      <c r="E1482" s="8" t="b">
        <f t="shared" si="23"/>
        <v>0</v>
      </c>
      <c r="F1482" s="8" t="str" cm="1">
        <f t="array" ref="F1482">_xlfn._xlws.FILTER(E1482:E4680, C1482:C4680= "6D-PM-1020-01", "No Squirrels Found")</f>
        <v>No Squirrels Found</v>
      </c>
      <c r="G1482" s="8" t="s">
        <v>34</v>
      </c>
      <c r="H1482" s="10">
        <v>10202018</v>
      </c>
      <c r="I1482" s="10">
        <v>3</v>
      </c>
      <c r="J1482" s="8" t="s">
        <v>39</v>
      </c>
      <c r="K1482" s="8" t="s">
        <v>40</v>
      </c>
      <c r="L1482" s="8" t="s">
        <v>41</v>
      </c>
      <c r="M1482" s="8" t="s">
        <v>42</v>
      </c>
      <c r="O1482" s="8" t="s">
        <v>43</v>
      </c>
      <c r="P1482" s="8" t="b">
        <v>0</v>
      </c>
      <c r="R1482" s="8" t="b">
        <v>1</v>
      </c>
      <c r="S1482" s="8" t="b">
        <v>0</v>
      </c>
      <c r="T1482" s="8" t="b">
        <v>0</v>
      </c>
      <c r="U1482" s="8" t="b">
        <v>0</v>
      </c>
      <c r="V1482" s="8" t="b">
        <v>0</v>
      </c>
      <c r="X1482" s="8" t="b">
        <v>0</v>
      </c>
      <c r="Y1482" s="8" t="b">
        <v>0</v>
      </c>
      <c r="Z1482" s="8" t="b">
        <v>0</v>
      </c>
      <c r="AA1482" s="8" t="b">
        <v>1</v>
      </c>
      <c r="AB1482" s="8" t="b">
        <v>0</v>
      </c>
      <c r="AC1482" s="8" t="b">
        <v>0</v>
      </c>
      <c r="AD1482" s="8" t="b">
        <v>1</v>
      </c>
      <c r="AE1482" s="8" t="b">
        <v>0</v>
      </c>
      <c r="AG1482" s="11" t="b" cm="1">
        <f t="array" ref="AG1482">IF(OR(Y1482:AA1482="TRUE", AE1482="true"), "Threatened")</f>
        <v>0</v>
      </c>
      <c r="AH1482" s="11" t="s">
        <v>3897</v>
      </c>
      <c r="AI1482" s="8" t="b">
        <v>1</v>
      </c>
    </row>
    <row r="1483" spans="1:35" ht="31.2">
      <c r="A1483" s="8">
        <v>-73.958861020000001</v>
      </c>
      <c r="B1483" s="8">
        <v>40.794526990000001</v>
      </c>
      <c r="C1483" s="8" t="s">
        <v>3898</v>
      </c>
      <c r="D1483" s="8" t="s">
        <v>1262</v>
      </c>
      <c r="E1483" s="8" t="b">
        <f t="shared" si="23"/>
        <v>0</v>
      </c>
      <c r="F1483" s="8" t="str" cm="1">
        <f t="array" ref="F1483">_xlfn._xlws.FILTER(E1483:E4681, C1483:C4681= "6D-PM-1020-01", "No Squirrels Found")</f>
        <v>No Squirrels Found</v>
      </c>
      <c r="G1483" s="8" t="s">
        <v>48</v>
      </c>
      <c r="H1483" s="10">
        <v>10142018</v>
      </c>
      <c r="I1483" s="10">
        <v>2</v>
      </c>
      <c r="J1483" s="8" t="s">
        <v>54</v>
      </c>
      <c r="K1483" s="8" t="s">
        <v>40</v>
      </c>
      <c r="L1483" s="8" t="s">
        <v>84</v>
      </c>
      <c r="M1483" s="8" t="s">
        <v>103</v>
      </c>
      <c r="O1483" s="8" t="s">
        <v>43</v>
      </c>
      <c r="P1483" s="8" t="b">
        <v>0</v>
      </c>
      <c r="Q1483" s="8" t="s">
        <v>3899</v>
      </c>
      <c r="R1483" s="8" t="b">
        <v>0</v>
      </c>
      <c r="S1483" s="8" t="b">
        <v>0</v>
      </c>
      <c r="T1483" s="8" t="b">
        <v>0</v>
      </c>
      <c r="U1483" s="8" t="b">
        <v>1</v>
      </c>
      <c r="V1483" s="8" t="b">
        <v>1</v>
      </c>
      <c r="X1483" s="8" t="b">
        <v>0</v>
      </c>
      <c r="Y1483" s="8" t="b">
        <v>0</v>
      </c>
      <c r="Z1483" s="8" t="b">
        <v>0</v>
      </c>
      <c r="AA1483" s="8" t="b">
        <v>0</v>
      </c>
      <c r="AB1483" s="8" t="b">
        <v>0</v>
      </c>
      <c r="AC1483" s="8" t="b">
        <v>0</v>
      </c>
      <c r="AD1483" s="8" t="b">
        <v>1</v>
      </c>
      <c r="AE1483" s="8" t="b">
        <v>0</v>
      </c>
      <c r="AG1483" s="11" t="b" cm="1">
        <f t="array" ref="AG1483">IF(OR(Y1483:AA1483="TRUE", AE1483="true"), "Threatened")</f>
        <v>0</v>
      </c>
      <c r="AH1483" s="11" t="s">
        <v>3900</v>
      </c>
      <c r="AI1483" s="8" t="b">
        <v>1</v>
      </c>
    </row>
    <row r="1484" spans="1:35" ht="31.2">
      <c r="A1484" s="8">
        <v>-73.954577360000002</v>
      </c>
      <c r="B1484" s="8">
        <v>40.789868460000001</v>
      </c>
      <c r="C1484" s="8" t="s">
        <v>3901</v>
      </c>
      <c r="D1484" s="8" t="s">
        <v>924</v>
      </c>
      <c r="E1484" s="8" t="b">
        <f t="shared" si="23"/>
        <v>0</v>
      </c>
      <c r="F1484" s="8" t="str" cm="1">
        <f t="array" ref="F1484">_xlfn._xlws.FILTER(E1484:E4682, C1484:C4682= "6D-PM-1020-01", "No Squirrels Found")</f>
        <v>No Squirrels Found</v>
      </c>
      <c r="G1484" s="8" t="s">
        <v>48</v>
      </c>
      <c r="H1484" s="10">
        <v>10082018</v>
      </c>
      <c r="I1484" s="10">
        <v>5</v>
      </c>
      <c r="J1484" s="8" t="s">
        <v>39</v>
      </c>
      <c r="M1484" s="8" t="s">
        <v>35</v>
      </c>
      <c r="O1484" s="8" t="s">
        <v>50</v>
      </c>
      <c r="P1484" s="8">
        <v>100</v>
      </c>
      <c r="R1484" s="8" t="b">
        <v>0</v>
      </c>
      <c r="S1484" s="8" t="b">
        <v>0</v>
      </c>
      <c r="T1484" s="8" t="b">
        <v>1</v>
      </c>
      <c r="U1484" s="8" t="b">
        <v>0</v>
      </c>
      <c r="V1484" s="8" t="b">
        <v>1</v>
      </c>
      <c r="X1484" s="8" t="b">
        <v>0</v>
      </c>
      <c r="Y1484" s="8" t="b">
        <v>0</v>
      </c>
      <c r="Z1484" s="8" t="b">
        <v>0</v>
      </c>
      <c r="AA1484" s="8" t="b">
        <v>0</v>
      </c>
      <c r="AB1484" s="8" t="b">
        <v>0</v>
      </c>
      <c r="AC1484" s="8" t="b">
        <v>0</v>
      </c>
      <c r="AD1484" s="8" t="b">
        <v>1</v>
      </c>
      <c r="AE1484" s="8" t="b">
        <v>0</v>
      </c>
      <c r="AF1484" s="11" t="s">
        <v>3902</v>
      </c>
      <c r="AG1484" s="11" t="b" cm="1">
        <f t="array" ref="AG1484">IF(OR(Y1484:AA1484="TRUE", AE1484="true"), "Threatened")</f>
        <v>0</v>
      </c>
      <c r="AH1484" s="11" t="s">
        <v>3903</v>
      </c>
      <c r="AI1484" s="8" t="b">
        <v>1</v>
      </c>
    </row>
    <row r="1485" spans="1:35" ht="31.2">
      <c r="A1485" s="8">
        <v>-73.971673659999993</v>
      </c>
      <c r="B1485" s="8">
        <v>40.774933349999998</v>
      </c>
      <c r="C1485" s="8" t="s">
        <v>3904</v>
      </c>
      <c r="D1485" s="8" t="s">
        <v>738</v>
      </c>
      <c r="E1485" s="8" t="b">
        <f t="shared" si="23"/>
        <v>0</v>
      </c>
      <c r="F1485" s="8" t="str" cm="1">
        <f t="array" ref="F1485">_xlfn._xlws.FILTER(E1485:E4683, C1485:C4683= "6D-PM-1020-01", "No Squirrels Found")</f>
        <v>No Squirrels Found</v>
      </c>
      <c r="G1485" s="8" t="s">
        <v>48</v>
      </c>
      <c r="H1485" s="10">
        <v>10172018</v>
      </c>
      <c r="I1485" s="10">
        <v>7</v>
      </c>
      <c r="J1485" s="8" t="s">
        <v>39</v>
      </c>
      <c r="K1485" s="8" t="s">
        <v>40</v>
      </c>
      <c r="L1485" s="8" t="s">
        <v>41</v>
      </c>
      <c r="M1485" s="8" t="s">
        <v>42</v>
      </c>
      <c r="O1485" s="8" t="s">
        <v>43</v>
      </c>
      <c r="P1485" s="8" t="b">
        <v>0</v>
      </c>
      <c r="R1485" s="8" t="b">
        <v>1</v>
      </c>
      <c r="S1485" s="8" t="b">
        <v>0</v>
      </c>
      <c r="T1485" s="8" t="b">
        <v>1</v>
      </c>
      <c r="U1485" s="8" t="b">
        <v>0</v>
      </c>
      <c r="V1485" s="8" t="b">
        <v>0</v>
      </c>
      <c r="X1485" s="8" t="b">
        <v>0</v>
      </c>
      <c r="Y1485" s="8" t="b">
        <v>0</v>
      </c>
      <c r="Z1485" s="8" t="b">
        <v>0</v>
      </c>
      <c r="AA1485" s="8" t="b">
        <v>0</v>
      </c>
      <c r="AB1485" s="8" t="b">
        <v>1</v>
      </c>
      <c r="AC1485" s="8" t="b">
        <v>0</v>
      </c>
      <c r="AD1485" s="8" t="b">
        <v>0</v>
      </c>
      <c r="AE1485" s="8" t="b">
        <v>1</v>
      </c>
      <c r="AG1485" s="11" t="b" cm="1">
        <f t="array" ref="AG1485">IF(OR(Y1485:AA1485="TRUE", AE1485="true"), "Threatened")</f>
        <v>0</v>
      </c>
      <c r="AH1485" s="11" t="s">
        <v>3905</v>
      </c>
      <c r="AI1485" s="8" t="b">
        <v>1</v>
      </c>
    </row>
    <row r="1486" spans="1:35" ht="31.2">
      <c r="A1486" s="8">
        <v>-73.979108539999999</v>
      </c>
      <c r="B1486" s="8">
        <v>40.767702530000001</v>
      </c>
      <c r="C1486" s="8" t="s">
        <v>3906</v>
      </c>
      <c r="D1486" s="8" t="s">
        <v>1235</v>
      </c>
      <c r="E1486" s="8" t="b">
        <f t="shared" si="23"/>
        <v>0</v>
      </c>
      <c r="F1486" s="8" t="str" cm="1">
        <f t="array" ref="F1486">_xlfn._xlws.FILTER(E1486:E4684, C1486:C4684= "6D-PM-1020-01", "No Squirrels Found")</f>
        <v>No Squirrels Found</v>
      </c>
      <c r="G1486" s="8" t="s">
        <v>34</v>
      </c>
      <c r="H1486" s="10">
        <v>10132018</v>
      </c>
      <c r="I1486" s="10">
        <v>12</v>
      </c>
      <c r="J1486" s="8" t="s">
        <v>39</v>
      </c>
      <c r="K1486" s="8" t="s">
        <v>40</v>
      </c>
      <c r="L1486" s="8" t="s">
        <v>84</v>
      </c>
      <c r="M1486" s="8" t="s">
        <v>103</v>
      </c>
      <c r="O1486" s="8" t="s">
        <v>43</v>
      </c>
      <c r="P1486" s="8" t="b">
        <v>0</v>
      </c>
      <c r="R1486" s="8" t="b">
        <v>0</v>
      </c>
      <c r="S1486" s="8" t="b">
        <v>0</v>
      </c>
      <c r="T1486" s="8" t="b">
        <v>0</v>
      </c>
      <c r="U1486" s="8" t="b">
        <v>0</v>
      </c>
      <c r="V1486" s="8" t="b">
        <v>1</v>
      </c>
      <c r="X1486" s="8" t="b">
        <v>0</v>
      </c>
      <c r="Y1486" s="8" t="b">
        <v>0</v>
      </c>
      <c r="Z1486" s="8" t="b">
        <v>0</v>
      </c>
      <c r="AA1486" s="8" t="b">
        <v>0</v>
      </c>
      <c r="AB1486" s="8" t="b">
        <v>0</v>
      </c>
      <c r="AC1486" s="8" t="b">
        <v>1</v>
      </c>
      <c r="AD1486" s="8" t="b">
        <v>0</v>
      </c>
      <c r="AE1486" s="8" t="b">
        <v>0</v>
      </c>
      <c r="AG1486" s="11" t="b" cm="1">
        <f t="array" ref="AG1486">IF(OR(Y1486:AA1486="TRUE", AE1486="true"), "Threatened")</f>
        <v>0</v>
      </c>
      <c r="AH1486" s="11" t="s">
        <v>3907</v>
      </c>
      <c r="AI1486" s="8" t="b">
        <v>1</v>
      </c>
    </row>
    <row r="1487" spans="1:35" ht="31.2">
      <c r="A1487" s="8">
        <v>-73.954580770000007</v>
      </c>
      <c r="B1487" s="8">
        <v>40.790050749999999</v>
      </c>
      <c r="C1487" s="8" t="s">
        <v>3908</v>
      </c>
      <c r="D1487" s="8" t="s">
        <v>924</v>
      </c>
      <c r="E1487" s="8" t="b">
        <f t="shared" si="23"/>
        <v>0</v>
      </c>
      <c r="F1487" s="8" t="str" cm="1">
        <f t="array" ref="F1487">_xlfn._xlws.FILTER(E1487:E4685, C1487:C4685= "6D-PM-1020-01", "No Squirrels Found")</f>
        <v>No Squirrels Found</v>
      </c>
      <c r="G1487" s="8" t="s">
        <v>34</v>
      </c>
      <c r="H1487" s="10">
        <v>10062018</v>
      </c>
      <c r="I1487" s="10">
        <v>2</v>
      </c>
      <c r="J1487" s="8" t="s">
        <v>39</v>
      </c>
      <c r="K1487" s="8" t="s">
        <v>192</v>
      </c>
      <c r="M1487" s="8" t="s">
        <v>193</v>
      </c>
      <c r="O1487" s="8" t="s">
        <v>43</v>
      </c>
      <c r="P1487" s="8" t="b">
        <v>0</v>
      </c>
      <c r="R1487" s="8" t="b">
        <v>0</v>
      </c>
      <c r="S1487" s="8" t="b">
        <v>0</v>
      </c>
      <c r="T1487" s="8" t="b">
        <v>0</v>
      </c>
      <c r="U1487" s="8" t="b">
        <v>0</v>
      </c>
      <c r="V1487" s="8" t="b">
        <v>1</v>
      </c>
      <c r="X1487" s="8" t="b">
        <v>0</v>
      </c>
      <c r="Y1487" s="8" t="b">
        <v>0</v>
      </c>
      <c r="Z1487" s="8" t="b">
        <v>0</v>
      </c>
      <c r="AA1487" s="8" t="b">
        <v>0</v>
      </c>
      <c r="AB1487" s="8" t="b">
        <v>0</v>
      </c>
      <c r="AC1487" s="8" t="b">
        <v>0</v>
      </c>
      <c r="AD1487" s="8" t="b">
        <v>0</v>
      </c>
      <c r="AE1487" s="8" t="b">
        <v>1</v>
      </c>
      <c r="AG1487" s="11" t="b" cm="1">
        <f t="array" ref="AG1487">IF(OR(Y1487:AA1487="TRUE", AE1487="true"), "Threatened")</f>
        <v>0</v>
      </c>
      <c r="AH1487" s="11" t="s">
        <v>3909</v>
      </c>
      <c r="AI1487" s="8" t="b">
        <v>1</v>
      </c>
    </row>
    <row r="1488" spans="1:35" ht="46.8">
      <c r="A1488" s="8">
        <v>-73.965394660000001</v>
      </c>
      <c r="B1488" s="8">
        <v>40.776313680000001</v>
      </c>
      <c r="C1488" s="8" t="s">
        <v>3910</v>
      </c>
      <c r="D1488" s="8" t="s">
        <v>419</v>
      </c>
      <c r="E1488" s="8" t="b">
        <f t="shared" si="23"/>
        <v>0</v>
      </c>
      <c r="F1488" s="8" t="str" cm="1">
        <f t="array" ref="F1488">_xlfn._xlws.FILTER(E1488:E4686, C1488:C4686= "6D-PM-1020-01", "No Squirrels Found")</f>
        <v>No Squirrels Found</v>
      </c>
      <c r="G1488" s="8" t="s">
        <v>34</v>
      </c>
      <c r="H1488" s="10">
        <v>10122018</v>
      </c>
      <c r="I1488" s="10">
        <v>5</v>
      </c>
      <c r="J1488" s="8" t="s">
        <v>39</v>
      </c>
      <c r="K1488" s="8" t="s">
        <v>40</v>
      </c>
      <c r="M1488" s="8" t="s">
        <v>55</v>
      </c>
      <c r="O1488" s="8" t="s">
        <v>50</v>
      </c>
      <c r="P1488" s="8">
        <v>2</v>
      </c>
      <c r="R1488" s="8" t="b">
        <v>1</v>
      </c>
      <c r="S1488" s="8" t="b">
        <v>0</v>
      </c>
      <c r="T1488" s="8" t="b">
        <v>1</v>
      </c>
      <c r="U1488" s="8" t="b">
        <v>0</v>
      </c>
      <c r="V1488" s="8" t="b">
        <v>1</v>
      </c>
      <c r="W1488" s="11" t="s">
        <v>3911</v>
      </c>
      <c r="X1488" s="8" t="b">
        <v>0</v>
      </c>
      <c r="Y1488" s="8" t="b">
        <v>0</v>
      </c>
      <c r="Z1488" s="8" t="b">
        <v>0</v>
      </c>
      <c r="AA1488" s="8" t="b">
        <v>0</v>
      </c>
      <c r="AB1488" s="8" t="b">
        <v>0</v>
      </c>
      <c r="AC1488" s="8" t="b">
        <v>0</v>
      </c>
      <c r="AD1488" s="8" t="b">
        <v>0</v>
      </c>
      <c r="AE1488" s="8" t="b">
        <v>0</v>
      </c>
      <c r="AF1488" s="11" t="s">
        <v>3912</v>
      </c>
      <c r="AG1488" s="11" t="b" cm="1">
        <f t="array" ref="AG1488">IF(OR(Y1488:AA1488="TRUE", AE1488="true"), "Threatened")</f>
        <v>0</v>
      </c>
      <c r="AH1488" s="11" t="s">
        <v>3913</v>
      </c>
      <c r="AI1488" s="8" t="b">
        <v>0</v>
      </c>
    </row>
    <row r="1489" spans="1:35" ht="31.2">
      <c r="A1489" s="8">
        <v>-73.969007259999998</v>
      </c>
      <c r="B1489" s="8">
        <v>40.773771230000001</v>
      </c>
      <c r="C1489" s="8" t="s">
        <v>3914</v>
      </c>
      <c r="D1489" s="8" t="s">
        <v>991</v>
      </c>
      <c r="E1489" s="8" t="b">
        <f t="shared" si="23"/>
        <v>0</v>
      </c>
      <c r="F1489" s="8" t="str" cm="1">
        <f t="array" ref="F1489">_xlfn._xlws.FILTER(E1489:E4687, C1489:C4687= "6D-PM-1020-01", "No Squirrels Found")</f>
        <v>No Squirrels Found</v>
      </c>
      <c r="G1489" s="8" t="s">
        <v>48</v>
      </c>
      <c r="H1489" s="10">
        <v>10122018</v>
      </c>
      <c r="I1489" s="10">
        <v>2</v>
      </c>
      <c r="J1489" s="8" t="s">
        <v>39</v>
      </c>
      <c r="K1489" s="8" t="s">
        <v>40</v>
      </c>
      <c r="M1489" s="8" t="s">
        <v>55</v>
      </c>
      <c r="O1489" s="8" t="s">
        <v>43</v>
      </c>
      <c r="P1489" s="8" t="b">
        <v>0</v>
      </c>
      <c r="R1489" s="8" t="b">
        <v>0</v>
      </c>
      <c r="S1489" s="8" t="b">
        <v>0</v>
      </c>
      <c r="T1489" s="8" t="b">
        <v>0</v>
      </c>
      <c r="U1489" s="8" t="b">
        <v>0</v>
      </c>
      <c r="V1489" s="8" t="b">
        <v>1</v>
      </c>
      <c r="X1489" s="8" t="b">
        <v>0</v>
      </c>
      <c r="Y1489" s="8" t="b">
        <v>0</v>
      </c>
      <c r="Z1489" s="8" t="b">
        <v>0</v>
      </c>
      <c r="AA1489" s="8" t="b">
        <v>0</v>
      </c>
      <c r="AB1489" s="8" t="b">
        <v>1</v>
      </c>
      <c r="AC1489" s="8" t="b">
        <v>0</v>
      </c>
      <c r="AD1489" s="8" t="b">
        <v>1</v>
      </c>
      <c r="AE1489" s="8" t="b">
        <v>0</v>
      </c>
      <c r="AG1489" s="11" t="b" cm="1">
        <f t="array" ref="AG1489">IF(OR(Y1489:AA1489="TRUE", AE1489="true"), "Threatened")</f>
        <v>0</v>
      </c>
      <c r="AH1489" s="11" t="s">
        <v>3915</v>
      </c>
      <c r="AI1489" s="8" t="b">
        <v>1</v>
      </c>
    </row>
    <row r="1490" spans="1:35" ht="31.2">
      <c r="A1490" s="8">
        <v>-73.950176249999998</v>
      </c>
      <c r="B1490" s="8">
        <v>40.797553409999999</v>
      </c>
      <c r="C1490" s="8" t="s">
        <v>3916</v>
      </c>
      <c r="D1490" s="8" t="s">
        <v>686</v>
      </c>
      <c r="E1490" s="8" t="b">
        <f t="shared" si="23"/>
        <v>0</v>
      </c>
      <c r="F1490" s="8" t="str" cm="1">
        <f t="array" ref="F1490">_xlfn._xlws.FILTER(E1490:E4688, C1490:C4688= "6D-PM-1020-01", "No Squirrels Found")</f>
        <v>No Squirrels Found</v>
      </c>
      <c r="G1490" s="8" t="s">
        <v>34</v>
      </c>
      <c r="H1490" s="10">
        <v>10142018</v>
      </c>
      <c r="I1490" s="10">
        <v>5</v>
      </c>
      <c r="J1490" s="8" t="s">
        <v>39</v>
      </c>
      <c r="K1490" s="8" t="s">
        <v>40</v>
      </c>
      <c r="L1490" s="8" t="s">
        <v>84</v>
      </c>
      <c r="M1490" s="8" t="s">
        <v>103</v>
      </c>
      <c r="O1490" s="8" t="s">
        <v>50</v>
      </c>
      <c r="P1490" s="8">
        <v>15</v>
      </c>
      <c r="R1490" s="8" t="b">
        <v>1</v>
      </c>
      <c r="S1490" s="8" t="b">
        <v>1</v>
      </c>
      <c r="T1490" s="8" t="b">
        <v>0</v>
      </c>
      <c r="U1490" s="8" t="b">
        <v>0</v>
      </c>
      <c r="V1490" s="8" t="b">
        <v>0</v>
      </c>
      <c r="X1490" s="8" t="b">
        <v>0</v>
      </c>
      <c r="Y1490" s="8" t="b">
        <v>0</v>
      </c>
      <c r="Z1490" s="8" t="b">
        <v>0</v>
      </c>
      <c r="AA1490" s="8" t="b">
        <v>0</v>
      </c>
      <c r="AB1490" s="8" t="b">
        <v>0</v>
      </c>
      <c r="AC1490" s="8" t="b">
        <v>0</v>
      </c>
      <c r="AD1490" s="8" t="b">
        <v>0</v>
      </c>
      <c r="AE1490" s="8" t="b">
        <v>1</v>
      </c>
      <c r="AG1490" s="11" t="b" cm="1">
        <f t="array" ref="AG1490">IF(OR(Y1490:AA1490="TRUE", AE1490="true"), "Threatened")</f>
        <v>0</v>
      </c>
      <c r="AH1490" s="11" t="s">
        <v>3917</v>
      </c>
      <c r="AI1490" s="8" t="b">
        <v>1</v>
      </c>
    </row>
    <row r="1491" spans="1:35" ht="31.2">
      <c r="A1491" s="8">
        <v>-73.972740569999999</v>
      </c>
      <c r="B1491" s="8">
        <v>40.778267759999999</v>
      </c>
      <c r="C1491" s="8" t="s">
        <v>3918</v>
      </c>
      <c r="D1491" s="8" t="s">
        <v>1764</v>
      </c>
      <c r="E1491" s="8" t="b">
        <f t="shared" si="23"/>
        <v>0</v>
      </c>
      <c r="F1491" s="8" t="str" cm="1">
        <f t="array" ref="F1491">_xlfn._xlws.FILTER(E1491:E4689, C1491:C4689= "6D-PM-1020-01", "No Squirrels Found")</f>
        <v>No Squirrels Found</v>
      </c>
      <c r="G1491" s="8" t="s">
        <v>34</v>
      </c>
      <c r="H1491" s="10">
        <v>10142018</v>
      </c>
      <c r="I1491" s="10">
        <v>1</v>
      </c>
      <c r="J1491" s="8" t="s">
        <v>39</v>
      </c>
      <c r="K1491" s="8" t="s">
        <v>40</v>
      </c>
      <c r="L1491" s="8" t="s">
        <v>41</v>
      </c>
      <c r="M1491" s="8" t="s">
        <v>42</v>
      </c>
      <c r="O1491" s="8" t="s">
        <v>43</v>
      </c>
      <c r="P1491" s="8" t="b">
        <v>0</v>
      </c>
      <c r="R1491" s="8" t="b">
        <v>0</v>
      </c>
      <c r="S1491" s="8" t="b">
        <v>0</v>
      </c>
      <c r="T1491" s="8" t="b">
        <v>0</v>
      </c>
      <c r="U1491" s="8" t="b">
        <v>0</v>
      </c>
      <c r="V1491" s="8" t="b">
        <v>1</v>
      </c>
      <c r="X1491" s="8" t="b">
        <v>0</v>
      </c>
      <c r="Y1491" s="8" t="b">
        <v>0</v>
      </c>
      <c r="Z1491" s="8" t="b">
        <v>0</v>
      </c>
      <c r="AA1491" s="8" t="b">
        <v>0</v>
      </c>
      <c r="AB1491" s="8" t="b">
        <v>0</v>
      </c>
      <c r="AC1491" s="8" t="b">
        <v>0</v>
      </c>
      <c r="AD1491" s="8" t="b">
        <v>0</v>
      </c>
      <c r="AE1491" s="8" t="b">
        <v>0</v>
      </c>
      <c r="AG1491" s="11" t="b" cm="1">
        <f t="array" ref="AG1491">IF(OR(Y1491:AA1491="TRUE", AE1491="true"), "Threatened")</f>
        <v>0</v>
      </c>
      <c r="AH1491" s="11" t="s">
        <v>3919</v>
      </c>
      <c r="AI1491" s="8" t="b">
        <v>1</v>
      </c>
    </row>
    <row r="1492" spans="1:35" ht="31.2">
      <c r="A1492" s="8">
        <v>-73.971307019999998</v>
      </c>
      <c r="B1492" s="8">
        <v>40.7753795</v>
      </c>
      <c r="C1492" s="8" t="s">
        <v>3920</v>
      </c>
      <c r="D1492" s="8" t="s">
        <v>738</v>
      </c>
      <c r="E1492" s="8" t="b">
        <f t="shared" si="23"/>
        <v>0</v>
      </c>
      <c r="F1492" s="8" t="str" cm="1">
        <f t="array" ref="F1492">_xlfn._xlws.FILTER(E1492:E4690, C1492:C4690= "6D-PM-1020-01", "No Squirrels Found")</f>
        <v>No Squirrels Found</v>
      </c>
      <c r="G1492" s="8" t="s">
        <v>48</v>
      </c>
      <c r="H1492" s="10">
        <v>10172018</v>
      </c>
      <c r="I1492" s="10">
        <v>5</v>
      </c>
      <c r="J1492" s="8" t="s">
        <v>39</v>
      </c>
      <c r="K1492" s="8" t="s">
        <v>40</v>
      </c>
      <c r="L1492" s="8" t="s">
        <v>41</v>
      </c>
      <c r="M1492" s="8" t="s">
        <v>42</v>
      </c>
      <c r="O1492" s="8" t="s">
        <v>43</v>
      </c>
      <c r="P1492" s="8" t="b">
        <v>0</v>
      </c>
      <c r="R1492" s="8" t="b">
        <v>0</v>
      </c>
      <c r="S1492" s="8" t="b">
        <v>0</v>
      </c>
      <c r="T1492" s="8" t="b">
        <v>0</v>
      </c>
      <c r="U1492" s="8" t="b">
        <v>1</v>
      </c>
      <c r="V1492" s="8" t="b">
        <v>0</v>
      </c>
      <c r="X1492" s="8" t="b">
        <v>0</v>
      </c>
      <c r="Y1492" s="8" t="b">
        <v>0</v>
      </c>
      <c r="Z1492" s="8" t="b">
        <v>0</v>
      </c>
      <c r="AA1492" s="8" t="b">
        <v>0</v>
      </c>
      <c r="AB1492" s="8" t="b">
        <v>0</v>
      </c>
      <c r="AC1492" s="8" t="b">
        <v>0</v>
      </c>
      <c r="AD1492" s="8" t="b">
        <v>1</v>
      </c>
      <c r="AE1492" s="8" t="b">
        <v>0</v>
      </c>
      <c r="AG1492" s="11" t="b" cm="1">
        <f t="array" ref="AG1492">IF(OR(Y1492:AA1492="TRUE", AE1492="true"), "Threatened")</f>
        <v>0</v>
      </c>
      <c r="AH1492" s="11" t="s">
        <v>3921</v>
      </c>
      <c r="AI1492" s="8" t="b">
        <v>1</v>
      </c>
    </row>
    <row r="1493" spans="1:35" ht="31.2">
      <c r="A1493" s="8">
        <v>-73.980707850000002</v>
      </c>
      <c r="B1493" s="8">
        <v>40.76833353</v>
      </c>
      <c r="C1493" s="8" t="s">
        <v>3922</v>
      </c>
      <c r="D1493" s="8" t="s">
        <v>1909</v>
      </c>
      <c r="E1493" s="8" t="b">
        <f t="shared" si="23"/>
        <v>0</v>
      </c>
      <c r="F1493" s="8" t="str" cm="1">
        <f t="array" ref="F1493">_xlfn._xlws.FILTER(E1493:E4691, C1493:C4691= "6D-PM-1020-01", "No Squirrels Found")</f>
        <v>No Squirrels Found</v>
      </c>
      <c r="G1493" s="8" t="s">
        <v>48</v>
      </c>
      <c r="H1493" s="10">
        <v>10102018</v>
      </c>
      <c r="I1493" s="10">
        <v>4</v>
      </c>
      <c r="J1493" s="8" t="s">
        <v>39</v>
      </c>
      <c r="K1493" s="8" t="s">
        <v>41</v>
      </c>
      <c r="L1493" s="8" t="s">
        <v>40</v>
      </c>
      <c r="M1493" s="8" t="s">
        <v>110</v>
      </c>
      <c r="O1493" s="8" t="s">
        <v>43</v>
      </c>
      <c r="P1493" s="8" t="b">
        <v>0</v>
      </c>
      <c r="R1493" s="8" t="b">
        <v>0</v>
      </c>
      <c r="S1493" s="8" t="b">
        <v>0</v>
      </c>
      <c r="T1493" s="8" t="b">
        <v>0</v>
      </c>
      <c r="U1493" s="8" t="b">
        <v>1</v>
      </c>
      <c r="V1493" s="8" t="b">
        <v>1</v>
      </c>
      <c r="X1493" s="8" t="b">
        <v>0</v>
      </c>
      <c r="Y1493" s="8" t="b">
        <v>0</v>
      </c>
      <c r="Z1493" s="8" t="b">
        <v>0</v>
      </c>
      <c r="AA1493" s="8" t="b">
        <v>0</v>
      </c>
      <c r="AB1493" s="8" t="b">
        <v>1</v>
      </c>
      <c r="AC1493" s="8" t="b">
        <v>0</v>
      </c>
      <c r="AD1493" s="8" t="b">
        <v>1</v>
      </c>
      <c r="AE1493" s="8" t="b">
        <v>0</v>
      </c>
      <c r="AG1493" s="11" t="b" cm="1">
        <f t="array" ref="AG1493">IF(OR(Y1493:AA1493="TRUE", AE1493="true"), "Threatened")</f>
        <v>0</v>
      </c>
      <c r="AH1493" s="11" t="s">
        <v>3923</v>
      </c>
      <c r="AI1493" s="8" t="b">
        <v>1</v>
      </c>
    </row>
    <row r="1494" spans="1:35" ht="46.8">
      <c r="A1494" s="8">
        <v>-73.968479070000001</v>
      </c>
      <c r="B1494" s="8">
        <v>40.783881870000002</v>
      </c>
      <c r="C1494" s="8" t="s">
        <v>3924</v>
      </c>
      <c r="D1494" s="8" t="s">
        <v>335</v>
      </c>
      <c r="E1494" s="8" t="b">
        <f t="shared" si="23"/>
        <v>0</v>
      </c>
      <c r="F1494" s="8" t="str" cm="1">
        <f t="array" ref="F1494">_xlfn._xlws.FILTER(E1494:E4692, C1494:C4692= "6D-PM-1020-01", "No Squirrels Found")</f>
        <v>No Squirrels Found</v>
      </c>
      <c r="G1494" s="8" t="s">
        <v>48</v>
      </c>
      <c r="H1494" s="10">
        <v>10132018</v>
      </c>
      <c r="I1494" s="10">
        <v>1</v>
      </c>
      <c r="J1494" s="8" t="s">
        <v>39</v>
      </c>
      <c r="K1494" s="8" t="s">
        <v>40</v>
      </c>
      <c r="L1494" s="8" t="s">
        <v>41</v>
      </c>
      <c r="M1494" s="8" t="s">
        <v>42</v>
      </c>
      <c r="O1494" s="8" t="s">
        <v>43</v>
      </c>
      <c r="P1494" s="8" t="b">
        <v>0</v>
      </c>
      <c r="R1494" s="8" t="b">
        <v>0</v>
      </c>
      <c r="S1494" s="8" t="b">
        <v>0</v>
      </c>
      <c r="T1494" s="8" t="b">
        <v>0</v>
      </c>
      <c r="U1494" s="8" t="b">
        <v>0</v>
      </c>
      <c r="V1494" s="8" t="b">
        <v>1</v>
      </c>
      <c r="X1494" s="8" t="b">
        <v>0</v>
      </c>
      <c r="Y1494" s="8" t="b">
        <v>0</v>
      </c>
      <c r="Z1494" s="8" t="b">
        <v>0</v>
      </c>
      <c r="AA1494" s="8" t="b">
        <v>0</v>
      </c>
      <c r="AB1494" s="8" t="b">
        <v>0</v>
      </c>
      <c r="AC1494" s="8" t="b">
        <v>0</v>
      </c>
      <c r="AD1494" s="8" t="b">
        <v>0</v>
      </c>
      <c r="AE1494" s="8" t="b">
        <v>0</v>
      </c>
      <c r="AF1494" s="11" t="s">
        <v>3925</v>
      </c>
      <c r="AG1494" s="11" t="b" cm="1">
        <f t="array" ref="AG1494">IF(OR(Y1494:AA1494="TRUE", AE1494="true"), "Threatened")</f>
        <v>0</v>
      </c>
      <c r="AH1494" s="11" t="s">
        <v>3926</v>
      </c>
      <c r="AI1494" s="8" t="b">
        <v>1</v>
      </c>
    </row>
    <row r="1495" spans="1:35" ht="31.2">
      <c r="A1495" s="8">
        <v>-73.952575240000002</v>
      </c>
      <c r="B1495" s="8">
        <v>40.79549154</v>
      </c>
      <c r="C1495" s="8" t="s">
        <v>3927</v>
      </c>
      <c r="D1495" s="8" t="s">
        <v>559</v>
      </c>
      <c r="E1495" s="8" t="b">
        <f t="shared" si="23"/>
        <v>0</v>
      </c>
      <c r="F1495" s="8" t="str" cm="1">
        <f t="array" ref="F1495">_xlfn._xlws.FILTER(E1495:E4693, C1495:C4693= "6D-PM-1020-01", "No Squirrels Found")</f>
        <v>No Squirrels Found</v>
      </c>
      <c r="G1495" s="8" t="s">
        <v>48</v>
      </c>
      <c r="H1495" s="10">
        <v>10072018</v>
      </c>
      <c r="I1495" s="10">
        <v>3</v>
      </c>
      <c r="J1495" s="8" t="s">
        <v>54</v>
      </c>
      <c r="K1495" s="8" t="s">
        <v>40</v>
      </c>
      <c r="L1495" s="8" t="s">
        <v>84</v>
      </c>
      <c r="M1495" s="8" t="s">
        <v>103</v>
      </c>
      <c r="O1495" s="8" t="s">
        <v>43</v>
      </c>
      <c r="P1495" s="8" t="b">
        <v>0</v>
      </c>
      <c r="R1495" s="8" t="b">
        <v>0</v>
      </c>
      <c r="S1495" s="8" t="b">
        <v>0</v>
      </c>
      <c r="T1495" s="8" t="b">
        <v>0</v>
      </c>
      <c r="U1495" s="8" t="b">
        <v>1</v>
      </c>
      <c r="V1495" s="8" t="b">
        <v>1</v>
      </c>
      <c r="X1495" s="8" t="b">
        <v>0</v>
      </c>
      <c r="Y1495" s="8" t="b">
        <v>0</v>
      </c>
      <c r="Z1495" s="8" t="b">
        <v>0</v>
      </c>
      <c r="AA1495" s="8" t="b">
        <v>0</v>
      </c>
      <c r="AB1495" s="8" t="b">
        <v>0</v>
      </c>
      <c r="AC1495" s="8" t="b">
        <v>0</v>
      </c>
      <c r="AD1495" s="8" t="b">
        <v>0</v>
      </c>
      <c r="AE1495" s="8" t="b">
        <v>0</v>
      </c>
      <c r="AG1495" s="11" t="b" cm="1">
        <f t="array" ref="AG1495">IF(OR(Y1495:AA1495="TRUE", AE1495="true"), "Threatened")</f>
        <v>0</v>
      </c>
      <c r="AH1495" s="11" t="s">
        <v>3928</v>
      </c>
      <c r="AI1495" s="8" t="b">
        <v>1</v>
      </c>
    </row>
    <row r="1496" spans="1:35" ht="31.2">
      <c r="A1496" s="8">
        <v>-73.97351372</v>
      </c>
      <c r="B1496" s="8">
        <v>40.769109899999997</v>
      </c>
      <c r="C1496" s="8" t="s">
        <v>3929</v>
      </c>
      <c r="D1496" s="8" t="s">
        <v>264</v>
      </c>
      <c r="E1496" s="8" t="b">
        <f t="shared" si="23"/>
        <v>0</v>
      </c>
      <c r="F1496" s="8" t="str" cm="1">
        <f t="array" ref="F1496">_xlfn._xlws.FILTER(E1496:E4694, C1496:C4694= "6D-PM-1020-01", "No Squirrels Found")</f>
        <v>No Squirrels Found</v>
      </c>
      <c r="G1496" s="8" t="s">
        <v>48</v>
      </c>
      <c r="H1496" s="10">
        <v>10072018</v>
      </c>
      <c r="I1496" s="10">
        <v>6</v>
      </c>
      <c r="J1496" s="8" t="s">
        <v>39</v>
      </c>
      <c r="K1496" s="8" t="s">
        <v>40</v>
      </c>
      <c r="M1496" s="8" t="s">
        <v>55</v>
      </c>
      <c r="O1496" s="8" t="s">
        <v>50</v>
      </c>
      <c r="P1496" s="8">
        <v>2</v>
      </c>
      <c r="Q1496" s="8" t="s">
        <v>3930</v>
      </c>
      <c r="R1496" s="8" t="b">
        <v>0</v>
      </c>
      <c r="S1496" s="8" t="b">
        <v>0</v>
      </c>
      <c r="T1496" s="8" t="b">
        <v>0</v>
      </c>
      <c r="U1496" s="8" t="b">
        <v>1</v>
      </c>
      <c r="V1496" s="8" t="b">
        <v>0</v>
      </c>
      <c r="X1496" s="8" t="b">
        <v>0</v>
      </c>
      <c r="Y1496" s="8" t="b">
        <v>0</v>
      </c>
      <c r="Z1496" s="8" t="b">
        <v>0</v>
      </c>
      <c r="AA1496" s="8" t="b">
        <v>0</v>
      </c>
      <c r="AB1496" s="8" t="b">
        <v>0</v>
      </c>
      <c r="AC1496" s="8" t="b">
        <v>0</v>
      </c>
      <c r="AD1496" s="8" t="b">
        <v>0</v>
      </c>
      <c r="AE1496" s="8" t="b">
        <v>0</v>
      </c>
      <c r="AG1496" s="11" t="b" cm="1">
        <f t="array" ref="AG1496">IF(OR(Y1496:AA1496="TRUE", AE1496="true"), "Threatened")</f>
        <v>0</v>
      </c>
      <c r="AH1496" s="11" t="s">
        <v>3931</v>
      </c>
      <c r="AI1496" s="8" t="b">
        <v>1</v>
      </c>
    </row>
    <row r="1497" spans="1:35" ht="31.2">
      <c r="A1497" s="8">
        <v>-73.96155005</v>
      </c>
      <c r="B1497" s="8">
        <v>40.79207993</v>
      </c>
      <c r="C1497" s="8" t="s">
        <v>3932</v>
      </c>
      <c r="D1497" s="8" t="s">
        <v>616</v>
      </c>
      <c r="E1497" s="8" t="b">
        <f t="shared" si="23"/>
        <v>0</v>
      </c>
      <c r="F1497" s="8" t="str" cm="1">
        <f t="array" ref="F1497">_xlfn._xlws.FILTER(E1497:E4695, C1497:C4695= "6D-PM-1020-01", "No Squirrels Found")</f>
        <v>No Squirrels Found</v>
      </c>
      <c r="G1497" s="8" t="s">
        <v>34</v>
      </c>
      <c r="H1497" s="10">
        <v>10132018</v>
      </c>
      <c r="I1497" s="10">
        <v>5</v>
      </c>
      <c r="J1497" s="8" t="s">
        <v>39</v>
      </c>
      <c r="K1497" s="8" t="s">
        <v>40</v>
      </c>
      <c r="M1497" s="8" t="s">
        <v>55</v>
      </c>
      <c r="O1497" s="8" t="s">
        <v>43</v>
      </c>
      <c r="P1497" s="8" t="b">
        <v>0</v>
      </c>
      <c r="R1497" s="8" t="b">
        <v>1</v>
      </c>
      <c r="S1497" s="8" t="b">
        <v>0</v>
      </c>
      <c r="T1497" s="8" t="b">
        <v>0</v>
      </c>
      <c r="U1497" s="8" t="b">
        <v>0</v>
      </c>
      <c r="V1497" s="8" t="b">
        <v>0</v>
      </c>
      <c r="X1497" s="8" t="b">
        <v>0</v>
      </c>
      <c r="Y1497" s="8" t="b">
        <v>0</v>
      </c>
      <c r="Z1497" s="8" t="b">
        <v>0</v>
      </c>
      <c r="AA1497" s="8" t="b">
        <v>0</v>
      </c>
      <c r="AB1497" s="8" t="b">
        <v>0</v>
      </c>
      <c r="AC1497" s="8" t="b">
        <v>0</v>
      </c>
      <c r="AD1497" s="8" t="b">
        <v>0</v>
      </c>
      <c r="AE1497" s="8" t="b">
        <v>0</v>
      </c>
      <c r="AG1497" s="11" t="b" cm="1">
        <f t="array" ref="AG1497">IF(OR(Y1497:AA1497="TRUE", AE1497="true"), "Threatened")</f>
        <v>0</v>
      </c>
      <c r="AH1497" s="11" t="s">
        <v>3933</v>
      </c>
      <c r="AI1497" s="8" t="b">
        <v>1</v>
      </c>
    </row>
    <row r="1498" spans="1:35" ht="31.2">
      <c r="A1498" s="8">
        <v>-73.972226149999997</v>
      </c>
      <c r="B1498" s="8">
        <v>40.76905421</v>
      </c>
      <c r="C1498" s="8" t="s">
        <v>3934</v>
      </c>
      <c r="D1498" s="8" t="s">
        <v>66</v>
      </c>
      <c r="E1498" s="8" t="b">
        <f t="shared" si="23"/>
        <v>0</v>
      </c>
      <c r="F1498" s="8" t="str" cm="1">
        <f t="array" ref="F1498">_xlfn._xlws.FILTER(E1498:E4696, C1498:C4696= "6D-PM-1020-01", "No Squirrels Found")</f>
        <v>No Squirrels Found</v>
      </c>
      <c r="G1498" s="8" t="s">
        <v>34</v>
      </c>
      <c r="H1498" s="10">
        <v>10202018</v>
      </c>
      <c r="I1498" s="10">
        <v>3</v>
      </c>
      <c r="J1498" s="8" t="s">
        <v>39</v>
      </c>
      <c r="K1498" s="8" t="s">
        <v>40</v>
      </c>
      <c r="M1498" s="8" t="s">
        <v>55</v>
      </c>
      <c r="O1498" s="8" t="s">
        <v>43</v>
      </c>
      <c r="P1498" s="8" t="b">
        <v>0</v>
      </c>
      <c r="R1498" s="8" t="b">
        <v>0</v>
      </c>
      <c r="S1498" s="8" t="b">
        <v>0</v>
      </c>
      <c r="T1498" s="8" t="b">
        <v>0</v>
      </c>
      <c r="U1498" s="8" t="b">
        <v>0</v>
      </c>
      <c r="V1498" s="8" t="b">
        <v>1</v>
      </c>
      <c r="X1498" s="8" t="b">
        <v>0</v>
      </c>
      <c r="Y1498" s="8" t="b">
        <v>0</v>
      </c>
      <c r="Z1498" s="8" t="b">
        <v>0</v>
      </c>
      <c r="AA1498" s="8" t="b">
        <v>0</v>
      </c>
      <c r="AB1498" s="8" t="b">
        <v>0</v>
      </c>
      <c r="AC1498" s="8" t="b">
        <v>0</v>
      </c>
      <c r="AD1498" s="8" t="b">
        <v>1</v>
      </c>
      <c r="AE1498" s="8" t="b">
        <v>0</v>
      </c>
      <c r="AG1498" s="11" t="b" cm="1">
        <f t="array" ref="AG1498">IF(OR(Y1498:AA1498="TRUE", AE1498="true"), "Threatened")</f>
        <v>0</v>
      </c>
      <c r="AH1498" s="11" t="s">
        <v>3935</v>
      </c>
      <c r="AI1498" s="8" t="b">
        <v>1</v>
      </c>
    </row>
    <row r="1499" spans="1:35" ht="31.2">
      <c r="A1499" s="8">
        <v>-73.976506420000007</v>
      </c>
      <c r="B1499" s="8">
        <v>40.773721139999999</v>
      </c>
      <c r="C1499" s="8" t="s">
        <v>3936</v>
      </c>
      <c r="D1499" s="8" t="s">
        <v>249</v>
      </c>
      <c r="E1499" s="8" t="b">
        <f t="shared" si="23"/>
        <v>0</v>
      </c>
      <c r="F1499" s="8" t="str" cm="1">
        <f t="array" ref="F1499">_xlfn._xlws.FILTER(E1499:E4697, C1499:C4697= "6D-PM-1020-01", "No Squirrels Found")</f>
        <v>No Squirrels Found</v>
      </c>
      <c r="G1499" s="8" t="s">
        <v>48</v>
      </c>
      <c r="H1499" s="10">
        <v>10072018</v>
      </c>
      <c r="I1499" s="10">
        <v>6</v>
      </c>
      <c r="J1499" s="8" t="s">
        <v>39</v>
      </c>
      <c r="K1499" s="8" t="s">
        <v>40</v>
      </c>
      <c r="L1499" s="8" t="s">
        <v>84</v>
      </c>
      <c r="M1499" s="8" t="s">
        <v>103</v>
      </c>
      <c r="O1499" s="8" t="s">
        <v>43</v>
      </c>
      <c r="P1499" s="8" t="b">
        <v>0</v>
      </c>
      <c r="R1499" s="8" t="b">
        <v>0</v>
      </c>
      <c r="S1499" s="8" t="b">
        <v>0</v>
      </c>
      <c r="T1499" s="8" t="b">
        <v>0</v>
      </c>
      <c r="U1499" s="8" t="b">
        <v>0</v>
      </c>
      <c r="V1499" s="8" t="b">
        <v>1</v>
      </c>
      <c r="X1499" s="8" t="b">
        <v>0</v>
      </c>
      <c r="Y1499" s="8" t="b">
        <v>0</v>
      </c>
      <c r="Z1499" s="8" t="b">
        <v>0</v>
      </c>
      <c r="AA1499" s="8" t="b">
        <v>0</v>
      </c>
      <c r="AB1499" s="8" t="b">
        <v>1</v>
      </c>
      <c r="AC1499" s="8" t="b">
        <v>0</v>
      </c>
      <c r="AD1499" s="8" t="b">
        <v>1</v>
      </c>
      <c r="AE1499" s="8" t="b">
        <v>0</v>
      </c>
      <c r="AG1499" s="11" t="b" cm="1">
        <f t="array" ref="AG1499">IF(OR(Y1499:AA1499="TRUE", AE1499="true"), "Threatened")</f>
        <v>0</v>
      </c>
      <c r="AH1499" s="11" t="s">
        <v>3937</v>
      </c>
      <c r="AI1499" s="8" t="b">
        <v>1</v>
      </c>
    </row>
    <row r="1500" spans="1:35" ht="31.2">
      <c r="A1500" s="8">
        <v>-73.962520549999994</v>
      </c>
      <c r="B1500" s="8">
        <v>40.78107851</v>
      </c>
      <c r="C1500" s="8" t="s">
        <v>3938</v>
      </c>
      <c r="D1500" s="8" t="s">
        <v>1662</v>
      </c>
      <c r="E1500" s="8" t="b">
        <f t="shared" si="23"/>
        <v>0</v>
      </c>
      <c r="F1500" s="8" t="str" cm="1">
        <f t="array" ref="F1500">_xlfn._xlws.FILTER(E1500:E4698, C1500:C4698= "6D-PM-1020-01", "No Squirrels Found")</f>
        <v>No Squirrels Found</v>
      </c>
      <c r="G1500" s="8" t="s">
        <v>48</v>
      </c>
      <c r="H1500" s="10">
        <v>10172018</v>
      </c>
      <c r="I1500" s="10">
        <v>1</v>
      </c>
      <c r="J1500" s="8" t="s">
        <v>39</v>
      </c>
      <c r="K1500" s="8" t="s">
        <v>40</v>
      </c>
      <c r="L1500" s="8" t="s">
        <v>41</v>
      </c>
      <c r="M1500" s="8" t="s">
        <v>42</v>
      </c>
      <c r="O1500" s="8" t="s">
        <v>43</v>
      </c>
      <c r="P1500" s="8" t="b">
        <v>0</v>
      </c>
      <c r="R1500" s="8" t="b">
        <v>0</v>
      </c>
      <c r="S1500" s="8" t="b">
        <v>0</v>
      </c>
      <c r="T1500" s="8" t="b">
        <v>0</v>
      </c>
      <c r="U1500" s="8" t="b">
        <v>1</v>
      </c>
      <c r="V1500" s="8" t="b">
        <v>0</v>
      </c>
      <c r="X1500" s="8" t="b">
        <v>0</v>
      </c>
      <c r="Y1500" s="8" t="b">
        <v>0</v>
      </c>
      <c r="Z1500" s="8" t="b">
        <v>0</v>
      </c>
      <c r="AA1500" s="8" t="b">
        <v>0</v>
      </c>
      <c r="AB1500" s="8" t="b">
        <v>0</v>
      </c>
      <c r="AC1500" s="8" t="b">
        <v>0</v>
      </c>
      <c r="AD1500" s="8" t="b">
        <v>0</v>
      </c>
      <c r="AE1500" s="8" t="b">
        <v>1</v>
      </c>
      <c r="AG1500" s="11" t="b" cm="1">
        <f t="array" ref="AG1500">IF(OR(Y1500:AA1500="TRUE", AE1500="true"), "Threatened")</f>
        <v>0</v>
      </c>
      <c r="AH1500" s="11" t="s">
        <v>3939</v>
      </c>
      <c r="AI1500" s="8" t="b">
        <v>1</v>
      </c>
    </row>
    <row r="1501" spans="1:35" ht="31.2">
      <c r="A1501" s="8">
        <v>-73.97699695</v>
      </c>
      <c r="B1501" s="8">
        <v>40.771071130000003</v>
      </c>
      <c r="C1501" s="8" t="s">
        <v>3940</v>
      </c>
      <c r="D1501" s="8" t="s">
        <v>2799</v>
      </c>
      <c r="E1501" s="8" t="b">
        <f t="shared" si="23"/>
        <v>1</v>
      </c>
      <c r="F1501" s="8" t="str" cm="1">
        <f t="array" ref="F1501">_xlfn._xlws.FILTER(E1501:E4699, C1501:C4699= "6D-PM-1020-01", "No Squirrels Found")</f>
        <v>No Squirrels Found</v>
      </c>
      <c r="G1501" s="8" t="s">
        <v>48</v>
      </c>
      <c r="H1501" s="10">
        <v>10072018</v>
      </c>
      <c r="I1501" s="10">
        <v>1</v>
      </c>
      <c r="J1501" s="8" t="s">
        <v>39</v>
      </c>
      <c r="K1501" s="8" t="s">
        <v>40</v>
      </c>
      <c r="L1501" s="8" t="s">
        <v>84</v>
      </c>
      <c r="M1501" s="8" t="s">
        <v>103</v>
      </c>
      <c r="N1501" s="11" t="s">
        <v>3941</v>
      </c>
      <c r="O1501" s="8" t="s">
        <v>50</v>
      </c>
      <c r="P1501" s="8">
        <v>15</v>
      </c>
      <c r="R1501" s="8" t="b">
        <v>0</v>
      </c>
      <c r="S1501" s="8" t="b">
        <v>0</v>
      </c>
      <c r="T1501" s="8" t="b">
        <v>1</v>
      </c>
      <c r="U1501" s="8" t="b">
        <v>0</v>
      </c>
      <c r="V1501" s="8" t="b">
        <v>0</v>
      </c>
      <c r="X1501" s="8" t="b">
        <v>0</v>
      </c>
      <c r="Y1501" s="8" t="b">
        <v>0</v>
      </c>
      <c r="Z1501" s="8" t="b">
        <v>0</v>
      </c>
      <c r="AA1501" s="8" t="b">
        <v>0</v>
      </c>
      <c r="AB1501" s="8" t="b">
        <v>1</v>
      </c>
      <c r="AC1501" s="8" t="b">
        <v>0</v>
      </c>
      <c r="AD1501" s="8" t="b">
        <v>0</v>
      </c>
      <c r="AE1501" s="8" t="b">
        <v>0</v>
      </c>
      <c r="AF1501" s="11" t="s">
        <v>3942</v>
      </c>
      <c r="AG1501" s="11" t="b" cm="1">
        <f t="array" ref="AG1501">IF(OR(Y1501:AA1501="TRUE", AE1501="true"), "Threatened")</f>
        <v>0</v>
      </c>
      <c r="AH1501" s="11" t="s">
        <v>3943</v>
      </c>
      <c r="AI1501" s="8" t="b">
        <v>1</v>
      </c>
    </row>
    <row r="1502" spans="1:35" ht="31.2">
      <c r="A1502" s="8">
        <v>-73.960816730000005</v>
      </c>
      <c r="B1502" s="8">
        <v>40.795434870000001</v>
      </c>
      <c r="C1502" s="8" t="s">
        <v>3944</v>
      </c>
      <c r="D1502" s="8" t="s">
        <v>387</v>
      </c>
      <c r="E1502" s="8" t="b">
        <f t="shared" si="23"/>
        <v>0</v>
      </c>
      <c r="F1502" s="8" t="str" cm="1">
        <f t="array" ref="F1502">_xlfn._xlws.FILTER(E1502:E4700, C1502:C4700= "6D-PM-1020-01", "No Squirrels Found")</f>
        <v>No Squirrels Found</v>
      </c>
      <c r="G1502" s="8" t="s">
        <v>34</v>
      </c>
      <c r="H1502" s="10">
        <v>10132018</v>
      </c>
      <c r="I1502" s="10">
        <v>5</v>
      </c>
      <c r="K1502" s="8" t="s">
        <v>40</v>
      </c>
      <c r="L1502" s="8" t="s">
        <v>41</v>
      </c>
      <c r="M1502" s="8" t="s">
        <v>42</v>
      </c>
      <c r="O1502" s="8" t="s">
        <v>43</v>
      </c>
      <c r="P1502" s="8" t="b">
        <v>0</v>
      </c>
      <c r="Q1502" s="8" t="s">
        <v>2305</v>
      </c>
      <c r="R1502" s="8" t="b">
        <v>0</v>
      </c>
      <c r="S1502" s="8" t="b">
        <v>0</v>
      </c>
      <c r="T1502" s="8" t="b">
        <v>0</v>
      </c>
      <c r="U1502" s="8" t="b">
        <v>0</v>
      </c>
      <c r="V1502" s="8" t="b">
        <v>1</v>
      </c>
      <c r="X1502" s="8" t="b">
        <v>0</v>
      </c>
      <c r="Y1502" s="8" t="b">
        <v>0</v>
      </c>
      <c r="Z1502" s="8" t="b">
        <v>0</v>
      </c>
      <c r="AA1502" s="8" t="b">
        <v>0</v>
      </c>
      <c r="AB1502" s="8" t="b">
        <v>0</v>
      </c>
      <c r="AC1502" s="8" t="b">
        <v>0</v>
      </c>
      <c r="AD1502" s="8" t="b">
        <v>0</v>
      </c>
      <c r="AE1502" s="8" t="b">
        <v>1</v>
      </c>
      <c r="AG1502" s="11" t="b" cm="1">
        <f t="array" ref="AG1502">IF(OR(Y1502:AA1502="TRUE", AE1502="true"), "Threatened")</f>
        <v>0</v>
      </c>
      <c r="AH1502" s="11" t="s">
        <v>3945</v>
      </c>
      <c r="AI1502" s="8" t="b">
        <v>1</v>
      </c>
    </row>
    <row r="1503" spans="1:35" ht="31.2">
      <c r="A1503" s="8">
        <v>-73.970525480000006</v>
      </c>
      <c r="B1503" s="8">
        <v>40.776360650000001</v>
      </c>
      <c r="C1503" s="8" t="s">
        <v>3946</v>
      </c>
      <c r="D1503" s="8" t="s">
        <v>79</v>
      </c>
      <c r="E1503" s="8" t="b">
        <f t="shared" si="23"/>
        <v>0</v>
      </c>
      <c r="F1503" s="8" t="str" cm="1">
        <f t="array" ref="F1503">_xlfn._xlws.FILTER(E1503:E4701, C1503:C4701= "6D-PM-1020-01", "No Squirrels Found")</f>
        <v>No Squirrels Found</v>
      </c>
      <c r="G1503" s="8" t="s">
        <v>48</v>
      </c>
      <c r="H1503" s="10">
        <v>10172018</v>
      </c>
      <c r="I1503" s="10">
        <v>3</v>
      </c>
      <c r="J1503" s="8" t="s">
        <v>39</v>
      </c>
      <c r="K1503" s="8" t="s">
        <v>40</v>
      </c>
      <c r="L1503" s="8" t="s">
        <v>84</v>
      </c>
      <c r="M1503" s="8" t="s">
        <v>103</v>
      </c>
      <c r="O1503" s="8" t="s">
        <v>43</v>
      </c>
      <c r="P1503" s="8" t="b">
        <v>0</v>
      </c>
      <c r="R1503" s="8" t="b">
        <v>0</v>
      </c>
      <c r="S1503" s="8" t="b">
        <v>0</v>
      </c>
      <c r="T1503" s="8" t="b">
        <v>0</v>
      </c>
      <c r="U1503" s="8" t="b">
        <v>1</v>
      </c>
      <c r="V1503" s="8" t="b">
        <v>1</v>
      </c>
      <c r="X1503" s="8" t="b">
        <v>1</v>
      </c>
      <c r="Y1503" s="8" t="b">
        <v>0</v>
      </c>
      <c r="Z1503" s="8" t="b">
        <v>0</v>
      </c>
      <c r="AA1503" s="8" t="b">
        <v>0</v>
      </c>
      <c r="AB1503" s="8" t="b">
        <v>0</v>
      </c>
      <c r="AC1503" s="8" t="b">
        <v>0</v>
      </c>
      <c r="AD1503" s="8" t="b">
        <v>0</v>
      </c>
      <c r="AE1503" s="8" t="b">
        <v>1</v>
      </c>
      <c r="AF1503" s="11" t="s">
        <v>3947</v>
      </c>
      <c r="AG1503" s="11" t="b" cm="1">
        <f t="array" ref="AG1503">IF(OR(Y1503:AA1503="TRUE", AE1503="true"), "Threatened")</f>
        <v>0</v>
      </c>
      <c r="AH1503" s="11" t="s">
        <v>3948</v>
      </c>
      <c r="AI1503" s="8" t="b">
        <v>1</v>
      </c>
    </row>
    <row r="1504" spans="1:35" ht="31.2">
      <c r="A1504" s="8">
        <v>-73.973219330000006</v>
      </c>
      <c r="B1504" s="8">
        <v>40.774879140000003</v>
      </c>
      <c r="C1504" s="8" t="s">
        <v>3949</v>
      </c>
      <c r="D1504" s="8" t="s">
        <v>98</v>
      </c>
      <c r="E1504" s="8" t="b">
        <f t="shared" si="23"/>
        <v>0</v>
      </c>
      <c r="F1504" s="8" t="str" cm="1">
        <f t="array" ref="F1504">_xlfn._xlws.FILTER(E1504:E4702, C1504:C4702= "6D-PM-1020-01", "No Squirrels Found")</f>
        <v>No Squirrels Found</v>
      </c>
      <c r="G1504" s="8" t="s">
        <v>34</v>
      </c>
      <c r="H1504" s="10">
        <v>10062018</v>
      </c>
      <c r="I1504" s="10">
        <v>1</v>
      </c>
      <c r="J1504" s="8" t="s">
        <v>39</v>
      </c>
      <c r="K1504" s="8" t="s">
        <v>40</v>
      </c>
      <c r="L1504" s="8" t="s">
        <v>41</v>
      </c>
      <c r="M1504" s="8" t="s">
        <v>42</v>
      </c>
      <c r="O1504" s="8" t="s">
        <v>50</v>
      </c>
      <c r="P1504" s="8">
        <v>20</v>
      </c>
      <c r="R1504" s="8" t="b">
        <v>0</v>
      </c>
      <c r="S1504" s="8" t="b">
        <v>0</v>
      </c>
      <c r="T1504" s="8" t="b">
        <v>1</v>
      </c>
      <c r="U1504" s="8" t="b">
        <v>0</v>
      </c>
      <c r="V1504" s="8" t="b">
        <v>0</v>
      </c>
      <c r="X1504" s="8" t="b">
        <v>0</v>
      </c>
      <c r="Y1504" s="8" t="b">
        <v>0</v>
      </c>
      <c r="Z1504" s="8" t="b">
        <v>0</v>
      </c>
      <c r="AA1504" s="8" t="b">
        <v>0</v>
      </c>
      <c r="AB1504" s="8" t="b">
        <v>0</v>
      </c>
      <c r="AC1504" s="8" t="b">
        <v>0</v>
      </c>
      <c r="AD1504" s="8" t="b">
        <v>1</v>
      </c>
      <c r="AE1504" s="8" t="b">
        <v>0</v>
      </c>
      <c r="AG1504" s="11" t="b" cm="1">
        <f t="array" ref="AG1504">IF(OR(Y1504:AA1504="TRUE", AE1504="true"), "Threatened")</f>
        <v>0</v>
      </c>
      <c r="AH1504" s="11" t="s">
        <v>3950</v>
      </c>
      <c r="AI1504" s="8" t="b">
        <v>1</v>
      </c>
    </row>
    <row r="1505" spans="1:35" ht="31.2">
      <c r="A1505" s="8">
        <v>-73.970658610000001</v>
      </c>
      <c r="B1505" s="8">
        <v>40.779635740000003</v>
      </c>
      <c r="C1505" s="8" t="s">
        <v>3951</v>
      </c>
      <c r="D1505" s="8" t="s">
        <v>163</v>
      </c>
      <c r="E1505" s="8" t="b">
        <f t="shared" si="23"/>
        <v>0</v>
      </c>
      <c r="F1505" s="8" t="str" cm="1">
        <f t="array" ref="F1505">_xlfn._xlws.FILTER(E1505:E4703, C1505:C4703= "6D-PM-1020-01", "No Squirrels Found")</f>
        <v>No Squirrels Found</v>
      </c>
      <c r="G1505" s="8" t="s">
        <v>34</v>
      </c>
      <c r="H1505" s="10">
        <v>10132018</v>
      </c>
      <c r="I1505" s="10">
        <v>2</v>
      </c>
      <c r="J1505" s="8" t="s">
        <v>39</v>
      </c>
      <c r="K1505" s="8" t="s">
        <v>40</v>
      </c>
      <c r="M1505" s="8" t="s">
        <v>55</v>
      </c>
      <c r="O1505" s="8" t="s">
        <v>50</v>
      </c>
      <c r="P1505" s="8">
        <v>20</v>
      </c>
      <c r="Q1505" s="8" t="s">
        <v>3101</v>
      </c>
      <c r="R1505" s="8" t="b">
        <v>0</v>
      </c>
      <c r="S1505" s="8" t="b">
        <v>0</v>
      </c>
      <c r="T1505" s="8" t="b">
        <v>0</v>
      </c>
      <c r="U1505" s="8" t="b">
        <v>1</v>
      </c>
      <c r="V1505" s="8" t="b">
        <v>0</v>
      </c>
      <c r="X1505" s="8" t="b">
        <v>0</v>
      </c>
      <c r="Y1505" s="8" t="b">
        <v>0</v>
      </c>
      <c r="Z1505" s="8" t="b">
        <v>0</v>
      </c>
      <c r="AA1505" s="8" t="b">
        <v>0</v>
      </c>
      <c r="AB1505" s="8" t="b">
        <v>0</v>
      </c>
      <c r="AC1505" s="8" t="b">
        <v>0</v>
      </c>
      <c r="AD1505" s="8" t="b">
        <v>1</v>
      </c>
      <c r="AE1505" s="8" t="b">
        <v>0</v>
      </c>
      <c r="AG1505" s="11" t="b" cm="1">
        <f t="array" ref="AG1505">IF(OR(Y1505:AA1505="TRUE", AE1505="true"), "Threatened")</f>
        <v>0</v>
      </c>
      <c r="AH1505" s="11" t="s">
        <v>3952</v>
      </c>
      <c r="AI1505" s="8" t="b">
        <v>1</v>
      </c>
    </row>
    <row r="1506" spans="1:35" ht="31.2">
      <c r="A1506" s="8">
        <v>-73.973346129999996</v>
      </c>
      <c r="B1506" s="8">
        <v>40.76843143</v>
      </c>
      <c r="C1506" s="8" t="s">
        <v>3953</v>
      </c>
      <c r="D1506" s="8" t="s">
        <v>1668</v>
      </c>
      <c r="E1506" s="8" t="b">
        <f t="shared" si="23"/>
        <v>0</v>
      </c>
      <c r="F1506" s="8" t="str" cm="1">
        <f t="array" ref="F1506">_xlfn._xlws.FILTER(E1506:E4704, C1506:C4704= "6D-PM-1020-01", "No Squirrels Found")</f>
        <v>No Squirrels Found</v>
      </c>
      <c r="G1506" s="8" t="s">
        <v>34</v>
      </c>
      <c r="H1506" s="10">
        <v>10102018</v>
      </c>
      <c r="I1506" s="10">
        <v>1</v>
      </c>
      <c r="J1506" s="8" t="s">
        <v>39</v>
      </c>
      <c r="K1506" s="8" t="s">
        <v>41</v>
      </c>
      <c r="L1506" s="8" t="s">
        <v>40</v>
      </c>
      <c r="M1506" s="8" t="s">
        <v>110</v>
      </c>
      <c r="O1506" s="8" t="s">
        <v>43</v>
      </c>
      <c r="P1506" s="8" t="b">
        <v>0</v>
      </c>
      <c r="R1506" s="8" t="b">
        <v>0</v>
      </c>
      <c r="S1506" s="8" t="b">
        <v>0</v>
      </c>
      <c r="T1506" s="8" t="b">
        <v>0</v>
      </c>
      <c r="U1506" s="8" t="b">
        <v>1</v>
      </c>
      <c r="V1506" s="8" t="b">
        <v>1</v>
      </c>
      <c r="X1506" s="8" t="b">
        <v>0</v>
      </c>
      <c r="Y1506" s="8" t="b">
        <v>0</v>
      </c>
      <c r="Z1506" s="8" t="b">
        <v>0</v>
      </c>
      <c r="AA1506" s="8" t="b">
        <v>0</v>
      </c>
      <c r="AB1506" s="8" t="b">
        <v>0</v>
      </c>
      <c r="AC1506" s="8" t="b">
        <v>0</v>
      </c>
      <c r="AD1506" s="8" t="b">
        <v>1</v>
      </c>
      <c r="AE1506" s="8" t="b">
        <v>0</v>
      </c>
      <c r="AG1506" s="11" t="b" cm="1">
        <f t="array" ref="AG1506">IF(OR(Y1506:AA1506="TRUE", AE1506="true"), "Threatened")</f>
        <v>0</v>
      </c>
      <c r="AH1506" s="11" t="s">
        <v>3954</v>
      </c>
      <c r="AI1506" s="8" t="b">
        <v>1</v>
      </c>
    </row>
    <row r="1507" spans="1:35" ht="31.2">
      <c r="A1507" s="8">
        <v>-73.972833980000004</v>
      </c>
      <c r="B1507" s="8">
        <v>40.778289119999997</v>
      </c>
      <c r="C1507" s="8" t="s">
        <v>3955</v>
      </c>
      <c r="D1507" s="8" t="s">
        <v>1764</v>
      </c>
      <c r="E1507" s="8" t="b">
        <f t="shared" si="23"/>
        <v>0</v>
      </c>
      <c r="F1507" s="8" t="str" cm="1">
        <f t="array" ref="F1507">_xlfn._xlws.FILTER(E1507:E4705, C1507:C4705= "6D-PM-1020-01", "No Squirrels Found")</f>
        <v>No Squirrels Found</v>
      </c>
      <c r="G1507" s="8" t="s">
        <v>34</v>
      </c>
      <c r="H1507" s="10">
        <v>10142018</v>
      </c>
      <c r="I1507" s="10">
        <v>4</v>
      </c>
      <c r="J1507" s="8" t="s">
        <v>39</v>
      </c>
      <c r="K1507" s="8" t="s">
        <v>40</v>
      </c>
      <c r="L1507" s="8" t="s">
        <v>41</v>
      </c>
      <c r="M1507" s="8" t="s">
        <v>42</v>
      </c>
      <c r="O1507" s="8" t="s">
        <v>50</v>
      </c>
      <c r="P1507" s="8">
        <v>20</v>
      </c>
      <c r="Q1507" s="8" t="s">
        <v>3956</v>
      </c>
      <c r="R1507" s="8" t="b">
        <v>0</v>
      </c>
      <c r="S1507" s="8" t="b">
        <v>0</v>
      </c>
      <c r="T1507" s="8" t="b">
        <v>0</v>
      </c>
      <c r="U1507" s="8" t="b">
        <v>0</v>
      </c>
      <c r="V1507" s="8" t="b">
        <v>0</v>
      </c>
      <c r="X1507" s="8" t="b">
        <v>0</v>
      </c>
      <c r="Y1507" s="8" t="b">
        <v>0</v>
      </c>
      <c r="Z1507" s="8" t="b">
        <v>0</v>
      </c>
      <c r="AA1507" s="8" t="b">
        <v>0</v>
      </c>
      <c r="AB1507" s="8" t="b">
        <v>0</v>
      </c>
      <c r="AC1507" s="8" t="b">
        <v>0</v>
      </c>
      <c r="AD1507" s="8" t="b">
        <v>0</v>
      </c>
      <c r="AE1507" s="8" t="b">
        <v>0</v>
      </c>
      <c r="AG1507" s="11" t="b" cm="1">
        <f t="array" ref="AG1507">IF(OR(Y1507:AA1507="TRUE", AE1507="true"), "Threatened")</f>
        <v>0</v>
      </c>
      <c r="AH1507" s="11" t="s">
        <v>3957</v>
      </c>
      <c r="AI1507" s="8" t="b">
        <v>1</v>
      </c>
    </row>
    <row r="1508" spans="1:35" ht="31.2">
      <c r="A1508" s="8">
        <v>-73.969979949999995</v>
      </c>
      <c r="B1508" s="8">
        <v>40.773657630000002</v>
      </c>
      <c r="C1508" s="8" t="s">
        <v>3958</v>
      </c>
      <c r="D1508" s="8" t="s">
        <v>1168</v>
      </c>
      <c r="E1508" s="8" t="b">
        <f t="shared" si="23"/>
        <v>0</v>
      </c>
      <c r="F1508" s="8" t="str" cm="1">
        <f t="array" ref="F1508">_xlfn._xlws.FILTER(E1508:E4706, C1508:C4706= "6D-PM-1020-01", "No Squirrels Found")</f>
        <v>No Squirrels Found</v>
      </c>
      <c r="G1508" s="8" t="s">
        <v>48</v>
      </c>
      <c r="H1508" s="10">
        <v>10132018</v>
      </c>
      <c r="I1508" s="10">
        <v>2</v>
      </c>
      <c r="J1508" s="8" t="s">
        <v>39</v>
      </c>
      <c r="K1508" s="8" t="s">
        <v>40</v>
      </c>
      <c r="M1508" s="8" t="s">
        <v>55</v>
      </c>
      <c r="O1508" s="8" t="s">
        <v>50</v>
      </c>
      <c r="P1508" s="8">
        <v>5</v>
      </c>
      <c r="R1508" s="8" t="b">
        <v>0</v>
      </c>
      <c r="S1508" s="8" t="b">
        <v>0</v>
      </c>
      <c r="T1508" s="8" t="b">
        <v>1</v>
      </c>
      <c r="U1508" s="8" t="b">
        <v>0</v>
      </c>
      <c r="V1508" s="8" t="b">
        <v>0</v>
      </c>
      <c r="X1508" s="8" t="b">
        <v>0</v>
      </c>
      <c r="Y1508" s="8" t="b">
        <v>0</v>
      </c>
      <c r="Z1508" s="8" t="b">
        <v>0</v>
      </c>
      <c r="AA1508" s="8" t="b">
        <v>0</v>
      </c>
      <c r="AB1508" s="8" t="b">
        <v>0</v>
      </c>
      <c r="AC1508" s="8" t="b">
        <v>0</v>
      </c>
      <c r="AD1508" s="8" t="b">
        <v>0</v>
      </c>
      <c r="AE1508" s="8" t="b">
        <v>1</v>
      </c>
      <c r="AG1508" s="11" t="b" cm="1">
        <f t="array" ref="AG1508">IF(OR(Y1508:AA1508="TRUE", AE1508="true"), "Threatened")</f>
        <v>0</v>
      </c>
      <c r="AH1508" s="11" t="s">
        <v>3959</v>
      </c>
      <c r="AI1508" s="8" t="b">
        <v>1</v>
      </c>
    </row>
    <row r="1509" spans="1:35" ht="31.2">
      <c r="A1509" s="8">
        <v>-73.969389430000007</v>
      </c>
      <c r="B1509" s="8">
        <v>40.775690670000003</v>
      </c>
      <c r="C1509" s="8" t="s">
        <v>3960</v>
      </c>
      <c r="D1509" s="8" t="s">
        <v>275</v>
      </c>
      <c r="E1509" s="8" t="b">
        <f t="shared" si="23"/>
        <v>0</v>
      </c>
      <c r="F1509" s="8" t="str" cm="1">
        <f t="array" ref="F1509">_xlfn._xlws.FILTER(E1509:E4707, C1509:C4707= "6D-PM-1020-01", "No Squirrels Found")</f>
        <v>No Squirrels Found</v>
      </c>
      <c r="G1509" s="8" t="s">
        <v>34</v>
      </c>
      <c r="H1509" s="10">
        <v>10082018</v>
      </c>
      <c r="I1509" s="10">
        <v>4</v>
      </c>
      <c r="J1509" s="8" t="s">
        <v>39</v>
      </c>
      <c r="K1509" s="8" t="s">
        <v>40</v>
      </c>
      <c r="L1509" s="8" t="s">
        <v>41</v>
      </c>
      <c r="M1509" s="8" t="s">
        <v>42</v>
      </c>
      <c r="O1509" s="8" t="s">
        <v>50</v>
      </c>
      <c r="P1509" s="8">
        <v>20</v>
      </c>
      <c r="R1509" s="8" t="b">
        <v>0</v>
      </c>
      <c r="S1509" s="8" t="b">
        <v>0</v>
      </c>
      <c r="T1509" s="8" t="b">
        <v>0</v>
      </c>
      <c r="U1509" s="8" t="b">
        <v>0</v>
      </c>
      <c r="V1509" s="8" t="b">
        <v>0</v>
      </c>
      <c r="X1509" s="8" t="b">
        <v>1</v>
      </c>
      <c r="Y1509" s="8" t="b">
        <v>0</v>
      </c>
      <c r="Z1509" s="8" t="b">
        <v>0</v>
      </c>
      <c r="AA1509" s="8" t="b">
        <v>0</v>
      </c>
      <c r="AB1509" s="8" t="b">
        <v>0</v>
      </c>
      <c r="AC1509" s="8" t="b">
        <v>0</v>
      </c>
      <c r="AD1509" s="8" t="b">
        <v>0</v>
      </c>
      <c r="AE1509" s="8" t="b">
        <v>0</v>
      </c>
      <c r="AG1509" s="11" t="b" cm="1">
        <f t="array" ref="AG1509">IF(OR(Y1509:AA1509="TRUE", AE1509="true"), "Threatened")</f>
        <v>0</v>
      </c>
      <c r="AH1509" s="11" t="s">
        <v>3961</v>
      </c>
      <c r="AI1509" s="8" t="b">
        <v>1</v>
      </c>
    </row>
    <row r="1510" spans="1:35" ht="31.2">
      <c r="A1510" s="8">
        <v>-73.955645000000004</v>
      </c>
      <c r="B1510" s="8">
        <v>40.796718810000002</v>
      </c>
      <c r="C1510" s="8" t="s">
        <v>3962</v>
      </c>
      <c r="D1510" s="8" t="s">
        <v>3963</v>
      </c>
      <c r="E1510" s="8" t="b">
        <f t="shared" si="23"/>
        <v>0</v>
      </c>
      <c r="F1510" s="8" t="str" cm="1">
        <f t="array" ref="F1510">_xlfn._xlws.FILTER(E1510:E4708, C1510:C4708= "6D-PM-1020-01", "No Squirrels Found")</f>
        <v>No Squirrels Found</v>
      </c>
      <c r="G1510" s="8" t="s">
        <v>48</v>
      </c>
      <c r="H1510" s="10">
        <v>10182018</v>
      </c>
      <c r="I1510" s="10">
        <v>4</v>
      </c>
      <c r="J1510" s="8" t="s">
        <v>39</v>
      </c>
      <c r="K1510" s="8" t="s">
        <v>40</v>
      </c>
      <c r="M1510" s="8" t="s">
        <v>55</v>
      </c>
      <c r="O1510" s="8" t="s">
        <v>43</v>
      </c>
      <c r="P1510" s="8" t="b">
        <v>0</v>
      </c>
      <c r="R1510" s="8" t="b">
        <v>0</v>
      </c>
      <c r="S1510" s="8" t="b">
        <v>1</v>
      </c>
      <c r="T1510" s="8" t="b">
        <v>0</v>
      </c>
      <c r="U1510" s="8" t="b">
        <v>0</v>
      </c>
      <c r="V1510" s="8" t="b">
        <v>0</v>
      </c>
      <c r="X1510" s="8" t="b">
        <v>0</v>
      </c>
      <c r="Y1510" s="8" t="b">
        <v>0</v>
      </c>
      <c r="Z1510" s="8" t="b">
        <v>0</v>
      </c>
      <c r="AA1510" s="8" t="b">
        <v>1</v>
      </c>
      <c r="AB1510" s="8" t="b">
        <v>0</v>
      </c>
      <c r="AC1510" s="8" t="b">
        <v>0</v>
      </c>
      <c r="AD1510" s="8" t="b">
        <v>1</v>
      </c>
      <c r="AE1510" s="8" t="b">
        <v>0</v>
      </c>
      <c r="AG1510" s="11" t="b" cm="1">
        <f t="array" ref="AG1510">IF(OR(Y1510:AA1510="TRUE", AE1510="true"), "Threatened")</f>
        <v>0</v>
      </c>
      <c r="AH1510" s="11" t="s">
        <v>3964</v>
      </c>
      <c r="AI1510" s="8" t="b">
        <v>1</v>
      </c>
    </row>
    <row r="1511" spans="1:35" ht="31.2">
      <c r="A1511" s="8">
        <v>-73.965567089999993</v>
      </c>
      <c r="B1511" s="8">
        <v>40.776372889999998</v>
      </c>
      <c r="C1511" s="8" t="s">
        <v>3965</v>
      </c>
      <c r="D1511" s="8" t="s">
        <v>1530</v>
      </c>
      <c r="E1511" s="8" t="b">
        <f t="shared" si="23"/>
        <v>0</v>
      </c>
      <c r="F1511" s="8" t="str" cm="1">
        <f t="array" ref="F1511">_xlfn._xlws.FILTER(E1511:E4709, C1511:C4709= "6D-PM-1020-01", "No Squirrels Found")</f>
        <v>No Squirrels Found</v>
      </c>
      <c r="G1511" s="8" t="s">
        <v>34</v>
      </c>
      <c r="H1511" s="10">
        <v>10142018</v>
      </c>
      <c r="I1511" s="10">
        <v>3</v>
      </c>
      <c r="J1511" s="8" t="s">
        <v>39</v>
      </c>
      <c r="K1511" s="8" t="s">
        <v>40</v>
      </c>
      <c r="L1511" s="8" t="s">
        <v>84</v>
      </c>
      <c r="M1511" s="8" t="s">
        <v>103</v>
      </c>
      <c r="O1511" s="8" t="s">
        <v>43</v>
      </c>
      <c r="P1511" s="8" t="b">
        <v>0</v>
      </c>
      <c r="R1511" s="8" t="b">
        <v>1</v>
      </c>
      <c r="S1511" s="8" t="b">
        <v>0</v>
      </c>
      <c r="T1511" s="8" t="b">
        <v>0</v>
      </c>
      <c r="U1511" s="8" t="b">
        <v>0</v>
      </c>
      <c r="V1511" s="8" t="b">
        <v>0</v>
      </c>
      <c r="X1511" s="8" t="b">
        <v>0</v>
      </c>
      <c r="Y1511" s="8" t="b">
        <v>0</v>
      </c>
      <c r="Z1511" s="8" t="b">
        <v>0</v>
      </c>
      <c r="AA1511" s="8" t="b">
        <v>0</v>
      </c>
      <c r="AB1511" s="8" t="b">
        <v>0</v>
      </c>
      <c r="AC1511" s="8" t="b">
        <v>1</v>
      </c>
      <c r="AD1511" s="8" t="b">
        <v>0</v>
      </c>
      <c r="AE1511" s="8" t="b">
        <v>0</v>
      </c>
      <c r="AF1511" s="11" t="s">
        <v>3966</v>
      </c>
      <c r="AG1511" s="11" t="b" cm="1">
        <f t="array" ref="AG1511">IF(OR(Y1511:AA1511="TRUE", AE1511="true"), "Threatened")</f>
        <v>0</v>
      </c>
      <c r="AH1511" s="11" t="s">
        <v>3967</v>
      </c>
      <c r="AI1511" s="8" t="b">
        <v>1</v>
      </c>
    </row>
    <row r="1512" spans="1:35" ht="31.2">
      <c r="A1512" s="8">
        <v>-73.972164250000006</v>
      </c>
      <c r="B1512" s="8">
        <v>40.770117939999999</v>
      </c>
      <c r="C1512" s="8" t="s">
        <v>3968</v>
      </c>
      <c r="D1512" s="8" t="s">
        <v>413</v>
      </c>
      <c r="E1512" s="8" t="b">
        <f t="shared" si="23"/>
        <v>0</v>
      </c>
      <c r="F1512" s="8" t="str" cm="1">
        <f t="array" ref="F1512">_xlfn._xlws.FILTER(E1512:E4710, C1512:C4710= "6D-PM-1020-01", "No Squirrels Found")</f>
        <v>No Squirrels Found</v>
      </c>
      <c r="G1512" s="8" t="s">
        <v>48</v>
      </c>
      <c r="H1512" s="10">
        <v>10102018</v>
      </c>
      <c r="I1512" s="10">
        <v>1</v>
      </c>
      <c r="J1512" s="8" t="s">
        <v>39</v>
      </c>
      <c r="K1512" s="8" t="s">
        <v>40</v>
      </c>
      <c r="L1512" s="8" t="s">
        <v>41</v>
      </c>
      <c r="M1512" s="8" t="s">
        <v>42</v>
      </c>
      <c r="O1512" s="8" t="s">
        <v>43</v>
      </c>
      <c r="P1512" s="8" t="b">
        <v>0</v>
      </c>
      <c r="R1512" s="8" t="b">
        <v>1</v>
      </c>
      <c r="S1512" s="8" t="b">
        <v>0</v>
      </c>
      <c r="T1512" s="8" t="b">
        <v>0</v>
      </c>
      <c r="U1512" s="8" t="b">
        <v>0</v>
      </c>
      <c r="V1512" s="8" t="b">
        <v>0</v>
      </c>
      <c r="X1512" s="8" t="b">
        <v>0</v>
      </c>
      <c r="Y1512" s="8" t="b">
        <v>0</v>
      </c>
      <c r="Z1512" s="8" t="b">
        <v>0</v>
      </c>
      <c r="AA1512" s="8" t="b">
        <v>0</v>
      </c>
      <c r="AB1512" s="8" t="b">
        <v>1</v>
      </c>
      <c r="AC1512" s="8" t="b">
        <v>0</v>
      </c>
      <c r="AD1512" s="8" t="b">
        <v>1</v>
      </c>
      <c r="AE1512" s="8" t="b">
        <v>0</v>
      </c>
      <c r="AG1512" s="11" t="b" cm="1">
        <f t="array" ref="AG1512">IF(OR(Y1512:AA1512="TRUE", AE1512="true"), "Threatened")</f>
        <v>0</v>
      </c>
      <c r="AH1512" s="11" t="s">
        <v>3969</v>
      </c>
      <c r="AI1512" s="8" t="b">
        <v>1</v>
      </c>
    </row>
    <row r="1513" spans="1:35" ht="31.2">
      <c r="A1513" s="8">
        <v>-73.973388240000006</v>
      </c>
      <c r="B1513" s="8">
        <v>40.768307870000001</v>
      </c>
      <c r="C1513" s="8" t="s">
        <v>3970</v>
      </c>
      <c r="D1513" s="8" t="s">
        <v>1668</v>
      </c>
      <c r="E1513" s="8" t="b">
        <f t="shared" si="23"/>
        <v>0</v>
      </c>
      <c r="F1513" s="8" t="str" cm="1">
        <f t="array" ref="F1513">_xlfn._xlws.FILTER(E1513:E4711, C1513:C4711= "6D-PM-1020-01", "No Squirrels Found")</f>
        <v>No Squirrels Found</v>
      </c>
      <c r="G1513" s="8" t="s">
        <v>48</v>
      </c>
      <c r="H1513" s="10">
        <v>10062018</v>
      </c>
      <c r="I1513" s="10">
        <v>1</v>
      </c>
      <c r="J1513" s="8" t="s">
        <v>39</v>
      </c>
      <c r="K1513" s="8" t="s">
        <v>40</v>
      </c>
      <c r="L1513" s="8" t="s">
        <v>192</v>
      </c>
      <c r="M1513" s="8" t="s">
        <v>354</v>
      </c>
      <c r="O1513" s="8" t="s">
        <v>50</v>
      </c>
      <c r="P1513" s="8">
        <v>20</v>
      </c>
      <c r="R1513" s="8" t="b">
        <v>0</v>
      </c>
      <c r="S1513" s="8" t="b">
        <v>0</v>
      </c>
      <c r="T1513" s="8" t="b">
        <v>1</v>
      </c>
      <c r="U1513" s="8" t="b">
        <v>0</v>
      </c>
      <c r="V1513" s="8" t="b">
        <v>0</v>
      </c>
      <c r="X1513" s="8" t="b">
        <v>0</v>
      </c>
      <c r="Y1513" s="8" t="b">
        <v>0</v>
      </c>
      <c r="Z1513" s="8" t="b">
        <v>0</v>
      </c>
      <c r="AA1513" s="8" t="b">
        <v>0</v>
      </c>
      <c r="AB1513" s="8" t="b">
        <v>0</v>
      </c>
      <c r="AC1513" s="8" t="b">
        <v>0</v>
      </c>
      <c r="AD1513" s="8" t="b">
        <v>0</v>
      </c>
      <c r="AE1513" s="8" t="b">
        <v>0</v>
      </c>
      <c r="AF1513" s="11" t="s">
        <v>3971</v>
      </c>
      <c r="AG1513" s="11" t="b" cm="1">
        <f t="array" ref="AG1513">IF(OR(Y1513:AA1513="TRUE", AE1513="true"), "Threatened")</f>
        <v>0</v>
      </c>
      <c r="AH1513" s="11" t="s">
        <v>3972</v>
      </c>
      <c r="AI1513" s="8" t="b">
        <v>1</v>
      </c>
    </row>
    <row r="1514" spans="1:35" ht="31.2">
      <c r="A1514" s="8">
        <v>-73.966240999999997</v>
      </c>
      <c r="B1514" s="8">
        <v>40.789104289999997</v>
      </c>
      <c r="C1514" s="8" t="s">
        <v>3973</v>
      </c>
      <c r="D1514" s="8" t="s">
        <v>174</v>
      </c>
      <c r="E1514" s="8" t="b">
        <f t="shared" si="23"/>
        <v>0</v>
      </c>
      <c r="F1514" s="8" t="str" cm="1">
        <f t="array" ref="F1514">_xlfn._xlws.FILTER(E1514:E4712, C1514:C4712= "6D-PM-1020-01", "No Squirrels Found")</f>
        <v>No Squirrels Found</v>
      </c>
      <c r="G1514" s="8" t="s">
        <v>34</v>
      </c>
      <c r="H1514" s="10">
        <v>10072018</v>
      </c>
      <c r="I1514" s="10">
        <v>3</v>
      </c>
      <c r="J1514" s="8" t="s">
        <v>39</v>
      </c>
      <c r="K1514" s="8" t="s">
        <v>41</v>
      </c>
      <c r="L1514" s="8" t="s">
        <v>40</v>
      </c>
      <c r="M1514" s="8" t="s">
        <v>110</v>
      </c>
      <c r="O1514" s="8" t="s">
        <v>43</v>
      </c>
      <c r="P1514" s="8" t="b">
        <v>0</v>
      </c>
      <c r="R1514" s="8" t="b">
        <v>0</v>
      </c>
      <c r="S1514" s="8" t="b">
        <v>1</v>
      </c>
      <c r="T1514" s="8" t="b">
        <v>0</v>
      </c>
      <c r="U1514" s="8" t="b">
        <v>1</v>
      </c>
      <c r="V1514" s="8" t="b">
        <v>1</v>
      </c>
      <c r="W1514" s="11" t="s">
        <v>3974</v>
      </c>
      <c r="X1514" s="8" t="b">
        <v>0</v>
      </c>
      <c r="Y1514" s="8" t="b">
        <v>0</v>
      </c>
      <c r="Z1514" s="8" t="b">
        <v>0</v>
      </c>
      <c r="AA1514" s="8" t="b">
        <v>0</v>
      </c>
      <c r="AB1514" s="8" t="b">
        <v>0</v>
      </c>
      <c r="AC1514" s="8" t="b">
        <v>0</v>
      </c>
      <c r="AD1514" s="8" t="b">
        <v>1</v>
      </c>
      <c r="AE1514" s="8" t="b">
        <v>0</v>
      </c>
      <c r="AG1514" s="11" t="b" cm="1">
        <f t="array" ref="AG1514">IF(OR(Y1514:AA1514="TRUE", AE1514="true"), "Threatened")</f>
        <v>0</v>
      </c>
      <c r="AH1514" s="11" t="s">
        <v>3975</v>
      </c>
      <c r="AI1514" s="8" t="b">
        <v>0</v>
      </c>
    </row>
    <row r="1515" spans="1:35" ht="31.2">
      <c r="A1515" s="8">
        <v>-73.95480062</v>
      </c>
      <c r="B1515" s="8">
        <v>40.79455033</v>
      </c>
      <c r="C1515" s="8" t="s">
        <v>3976</v>
      </c>
      <c r="D1515" s="8" t="s">
        <v>293</v>
      </c>
      <c r="E1515" s="8" t="b">
        <f t="shared" si="23"/>
        <v>0</v>
      </c>
      <c r="F1515" s="8" t="str" cm="1">
        <f t="array" ref="F1515">_xlfn._xlws.FILTER(E1515:E4713, C1515:C4713= "6D-PM-1020-01", "No Squirrels Found")</f>
        <v>No Squirrels Found</v>
      </c>
      <c r="G1515" s="8" t="s">
        <v>34</v>
      </c>
      <c r="H1515" s="10">
        <v>10202018</v>
      </c>
      <c r="I1515" s="10">
        <v>8</v>
      </c>
      <c r="J1515" s="8" t="s">
        <v>39</v>
      </c>
      <c r="K1515" s="8" t="s">
        <v>40</v>
      </c>
      <c r="L1515" s="8" t="s">
        <v>117</v>
      </c>
      <c r="M1515" s="8" t="s">
        <v>118</v>
      </c>
      <c r="O1515" s="8" t="s">
        <v>43</v>
      </c>
      <c r="P1515" s="8" t="b">
        <v>0</v>
      </c>
      <c r="R1515" s="8" t="b">
        <v>0</v>
      </c>
      <c r="S1515" s="8" t="b">
        <v>0</v>
      </c>
      <c r="T1515" s="8" t="b">
        <v>0</v>
      </c>
      <c r="U1515" s="8" t="b">
        <v>1</v>
      </c>
      <c r="V1515" s="8" t="b">
        <v>1</v>
      </c>
      <c r="X1515" s="8" t="b">
        <v>1</v>
      </c>
      <c r="Y1515" s="8" t="b">
        <v>0</v>
      </c>
      <c r="Z1515" s="8" t="b">
        <v>0</v>
      </c>
      <c r="AA1515" s="8" t="b">
        <v>1</v>
      </c>
      <c r="AB1515" s="8" t="b">
        <v>0</v>
      </c>
      <c r="AC1515" s="8" t="b">
        <v>0</v>
      </c>
      <c r="AD1515" s="8" t="b">
        <v>1</v>
      </c>
      <c r="AE1515" s="8" t="b">
        <v>0</v>
      </c>
      <c r="AG1515" s="11" t="b" cm="1">
        <f t="array" ref="AG1515">IF(OR(Y1515:AA1515="TRUE", AE1515="true"), "Threatened")</f>
        <v>0</v>
      </c>
      <c r="AH1515" s="11" t="s">
        <v>3977</v>
      </c>
      <c r="AI1515" s="8" t="b">
        <v>1</v>
      </c>
    </row>
    <row r="1516" spans="1:35" ht="31.2">
      <c r="A1516" s="8">
        <v>-73.953032660000005</v>
      </c>
      <c r="B1516" s="8">
        <v>40.795692240000001</v>
      </c>
      <c r="C1516" s="8" t="s">
        <v>3978</v>
      </c>
      <c r="D1516" s="8" t="s">
        <v>153</v>
      </c>
      <c r="E1516" s="8" t="b">
        <f t="shared" si="23"/>
        <v>0</v>
      </c>
      <c r="F1516" s="8" t="str" cm="1">
        <f t="array" ref="F1516">_xlfn._xlws.FILTER(E1516:E4714, C1516:C4714= "6D-PM-1020-01", "No Squirrels Found")</f>
        <v>No Squirrels Found</v>
      </c>
      <c r="G1516" s="8" t="s">
        <v>34</v>
      </c>
      <c r="H1516" s="10">
        <v>10132018</v>
      </c>
      <c r="I1516" s="10">
        <v>2</v>
      </c>
      <c r="J1516" s="8" t="s">
        <v>39</v>
      </c>
      <c r="K1516" s="8" t="s">
        <v>40</v>
      </c>
      <c r="L1516" s="8" t="s">
        <v>41</v>
      </c>
      <c r="M1516" s="8" t="s">
        <v>42</v>
      </c>
      <c r="O1516" s="8" t="s">
        <v>43</v>
      </c>
      <c r="P1516" s="8" t="b">
        <v>0</v>
      </c>
      <c r="R1516" s="8" t="b">
        <v>1</v>
      </c>
      <c r="S1516" s="8" t="b">
        <v>0</v>
      </c>
      <c r="T1516" s="8" t="b">
        <v>0</v>
      </c>
      <c r="U1516" s="8" t="b">
        <v>0</v>
      </c>
      <c r="V1516" s="8" t="b">
        <v>0</v>
      </c>
      <c r="X1516" s="8" t="b">
        <v>0</v>
      </c>
      <c r="Y1516" s="8" t="b">
        <v>0</v>
      </c>
      <c r="Z1516" s="8" t="b">
        <v>0</v>
      </c>
      <c r="AA1516" s="8" t="b">
        <v>0</v>
      </c>
      <c r="AB1516" s="8" t="b">
        <v>0</v>
      </c>
      <c r="AC1516" s="8" t="b">
        <v>0</v>
      </c>
      <c r="AD1516" s="8" t="b">
        <v>0</v>
      </c>
      <c r="AE1516" s="8" t="b">
        <v>0</v>
      </c>
      <c r="AG1516" s="11" t="b" cm="1">
        <f t="array" ref="AG1516">IF(OR(Y1516:AA1516="TRUE", AE1516="true"), "Threatened")</f>
        <v>0</v>
      </c>
      <c r="AH1516" s="11" t="s">
        <v>3979</v>
      </c>
      <c r="AI1516" s="8" t="b">
        <v>1</v>
      </c>
    </row>
    <row r="1517" spans="1:35" ht="31.2">
      <c r="A1517" s="8">
        <v>-73.962538379999998</v>
      </c>
      <c r="B1517" s="8">
        <v>40.78838623</v>
      </c>
      <c r="C1517" s="8" t="s">
        <v>3980</v>
      </c>
      <c r="D1517" s="8" t="s">
        <v>1052</v>
      </c>
      <c r="E1517" s="8" t="b">
        <f t="shared" si="23"/>
        <v>0</v>
      </c>
      <c r="F1517" s="8" t="str" cm="1">
        <f t="array" ref="F1517">_xlfn._xlws.FILTER(E1517:E4715, C1517:C4715= "6D-PM-1020-01", "No Squirrels Found")</f>
        <v>No Squirrels Found</v>
      </c>
      <c r="G1517" s="8" t="s">
        <v>48</v>
      </c>
      <c r="H1517" s="10">
        <v>10122018</v>
      </c>
      <c r="I1517" s="10">
        <v>3</v>
      </c>
      <c r="J1517" s="8" t="s">
        <v>39</v>
      </c>
      <c r="K1517" s="8" t="s">
        <v>192</v>
      </c>
      <c r="M1517" s="8" t="s">
        <v>193</v>
      </c>
      <c r="O1517" s="8" t="s">
        <v>50</v>
      </c>
      <c r="P1517" s="8">
        <v>30</v>
      </c>
      <c r="R1517" s="8" t="b">
        <v>1</v>
      </c>
      <c r="S1517" s="8" t="b">
        <v>0</v>
      </c>
      <c r="T1517" s="8" t="b">
        <v>0</v>
      </c>
      <c r="U1517" s="8" t="b">
        <v>0</v>
      </c>
      <c r="V1517" s="8" t="b">
        <v>0</v>
      </c>
      <c r="X1517" s="8" t="b">
        <v>0</v>
      </c>
      <c r="Y1517" s="8" t="b">
        <v>0</v>
      </c>
      <c r="Z1517" s="8" t="b">
        <v>0</v>
      </c>
      <c r="AA1517" s="8" t="b">
        <v>0</v>
      </c>
      <c r="AB1517" s="8" t="b">
        <v>0</v>
      </c>
      <c r="AC1517" s="8" t="b">
        <v>0</v>
      </c>
      <c r="AD1517" s="8" t="b">
        <v>1</v>
      </c>
      <c r="AE1517" s="8" t="b">
        <v>0</v>
      </c>
      <c r="AG1517" s="11" t="b" cm="1">
        <f t="array" ref="AG1517">IF(OR(Y1517:AA1517="TRUE", AE1517="true"), "Threatened")</f>
        <v>0</v>
      </c>
      <c r="AH1517" s="11" t="s">
        <v>3981</v>
      </c>
      <c r="AI1517" s="8" t="b">
        <v>1</v>
      </c>
    </row>
    <row r="1518" spans="1:35" ht="31.2">
      <c r="A1518" s="8">
        <v>-73.970041089999995</v>
      </c>
      <c r="B1518" s="8">
        <v>40.78344276</v>
      </c>
      <c r="C1518" s="8" t="s">
        <v>3982</v>
      </c>
      <c r="D1518" s="8" t="s">
        <v>2014</v>
      </c>
      <c r="E1518" s="8" t="b">
        <f t="shared" si="23"/>
        <v>0</v>
      </c>
      <c r="F1518" s="8" t="str" cm="1">
        <f t="array" ref="F1518">_xlfn._xlws.FILTER(E1518:E4716, C1518:C4716= "6D-PM-1020-01", "No Squirrels Found")</f>
        <v>No Squirrels Found</v>
      </c>
      <c r="G1518" s="8" t="s">
        <v>48</v>
      </c>
      <c r="H1518" s="10">
        <v>10192018</v>
      </c>
      <c r="I1518" s="10">
        <v>7</v>
      </c>
      <c r="J1518" s="8" t="s">
        <v>39</v>
      </c>
      <c r="K1518" s="8" t="s">
        <v>40</v>
      </c>
      <c r="M1518" s="8" t="s">
        <v>55</v>
      </c>
      <c r="O1518" s="8" t="s">
        <v>50</v>
      </c>
      <c r="P1518" s="8">
        <v>25</v>
      </c>
      <c r="R1518" s="8" t="b">
        <v>1</v>
      </c>
      <c r="S1518" s="8" t="b">
        <v>0</v>
      </c>
      <c r="T1518" s="8" t="b">
        <v>1</v>
      </c>
      <c r="U1518" s="8" t="b">
        <v>0</v>
      </c>
      <c r="V1518" s="8" t="b">
        <v>0</v>
      </c>
      <c r="X1518" s="8" t="b">
        <v>0</v>
      </c>
      <c r="Y1518" s="8" t="b">
        <v>0</v>
      </c>
      <c r="Z1518" s="8" t="b">
        <v>0</v>
      </c>
      <c r="AA1518" s="8" t="b">
        <v>0</v>
      </c>
      <c r="AB1518" s="8" t="b">
        <v>0</v>
      </c>
      <c r="AC1518" s="8" t="b">
        <v>0</v>
      </c>
      <c r="AD1518" s="8" t="b">
        <v>1</v>
      </c>
      <c r="AE1518" s="8" t="b">
        <v>0</v>
      </c>
      <c r="AG1518" s="11" t="b" cm="1">
        <f t="array" ref="AG1518">IF(OR(Y1518:AA1518="TRUE", AE1518="true"), "Threatened")</f>
        <v>0</v>
      </c>
      <c r="AH1518" s="11" t="s">
        <v>3983</v>
      </c>
      <c r="AI1518" s="8" t="b">
        <v>1</v>
      </c>
    </row>
    <row r="1519" spans="1:35" ht="31.2">
      <c r="A1519" s="8">
        <v>-73.963226579999997</v>
      </c>
      <c r="B1519" s="8">
        <v>40.781691449999997</v>
      </c>
      <c r="C1519" s="8" t="s">
        <v>3984</v>
      </c>
      <c r="D1519" s="8" t="s">
        <v>1287</v>
      </c>
      <c r="E1519" s="8" t="b">
        <f t="shared" si="23"/>
        <v>0</v>
      </c>
      <c r="F1519" s="8" t="str" cm="1">
        <f t="array" ref="F1519">_xlfn._xlws.FILTER(E1519:E4717, C1519:C4717= "6D-PM-1020-01", "No Squirrels Found")</f>
        <v>No Squirrels Found</v>
      </c>
      <c r="G1519" s="8" t="s">
        <v>48</v>
      </c>
      <c r="H1519" s="10">
        <v>10182018</v>
      </c>
      <c r="I1519" s="10">
        <v>4</v>
      </c>
      <c r="J1519" s="8" t="s">
        <v>39</v>
      </c>
      <c r="K1519" s="8" t="s">
        <v>40</v>
      </c>
      <c r="L1519" s="8" t="s">
        <v>41</v>
      </c>
      <c r="M1519" s="8" t="s">
        <v>42</v>
      </c>
      <c r="O1519" s="8" t="s">
        <v>50</v>
      </c>
      <c r="P1519" s="8">
        <v>3</v>
      </c>
      <c r="R1519" s="8" t="b">
        <v>0</v>
      </c>
      <c r="S1519" s="8" t="b">
        <v>0</v>
      </c>
      <c r="T1519" s="8" t="b">
        <v>1</v>
      </c>
      <c r="U1519" s="8" t="b">
        <v>0</v>
      </c>
      <c r="V1519" s="8" t="b">
        <v>0</v>
      </c>
      <c r="X1519" s="8" t="b">
        <v>0</v>
      </c>
      <c r="Y1519" s="8" t="b">
        <v>0</v>
      </c>
      <c r="Z1519" s="8" t="b">
        <v>0</v>
      </c>
      <c r="AA1519" s="8" t="b">
        <v>0</v>
      </c>
      <c r="AB1519" s="8" t="b">
        <v>0</v>
      </c>
      <c r="AC1519" s="8" t="b">
        <v>0</v>
      </c>
      <c r="AD1519" s="8" t="b">
        <v>0</v>
      </c>
      <c r="AE1519" s="8" t="b">
        <v>0</v>
      </c>
      <c r="AG1519" s="11" t="b" cm="1">
        <f t="array" ref="AG1519">IF(OR(Y1519:AA1519="TRUE", AE1519="true"), "Threatened")</f>
        <v>0</v>
      </c>
      <c r="AH1519" s="11" t="s">
        <v>3985</v>
      </c>
      <c r="AI1519" s="8" t="b">
        <v>1</v>
      </c>
    </row>
    <row r="1520" spans="1:35" ht="31.2">
      <c r="A1520" s="8">
        <v>-73.971730280000003</v>
      </c>
      <c r="B1520" s="8">
        <v>40.774880539999998</v>
      </c>
      <c r="C1520" s="8" t="s">
        <v>3986</v>
      </c>
      <c r="D1520" s="8" t="s">
        <v>98</v>
      </c>
      <c r="E1520" s="8" t="b">
        <f t="shared" si="23"/>
        <v>0</v>
      </c>
      <c r="F1520" s="8" t="str" cm="1">
        <f t="array" ref="F1520">_xlfn._xlws.FILTER(E1520:E4718, C1520:C4718= "6D-PM-1020-01", "No Squirrels Found")</f>
        <v>No Squirrels Found</v>
      </c>
      <c r="G1520" s="8" t="s">
        <v>34</v>
      </c>
      <c r="H1520" s="10">
        <v>10062018</v>
      </c>
      <c r="I1520" s="10">
        <v>5</v>
      </c>
      <c r="J1520" s="8" t="s">
        <v>39</v>
      </c>
      <c r="K1520" s="8" t="s">
        <v>40</v>
      </c>
      <c r="L1520" s="8" t="s">
        <v>117</v>
      </c>
      <c r="M1520" s="8" t="s">
        <v>118</v>
      </c>
      <c r="O1520" s="8" t="s">
        <v>43</v>
      </c>
      <c r="P1520" s="8" t="b">
        <v>0</v>
      </c>
      <c r="R1520" s="8" t="b">
        <v>0</v>
      </c>
      <c r="S1520" s="8" t="b">
        <v>0</v>
      </c>
      <c r="T1520" s="8" t="b">
        <v>0</v>
      </c>
      <c r="U1520" s="8" t="b">
        <v>1</v>
      </c>
      <c r="V1520" s="8" t="b">
        <v>1</v>
      </c>
      <c r="X1520" s="8" t="b">
        <v>0</v>
      </c>
      <c r="Y1520" s="8" t="b">
        <v>0</v>
      </c>
      <c r="Z1520" s="8" t="b">
        <v>0</v>
      </c>
      <c r="AA1520" s="8" t="b">
        <v>0</v>
      </c>
      <c r="AB1520" s="8" t="b">
        <v>1</v>
      </c>
      <c r="AC1520" s="8" t="b">
        <v>0</v>
      </c>
      <c r="AD1520" s="8" t="b">
        <v>1</v>
      </c>
      <c r="AE1520" s="8" t="b">
        <v>0</v>
      </c>
      <c r="AG1520" s="11" t="b" cm="1">
        <f t="array" ref="AG1520">IF(OR(Y1520:AA1520="TRUE", AE1520="true"), "Threatened")</f>
        <v>0</v>
      </c>
      <c r="AH1520" s="11" t="s">
        <v>3987</v>
      </c>
      <c r="AI1520" s="8" t="b">
        <v>1</v>
      </c>
    </row>
    <row r="1521" spans="1:35" ht="31.2">
      <c r="A1521" s="8">
        <v>-73.968021329999999</v>
      </c>
      <c r="B1521" s="8">
        <v>40.777880770000003</v>
      </c>
      <c r="C1521" s="8" t="s">
        <v>3988</v>
      </c>
      <c r="D1521" s="8" t="s">
        <v>960</v>
      </c>
      <c r="E1521" s="8" t="b">
        <f t="shared" si="23"/>
        <v>0</v>
      </c>
      <c r="F1521" s="8" t="str" cm="1">
        <f t="array" ref="F1521">_xlfn._xlws.FILTER(E1521:E4719, C1521:C4719= "6D-PM-1020-01", "No Squirrels Found")</f>
        <v>No Squirrels Found</v>
      </c>
      <c r="G1521" s="8" t="s">
        <v>34</v>
      </c>
      <c r="H1521" s="10">
        <v>10132018</v>
      </c>
      <c r="I1521" s="10">
        <v>6</v>
      </c>
      <c r="J1521" s="8" t="s">
        <v>39</v>
      </c>
      <c r="K1521" s="8" t="s">
        <v>40</v>
      </c>
      <c r="L1521" s="8" t="s">
        <v>41</v>
      </c>
      <c r="M1521" s="8" t="s">
        <v>42</v>
      </c>
      <c r="O1521" s="8" t="s">
        <v>43</v>
      </c>
      <c r="P1521" s="8" t="b">
        <v>0</v>
      </c>
      <c r="Q1521" s="8" t="s">
        <v>3989</v>
      </c>
      <c r="R1521" s="8" t="b">
        <v>0</v>
      </c>
      <c r="S1521" s="8" t="b">
        <v>0</v>
      </c>
      <c r="T1521" s="8" t="b">
        <v>0</v>
      </c>
      <c r="U1521" s="8" t="b">
        <v>0</v>
      </c>
      <c r="V1521" s="8" t="b">
        <v>1</v>
      </c>
      <c r="X1521" s="8" t="b">
        <v>0</v>
      </c>
      <c r="Y1521" s="8" t="b">
        <v>0</v>
      </c>
      <c r="Z1521" s="8" t="b">
        <v>0</v>
      </c>
      <c r="AA1521" s="8" t="b">
        <v>0</v>
      </c>
      <c r="AB1521" s="8" t="b">
        <v>0</v>
      </c>
      <c r="AC1521" s="8" t="b">
        <v>0</v>
      </c>
      <c r="AD1521" s="8" t="b">
        <v>0</v>
      </c>
      <c r="AE1521" s="8" t="b">
        <v>1</v>
      </c>
      <c r="AG1521" s="11" t="b" cm="1">
        <f t="array" ref="AG1521">IF(OR(Y1521:AA1521="TRUE", AE1521="true"), "Threatened")</f>
        <v>0</v>
      </c>
      <c r="AH1521" s="11" t="s">
        <v>3990</v>
      </c>
      <c r="AI1521" s="8" t="b">
        <v>1</v>
      </c>
    </row>
    <row r="1522" spans="1:35" ht="31.2">
      <c r="A1522" s="8">
        <v>-73.972392290000002</v>
      </c>
      <c r="B1522" s="8">
        <v>40.772916479999999</v>
      </c>
      <c r="C1522" s="8" t="s">
        <v>3991</v>
      </c>
      <c r="D1522" s="8" t="s">
        <v>1923</v>
      </c>
      <c r="E1522" s="8" t="b">
        <f t="shared" si="23"/>
        <v>0</v>
      </c>
      <c r="F1522" s="8" t="str" cm="1">
        <f t="array" ref="F1522">_xlfn._xlws.FILTER(E1522:E4720, C1522:C4720= "6D-PM-1020-01", "No Squirrels Found")</f>
        <v>No Squirrels Found</v>
      </c>
      <c r="G1522" s="8" t="s">
        <v>48</v>
      </c>
      <c r="H1522" s="10">
        <v>10082018</v>
      </c>
      <c r="I1522" s="10">
        <v>1</v>
      </c>
      <c r="J1522" s="8" t="s">
        <v>39</v>
      </c>
      <c r="K1522" s="8" t="s">
        <v>40</v>
      </c>
      <c r="L1522" s="8" t="s">
        <v>41</v>
      </c>
      <c r="M1522" s="8" t="s">
        <v>42</v>
      </c>
      <c r="O1522" s="8" t="s">
        <v>43</v>
      </c>
      <c r="P1522" s="8" t="b">
        <v>0</v>
      </c>
      <c r="R1522" s="8" t="b">
        <v>0</v>
      </c>
      <c r="S1522" s="8" t="b">
        <v>0</v>
      </c>
      <c r="T1522" s="8" t="b">
        <v>0</v>
      </c>
      <c r="U1522" s="8" t="b">
        <v>0</v>
      </c>
      <c r="V1522" s="8" t="b">
        <v>1</v>
      </c>
      <c r="X1522" s="8" t="b">
        <v>0</v>
      </c>
      <c r="Y1522" s="8" t="b">
        <v>0</v>
      </c>
      <c r="Z1522" s="8" t="b">
        <v>0</v>
      </c>
      <c r="AA1522" s="8" t="b">
        <v>0</v>
      </c>
      <c r="AB1522" s="8" t="b">
        <v>0</v>
      </c>
      <c r="AC1522" s="8" t="b">
        <v>1</v>
      </c>
      <c r="AD1522" s="8" t="b">
        <v>0</v>
      </c>
      <c r="AE1522" s="8" t="b">
        <v>0</v>
      </c>
      <c r="AG1522" s="11" t="b" cm="1">
        <f t="array" ref="AG1522">IF(OR(Y1522:AA1522="TRUE", AE1522="true"), "Threatened")</f>
        <v>0</v>
      </c>
      <c r="AH1522" s="11" t="s">
        <v>3992</v>
      </c>
      <c r="AI1522" s="8" t="b">
        <v>1</v>
      </c>
    </row>
    <row r="1523" spans="1:35" ht="31.2">
      <c r="A1523" s="8">
        <v>-73.953897060000003</v>
      </c>
      <c r="B1523" s="8">
        <v>40.795519679999998</v>
      </c>
      <c r="C1523" s="8" t="s">
        <v>3993</v>
      </c>
      <c r="D1523" s="8" t="s">
        <v>153</v>
      </c>
      <c r="E1523" s="8" t="b">
        <f t="shared" si="23"/>
        <v>0</v>
      </c>
      <c r="F1523" s="8" t="str" cm="1">
        <f t="array" ref="F1523">_xlfn._xlws.FILTER(E1523:E4721, C1523:C4721= "6D-PM-1020-01", "No Squirrels Found")</f>
        <v>No Squirrels Found</v>
      </c>
      <c r="G1523" s="8" t="s">
        <v>34</v>
      </c>
      <c r="H1523" s="10">
        <v>10132018</v>
      </c>
      <c r="I1523" s="10">
        <v>3</v>
      </c>
      <c r="J1523" s="8" t="s">
        <v>39</v>
      </c>
      <c r="K1523" s="8" t="s">
        <v>40</v>
      </c>
      <c r="L1523" s="8" t="s">
        <v>41</v>
      </c>
      <c r="M1523" s="8" t="s">
        <v>42</v>
      </c>
      <c r="O1523" s="8" t="s">
        <v>50</v>
      </c>
      <c r="P1523" s="8">
        <v>15</v>
      </c>
      <c r="R1523" s="8" t="b">
        <v>0</v>
      </c>
      <c r="S1523" s="8" t="b">
        <v>0</v>
      </c>
      <c r="T1523" s="8" t="b">
        <v>1</v>
      </c>
      <c r="U1523" s="8" t="b">
        <v>0</v>
      </c>
      <c r="V1523" s="8" t="b">
        <v>0</v>
      </c>
      <c r="X1523" s="8" t="b">
        <v>0</v>
      </c>
      <c r="Y1523" s="8" t="b">
        <v>0</v>
      </c>
      <c r="Z1523" s="8" t="b">
        <v>0</v>
      </c>
      <c r="AA1523" s="8" t="b">
        <v>0</v>
      </c>
      <c r="AB1523" s="8" t="b">
        <v>0</v>
      </c>
      <c r="AC1523" s="8" t="b">
        <v>0</v>
      </c>
      <c r="AD1523" s="8" t="b">
        <v>0</v>
      </c>
      <c r="AE1523" s="8" t="b">
        <v>0</v>
      </c>
      <c r="AG1523" s="11" t="b" cm="1">
        <f t="array" ref="AG1523">IF(OR(Y1523:AA1523="TRUE", AE1523="true"), "Threatened")</f>
        <v>0</v>
      </c>
      <c r="AH1523" s="11" t="s">
        <v>3994</v>
      </c>
      <c r="AI1523" s="8" t="b">
        <v>1</v>
      </c>
    </row>
    <row r="1524" spans="1:35" ht="31.2">
      <c r="A1524" s="8">
        <v>-73.967310389999994</v>
      </c>
      <c r="B1524" s="8">
        <v>40.787426740000001</v>
      </c>
      <c r="C1524" s="8" t="s">
        <v>3995</v>
      </c>
      <c r="D1524" s="8" t="s">
        <v>488</v>
      </c>
      <c r="E1524" s="8" t="b">
        <f t="shared" si="23"/>
        <v>0</v>
      </c>
      <c r="F1524" s="8" t="str" cm="1">
        <f t="array" ref="F1524">_xlfn._xlws.FILTER(E1524:E4722, C1524:C4722= "6D-PM-1020-01", "No Squirrels Found")</f>
        <v>No Squirrels Found</v>
      </c>
      <c r="G1524" s="8" t="s">
        <v>34</v>
      </c>
      <c r="H1524" s="10">
        <v>10062018</v>
      </c>
      <c r="I1524" s="10">
        <v>1</v>
      </c>
      <c r="J1524" s="8" t="s">
        <v>54</v>
      </c>
      <c r="K1524" s="8" t="s">
        <v>40</v>
      </c>
      <c r="L1524" s="8" t="s">
        <v>41</v>
      </c>
      <c r="M1524" s="8" t="s">
        <v>42</v>
      </c>
      <c r="O1524" s="8" t="s">
        <v>43</v>
      </c>
      <c r="P1524" s="8" t="b">
        <v>0</v>
      </c>
      <c r="R1524" s="8" t="b">
        <v>0</v>
      </c>
      <c r="S1524" s="8" t="b">
        <v>0</v>
      </c>
      <c r="T1524" s="8" t="b">
        <v>0</v>
      </c>
      <c r="U1524" s="8" t="b">
        <v>0</v>
      </c>
      <c r="V1524" s="8" t="b">
        <v>1</v>
      </c>
      <c r="X1524" s="8" t="b">
        <v>0</v>
      </c>
      <c r="Y1524" s="8" t="b">
        <v>0</v>
      </c>
      <c r="Z1524" s="8" t="b">
        <v>0</v>
      </c>
      <c r="AA1524" s="8" t="b">
        <v>1</v>
      </c>
      <c r="AB1524" s="8" t="b">
        <v>0</v>
      </c>
      <c r="AC1524" s="8" t="b">
        <v>0</v>
      </c>
      <c r="AD1524" s="8" t="b">
        <v>0</v>
      </c>
      <c r="AE1524" s="8" t="b">
        <v>1</v>
      </c>
      <c r="AG1524" s="11" t="b" cm="1">
        <f t="array" ref="AG1524">IF(OR(Y1524:AA1524="TRUE", AE1524="true"), "Threatened")</f>
        <v>0</v>
      </c>
      <c r="AH1524" s="11" t="s">
        <v>3996</v>
      </c>
      <c r="AI1524" s="8" t="b">
        <v>1</v>
      </c>
    </row>
    <row r="1525" spans="1:35" ht="31.2">
      <c r="A1525" s="8">
        <v>-73.972596150000001</v>
      </c>
      <c r="B1525" s="8">
        <v>40.779572039999998</v>
      </c>
      <c r="C1525" s="8" t="s">
        <v>3997</v>
      </c>
      <c r="D1525" s="8" t="s">
        <v>1106</v>
      </c>
      <c r="E1525" s="8" t="b">
        <f t="shared" si="23"/>
        <v>0</v>
      </c>
      <c r="F1525" s="8" t="str" cm="1">
        <f t="array" ref="F1525">_xlfn._xlws.FILTER(E1525:E4723, C1525:C4723= "6D-PM-1020-01", "No Squirrels Found")</f>
        <v>No Squirrels Found</v>
      </c>
      <c r="G1525" s="8" t="s">
        <v>34</v>
      </c>
      <c r="H1525" s="10">
        <v>10192018</v>
      </c>
      <c r="I1525" s="10">
        <v>6</v>
      </c>
      <c r="J1525" s="8" t="s">
        <v>54</v>
      </c>
      <c r="K1525" s="8" t="s">
        <v>40</v>
      </c>
      <c r="M1525" s="8" t="s">
        <v>55</v>
      </c>
      <c r="O1525" s="8" t="s">
        <v>43</v>
      </c>
      <c r="P1525" s="8" t="b">
        <v>0</v>
      </c>
      <c r="R1525" s="8" t="b">
        <v>1</v>
      </c>
      <c r="S1525" s="8" t="b">
        <v>0</v>
      </c>
      <c r="T1525" s="8" t="b">
        <v>0</v>
      </c>
      <c r="U1525" s="8" t="b">
        <v>0</v>
      </c>
      <c r="V1525" s="8" t="b">
        <v>0</v>
      </c>
      <c r="X1525" s="8" t="b">
        <v>0</v>
      </c>
      <c r="Y1525" s="8" t="b">
        <v>0</v>
      </c>
      <c r="Z1525" s="8" t="b">
        <v>0</v>
      </c>
      <c r="AA1525" s="8" t="b">
        <v>0</v>
      </c>
      <c r="AB1525" s="8" t="b">
        <v>1</v>
      </c>
      <c r="AC1525" s="8" t="b">
        <v>0</v>
      </c>
      <c r="AD1525" s="8" t="b">
        <v>0</v>
      </c>
      <c r="AE1525" s="8" t="b">
        <v>1</v>
      </c>
      <c r="AG1525" s="11" t="b" cm="1">
        <f t="array" ref="AG1525">IF(OR(Y1525:AA1525="TRUE", AE1525="true"), "Threatened")</f>
        <v>0</v>
      </c>
      <c r="AH1525" s="11" t="s">
        <v>3998</v>
      </c>
      <c r="AI1525" s="8" t="b">
        <v>1</v>
      </c>
    </row>
    <row r="1526" spans="1:35" ht="31.2">
      <c r="A1526" s="8">
        <v>-73.972711590000003</v>
      </c>
      <c r="B1526" s="8">
        <v>40.778292929999999</v>
      </c>
      <c r="C1526" s="8" t="s">
        <v>3999</v>
      </c>
      <c r="D1526" s="8" t="s">
        <v>1764</v>
      </c>
      <c r="E1526" s="8" t="b">
        <f t="shared" si="23"/>
        <v>0</v>
      </c>
      <c r="F1526" s="8" t="str" cm="1">
        <f t="array" ref="F1526">_xlfn._xlws.FILTER(E1526:E4724, C1526:C4724= "6D-PM-1020-01", "No Squirrels Found")</f>
        <v>No Squirrels Found</v>
      </c>
      <c r="G1526" s="8" t="s">
        <v>34</v>
      </c>
      <c r="H1526" s="10">
        <v>10142018</v>
      </c>
      <c r="I1526" s="10">
        <v>2</v>
      </c>
      <c r="J1526" s="8" t="s">
        <v>39</v>
      </c>
      <c r="K1526" s="8" t="s">
        <v>40</v>
      </c>
      <c r="L1526" s="8" t="s">
        <v>41</v>
      </c>
      <c r="M1526" s="8" t="s">
        <v>42</v>
      </c>
      <c r="O1526" s="8" t="s">
        <v>43</v>
      </c>
      <c r="P1526" s="8" t="b">
        <v>0</v>
      </c>
      <c r="R1526" s="8" t="b">
        <v>0</v>
      </c>
      <c r="S1526" s="8" t="b">
        <v>1</v>
      </c>
      <c r="T1526" s="8" t="b">
        <v>0</v>
      </c>
      <c r="U1526" s="8" t="b">
        <v>0</v>
      </c>
      <c r="V1526" s="8" t="b">
        <v>1</v>
      </c>
      <c r="X1526" s="8" t="b">
        <v>0</v>
      </c>
      <c r="Y1526" s="8" t="b">
        <v>0</v>
      </c>
      <c r="Z1526" s="8" t="b">
        <v>0</v>
      </c>
      <c r="AA1526" s="8" t="b">
        <v>0</v>
      </c>
      <c r="AB1526" s="8" t="b">
        <v>0</v>
      </c>
      <c r="AC1526" s="8" t="b">
        <v>0</v>
      </c>
      <c r="AD1526" s="8" t="b">
        <v>0</v>
      </c>
      <c r="AE1526" s="8" t="b">
        <v>0</v>
      </c>
      <c r="AG1526" s="11" t="b" cm="1">
        <f t="array" ref="AG1526">IF(OR(Y1526:AA1526="TRUE", AE1526="true"), "Threatened")</f>
        <v>0</v>
      </c>
      <c r="AH1526" s="11" t="s">
        <v>4000</v>
      </c>
      <c r="AI1526" s="8" t="b">
        <v>1</v>
      </c>
    </row>
    <row r="1527" spans="1:35" ht="31.2">
      <c r="A1527" s="8">
        <v>-73.962096459999998</v>
      </c>
      <c r="B1527" s="8">
        <v>40.791733200000003</v>
      </c>
      <c r="C1527" s="8" t="s">
        <v>4001</v>
      </c>
      <c r="D1527" s="8" t="s">
        <v>616</v>
      </c>
      <c r="E1527" s="8" t="b">
        <f t="shared" si="23"/>
        <v>0</v>
      </c>
      <c r="F1527" s="8" t="str" cm="1">
        <f t="array" ref="F1527">_xlfn._xlws.FILTER(E1527:E4725, C1527:C4725= "6D-PM-1020-01", "No Squirrels Found")</f>
        <v>No Squirrels Found</v>
      </c>
      <c r="G1527" s="8" t="s">
        <v>34</v>
      </c>
      <c r="H1527" s="10">
        <v>10132018</v>
      </c>
      <c r="I1527" s="10">
        <v>1</v>
      </c>
      <c r="J1527" s="8" t="s">
        <v>39</v>
      </c>
      <c r="K1527" s="8" t="s">
        <v>40</v>
      </c>
      <c r="M1527" s="8" t="s">
        <v>55</v>
      </c>
      <c r="O1527" s="8" t="s">
        <v>43</v>
      </c>
      <c r="P1527" s="8" t="b">
        <v>0</v>
      </c>
      <c r="R1527" s="8" t="b">
        <v>0</v>
      </c>
      <c r="S1527" s="8" t="b">
        <v>0</v>
      </c>
      <c r="T1527" s="8" t="b">
        <v>0</v>
      </c>
      <c r="U1527" s="8" t="b">
        <v>0</v>
      </c>
      <c r="V1527" s="8" t="b">
        <v>1</v>
      </c>
      <c r="X1527" s="8" t="b">
        <v>0</v>
      </c>
      <c r="Y1527" s="8" t="b">
        <v>0</v>
      </c>
      <c r="Z1527" s="8" t="b">
        <v>0</v>
      </c>
      <c r="AA1527" s="8" t="b">
        <v>0</v>
      </c>
      <c r="AB1527" s="8" t="b">
        <v>0</v>
      </c>
      <c r="AC1527" s="8" t="b">
        <v>0</v>
      </c>
      <c r="AD1527" s="8" t="b">
        <v>0</v>
      </c>
      <c r="AE1527" s="8" t="b">
        <v>0</v>
      </c>
      <c r="AG1527" s="11" t="b" cm="1">
        <f t="array" ref="AG1527">IF(OR(Y1527:AA1527="TRUE", AE1527="true"), "Threatened")</f>
        <v>0</v>
      </c>
      <c r="AH1527" s="11" t="s">
        <v>4002</v>
      </c>
      <c r="AI1527" s="8" t="b">
        <v>1</v>
      </c>
    </row>
    <row r="1528" spans="1:35" ht="31.2">
      <c r="A1528" s="8">
        <v>-73.970216609999994</v>
      </c>
      <c r="B1528" s="8">
        <v>40.770296070000001</v>
      </c>
      <c r="C1528" s="8" t="s">
        <v>4003</v>
      </c>
      <c r="D1528" s="8" t="s">
        <v>199</v>
      </c>
      <c r="E1528" s="8" t="b">
        <f t="shared" si="23"/>
        <v>0</v>
      </c>
      <c r="F1528" s="8" t="str" cm="1">
        <f t="array" ref="F1528">_xlfn._xlws.FILTER(E1528:E4726, C1528:C4726= "6D-PM-1020-01", "No Squirrels Found")</f>
        <v>No Squirrels Found</v>
      </c>
      <c r="G1528" s="8" t="s">
        <v>34</v>
      </c>
      <c r="H1528" s="10">
        <v>10142018</v>
      </c>
      <c r="I1528" s="10">
        <v>8</v>
      </c>
      <c r="J1528" s="8" t="s">
        <v>39</v>
      </c>
      <c r="K1528" s="8" t="s">
        <v>40</v>
      </c>
      <c r="M1528" s="8" t="s">
        <v>55</v>
      </c>
      <c r="O1528" s="8" t="s">
        <v>50</v>
      </c>
      <c r="P1528" s="8">
        <v>5</v>
      </c>
      <c r="R1528" s="8" t="b">
        <v>0</v>
      </c>
      <c r="S1528" s="8" t="b">
        <v>1</v>
      </c>
      <c r="T1528" s="8" t="b">
        <v>0</v>
      </c>
      <c r="U1528" s="8" t="b">
        <v>0</v>
      </c>
      <c r="V1528" s="8" t="b">
        <v>0</v>
      </c>
      <c r="W1528" s="11" t="s">
        <v>4004</v>
      </c>
      <c r="X1528" s="8" t="b">
        <v>0</v>
      </c>
      <c r="Y1528" s="8" t="b">
        <v>0</v>
      </c>
      <c r="Z1528" s="8" t="b">
        <v>0</v>
      </c>
      <c r="AA1528" s="8" t="b">
        <v>0</v>
      </c>
      <c r="AB1528" s="8" t="b">
        <v>0</v>
      </c>
      <c r="AC1528" s="8" t="b">
        <v>0</v>
      </c>
      <c r="AD1528" s="8" t="b">
        <v>1</v>
      </c>
      <c r="AE1528" s="8" t="b">
        <v>0</v>
      </c>
      <c r="AG1528" s="11" t="b" cm="1">
        <f t="array" ref="AG1528">IF(OR(Y1528:AA1528="TRUE", AE1528="true"), "Threatened")</f>
        <v>0</v>
      </c>
      <c r="AH1528" s="11" t="s">
        <v>4005</v>
      </c>
      <c r="AI1528" s="8" t="b">
        <v>0</v>
      </c>
    </row>
    <row r="1529" spans="1:35" ht="31.2">
      <c r="A1529" s="8">
        <v>-73.969010420000004</v>
      </c>
      <c r="B1529" s="8">
        <v>40.78533582</v>
      </c>
      <c r="C1529" s="8" t="s">
        <v>4006</v>
      </c>
      <c r="D1529" s="8" t="s">
        <v>2867</v>
      </c>
      <c r="E1529" s="8" t="b">
        <f t="shared" si="23"/>
        <v>0</v>
      </c>
      <c r="F1529" s="8" t="str" cm="1">
        <f t="array" ref="F1529">_xlfn._xlws.FILTER(E1529:E4727, C1529:C4727= "6D-PM-1020-01", "No Squirrels Found")</f>
        <v>No Squirrels Found</v>
      </c>
      <c r="G1529" s="8" t="s">
        <v>48</v>
      </c>
      <c r="H1529" s="10">
        <v>10182018</v>
      </c>
      <c r="I1529" s="10">
        <v>2</v>
      </c>
      <c r="J1529" s="8" t="s">
        <v>54</v>
      </c>
      <c r="K1529" s="8" t="s">
        <v>192</v>
      </c>
      <c r="M1529" s="8" t="s">
        <v>193</v>
      </c>
      <c r="O1529" s="8" t="s">
        <v>43</v>
      </c>
      <c r="P1529" s="8" t="b">
        <v>0</v>
      </c>
      <c r="R1529" s="8" t="b">
        <v>0</v>
      </c>
      <c r="S1529" s="8" t="b">
        <v>0</v>
      </c>
      <c r="T1529" s="8" t="b">
        <v>0</v>
      </c>
      <c r="U1529" s="8" t="b">
        <v>1</v>
      </c>
      <c r="V1529" s="8" t="b">
        <v>0</v>
      </c>
      <c r="X1529" s="8" t="b">
        <v>0</v>
      </c>
      <c r="Y1529" s="8" t="b">
        <v>0</v>
      </c>
      <c r="Z1529" s="8" t="b">
        <v>0</v>
      </c>
      <c r="AA1529" s="8" t="b">
        <v>0</v>
      </c>
      <c r="AB1529" s="8" t="b">
        <v>0</v>
      </c>
      <c r="AC1529" s="8" t="b">
        <v>0</v>
      </c>
      <c r="AD1529" s="8" t="b">
        <v>1</v>
      </c>
      <c r="AE1529" s="8" t="b">
        <v>0</v>
      </c>
      <c r="AG1529" s="11" t="b" cm="1">
        <f t="array" ref="AG1529">IF(OR(Y1529:AA1529="TRUE", AE1529="true"), "Threatened")</f>
        <v>0</v>
      </c>
      <c r="AH1529" s="11" t="s">
        <v>4007</v>
      </c>
      <c r="AI1529" s="8" t="b">
        <v>1</v>
      </c>
    </row>
    <row r="1530" spans="1:35" ht="31.2">
      <c r="A1530" s="8">
        <v>-73.969240139999997</v>
      </c>
      <c r="B1530" s="8">
        <v>40.770712889999999</v>
      </c>
      <c r="C1530" s="8" t="s">
        <v>4008</v>
      </c>
      <c r="D1530" s="8" t="s">
        <v>1326</v>
      </c>
      <c r="E1530" s="8" t="b">
        <f t="shared" si="23"/>
        <v>0</v>
      </c>
      <c r="F1530" s="8" t="str" cm="1">
        <f t="array" ref="F1530">_xlfn._xlws.FILTER(E1530:E4728, C1530:C4728= "6D-PM-1020-01", "No Squirrels Found")</f>
        <v>No Squirrels Found</v>
      </c>
      <c r="G1530" s="8" t="s">
        <v>48</v>
      </c>
      <c r="H1530" s="10">
        <v>10062018</v>
      </c>
      <c r="I1530" s="10">
        <v>4</v>
      </c>
      <c r="J1530" s="8" t="s">
        <v>39</v>
      </c>
      <c r="K1530" s="8" t="s">
        <v>40</v>
      </c>
      <c r="L1530" s="8" t="s">
        <v>84</v>
      </c>
      <c r="M1530" s="8" t="s">
        <v>103</v>
      </c>
      <c r="O1530" s="8" t="s">
        <v>43</v>
      </c>
      <c r="P1530" s="8" t="b">
        <v>0</v>
      </c>
      <c r="R1530" s="8" t="b">
        <v>1</v>
      </c>
      <c r="S1530" s="8" t="b">
        <v>0</v>
      </c>
      <c r="T1530" s="8" t="b">
        <v>0</v>
      </c>
      <c r="U1530" s="8" t="b">
        <v>0</v>
      </c>
      <c r="V1530" s="8" t="b">
        <v>1</v>
      </c>
      <c r="X1530" s="8" t="b">
        <v>0</v>
      </c>
      <c r="Y1530" s="8" t="b">
        <v>0</v>
      </c>
      <c r="Z1530" s="8" t="b">
        <v>0</v>
      </c>
      <c r="AA1530" s="8" t="b">
        <v>1</v>
      </c>
      <c r="AB1530" s="8" t="b">
        <v>0</v>
      </c>
      <c r="AC1530" s="8" t="b">
        <v>0</v>
      </c>
      <c r="AD1530" s="8" t="b">
        <v>1</v>
      </c>
      <c r="AE1530" s="8" t="b">
        <v>0</v>
      </c>
      <c r="AG1530" s="11" t="b" cm="1">
        <f t="array" ref="AG1530">IF(OR(Y1530:AA1530="TRUE", AE1530="true"), "Threatened")</f>
        <v>0</v>
      </c>
      <c r="AH1530" s="11" t="s">
        <v>4009</v>
      </c>
      <c r="AI1530" s="8" t="b">
        <v>1</v>
      </c>
    </row>
    <row r="1531" spans="1:35" ht="31.2">
      <c r="A1531" s="8">
        <v>-73.968930599999993</v>
      </c>
      <c r="B1531" s="8">
        <v>40.781815250000001</v>
      </c>
      <c r="C1531" s="8" t="s">
        <v>4010</v>
      </c>
      <c r="D1531" s="8" t="s">
        <v>319</v>
      </c>
      <c r="E1531" s="8" t="b">
        <f t="shared" si="23"/>
        <v>0</v>
      </c>
      <c r="F1531" s="8" t="str" cm="1">
        <f t="array" ref="F1531">_xlfn._xlws.FILTER(E1531:E4729, C1531:C4729= "6D-PM-1020-01", "No Squirrels Found")</f>
        <v>No Squirrels Found</v>
      </c>
      <c r="G1531" s="8" t="s">
        <v>34</v>
      </c>
      <c r="H1531" s="10">
        <v>10182018</v>
      </c>
      <c r="I1531" s="10">
        <v>6</v>
      </c>
      <c r="J1531" s="8" t="s">
        <v>39</v>
      </c>
      <c r="K1531" s="8" t="s">
        <v>40</v>
      </c>
      <c r="L1531" s="8" t="s">
        <v>41</v>
      </c>
      <c r="M1531" s="8" t="s">
        <v>42</v>
      </c>
      <c r="O1531" s="8" t="s">
        <v>50</v>
      </c>
      <c r="P1531" s="8">
        <v>2</v>
      </c>
      <c r="Q1531" s="8" t="s">
        <v>4011</v>
      </c>
      <c r="R1531" s="8" t="b">
        <v>1</v>
      </c>
      <c r="S1531" s="8" t="b">
        <v>0</v>
      </c>
      <c r="T1531" s="8" t="b">
        <v>1</v>
      </c>
      <c r="U1531" s="8" t="b">
        <v>0</v>
      </c>
      <c r="V1531" s="8" t="b">
        <v>0</v>
      </c>
      <c r="W1531" s="11" t="s">
        <v>4012</v>
      </c>
      <c r="X1531" s="8" t="b">
        <v>0</v>
      </c>
      <c r="Y1531" s="8" t="b">
        <v>0</v>
      </c>
      <c r="Z1531" s="8" t="b">
        <v>0</v>
      </c>
      <c r="AA1531" s="8" t="b">
        <v>0</v>
      </c>
      <c r="AB1531" s="8" t="b">
        <v>0</v>
      </c>
      <c r="AC1531" s="8" t="b">
        <v>0</v>
      </c>
      <c r="AD1531" s="8" t="b">
        <v>1</v>
      </c>
      <c r="AE1531" s="8" t="b">
        <v>0</v>
      </c>
      <c r="AG1531" s="11" t="b" cm="1">
        <f t="array" ref="AG1531">IF(OR(Y1531:AA1531="TRUE", AE1531="true"), "Threatened")</f>
        <v>0</v>
      </c>
      <c r="AH1531" s="11" t="s">
        <v>4013</v>
      </c>
      <c r="AI1531" s="8" t="b">
        <v>0</v>
      </c>
    </row>
    <row r="1532" spans="1:35" ht="31.2">
      <c r="A1532" s="8">
        <v>-73.963038139999995</v>
      </c>
      <c r="B1532" s="8">
        <v>40.780757180000002</v>
      </c>
      <c r="C1532" s="8" t="s">
        <v>4014</v>
      </c>
      <c r="D1532" s="8" t="s">
        <v>1662</v>
      </c>
      <c r="E1532" s="8" t="b">
        <f t="shared" si="23"/>
        <v>0</v>
      </c>
      <c r="F1532" s="8" t="str" cm="1">
        <f t="array" ref="F1532">_xlfn._xlws.FILTER(E1532:E4730, C1532:C4730= "6D-PM-1020-01", "No Squirrels Found")</f>
        <v>No Squirrels Found</v>
      </c>
      <c r="G1532" s="8" t="s">
        <v>34</v>
      </c>
      <c r="H1532" s="10">
        <v>10182018</v>
      </c>
      <c r="I1532" s="10">
        <v>2</v>
      </c>
      <c r="J1532" s="8" t="s">
        <v>54</v>
      </c>
      <c r="K1532" s="8" t="s">
        <v>40</v>
      </c>
      <c r="L1532" s="8" t="s">
        <v>41</v>
      </c>
      <c r="M1532" s="8" t="s">
        <v>42</v>
      </c>
      <c r="O1532" s="8" t="s">
        <v>43</v>
      </c>
      <c r="P1532" s="8" t="b">
        <v>0</v>
      </c>
      <c r="R1532" s="8" t="b">
        <v>0</v>
      </c>
      <c r="S1532" s="8" t="b">
        <v>1</v>
      </c>
      <c r="T1532" s="8" t="b">
        <v>0</v>
      </c>
      <c r="U1532" s="8" t="b">
        <v>0</v>
      </c>
      <c r="V1532" s="8" t="b">
        <v>0</v>
      </c>
      <c r="X1532" s="8" t="b">
        <v>0</v>
      </c>
      <c r="Y1532" s="8" t="b">
        <v>0</v>
      </c>
      <c r="Z1532" s="8" t="b">
        <v>0</v>
      </c>
      <c r="AA1532" s="8" t="b">
        <v>1</v>
      </c>
      <c r="AB1532" s="8" t="b">
        <v>0</v>
      </c>
      <c r="AC1532" s="8" t="b">
        <v>0</v>
      </c>
      <c r="AD1532" s="8" t="b">
        <v>1</v>
      </c>
      <c r="AE1532" s="8" t="b">
        <v>0</v>
      </c>
      <c r="AG1532" s="11" t="b" cm="1">
        <f t="array" ref="AG1532">IF(OR(Y1532:AA1532="TRUE", AE1532="true"), "Threatened")</f>
        <v>0</v>
      </c>
      <c r="AH1532" s="11" t="s">
        <v>4015</v>
      </c>
      <c r="AI1532" s="8" t="b">
        <v>1</v>
      </c>
    </row>
    <row r="1533" spans="1:35" ht="31.2">
      <c r="A1533" s="8">
        <v>-73.977926310000001</v>
      </c>
      <c r="B1533" s="8">
        <v>40.768268190000001</v>
      </c>
      <c r="C1533" s="8" t="s">
        <v>4016</v>
      </c>
      <c r="D1533" s="8" t="s">
        <v>512</v>
      </c>
      <c r="E1533" s="8" t="b">
        <f t="shared" si="23"/>
        <v>0</v>
      </c>
      <c r="F1533" s="8" t="str" cm="1">
        <f t="array" ref="F1533">_xlfn._xlws.FILTER(E1533:E4731, C1533:C4731= "6D-PM-1020-01", "No Squirrels Found")</f>
        <v>No Squirrels Found</v>
      </c>
      <c r="G1533" s="8" t="s">
        <v>34</v>
      </c>
      <c r="H1533" s="10">
        <v>10102018</v>
      </c>
      <c r="I1533" s="10">
        <v>8</v>
      </c>
      <c r="J1533" s="8" t="s">
        <v>39</v>
      </c>
      <c r="K1533" s="8" t="s">
        <v>40</v>
      </c>
      <c r="L1533" s="8" t="s">
        <v>84</v>
      </c>
      <c r="M1533" s="8" t="s">
        <v>103</v>
      </c>
      <c r="O1533" s="8" t="s">
        <v>43</v>
      </c>
      <c r="P1533" s="8" t="b">
        <v>0</v>
      </c>
      <c r="R1533" s="8" t="b">
        <v>1</v>
      </c>
      <c r="S1533" s="8" t="b">
        <v>0</v>
      </c>
      <c r="T1533" s="8" t="b">
        <v>0</v>
      </c>
      <c r="U1533" s="8" t="b">
        <v>0</v>
      </c>
      <c r="V1533" s="8" t="b">
        <v>1</v>
      </c>
      <c r="X1533" s="8" t="b">
        <v>0</v>
      </c>
      <c r="Y1533" s="8" t="b">
        <v>0</v>
      </c>
      <c r="Z1533" s="8" t="b">
        <v>0</v>
      </c>
      <c r="AA1533" s="8" t="b">
        <v>0</v>
      </c>
      <c r="AB1533" s="8" t="b">
        <v>0</v>
      </c>
      <c r="AC1533" s="8" t="b">
        <v>0</v>
      </c>
      <c r="AD1533" s="8" t="b">
        <v>0</v>
      </c>
      <c r="AE1533" s="8" t="b">
        <v>0</v>
      </c>
      <c r="AG1533" s="11" t="b" cm="1">
        <f t="array" ref="AG1533">IF(OR(Y1533:AA1533="TRUE", AE1533="true"), "Threatened")</f>
        <v>0</v>
      </c>
      <c r="AH1533" s="11" t="s">
        <v>4017</v>
      </c>
      <c r="AI1533" s="8" t="b">
        <v>1</v>
      </c>
    </row>
    <row r="1534" spans="1:35" ht="31.2">
      <c r="A1534" s="8">
        <v>-73.952002469999996</v>
      </c>
      <c r="B1534" s="8">
        <v>40.794732979999999</v>
      </c>
      <c r="C1534" s="8" t="s">
        <v>4018</v>
      </c>
      <c r="D1534" s="8" t="s">
        <v>3076</v>
      </c>
      <c r="E1534" s="8" t="b">
        <f t="shared" si="23"/>
        <v>0</v>
      </c>
      <c r="F1534" s="8" t="str" cm="1">
        <f t="array" ref="F1534">_xlfn._xlws.FILTER(E1534:E4732, C1534:C4732= "6D-PM-1020-01", "No Squirrels Found")</f>
        <v>No Squirrels Found</v>
      </c>
      <c r="G1534" s="8" t="s">
        <v>34</v>
      </c>
      <c r="H1534" s="10">
        <v>10132018</v>
      </c>
      <c r="I1534" s="10">
        <v>4</v>
      </c>
      <c r="J1534" s="8" t="s">
        <v>39</v>
      </c>
      <c r="K1534" s="8" t="s">
        <v>40</v>
      </c>
      <c r="L1534" s="8" t="s">
        <v>41</v>
      </c>
      <c r="M1534" s="8" t="s">
        <v>42</v>
      </c>
      <c r="N1534" s="11" t="s">
        <v>4019</v>
      </c>
      <c r="O1534" s="8" t="s">
        <v>43</v>
      </c>
      <c r="P1534" s="8" t="b">
        <v>0</v>
      </c>
      <c r="R1534" s="8" t="b">
        <v>0</v>
      </c>
      <c r="S1534" s="8" t="b">
        <v>0</v>
      </c>
      <c r="T1534" s="8" t="b">
        <v>0</v>
      </c>
      <c r="U1534" s="8" t="b">
        <v>1</v>
      </c>
      <c r="V1534" s="8" t="b">
        <v>0</v>
      </c>
      <c r="W1534" s="11" t="s">
        <v>1369</v>
      </c>
      <c r="X1534" s="8" t="b">
        <v>0</v>
      </c>
      <c r="Y1534" s="8" t="b">
        <v>0</v>
      </c>
      <c r="Z1534" s="8" t="b">
        <v>0</v>
      </c>
      <c r="AA1534" s="8" t="b">
        <v>0</v>
      </c>
      <c r="AB1534" s="8" t="b">
        <v>0</v>
      </c>
      <c r="AC1534" s="8" t="b">
        <v>1</v>
      </c>
      <c r="AD1534" s="8" t="b">
        <v>0</v>
      </c>
      <c r="AE1534" s="8" t="b">
        <v>0</v>
      </c>
      <c r="AG1534" s="11" t="b" cm="1">
        <f t="array" ref="AG1534">IF(OR(Y1534:AA1534="TRUE", AE1534="true"), "Threatened")</f>
        <v>0</v>
      </c>
      <c r="AH1534" s="11" t="s">
        <v>4020</v>
      </c>
      <c r="AI1534" s="8" t="b">
        <v>0</v>
      </c>
    </row>
    <row r="1535" spans="1:35" ht="31.2">
      <c r="A1535" s="8">
        <v>-73.969522600000005</v>
      </c>
      <c r="B1535" s="8">
        <v>40.779752780000003</v>
      </c>
      <c r="C1535" s="8" t="s">
        <v>4021</v>
      </c>
      <c r="D1535" s="8" t="s">
        <v>1996</v>
      </c>
      <c r="E1535" s="8" t="b">
        <f t="shared" si="23"/>
        <v>0</v>
      </c>
      <c r="F1535" s="8" t="str" cm="1">
        <f t="array" ref="F1535">_xlfn._xlws.FILTER(E1535:E4733, C1535:C4733= "6D-PM-1020-01", "No Squirrels Found")</f>
        <v>No Squirrels Found</v>
      </c>
      <c r="G1535" s="8" t="s">
        <v>48</v>
      </c>
      <c r="H1535" s="10">
        <v>10082018</v>
      </c>
      <c r="I1535" s="10">
        <v>1</v>
      </c>
      <c r="J1535" s="8" t="s">
        <v>39</v>
      </c>
      <c r="K1535" s="8" t="s">
        <v>40</v>
      </c>
      <c r="L1535" s="8" t="s">
        <v>84</v>
      </c>
      <c r="M1535" s="8" t="s">
        <v>103</v>
      </c>
      <c r="O1535" s="8" t="s">
        <v>43</v>
      </c>
      <c r="P1535" s="8" t="b">
        <v>0</v>
      </c>
      <c r="R1535" s="8" t="b">
        <v>0</v>
      </c>
      <c r="S1535" s="8" t="b">
        <v>0</v>
      </c>
      <c r="T1535" s="8" t="b">
        <v>1</v>
      </c>
      <c r="U1535" s="8" t="b">
        <v>0</v>
      </c>
      <c r="V1535" s="8" t="b">
        <v>0</v>
      </c>
      <c r="X1535" s="8" t="b">
        <v>0</v>
      </c>
      <c r="Y1535" s="8" t="b">
        <v>0</v>
      </c>
      <c r="Z1535" s="8" t="b">
        <v>0</v>
      </c>
      <c r="AA1535" s="8" t="b">
        <v>0</v>
      </c>
      <c r="AB1535" s="8" t="b">
        <v>0</v>
      </c>
      <c r="AC1535" s="8" t="b">
        <v>0</v>
      </c>
      <c r="AD1535" s="8" t="b">
        <v>0</v>
      </c>
      <c r="AE1535" s="8" t="b">
        <v>1</v>
      </c>
      <c r="AG1535" s="11" t="b" cm="1">
        <f t="array" ref="AG1535">IF(OR(Y1535:AA1535="TRUE", AE1535="true"), "Threatened")</f>
        <v>0</v>
      </c>
      <c r="AH1535" s="11" t="s">
        <v>4022</v>
      </c>
      <c r="AI1535" s="8" t="b">
        <v>1</v>
      </c>
    </row>
    <row r="1536" spans="1:35" ht="31.2">
      <c r="A1536" s="8">
        <v>-73.970392129999993</v>
      </c>
      <c r="B1536" s="8">
        <v>40.77002761</v>
      </c>
      <c r="C1536" s="8" t="s">
        <v>4023</v>
      </c>
      <c r="D1536" s="8" t="s">
        <v>113</v>
      </c>
      <c r="E1536" s="8" t="b">
        <f t="shared" si="23"/>
        <v>0</v>
      </c>
      <c r="F1536" s="8" t="str" cm="1">
        <f t="array" ref="F1536">_xlfn._xlws.FILTER(E1536:E4734, C1536:C4734= "6D-PM-1020-01", "No Squirrels Found")</f>
        <v>No Squirrels Found</v>
      </c>
      <c r="G1536" s="8" t="s">
        <v>34</v>
      </c>
      <c r="H1536" s="10">
        <v>10062018</v>
      </c>
      <c r="I1536" s="10">
        <v>6</v>
      </c>
      <c r="J1536" s="8" t="s">
        <v>39</v>
      </c>
      <c r="K1536" s="8" t="s">
        <v>40</v>
      </c>
      <c r="M1536" s="8" t="s">
        <v>55</v>
      </c>
      <c r="O1536" s="8" t="s">
        <v>50</v>
      </c>
      <c r="P1536" s="8">
        <v>15</v>
      </c>
      <c r="R1536" s="8" t="b">
        <v>0</v>
      </c>
      <c r="S1536" s="8" t="b">
        <v>1</v>
      </c>
      <c r="T1536" s="8" t="b">
        <v>1</v>
      </c>
      <c r="U1536" s="8" t="b">
        <v>0</v>
      </c>
      <c r="V1536" s="8" t="b">
        <v>0</v>
      </c>
      <c r="W1536" s="11" t="s">
        <v>4024</v>
      </c>
      <c r="X1536" s="8" t="b">
        <v>0</v>
      </c>
      <c r="Y1536" s="8" t="b">
        <v>0</v>
      </c>
      <c r="Z1536" s="8" t="b">
        <v>0</v>
      </c>
      <c r="AA1536" s="8" t="b">
        <v>0</v>
      </c>
      <c r="AB1536" s="8" t="b">
        <v>0</v>
      </c>
      <c r="AC1536" s="8" t="b">
        <v>0</v>
      </c>
      <c r="AD1536" s="8" t="b">
        <v>1</v>
      </c>
      <c r="AE1536" s="8" t="b">
        <v>0</v>
      </c>
      <c r="AG1536" s="11" t="b" cm="1">
        <f t="array" ref="AG1536">IF(OR(Y1536:AA1536="TRUE", AE1536="true"), "Threatened")</f>
        <v>0</v>
      </c>
      <c r="AH1536" s="11" t="s">
        <v>4025</v>
      </c>
      <c r="AI1536" s="8" t="b">
        <v>0</v>
      </c>
    </row>
    <row r="1537" spans="1:35" ht="31.2">
      <c r="A1537" s="8">
        <v>-73.97461285</v>
      </c>
      <c r="B1537" s="8">
        <v>40.770095699999999</v>
      </c>
      <c r="C1537" s="8" t="s">
        <v>4026</v>
      </c>
      <c r="D1537" s="8" t="s">
        <v>3052</v>
      </c>
      <c r="E1537" s="8" t="b">
        <f t="shared" si="23"/>
        <v>1</v>
      </c>
      <c r="F1537" s="8" t="str" cm="1">
        <f t="array" ref="F1537">_xlfn._xlws.FILTER(E1537:E4735, C1537:C4735= "6D-PM-1020-01", "No Squirrels Found")</f>
        <v>No Squirrels Found</v>
      </c>
      <c r="G1537" s="8" t="s">
        <v>34</v>
      </c>
      <c r="H1537" s="10">
        <v>10102018</v>
      </c>
      <c r="I1537" s="10">
        <v>2</v>
      </c>
      <c r="J1537" s="8" t="s">
        <v>39</v>
      </c>
      <c r="K1537" s="8" t="s">
        <v>41</v>
      </c>
      <c r="L1537" s="8" t="s">
        <v>84</v>
      </c>
      <c r="M1537" s="8" t="s">
        <v>85</v>
      </c>
      <c r="N1537" s="11" t="s">
        <v>3053</v>
      </c>
      <c r="O1537" s="8" t="s">
        <v>43</v>
      </c>
      <c r="P1537" s="8" t="b">
        <v>0</v>
      </c>
      <c r="Q1537" s="8" t="s">
        <v>3423</v>
      </c>
      <c r="R1537" s="8" t="b">
        <v>0</v>
      </c>
      <c r="S1537" s="8" t="b">
        <v>0</v>
      </c>
      <c r="T1537" s="8" t="b">
        <v>0</v>
      </c>
      <c r="U1537" s="8" t="b">
        <v>0</v>
      </c>
      <c r="V1537" s="8" t="b">
        <v>1</v>
      </c>
      <c r="X1537" s="8" t="b">
        <v>0</v>
      </c>
      <c r="Y1537" s="8" t="b">
        <v>0</v>
      </c>
      <c r="Z1537" s="8" t="b">
        <v>0</v>
      </c>
      <c r="AA1537" s="8" t="b">
        <v>0</v>
      </c>
      <c r="AB1537" s="8" t="b">
        <v>0</v>
      </c>
      <c r="AC1537" s="8" t="b">
        <v>0</v>
      </c>
      <c r="AD1537" s="8" t="b">
        <v>1</v>
      </c>
      <c r="AE1537" s="8" t="b">
        <v>0</v>
      </c>
      <c r="AG1537" s="11" t="b" cm="1">
        <f t="array" ref="AG1537">IF(OR(Y1537:AA1537="TRUE", AE1537="true"), "Threatened")</f>
        <v>0</v>
      </c>
      <c r="AH1537" s="11" t="s">
        <v>4027</v>
      </c>
      <c r="AI1537" s="8" t="b">
        <v>1</v>
      </c>
    </row>
    <row r="1538" spans="1:35" ht="62.4">
      <c r="A1538" s="8">
        <v>-73.976722019999997</v>
      </c>
      <c r="B1538" s="8">
        <v>40.775326210000003</v>
      </c>
      <c r="C1538" s="8" t="s">
        <v>4028</v>
      </c>
      <c r="D1538" s="8" t="s">
        <v>167</v>
      </c>
      <c r="E1538" s="8" t="b">
        <f t="shared" si="23"/>
        <v>0</v>
      </c>
      <c r="F1538" s="8" t="str" cm="1">
        <f t="array" ref="F1538">_xlfn._xlws.FILTER(E1538:E4736, C1538:C4736= "6D-PM-1020-01", "No Squirrels Found")</f>
        <v>No Squirrels Found</v>
      </c>
      <c r="G1538" s="8" t="s">
        <v>34</v>
      </c>
      <c r="H1538" s="10">
        <v>10142018</v>
      </c>
      <c r="I1538" s="10">
        <v>3</v>
      </c>
      <c r="J1538" s="8" t="s">
        <v>39</v>
      </c>
      <c r="K1538" s="8" t="s">
        <v>40</v>
      </c>
      <c r="L1538" s="8" t="s">
        <v>168</v>
      </c>
      <c r="M1538" s="8" t="s">
        <v>169</v>
      </c>
      <c r="O1538" s="8" t="s">
        <v>50</v>
      </c>
      <c r="Q1538" s="8" t="s">
        <v>4029</v>
      </c>
      <c r="R1538" s="8" t="b">
        <v>0</v>
      </c>
      <c r="S1538" s="8" t="b">
        <v>0</v>
      </c>
      <c r="T1538" s="8" t="b">
        <v>0</v>
      </c>
      <c r="U1538" s="8" t="b">
        <v>1</v>
      </c>
      <c r="V1538" s="8" t="b">
        <v>0</v>
      </c>
      <c r="W1538" s="11" t="s">
        <v>4030</v>
      </c>
      <c r="X1538" s="8" t="b">
        <v>0</v>
      </c>
      <c r="Y1538" s="8" t="b">
        <v>0</v>
      </c>
      <c r="Z1538" s="8" t="b">
        <v>0</v>
      </c>
      <c r="AA1538" s="8" t="b">
        <v>0</v>
      </c>
      <c r="AB1538" s="8" t="b">
        <v>0</v>
      </c>
      <c r="AC1538" s="8" t="b">
        <v>0</v>
      </c>
      <c r="AD1538" s="8" t="b">
        <v>1</v>
      </c>
      <c r="AE1538" s="8" t="b">
        <v>0</v>
      </c>
      <c r="AF1538" s="11" t="s">
        <v>4031</v>
      </c>
      <c r="AG1538" s="11" t="b" cm="1">
        <f t="array" ref="AG1538">IF(OR(Y1538:AA1538="TRUE", AE1538="true"), "Threatened")</f>
        <v>0</v>
      </c>
      <c r="AH1538" s="11" t="s">
        <v>4032</v>
      </c>
      <c r="AI1538" s="8" t="b">
        <v>0</v>
      </c>
    </row>
    <row r="1539" spans="1:35" ht="31.2">
      <c r="A1539" s="8">
        <v>-73.969808360000002</v>
      </c>
      <c r="B1539" s="8">
        <v>40.772009939999997</v>
      </c>
      <c r="C1539" s="8" t="s">
        <v>4033</v>
      </c>
      <c r="D1539" s="8" t="s">
        <v>1254</v>
      </c>
      <c r="E1539" s="8" t="b">
        <f t="shared" ref="E1539:E1602" si="24">OR(D1539 = "05D", D1539 = "07D", D1539 = "06C", D1539 = "06E")</f>
        <v>0</v>
      </c>
      <c r="F1539" s="8" t="str" cm="1">
        <f t="array" ref="F1539">_xlfn._xlws.FILTER(E1539:E4737, C1539:C4737= "6D-PM-1020-01", "No Squirrels Found")</f>
        <v>No Squirrels Found</v>
      </c>
      <c r="G1539" s="8" t="s">
        <v>48</v>
      </c>
      <c r="H1539" s="10">
        <v>10142018</v>
      </c>
      <c r="I1539" s="10">
        <v>1</v>
      </c>
      <c r="J1539" s="8" t="s">
        <v>39</v>
      </c>
      <c r="K1539" s="8" t="s">
        <v>40</v>
      </c>
      <c r="L1539" s="8" t="s">
        <v>41</v>
      </c>
      <c r="M1539" s="8" t="s">
        <v>42</v>
      </c>
      <c r="O1539" s="8" t="s">
        <v>43</v>
      </c>
      <c r="P1539" s="8" t="b">
        <v>0</v>
      </c>
      <c r="R1539" s="8" t="b">
        <v>0</v>
      </c>
      <c r="S1539" s="8" t="b">
        <v>0</v>
      </c>
      <c r="T1539" s="8" t="b">
        <v>0</v>
      </c>
      <c r="U1539" s="8" t="b">
        <v>0</v>
      </c>
      <c r="V1539" s="8" t="b">
        <v>1</v>
      </c>
      <c r="X1539" s="8" t="b">
        <v>0</v>
      </c>
      <c r="Y1539" s="8" t="b">
        <v>0</v>
      </c>
      <c r="Z1539" s="8" t="b">
        <v>0</v>
      </c>
      <c r="AA1539" s="8" t="b">
        <v>0</v>
      </c>
      <c r="AB1539" s="8" t="b">
        <v>0</v>
      </c>
      <c r="AC1539" s="8" t="b">
        <v>0</v>
      </c>
      <c r="AD1539" s="8" t="b">
        <v>0</v>
      </c>
      <c r="AE1539" s="8" t="b">
        <v>0</v>
      </c>
      <c r="AG1539" s="11" t="b" cm="1">
        <f t="array" ref="AG1539">IF(OR(Y1539:AA1539="TRUE", AE1539="true"), "Threatened")</f>
        <v>0</v>
      </c>
      <c r="AH1539" s="11" t="s">
        <v>4034</v>
      </c>
      <c r="AI1539" s="8" t="b">
        <v>1</v>
      </c>
    </row>
    <row r="1540" spans="1:35" ht="31.2">
      <c r="A1540" s="8">
        <v>-73.968187400000005</v>
      </c>
      <c r="B1540" s="8">
        <v>40.781794869999999</v>
      </c>
      <c r="C1540" s="8" t="s">
        <v>4035</v>
      </c>
      <c r="D1540" s="8" t="s">
        <v>1038</v>
      </c>
      <c r="E1540" s="8" t="b">
        <f t="shared" si="24"/>
        <v>0</v>
      </c>
      <c r="F1540" s="8" t="str" cm="1">
        <f t="array" ref="F1540">_xlfn._xlws.FILTER(E1540:E4738, C1540:C4738= "6D-PM-1020-01", "No Squirrels Found")</f>
        <v>No Squirrels Found</v>
      </c>
      <c r="G1540" s="8" t="s">
        <v>34</v>
      </c>
      <c r="H1540" s="10">
        <v>10182018</v>
      </c>
      <c r="I1540" s="10">
        <v>2</v>
      </c>
      <c r="J1540" s="8" t="s">
        <v>39</v>
      </c>
      <c r="K1540" s="8" t="s">
        <v>40</v>
      </c>
      <c r="M1540" s="8" t="s">
        <v>55</v>
      </c>
      <c r="O1540" s="8" t="s">
        <v>43</v>
      </c>
      <c r="P1540" s="8" t="b">
        <v>0</v>
      </c>
      <c r="R1540" s="8" t="b">
        <v>1</v>
      </c>
      <c r="S1540" s="8" t="b">
        <v>1</v>
      </c>
      <c r="T1540" s="8" t="b">
        <v>0</v>
      </c>
      <c r="U1540" s="8" t="b">
        <v>0</v>
      </c>
      <c r="V1540" s="8" t="b">
        <v>0</v>
      </c>
      <c r="X1540" s="8" t="b">
        <v>0</v>
      </c>
      <c r="Y1540" s="8" t="b">
        <v>0</v>
      </c>
      <c r="Z1540" s="8" t="b">
        <v>0</v>
      </c>
      <c r="AA1540" s="8" t="b">
        <v>0</v>
      </c>
      <c r="AB1540" s="8" t="b">
        <v>0</v>
      </c>
      <c r="AC1540" s="8" t="b">
        <v>0</v>
      </c>
      <c r="AD1540" s="8" t="b">
        <v>0</v>
      </c>
      <c r="AE1540" s="8" t="b">
        <v>0</v>
      </c>
      <c r="AG1540" s="11" t="b" cm="1">
        <f t="array" ref="AG1540">IF(OR(Y1540:AA1540="TRUE", AE1540="true"), "Threatened")</f>
        <v>0</v>
      </c>
      <c r="AH1540" s="11" t="s">
        <v>4036</v>
      </c>
      <c r="AI1540" s="8" t="b">
        <v>1</v>
      </c>
    </row>
    <row r="1541" spans="1:35" ht="31.2">
      <c r="A1541" s="8">
        <v>-73.957710980000002</v>
      </c>
      <c r="B1541" s="8">
        <v>40.798405559999999</v>
      </c>
      <c r="C1541" s="8" t="s">
        <v>4037</v>
      </c>
      <c r="D1541" s="8" t="s">
        <v>227</v>
      </c>
      <c r="E1541" s="8" t="b">
        <f t="shared" si="24"/>
        <v>0</v>
      </c>
      <c r="F1541" s="8" t="str" cm="1">
        <f t="array" ref="F1541">_xlfn._xlws.FILTER(E1541:E4739, C1541:C4739= "6D-PM-1020-01", "No Squirrels Found")</f>
        <v>No Squirrels Found</v>
      </c>
      <c r="G1541" s="8" t="s">
        <v>48</v>
      </c>
      <c r="H1541" s="10">
        <v>10192018</v>
      </c>
      <c r="I1541" s="10">
        <v>6</v>
      </c>
      <c r="J1541" s="8" t="s">
        <v>54</v>
      </c>
      <c r="K1541" s="8" t="s">
        <v>40</v>
      </c>
      <c r="L1541" s="8" t="s">
        <v>84</v>
      </c>
      <c r="M1541" s="8" t="s">
        <v>103</v>
      </c>
      <c r="O1541" s="8" t="s">
        <v>43</v>
      </c>
      <c r="P1541" s="8" t="b">
        <v>0</v>
      </c>
      <c r="R1541" s="8" t="b">
        <v>0</v>
      </c>
      <c r="S1541" s="8" t="b">
        <v>0</v>
      </c>
      <c r="T1541" s="8" t="b">
        <v>0</v>
      </c>
      <c r="U1541" s="8" t="b">
        <v>0</v>
      </c>
      <c r="V1541" s="8" t="b">
        <v>1</v>
      </c>
      <c r="X1541" s="8" t="b">
        <v>0</v>
      </c>
      <c r="Y1541" s="8" t="b">
        <v>0</v>
      </c>
      <c r="Z1541" s="8" t="b">
        <v>0</v>
      </c>
      <c r="AA1541" s="8" t="b">
        <v>0</v>
      </c>
      <c r="AB1541" s="8" t="b">
        <v>0</v>
      </c>
      <c r="AC1541" s="8" t="b">
        <v>0</v>
      </c>
      <c r="AD1541" s="8" t="b">
        <v>0</v>
      </c>
      <c r="AE1541" s="8" t="b">
        <v>1</v>
      </c>
      <c r="AG1541" s="11" t="b" cm="1">
        <f t="array" ref="AG1541">IF(OR(Y1541:AA1541="TRUE", AE1541="true"), "Threatened")</f>
        <v>0</v>
      </c>
      <c r="AH1541" s="11" t="s">
        <v>4038</v>
      </c>
      <c r="AI1541" s="8" t="b">
        <v>1</v>
      </c>
    </row>
    <row r="1542" spans="1:35" ht="31.2">
      <c r="A1542" s="8">
        <v>-73.971161800000004</v>
      </c>
      <c r="B1542" s="8">
        <v>40.776121289999999</v>
      </c>
      <c r="C1542" s="8" t="s">
        <v>4039</v>
      </c>
      <c r="D1542" s="8" t="s">
        <v>426</v>
      </c>
      <c r="E1542" s="8" t="b">
        <f t="shared" si="24"/>
        <v>0</v>
      </c>
      <c r="F1542" s="8" t="str" cm="1">
        <f t="array" ref="F1542">_xlfn._xlws.FILTER(E1542:E4740, C1542:C4740= "6D-PM-1020-01", "No Squirrels Found")</f>
        <v>No Squirrels Found</v>
      </c>
      <c r="G1542" s="8" t="s">
        <v>34</v>
      </c>
      <c r="H1542" s="10">
        <v>10182018</v>
      </c>
      <c r="I1542" s="10">
        <v>4</v>
      </c>
      <c r="J1542" s="8" t="s">
        <v>39</v>
      </c>
      <c r="K1542" s="8" t="s">
        <v>40</v>
      </c>
      <c r="L1542" s="8" t="s">
        <v>84</v>
      </c>
      <c r="M1542" s="8" t="s">
        <v>103</v>
      </c>
      <c r="O1542" s="8" t="s">
        <v>43</v>
      </c>
      <c r="P1542" s="8" t="b">
        <v>0</v>
      </c>
      <c r="R1542" s="8" t="b">
        <v>0</v>
      </c>
      <c r="S1542" s="8" t="b">
        <v>0</v>
      </c>
      <c r="T1542" s="8" t="b">
        <v>0</v>
      </c>
      <c r="U1542" s="8" t="b">
        <v>0</v>
      </c>
      <c r="V1542" s="8" t="b">
        <v>1</v>
      </c>
      <c r="W1542" s="11" t="s">
        <v>355</v>
      </c>
      <c r="X1542" s="8" t="b">
        <v>0</v>
      </c>
      <c r="Y1542" s="8" t="b">
        <v>0</v>
      </c>
      <c r="Z1542" s="8" t="b">
        <v>0</v>
      </c>
      <c r="AA1542" s="8" t="b">
        <v>0</v>
      </c>
      <c r="AB1542" s="8" t="b">
        <v>0</v>
      </c>
      <c r="AC1542" s="8" t="b">
        <v>0</v>
      </c>
      <c r="AD1542" s="8" t="b">
        <v>1</v>
      </c>
      <c r="AE1542" s="8" t="b">
        <v>0</v>
      </c>
      <c r="AG1542" s="11" t="b" cm="1">
        <f t="array" ref="AG1542">IF(OR(Y1542:AA1542="TRUE", AE1542="true"), "Threatened")</f>
        <v>0</v>
      </c>
      <c r="AH1542" s="11" t="s">
        <v>4040</v>
      </c>
      <c r="AI1542" s="8" t="b">
        <v>0</v>
      </c>
    </row>
    <row r="1543" spans="1:35" ht="31.2">
      <c r="A1543" s="8">
        <v>-73.960876729999995</v>
      </c>
      <c r="B1543" s="8">
        <v>40.79035725</v>
      </c>
      <c r="C1543" s="8" t="s">
        <v>4041</v>
      </c>
      <c r="D1543" s="8" t="s">
        <v>621</v>
      </c>
      <c r="E1543" s="8" t="b">
        <f t="shared" si="24"/>
        <v>0</v>
      </c>
      <c r="F1543" s="8" t="str" cm="1">
        <f t="array" ref="F1543">_xlfn._xlws.FILTER(E1543:E4741, C1543:C4741= "6D-PM-1020-01", "No Squirrels Found")</f>
        <v>No Squirrels Found</v>
      </c>
      <c r="G1543" s="8" t="s">
        <v>34</v>
      </c>
      <c r="H1543" s="10">
        <v>10062018</v>
      </c>
      <c r="I1543" s="10">
        <v>3</v>
      </c>
      <c r="J1543" s="8" t="s">
        <v>39</v>
      </c>
      <c r="K1543" s="8" t="s">
        <v>40</v>
      </c>
      <c r="L1543" s="8" t="s">
        <v>41</v>
      </c>
      <c r="M1543" s="8" t="s">
        <v>42</v>
      </c>
      <c r="O1543" s="8" t="s">
        <v>43</v>
      </c>
      <c r="P1543" s="8" t="b">
        <v>0</v>
      </c>
      <c r="R1543" s="8" t="b">
        <v>0</v>
      </c>
      <c r="S1543" s="8" t="b">
        <v>0</v>
      </c>
      <c r="T1543" s="8" t="b">
        <v>0</v>
      </c>
      <c r="U1543" s="8" t="b">
        <v>0</v>
      </c>
      <c r="V1543" s="8" t="b">
        <v>1</v>
      </c>
      <c r="X1543" s="8" t="b">
        <v>0</v>
      </c>
      <c r="Y1543" s="8" t="b">
        <v>0</v>
      </c>
      <c r="Z1543" s="8" t="b">
        <v>0</v>
      </c>
      <c r="AA1543" s="8" t="b">
        <v>0</v>
      </c>
      <c r="AB1543" s="8" t="b">
        <v>0</v>
      </c>
      <c r="AC1543" s="8" t="b">
        <v>0</v>
      </c>
      <c r="AD1543" s="8" t="b">
        <v>1</v>
      </c>
      <c r="AE1543" s="8" t="b">
        <v>0</v>
      </c>
      <c r="AG1543" s="11" t="b" cm="1">
        <f t="array" ref="AG1543">IF(OR(Y1543:AA1543="TRUE", AE1543="true"), "Threatened")</f>
        <v>0</v>
      </c>
      <c r="AH1543" s="11" t="s">
        <v>4042</v>
      </c>
      <c r="AI1543" s="8" t="b">
        <v>1</v>
      </c>
    </row>
    <row r="1544" spans="1:35" ht="31.2">
      <c r="A1544" s="8">
        <v>-73.971390650000004</v>
      </c>
      <c r="B1544" s="8">
        <v>40.775006130000001</v>
      </c>
      <c r="C1544" s="8" t="s">
        <v>4043</v>
      </c>
      <c r="D1544" s="8" t="s">
        <v>738</v>
      </c>
      <c r="E1544" s="8" t="b">
        <f t="shared" si="24"/>
        <v>0</v>
      </c>
      <c r="F1544" s="8" t="str" cm="1">
        <f t="array" ref="F1544">_xlfn._xlws.FILTER(E1544:E4742, C1544:C4742= "6D-PM-1020-01", "No Squirrels Found")</f>
        <v>No Squirrels Found</v>
      </c>
      <c r="G1544" s="8" t="s">
        <v>34</v>
      </c>
      <c r="H1544" s="10">
        <v>10182018</v>
      </c>
      <c r="I1544" s="10">
        <v>3</v>
      </c>
      <c r="J1544" s="8" t="s">
        <v>39</v>
      </c>
      <c r="K1544" s="8" t="s">
        <v>41</v>
      </c>
      <c r="M1544" s="8" t="s">
        <v>49</v>
      </c>
      <c r="O1544" s="8" t="s">
        <v>43</v>
      </c>
      <c r="P1544" s="8" t="b">
        <v>0</v>
      </c>
      <c r="R1544" s="8" t="b">
        <v>0</v>
      </c>
      <c r="S1544" s="8" t="b">
        <v>0</v>
      </c>
      <c r="T1544" s="8" t="b">
        <v>1</v>
      </c>
      <c r="U1544" s="8" t="b">
        <v>0</v>
      </c>
      <c r="V1544" s="8" t="b">
        <v>0</v>
      </c>
      <c r="X1544" s="8" t="b">
        <v>0</v>
      </c>
      <c r="Y1544" s="8" t="b">
        <v>0</v>
      </c>
      <c r="Z1544" s="8" t="b">
        <v>0</v>
      </c>
      <c r="AA1544" s="8" t="b">
        <v>0</v>
      </c>
      <c r="AB1544" s="8" t="b">
        <v>0</v>
      </c>
      <c r="AC1544" s="8" t="b">
        <v>0</v>
      </c>
      <c r="AD1544" s="8" t="b">
        <v>0</v>
      </c>
      <c r="AE1544" s="8" t="b">
        <v>1</v>
      </c>
      <c r="AG1544" s="11" t="b" cm="1">
        <f t="array" ref="AG1544">IF(OR(Y1544:AA1544="TRUE", AE1544="true"), "Threatened")</f>
        <v>0</v>
      </c>
      <c r="AH1544" s="11" t="s">
        <v>4044</v>
      </c>
      <c r="AI1544" s="8" t="b">
        <v>1</v>
      </c>
    </row>
    <row r="1545" spans="1:35" ht="31.2">
      <c r="A1545" s="8">
        <v>-73.964211129999995</v>
      </c>
      <c r="B1545" s="8">
        <v>40.777771399999999</v>
      </c>
      <c r="C1545" s="8" t="s">
        <v>4045</v>
      </c>
      <c r="D1545" s="8" t="s">
        <v>1144</v>
      </c>
      <c r="E1545" s="8" t="b">
        <f t="shared" si="24"/>
        <v>0</v>
      </c>
      <c r="F1545" s="8" t="str" cm="1">
        <f t="array" ref="F1545">_xlfn._xlws.FILTER(E1545:E4743, C1545:C4743= "6D-PM-1020-01", "No Squirrels Found")</f>
        <v>No Squirrels Found</v>
      </c>
      <c r="G1545" s="8" t="s">
        <v>34</v>
      </c>
      <c r="H1545" s="10">
        <v>10072018</v>
      </c>
      <c r="I1545" s="10">
        <v>7</v>
      </c>
      <c r="J1545" s="8" t="s">
        <v>39</v>
      </c>
      <c r="K1545" s="8" t="s">
        <v>40</v>
      </c>
      <c r="L1545" s="8" t="s">
        <v>41</v>
      </c>
      <c r="M1545" s="8" t="s">
        <v>42</v>
      </c>
      <c r="O1545" s="8" t="s">
        <v>43</v>
      </c>
      <c r="P1545" s="8" t="b">
        <v>0</v>
      </c>
      <c r="R1545" s="8" t="b">
        <v>0</v>
      </c>
      <c r="S1545" s="8" t="b">
        <v>0</v>
      </c>
      <c r="T1545" s="8" t="b">
        <v>0</v>
      </c>
      <c r="U1545" s="8" t="b">
        <v>0</v>
      </c>
      <c r="V1545" s="8" t="b">
        <v>1</v>
      </c>
      <c r="X1545" s="8" t="b">
        <v>0</v>
      </c>
      <c r="Y1545" s="8" t="b">
        <v>0</v>
      </c>
      <c r="Z1545" s="8" t="b">
        <v>0</v>
      </c>
      <c r="AA1545" s="8" t="b">
        <v>0</v>
      </c>
      <c r="AB1545" s="8" t="b">
        <v>0</v>
      </c>
      <c r="AC1545" s="8" t="b">
        <v>0</v>
      </c>
      <c r="AD1545" s="8" t="b">
        <v>1</v>
      </c>
      <c r="AE1545" s="8" t="b">
        <v>0</v>
      </c>
      <c r="AG1545" s="11" t="b" cm="1">
        <f t="array" ref="AG1545">IF(OR(Y1545:AA1545="TRUE", AE1545="true"), "Threatened")</f>
        <v>0</v>
      </c>
      <c r="AH1545" s="11" t="s">
        <v>4046</v>
      </c>
      <c r="AI1545" s="8" t="b">
        <v>1</v>
      </c>
    </row>
    <row r="1546" spans="1:35" ht="31.2">
      <c r="A1546" s="8">
        <v>-73.966920779999995</v>
      </c>
      <c r="B1546" s="8">
        <v>40.779276789999997</v>
      </c>
      <c r="C1546" s="8" t="s">
        <v>4047</v>
      </c>
      <c r="D1546" s="8" t="s">
        <v>1526</v>
      </c>
      <c r="E1546" s="8" t="b">
        <f t="shared" si="24"/>
        <v>0</v>
      </c>
      <c r="F1546" s="8" t="str" cm="1">
        <f t="array" ref="F1546">_xlfn._xlws.FILTER(E1546:E4744, C1546:C4744= "6D-PM-1020-01", "No Squirrels Found")</f>
        <v>No Squirrels Found</v>
      </c>
      <c r="G1546" s="8" t="s">
        <v>34</v>
      </c>
      <c r="H1546" s="10">
        <v>10082018</v>
      </c>
      <c r="I1546" s="10">
        <v>1</v>
      </c>
      <c r="J1546" s="8" t="s">
        <v>39</v>
      </c>
      <c r="K1546" s="8" t="s">
        <v>40</v>
      </c>
      <c r="L1546" s="8" t="s">
        <v>84</v>
      </c>
      <c r="M1546" s="8" t="s">
        <v>103</v>
      </c>
      <c r="O1546" s="8" t="s">
        <v>43</v>
      </c>
      <c r="P1546" s="8" t="b">
        <v>0</v>
      </c>
      <c r="R1546" s="8" t="b">
        <v>0</v>
      </c>
      <c r="S1546" s="8" t="b">
        <v>0</v>
      </c>
      <c r="T1546" s="8" t="b">
        <v>0</v>
      </c>
      <c r="U1546" s="8" t="b">
        <v>1</v>
      </c>
      <c r="V1546" s="8" t="b">
        <v>0</v>
      </c>
      <c r="X1546" s="8" t="b">
        <v>0</v>
      </c>
      <c r="Y1546" s="8" t="b">
        <v>0</v>
      </c>
      <c r="Z1546" s="8" t="b">
        <v>0</v>
      </c>
      <c r="AA1546" s="8" t="b">
        <v>0</v>
      </c>
      <c r="AB1546" s="8" t="b">
        <v>1</v>
      </c>
      <c r="AC1546" s="8" t="b">
        <v>0</v>
      </c>
      <c r="AD1546" s="8" t="b">
        <v>1</v>
      </c>
      <c r="AE1546" s="8" t="b">
        <v>0</v>
      </c>
      <c r="AG1546" s="11" t="b" cm="1">
        <f t="array" ref="AG1546">IF(OR(Y1546:AA1546="TRUE", AE1546="true"), "Threatened")</f>
        <v>0</v>
      </c>
      <c r="AH1546" s="11" t="s">
        <v>4048</v>
      </c>
      <c r="AI1546" s="8" t="b">
        <v>1</v>
      </c>
    </row>
    <row r="1547" spans="1:35" ht="31.2">
      <c r="A1547" s="8">
        <v>-73.976422619999994</v>
      </c>
      <c r="B1547" s="8">
        <v>40.773581839999999</v>
      </c>
      <c r="C1547" s="8" t="s">
        <v>4049</v>
      </c>
      <c r="D1547" s="8" t="s">
        <v>249</v>
      </c>
      <c r="E1547" s="8" t="b">
        <f t="shared" si="24"/>
        <v>0</v>
      </c>
      <c r="F1547" s="8" t="str" cm="1">
        <f t="array" ref="F1547">_xlfn._xlws.FILTER(E1547:E4745, C1547:C4745= "6D-PM-1020-01", "No Squirrels Found")</f>
        <v>No Squirrels Found</v>
      </c>
      <c r="G1547" s="8" t="s">
        <v>48</v>
      </c>
      <c r="H1547" s="10">
        <v>10072018</v>
      </c>
      <c r="I1547" s="10">
        <v>8</v>
      </c>
      <c r="J1547" s="8" t="s">
        <v>39</v>
      </c>
      <c r="K1547" s="8" t="s">
        <v>40</v>
      </c>
      <c r="M1547" s="8" t="s">
        <v>55</v>
      </c>
      <c r="O1547" s="8" t="s">
        <v>50</v>
      </c>
      <c r="P1547" s="8">
        <v>6</v>
      </c>
      <c r="R1547" s="8" t="b">
        <v>0</v>
      </c>
      <c r="S1547" s="8" t="b">
        <v>0</v>
      </c>
      <c r="T1547" s="8" t="b">
        <v>0</v>
      </c>
      <c r="U1547" s="8" t="b">
        <v>1</v>
      </c>
      <c r="V1547" s="8" t="b">
        <v>0</v>
      </c>
      <c r="W1547" s="11" t="s">
        <v>3273</v>
      </c>
      <c r="X1547" s="8" t="b">
        <v>0</v>
      </c>
      <c r="Y1547" s="8" t="b">
        <v>0</v>
      </c>
      <c r="Z1547" s="8" t="b">
        <v>0</v>
      </c>
      <c r="AA1547" s="8" t="b">
        <v>0</v>
      </c>
      <c r="AB1547" s="8" t="b">
        <v>0</v>
      </c>
      <c r="AC1547" s="8" t="b">
        <v>0</v>
      </c>
      <c r="AD1547" s="8" t="b">
        <v>1</v>
      </c>
      <c r="AE1547" s="8" t="b">
        <v>0</v>
      </c>
      <c r="AG1547" s="11" t="b" cm="1">
        <f t="array" ref="AG1547">IF(OR(Y1547:AA1547="TRUE", AE1547="true"), "Threatened")</f>
        <v>0</v>
      </c>
      <c r="AH1547" s="11" t="s">
        <v>4050</v>
      </c>
      <c r="AI1547" s="8" t="b">
        <v>0</v>
      </c>
    </row>
    <row r="1548" spans="1:35" ht="31.2">
      <c r="A1548" s="8">
        <v>-73.958939040000004</v>
      </c>
      <c r="B1548" s="8">
        <v>40.791319389999998</v>
      </c>
      <c r="C1548" s="8" t="s">
        <v>4051</v>
      </c>
      <c r="D1548" s="8" t="s">
        <v>1214</v>
      </c>
      <c r="E1548" s="8" t="b">
        <f t="shared" si="24"/>
        <v>0</v>
      </c>
      <c r="F1548" s="8" t="str" cm="1">
        <f t="array" ref="F1548">_xlfn._xlws.FILTER(E1548:E4746, C1548:C4746= "6D-PM-1020-01", "No Squirrels Found")</f>
        <v>No Squirrels Found</v>
      </c>
      <c r="G1548" s="8" t="s">
        <v>34</v>
      </c>
      <c r="H1548" s="10">
        <v>10122018</v>
      </c>
      <c r="I1548" s="10">
        <v>4</v>
      </c>
      <c r="J1548" s="8" t="s">
        <v>39</v>
      </c>
      <c r="K1548" s="8" t="s">
        <v>40</v>
      </c>
      <c r="L1548" s="8" t="s">
        <v>84</v>
      </c>
      <c r="M1548" s="8" t="s">
        <v>103</v>
      </c>
      <c r="O1548" s="8" t="s">
        <v>43</v>
      </c>
      <c r="P1548" s="8" t="b">
        <v>0</v>
      </c>
      <c r="R1548" s="8" t="b">
        <v>0</v>
      </c>
      <c r="S1548" s="8" t="b">
        <v>0</v>
      </c>
      <c r="T1548" s="8" t="b">
        <v>0</v>
      </c>
      <c r="U1548" s="8" t="b">
        <v>0</v>
      </c>
      <c r="V1548" s="8" t="b">
        <v>1</v>
      </c>
      <c r="W1548" s="11" t="s">
        <v>1369</v>
      </c>
      <c r="X1548" s="8" t="b">
        <v>0</v>
      </c>
      <c r="Y1548" s="8" t="b">
        <v>0</v>
      </c>
      <c r="Z1548" s="8" t="b">
        <v>0</v>
      </c>
      <c r="AA1548" s="8" t="b">
        <v>0</v>
      </c>
      <c r="AB1548" s="8" t="b">
        <v>0</v>
      </c>
      <c r="AC1548" s="8" t="b">
        <v>0</v>
      </c>
      <c r="AD1548" s="8" t="b">
        <v>0</v>
      </c>
      <c r="AE1548" s="8" t="b">
        <v>0</v>
      </c>
      <c r="AG1548" s="11" t="b" cm="1">
        <f t="array" ref="AG1548">IF(OR(Y1548:AA1548="TRUE", AE1548="true"), "Threatened")</f>
        <v>0</v>
      </c>
      <c r="AH1548" s="11" t="s">
        <v>4052</v>
      </c>
      <c r="AI1548" s="8" t="b">
        <v>0</v>
      </c>
    </row>
    <row r="1549" spans="1:35" ht="31.2">
      <c r="A1549" s="8">
        <v>-73.979004450000005</v>
      </c>
      <c r="B1549" s="8">
        <v>40.76894695</v>
      </c>
      <c r="C1549" s="8" t="s">
        <v>4053</v>
      </c>
      <c r="D1549" s="8" t="s">
        <v>465</v>
      </c>
      <c r="E1549" s="8" t="b">
        <f t="shared" si="24"/>
        <v>0</v>
      </c>
      <c r="F1549" s="8" t="str" cm="1">
        <f t="array" ref="F1549">_xlfn._xlws.FILTER(E1549:E4747, C1549:C4747= "6D-PM-1020-01", "No Squirrels Found")</f>
        <v>No Squirrels Found</v>
      </c>
      <c r="G1549" s="8" t="s">
        <v>48</v>
      </c>
      <c r="H1549" s="10">
        <v>10102018</v>
      </c>
      <c r="I1549" s="10">
        <v>3</v>
      </c>
      <c r="J1549" s="8" t="s">
        <v>54</v>
      </c>
      <c r="K1549" s="8" t="s">
        <v>40</v>
      </c>
      <c r="L1549" s="8" t="s">
        <v>41</v>
      </c>
      <c r="M1549" s="8" t="s">
        <v>42</v>
      </c>
      <c r="O1549" s="8" t="s">
        <v>43</v>
      </c>
      <c r="P1549" s="8" t="b">
        <v>0</v>
      </c>
      <c r="R1549" s="8" t="b">
        <v>0</v>
      </c>
      <c r="S1549" s="8" t="b">
        <v>1</v>
      </c>
      <c r="T1549" s="8" t="b">
        <v>0</v>
      </c>
      <c r="U1549" s="8" t="b">
        <v>0</v>
      </c>
      <c r="V1549" s="8" t="b">
        <v>0</v>
      </c>
      <c r="W1549" s="11" t="s">
        <v>4054</v>
      </c>
      <c r="X1549" s="8" t="b">
        <v>0</v>
      </c>
      <c r="Y1549" s="8" t="b">
        <v>0</v>
      </c>
      <c r="Z1549" s="8" t="b">
        <v>0</v>
      </c>
      <c r="AA1549" s="8" t="b">
        <v>0</v>
      </c>
      <c r="AB1549" s="8" t="b">
        <v>0</v>
      </c>
      <c r="AC1549" s="8" t="b">
        <v>0</v>
      </c>
      <c r="AD1549" s="8" t="b">
        <v>0</v>
      </c>
      <c r="AE1549" s="8" t="b">
        <v>1</v>
      </c>
      <c r="AG1549" s="11" t="b" cm="1">
        <f t="array" ref="AG1549">IF(OR(Y1549:AA1549="TRUE", AE1549="true"), "Threatened")</f>
        <v>0</v>
      </c>
      <c r="AH1549" s="11" t="s">
        <v>4055</v>
      </c>
      <c r="AI1549" s="8" t="b">
        <v>0</v>
      </c>
    </row>
    <row r="1550" spans="1:35" ht="31.2">
      <c r="A1550" s="8">
        <v>-73.977797850000002</v>
      </c>
      <c r="B1550" s="8">
        <v>40.766862080000003</v>
      </c>
      <c r="C1550" s="8" t="s">
        <v>4056</v>
      </c>
      <c r="D1550" s="8" t="s">
        <v>1278</v>
      </c>
      <c r="E1550" s="8" t="b">
        <f t="shared" si="24"/>
        <v>0</v>
      </c>
      <c r="F1550" s="8" t="str" cm="1">
        <f t="array" ref="F1550">_xlfn._xlws.FILTER(E1550:E4748, C1550:C4748= "6D-PM-1020-01", "No Squirrels Found")</f>
        <v>No Squirrels Found</v>
      </c>
      <c r="G1550" s="8" t="s">
        <v>48</v>
      </c>
      <c r="H1550" s="10">
        <v>10062018</v>
      </c>
      <c r="I1550" s="10">
        <v>1</v>
      </c>
      <c r="J1550" s="8" t="s">
        <v>54</v>
      </c>
      <c r="K1550" s="8" t="s">
        <v>40</v>
      </c>
      <c r="L1550" s="8" t="s">
        <v>84</v>
      </c>
      <c r="M1550" s="8" t="s">
        <v>103</v>
      </c>
      <c r="O1550" s="8" t="s">
        <v>43</v>
      </c>
      <c r="P1550" s="8" t="b">
        <v>0</v>
      </c>
      <c r="R1550" s="8" t="b">
        <v>1</v>
      </c>
      <c r="S1550" s="8" t="b">
        <v>0</v>
      </c>
      <c r="T1550" s="8" t="b">
        <v>1</v>
      </c>
      <c r="U1550" s="8" t="b">
        <v>0</v>
      </c>
      <c r="V1550" s="8" t="b">
        <v>1</v>
      </c>
      <c r="X1550" s="8" t="b">
        <v>0</v>
      </c>
      <c r="Y1550" s="8" t="b">
        <v>0</v>
      </c>
      <c r="Z1550" s="8" t="b">
        <v>0</v>
      </c>
      <c r="AA1550" s="8" t="b">
        <v>0</v>
      </c>
      <c r="AB1550" s="8" t="b">
        <v>1</v>
      </c>
      <c r="AC1550" s="8" t="b">
        <v>0</v>
      </c>
      <c r="AD1550" s="8" t="b">
        <v>0</v>
      </c>
      <c r="AE1550" s="8" t="b">
        <v>0</v>
      </c>
      <c r="AG1550" s="11" t="b" cm="1">
        <f t="array" ref="AG1550">IF(OR(Y1550:AA1550="TRUE", AE1550="true"), "Threatened")</f>
        <v>0</v>
      </c>
      <c r="AH1550" s="11" t="s">
        <v>4057</v>
      </c>
      <c r="AI1550" s="8" t="b">
        <v>1</v>
      </c>
    </row>
    <row r="1551" spans="1:35" ht="31.2">
      <c r="A1551" s="8">
        <v>-73.969864270000002</v>
      </c>
      <c r="B1551" s="8">
        <v>40.77846693</v>
      </c>
      <c r="C1551" s="8" t="s">
        <v>4058</v>
      </c>
      <c r="D1551" s="8" t="s">
        <v>721</v>
      </c>
      <c r="E1551" s="8" t="b">
        <f t="shared" si="24"/>
        <v>0</v>
      </c>
      <c r="F1551" s="8" t="str" cm="1">
        <f t="array" ref="F1551">_xlfn._xlws.FILTER(E1551:E4749, C1551:C4749= "6D-PM-1020-01", "No Squirrels Found")</f>
        <v>No Squirrels Found</v>
      </c>
      <c r="G1551" s="8" t="s">
        <v>34</v>
      </c>
      <c r="H1551" s="10">
        <v>10102018</v>
      </c>
      <c r="I1551" s="10">
        <v>10</v>
      </c>
      <c r="J1551" s="8" t="s">
        <v>39</v>
      </c>
      <c r="K1551" s="8" t="s">
        <v>40</v>
      </c>
      <c r="M1551" s="8" t="s">
        <v>55</v>
      </c>
      <c r="O1551" s="8" t="s">
        <v>43</v>
      </c>
      <c r="P1551" s="8" t="b">
        <v>0</v>
      </c>
      <c r="R1551" s="8" t="b">
        <v>0</v>
      </c>
      <c r="S1551" s="8" t="b">
        <v>0</v>
      </c>
      <c r="T1551" s="8" t="b">
        <v>0</v>
      </c>
      <c r="U1551" s="8" t="b">
        <v>1</v>
      </c>
      <c r="V1551" s="8" t="b">
        <v>1</v>
      </c>
      <c r="X1551" s="8" t="b">
        <v>0</v>
      </c>
      <c r="Y1551" s="8" t="b">
        <v>0</v>
      </c>
      <c r="Z1551" s="8" t="b">
        <v>0</v>
      </c>
      <c r="AA1551" s="8" t="b">
        <v>0</v>
      </c>
      <c r="AB1551" s="8" t="b">
        <v>0</v>
      </c>
      <c r="AC1551" s="8" t="b">
        <v>0</v>
      </c>
      <c r="AD1551" s="8" t="b">
        <v>1</v>
      </c>
      <c r="AE1551" s="8" t="b">
        <v>0</v>
      </c>
      <c r="AG1551" s="11" t="b" cm="1">
        <f t="array" ref="AG1551">IF(OR(Y1551:AA1551="TRUE", AE1551="true"), "Threatened")</f>
        <v>0</v>
      </c>
      <c r="AH1551" s="11" t="s">
        <v>4059</v>
      </c>
      <c r="AI1551" s="8" t="b">
        <v>1</v>
      </c>
    </row>
    <row r="1552" spans="1:35" ht="31.2">
      <c r="A1552" s="8">
        <v>-73.978511429999998</v>
      </c>
      <c r="B1552" s="8">
        <v>40.771977960000001</v>
      </c>
      <c r="C1552" s="8" t="s">
        <v>4060</v>
      </c>
      <c r="D1552" s="8" t="s">
        <v>874</v>
      </c>
      <c r="E1552" s="8" t="b">
        <f t="shared" si="24"/>
        <v>0</v>
      </c>
      <c r="F1552" s="8" t="str" cm="1">
        <f t="array" ref="F1552">_xlfn._xlws.FILTER(E1552:E4750, C1552:C4750= "6D-PM-1020-01", "No Squirrels Found")</f>
        <v>No Squirrels Found</v>
      </c>
      <c r="G1552" s="8" t="s">
        <v>34</v>
      </c>
      <c r="H1552" s="10">
        <v>10122018</v>
      </c>
      <c r="I1552" s="10">
        <v>3</v>
      </c>
      <c r="J1552" s="8" t="s">
        <v>39</v>
      </c>
      <c r="K1552" s="8" t="s">
        <v>41</v>
      </c>
      <c r="L1552" s="8" t="s">
        <v>84</v>
      </c>
      <c r="M1552" s="8" t="s">
        <v>85</v>
      </c>
      <c r="O1552" s="8" t="s">
        <v>43</v>
      </c>
      <c r="P1552" s="8" t="b">
        <v>0</v>
      </c>
      <c r="R1552" s="8" t="b">
        <v>1</v>
      </c>
      <c r="S1552" s="8" t="b">
        <v>1</v>
      </c>
      <c r="T1552" s="8" t="b">
        <v>1</v>
      </c>
      <c r="U1552" s="8" t="b">
        <v>0</v>
      </c>
      <c r="V1552" s="8" t="b">
        <v>0</v>
      </c>
      <c r="X1552" s="8" t="b">
        <v>0</v>
      </c>
      <c r="Y1552" s="8" t="b">
        <v>0</v>
      </c>
      <c r="Z1552" s="8" t="b">
        <v>0</v>
      </c>
      <c r="AA1552" s="8" t="b">
        <v>0</v>
      </c>
      <c r="AB1552" s="8" t="b">
        <v>0</v>
      </c>
      <c r="AC1552" s="8" t="b">
        <v>0</v>
      </c>
      <c r="AD1552" s="8" t="b">
        <v>0</v>
      </c>
      <c r="AE1552" s="8" t="b">
        <v>0</v>
      </c>
      <c r="AG1552" s="11" t="b" cm="1">
        <f t="array" ref="AG1552">IF(OR(Y1552:AA1552="TRUE", AE1552="true"), "Threatened")</f>
        <v>0</v>
      </c>
      <c r="AH1552" s="11" t="s">
        <v>4061</v>
      </c>
      <c r="AI1552" s="8" t="b">
        <v>1</v>
      </c>
    </row>
    <row r="1553" spans="1:35" ht="31.2">
      <c r="A1553" s="8">
        <v>-73.969565520000003</v>
      </c>
      <c r="B1553" s="8">
        <v>40.769832469999997</v>
      </c>
      <c r="C1553" s="8" t="s">
        <v>4062</v>
      </c>
      <c r="D1553" s="8" t="s">
        <v>1326</v>
      </c>
      <c r="E1553" s="8" t="b">
        <f t="shared" si="24"/>
        <v>0</v>
      </c>
      <c r="F1553" s="8" t="str" cm="1">
        <f t="array" ref="F1553">_xlfn._xlws.FILTER(E1553:E4751, C1553:C4751= "6D-PM-1020-01", "No Squirrels Found")</f>
        <v>No Squirrels Found</v>
      </c>
      <c r="G1553" s="8" t="s">
        <v>34</v>
      </c>
      <c r="H1553" s="10">
        <v>10132018</v>
      </c>
      <c r="I1553" s="10">
        <v>2</v>
      </c>
      <c r="J1553" s="8" t="s">
        <v>39</v>
      </c>
      <c r="K1553" s="8" t="s">
        <v>40</v>
      </c>
      <c r="L1553" s="8" t="s">
        <v>117</v>
      </c>
      <c r="M1553" s="8" t="s">
        <v>118</v>
      </c>
      <c r="O1553" s="8" t="s">
        <v>43</v>
      </c>
      <c r="P1553" s="8" t="b">
        <v>0</v>
      </c>
      <c r="R1553" s="8" t="b">
        <v>0</v>
      </c>
      <c r="S1553" s="8" t="b">
        <v>0</v>
      </c>
      <c r="T1553" s="8" t="b">
        <v>0</v>
      </c>
      <c r="U1553" s="8" t="b">
        <v>1</v>
      </c>
      <c r="V1553" s="8" t="b">
        <v>1</v>
      </c>
      <c r="X1553" s="8" t="b">
        <v>0</v>
      </c>
      <c r="Y1553" s="8" t="b">
        <v>0</v>
      </c>
      <c r="Z1553" s="8" t="b">
        <v>0</v>
      </c>
      <c r="AA1553" s="8" t="b">
        <v>0</v>
      </c>
      <c r="AB1553" s="8" t="b">
        <v>0</v>
      </c>
      <c r="AC1553" s="8" t="b">
        <v>0</v>
      </c>
      <c r="AD1553" s="8" t="b">
        <v>1</v>
      </c>
      <c r="AE1553" s="8" t="b">
        <v>0</v>
      </c>
      <c r="AG1553" s="11" t="b" cm="1">
        <f t="array" ref="AG1553">IF(OR(Y1553:AA1553="TRUE", AE1553="true"), "Threatened")</f>
        <v>0</v>
      </c>
      <c r="AH1553" s="11" t="s">
        <v>4063</v>
      </c>
      <c r="AI1553" s="8" t="b">
        <v>1</v>
      </c>
    </row>
    <row r="1554" spans="1:35" ht="31.2">
      <c r="A1554" s="8">
        <v>-73.969064529999997</v>
      </c>
      <c r="B1554" s="8">
        <v>40.777382209999999</v>
      </c>
      <c r="C1554" s="8" t="s">
        <v>4064</v>
      </c>
      <c r="D1554" s="8" t="s">
        <v>150</v>
      </c>
      <c r="E1554" s="8" t="b">
        <f t="shared" si="24"/>
        <v>0</v>
      </c>
      <c r="F1554" s="8" t="str" cm="1">
        <f t="array" ref="F1554">_xlfn._xlws.FILTER(E1554:E4752, C1554:C4752= "6D-PM-1020-01", "No Squirrels Found")</f>
        <v>No Squirrels Found</v>
      </c>
      <c r="G1554" s="8" t="s">
        <v>48</v>
      </c>
      <c r="H1554" s="10">
        <v>10132018</v>
      </c>
      <c r="I1554" s="10">
        <v>3</v>
      </c>
      <c r="J1554" s="8" t="s">
        <v>39</v>
      </c>
      <c r="K1554" s="8" t="s">
        <v>40</v>
      </c>
      <c r="M1554" s="8" t="s">
        <v>55</v>
      </c>
      <c r="O1554" s="8" t="s">
        <v>50</v>
      </c>
      <c r="P1554" s="8">
        <v>2</v>
      </c>
      <c r="Q1554" s="8" t="s">
        <v>4065</v>
      </c>
      <c r="R1554" s="8" t="b">
        <v>0</v>
      </c>
      <c r="S1554" s="8" t="b">
        <v>0</v>
      </c>
      <c r="T1554" s="8" t="b">
        <v>0</v>
      </c>
      <c r="U1554" s="8" t="b">
        <v>0</v>
      </c>
      <c r="V1554" s="8" t="b">
        <v>0</v>
      </c>
      <c r="X1554" s="8" t="b">
        <v>0</v>
      </c>
      <c r="Y1554" s="8" t="b">
        <v>0</v>
      </c>
      <c r="Z1554" s="8" t="b">
        <v>0</v>
      </c>
      <c r="AA1554" s="8" t="b">
        <v>0</v>
      </c>
      <c r="AB1554" s="8" t="b">
        <v>1</v>
      </c>
      <c r="AC1554" s="8" t="b">
        <v>0</v>
      </c>
      <c r="AD1554" s="8" t="b">
        <v>0</v>
      </c>
      <c r="AE1554" s="8" t="b">
        <v>1</v>
      </c>
      <c r="AG1554" s="11" t="b" cm="1">
        <f t="array" ref="AG1554">IF(OR(Y1554:AA1554="TRUE", AE1554="true"), "Threatened")</f>
        <v>0</v>
      </c>
      <c r="AH1554" s="11" t="s">
        <v>4066</v>
      </c>
      <c r="AI1554" s="8" t="b">
        <v>1</v>
      </c>
    </row>
    <row r="1555" spans="1:35" ht="31.2">
      <c r="A1555" s="8">
        <v>-73.959746260000003</v>
      </c>
      <c r="B1555" s="8">
        <v>40.78328011</v>
      </c>
      <c r="C1555" s="8" t="s">
        <v>4067</v>
      </c>
      <c r="D1555" s="8" t="s">
        <v>2570</v>
      </c>
      <c r="E1555" s="8" t="b">
        <f t="shared" si="24"/>
        <v>0</v>
      </c>
      <c r="F1555" s="8" t="str" cm="1">
        <f t="array" ref="F1555">_xlfn._xlws.FILTER(E1555:E4753, C1555:C4753= "6D-PM-1020-01", "No Squirrels Found")</f>
        <v>No Squirrels Found</v>
      </c>
      <c r="G1555" s="8" t="s">
        <v>34</v>
      </c>
      <c r="H1555" s="10">
        <v>10072018</v>
      </c>
      <c r="I1555" s="10">
        <v>6</v>
      </c>
      <c r="M1555" s="8" t="s">
        <v>35</v>
      </c>
      <c r="N1555" s="11" t="s">
        <v>4068</v>
      </c>
      <c r="O1555" s="8" t="s">
        <v>50</v>
      </c>
      <c r="P1555" s="8">
        <v>20</v>
      </c>
      <c r="Q1555" s="8" t="s">
        <v>4069</v>
      </c>
      <c r="R1555" s="8" t="b">
        <v>0</v>
      </c>
      <c r="S1555" s="8" t="b">
        <v>0</v>
      </c>
      <c r="T1555" s="8" t="b">
        <v>0</v>
      </c>
      <c r="U1555" s="8" t="b">
        <v>0</v>
      </c>
      <c r="V1555" s="8" t="b">
        <v>0</v>
      </c>
      <c r="X1555" s="8" t="b">
        <v>0</v>
      </c>
      <c r="Y1555" s="8" t="b">
        <v>1</v>
      </c>
      <c r="Z1555" s="8" t="b">
        <v>0</v>
      </c>
      <c r="AA1555" s="8" t="b">
        <v>0</v>
      </c>
      <c r="AB1555" s="8" t="b">
        <v>0</v>
      </c>
      <c r="AC1555" s="8" t="b">
        <v>0</v>
      </c>
      <c r="AD1555" s="8" t="b">
        <v>0</v>
      </c>
      <c r="AE1555" s="8" t="b">
        <v>0</v>
      </c>
      <c r="AG1555" s="11" t="b" cm="1">
        <f t="array" ref="AG1555">IF(OR(Y1555:AA1555="TRUE", AE1555="true"), "Threatened")</f>
        <v>0</v>
      </c>
      <c r="AH1555" s="11" t="s">
        <v>4070</v>
      </c>
      <c r="AI1555" s="8" t="b">
        <v>1</v>
      </c>
    </row>
    <row r="1556" spans="1:35" ht="31.2">
      <c r="A1556" s="8">
        <v>-73.978494249999997</v>
      </c>
      <c r="B1556" s="8">
        <v>40.76726</v>
      </c>
      <c r="C1556" s="8" t="s">
        <v>4071</v>
      </c>
      <c r="D1556" s="8" t="s">
        <v>1278</v>
      </c>
      <c r="E1556" s="8" t="b">
        <f t="shared" si="24"/>
        <v>0</v>
      </c>
      <c r="F1556" s="8" t="str" cm="1">
        <f t="array" ref="F1556">_xlfn._xlws.FILTER(E1556:E4754, C1556:C4754= "6D-PM-1020-01", "No Squirrels Found")</f>
        <v>No Squirrels Found</v>
      </c>
      <c r="G1556" s="8" t="s">
        <v>48</v>
      </c>
      <c r="H1556" s="10">
        <v>10062018</v>
      </c>
      <c r="I1556" s="10">
        <v>6</v>
      </c>
      <c r="J1556" s="8" t="s">
        <v>54</v>
      </c>
      <c r="K1556" s="8" t="s">
        <v>40</v>
      </c>
      <c r="L1556" s="8" t="s">
        <v>117</v>
      </c>
      <c r="M1556" s="8" t="s">
        <v>118</v>
      </c>
      <c r="N1556" s="11" t="s">
        <v>1383</v>
      </c>
      <c r="O1556" s="8" t="s">
        <v>43</v>
      </c>
      <c r="P1556" s="8" t="b">
        <v>0</v>
      </c>
      <c r="R1556" s="8" t="b">
        <v>1</v>
      </c>
      <c r="S1556" s="8" t="b">
        <v>0</v>
      </c>
      <c r="T1556" s="8" t="b">
        <v>0</v>
      </c>
      <c r="U1556" s="8" t="b">
        <v>0</v>
      </c>
      <c r="V1556" s="8" t="b">
        <v>0</v>
      </c>
      <c r="W1556" s="11" t="s">
        <v>4072</v>
      </c>
      <c r="X1556" s="8" t="b">
        <v>0</v>
      </c>
      <c r="Y1556" s="8" t="b">
        <v>0</v>
      </c>
      <c r="Z1556" s="8" t="b">
        <v>0</v>
      </c>
      <c r="AA1556" s="8" t="b">
        <v>0</v>
      </c>
      <c r="AB1556" s="8" t="b">
        <v>0</v>
      </c>
      <c r="AC1556" s="8" t="b">
        <v>0</v>
      </c>
      <c r="AD1556" s="8" t="b">
        <v>0</v>
      </c>
      <c r="AE1556" s="8" t="b">
        <v>0</v>
      </c>
      <c r="AG1556" s="11" t="b" cm="1">
        <f t="array" ref="AG1556">IF(OR(Y1556:AA1556="TRUE", AE1556="true"), "Threatened")</f>
        <v>0</v>
      </c>
      <c r="AH1556" s="11" t="s">
        <v>4073</v>
      </c>
      <c r="AI1556" s="8" t="b">
        <v>0</v>
      </c>
    </row>
    <row r="1557" spans="1:35" ht="31.2">
      <c r="A1557" s="8">
        <v>-73.974623829999999</v>
      </c>
      <c r="B1557" s="8">
        <v>40.767149199999999</v>
      </c>
      <c r="C1557" s="8" t="s">
        <v>4074</v>
      </c>
      <c r="D1557" s="8" t="s">
        <v>1706</v>
      </c>
      <c r="E1557" s="8" t="b">
        <f t="shared" si="24"/>
        <v>0</v>
      </c>
      <c r="F1557" s="8" t="str" cm="1">
        <f t="array" ref="F1557">_xlfn._xlws.FILTER(E1557:E4755, C1557:C4755= "6D-PM-1020-01", "No Squirrels Found")</f>
        <v>No Squirrels Found</v>
      </c>
      <c r="G1557" s="8" t="s">
        <v>48</v>
      </c>
      <c r="H1557" s="10">
        <v>10062018</v>
      </c>
      <c r="I1557" s="10">
        <v>6</v>
      </c>
      <c r="J1557" s="8" t="s">
        <v>39</v>
      </c>
      <c r="K1557" s="8" t="s">
        <v>40</v>
      </c>
      <c r="L1557" s="8" t="s">
        <v>41</v>
      </c>
      <c r="M1557" s="8" t="s">
        <v>42</v>
      </c>
      <c r="N1557" s="11" t="s">
        <v>1015</v>
      </c>
      <c r="O1557" s="8" t="s">
        <v>43</v>
      </c>
      <c r="P1557" s="8" t="b">
        <v>0</v>
      </c>
      <c r="R1557" s="8" t="b">
        <v>0</v>
      </c>
      <c r="S1557" s="8" t="b">
        <v>0</v>
      </c>
      <c r="T1557" s="8" t="b">
        <v>0</v>
      </c>
      <c r="U1557" s="8" t="b">
        <v>0</v>
      </c>
      <c r="V1557" s="8" t="b">
        <v>1</v>
      </c>
      <c r="X1557" s="8" t="b">
        <v>0</v>
      </c>
      <c r="Y1557" s="8" t="b">
        <v>0</v>
      </c>
      <c r="Z1557" s="8" t="b">
        <v>0</v>
      </c>
      <c r="AA1557" s="8" t="b">
        <v>0</v>
      </c>
      <c r="AB1557" s="8" t="b">
        <v>0</v>
      </c>
      <c r="AC1557" s="8" t="b">
        <v>0</v>
      </c>
      <c r="AD1557" s="8" t="b">
        <v>1</v>
      </c>
      <c r="AE1557" s="8" t="b">
        <v>0</v>
      </c>
      <c r="AG1557" s="11" t="b" cm="1">
        <f t="array" ref="AG1557">IF(OR(Y1557:AA1557="TRUE", AE1557="true"), "Threatened")</f>
        <v>0</v>
      </c>
      <c r="AH1557" s="11" t="s">
        <v>4075</v>
      </c>
      <c r="AI1557" s="8" t="b">
        <v>1</v>
      </c>
    </row>
    <row r="1558" spans="1:35" ht="31.2">
      <c r="A1558" s="8">
        <v>-73.970533180000004</v>
      </c>
      <c r="B1558" s="8">
        <v>40.769994359999998</v>
      </c>
      <c r="C1558" s="8" t="s">
        <v>4076</v>
      </c>
      <c r="D1558" s="8" t="s">
        <v>113</v>
      </c>
      <c r="E1558" s="8" t="b">
        <f t="shared" si="24"/>
        <v>0</v>
      </c>
      <c r="F1558" s="8" t="str" cm="1">
        <f t="array" ref="F1558">_xlfn._xlws.FILTER(E1558:E4756, C1558:C4756= "6D-PM-1020-01", "No Squirrels Found")</f>
        <v>No Squirrels Found</v>
      </c>
      <c r="G1558" s="8" t="s">
        <v>48</v>
      </c>
      <c r="H1558" s="10">
        <v>10062018</v>
      </c>
      <c r="I1558" s="10">
        <v>9</v>
      </c>
      <c r="J1558" s="8" t="s">
        <v>39</v>
      </c>
      <c r="K1558" s="8" t="s">
        <v>40</v>
      </c>
      <c r="L1558" s="8" t="s">
        <v>41</v>
      </c>
      <c r="M1558" s="8" t="s">
        <v>42</v>
      </c>
      <c r="R1558" s="8" t="b">
        <v>0</v>
      </c>
      <c r="S1558" s="8" t="b">
        <v>0</v>
      </c>
      <c r="T1558" s="8" t="b">
        <v>0</v>
      </c>
      <c r="U1558" s="8" t="b">
        <v>0</v>
      </c>
      <c r="V1558" s="8" t="b">
        <v>1</v>
      </c>
      <c r="X1558" s="8" t="b">
        <v>0</v>
      </c>
      <c r="Y1558" s="8" t="b">
        <v>0</v>
      </c>
      <c r="Z1558" s="8" t="b">
        <v>0</v>
      </c>
      <c r="AA1558" s="8" t="b">
        <v>0</v>
      </c>
      <c r="AB1558" s="8" t="b">
        <v>0</v>
      </c>
      <c r="AC1558" s="8" t="b">
        <v>1</v>
      </c>
      <c r="AD1558" s="8" t="b">
        <v>0</v>
      </c>
      <c r="AE1558" s="8" t="b">
        <v>0</v>
      </c>
      <c r="AG1558" s="11" t="b" cm="1">
        <f t="array" ref="AG1558">IF(OR(Y1558:AA1558="TRUE", AE1558="true"), "Threatened")</f>
        <v>0</v>
      </c>
      <c r="AH1558" s="11" t="s">
        <v>4077</v>
      </c>
      <c r="AI1558" s="8" t="b">
        <v>1</v>
      </c>
    </row>
    <row r="1559" spans="1:35" ht="31.2">
      <c r="A1559" s="8">
        <v>-73.968200390000007</v>
      </c>
      <c r="B1559" s="8">
        <v>40.78370958</v>
      </c>
      <c r="C1559" s="8" t="s">
        <v>4078</v>
      </c>
      <c r="D1559" s="8" t="s">
        <v>335</v>
      </c>
      <c r="E1559" s="8" t="b">
        <f t="shared" si="24"/>
        <v>0</v>
      </c>
      <c r="F1559" s="8" t="str" cm="1">
        <f t="array" ref="F1559">_xlfn._xlws.FILTER(E1559:E4757, C1559:C4757= "6D-PM-1020-01", "No Squirrels Found")</f>
        <v>No Squirrels Found</v>
      </c>
      <c r="G1559" s="8" t="s">
        <v>48</v>
      </c>
      <c r="H1559" s="10">
        <v>10132018</v>
      </c>
      <c r="I1559" s="10">
        <v>2</v>
      </c>
      <c r="J1559" s="8" t="s">
        <v>39</v>
      </c>
      <c r="K1559" s="8" t="s">
        <v>41</v>
      </c>
      <c r="M1559" s="8" t="s">
        <v>49</v>
      </c>
      <c r="O1559" s="8" t="s">
        <v>43</v>
      </c>
      <c r="P1559" s="8" t="b">
        <v>0</v>
      </c>
      <c r="R1559" s="8" t="b">
        <v>0</v>
      </c>
      <c r="S1559" s="8" t="b">
        <v>0</v>
      </c>
      <c r="T1559" s="8" t="b">
        <v>0</v>
      </c>
      <c r="U1559" s="8" t="b">
        <v>0</v>
      </c>
      <c r="V1559" s="8" t="b">
        <v>1</v>
      </c>
      <c r="W1559" s="11" t="s">
        <v>1437</v>
      </c>
      <c r="X1559" s="8" t="b">
        <v>0</v>
      </c>
      <c r="Y1559" s="8" t="b">
        <v>0</v>
      </c>
      <c r="Z1559" s="8" t="b">
        <v>0</v>
      </c>
      <c r="AA1559" s="8" t="b">
        <v>0</v>
      </c>
      <c r="AB1559" s="8" t="b">
        <v>0</v>
      </c>
      <c r="AC1559" s="8" t="b">
        <v>0</v>
      </c>
      <c r="AD1559" s="8" t="b">
        <v>1</v>
      </c>
      <c r="AE1559" s="8" t="b">
        <v>0</v>
      </c>
      <c r="AG1559" s="11" t="b" cm="1">
        <f t="array" ref="AG1559">IF(OR(Y1559:AA1559="TRUE", AE1559="true"), "Threatened")</f>
        <v>0</v>
      </c>
      <c r="AH1559" s="11" t="s">
        <v>4079</v>
      </c>
      <c r="AI1559" s="8" t="b">
        <v>0</v>
      </c>
    </row>
    <row r="1560" spans="1:35" ht="31.2">
      <c r="A1560" s="8">
        <v>-73.96316487</v>
      </c>
      <c r="B1560" s="8">
        <v>40.792652959999998</v>
      </c>
      <c r="C1560" s="8" t="s">
        <v>4080</v>
      </c>
      <c r="D1560" s="8" t="s">
        <v>125</v>
      </c>
      <c r="E1560" s="8" t="b">
        <f t="shared" si="24"/>
        <v>0</v>
      </c>
      <c r="F1560" s="8" t="str" cm="1">
        <f t="array" ref="F1560">_xlfn._xlws.FILTER(E1560:E4758, C1560:C4758= "6D-PM-1020-01", "No Squirrels Found")</f>
        <v>No Squirrels Found</v>
      </c>
      <c r="G1560" s="8" t="s">
        <v>34</v>
      </c>
      <c r="H1560" s="10">
        <v>10132018</v>
      </c>
      <c r="I1560" s="10">
        <v>8</v>
      </c>
      <c r="J1560" s="8" t="s">
        <v>39</v>
      </c>
      <c r="K1560" s="8" t="s">
        <v>40</v>
      </c>
      <c r="L1560" s="8" t="s">
        <v>84</v>
      </c>
      <c r="M1560" s="8" t="s">
        <v>103</v>
      </c>
      <c r="O1560" s="8" t="s">
        <v>43</v>
      </c>
      <c r="P1560" s="8" t="b">
        <v>0</v>
      </c>
      <c r="R1560" s="8" t="b">
        <v>0</v>
      </c>
      <c r="S1560" s="8" t="b">
        <v>0</v>
      </c>
      <c r="T1560" s="8" t="b">
        <v>0</v>
      </c>
      <c r="U1560" s="8" t="b">
        <v>0</v>
      </c>
      <c r="V1560" s="8" t="b">
        <v>1</v>
      </c>
      <c r="X1560" s="8" t="b">
        <v>0</v>
      </c>
      <c r="Y1560" s="8" t="b">
        <v>0</v>
      </c>
      <c r="Z1560" s="8" t="b">
        <v>0</v>
      </c>
      <c r="AA1560" s="8" t="b">
        <v>0</v>
      </c>
      <c r="AB1560" s="8" t="b">
        <v>0</v>
      </c>
      <c r="AC1560" s="8" t="b">
        <v>0</v>
      </c>
      <c r="AD1560" s="8" t="b">
        <v>1</v>
      </c>
      <c r="AE1560" s="8" t="b">
        <v>0</v>
      </c>
      <c r="AG1560" s="11" t="b" cm="1">
        <f t="array" ref="AG1560">IF(OR(Y1560:AA1560="TRUE", AE1560="true"), "Threatened")</f>
        <v>0</v>
      </c>
      <c r="AH1560" s="11" t="s">
        <v>4081</v>
      </c>
      <c r="AI1560" s="8" t="b">
        <v>1</v>
      </c>
    </row>
    <row r="1561" spans="1:35" ht="31.2">
      <c r="A1561" s="8">
        <v>-73.958707279999999</v>
      </c>
      <c r="B1561" s="8">
        <v>40.785025619999999</v>
      </c>
      <c r="C1561" s="8" t="s">
        <v>4082</v>
      </c>
      <c r="D1561" s="8" t="s">
        <v>1086</v>
      </c>
      <c r="E1561" s="8" t="b">
        <f t="shared" si="24"/>
        <v>0</v>
      </c>
      <c r="F1561" s="8" t="str" cm="1">
        <f t="array" ref="F1561">_xlfn._xlws.FILTER(E1561:E4759, C1561:C4759= "6D-PM-1020-01", "No Squirrels Found")</f>
        <v>No Squirrels Found</v>
      </c>
      <c r="G1561" s="8" t="s">
        <v>48</v>
      </c>
      <c r="H1561" s="10">
        <v>10072018</v>
      </c>
      <c r="I1561" s="10">
        <v>1</v>
      </c>
      <c r="J1561" s="8" t="s">
        <v>39</v>
      </c>
      <c r="K1561" s="8" t="s">
        <v>41</v>
      </c>
      <c r="L1561" s="8" t="s">
        <v>40</v>
      </c>
      <c r="M1561" s="8" t="s">
        <v>110</v>
      </c>
      <c r="O1561" s="8" t="s">
        <v>50</v>
      </c>
      <c r="P1561" s="8">
        <v>20</v>
      </c>
      <c r="R1561" s="8" t="b">
        <v>0</v>
      </c>
      <c r="S1561" s="8" t="b">
        <v>0</v>
      </c>
      <c r="T1561" s="8" t="b">
        <v>1</v>
      </c>
      <c r="U1561" s="8" t="b">
        <v>1</v>
      </c>
      <c r="V1561" s="8" t="b">
        <v>0</v>
      </c>
      <c r="X1561" s="8" t="b">
        <v>0</v>
      </c>
      <c r="Y1561" s="8" t="b">
        <v>0</v>
      </c>
      <c r="Z1561" s="8" t="b">
        <v>0</v>
      </c>
      <c r="AA1561" s="8" t="b">
        <v>0</v>
      </c>
      <c r="AB1561" s="8" t="b">
        <v>0</v>
      </c>
      <c r="AC1561" s="8" t="b">
        <v>0</v>
      </c>
      <c r="AD1561" s="8" t="b">
        <v>0</v>
      </c>
      <c r="AE1561" s="8" t="b">
        <v>1</v>
      </c>
      <c r="AG1561" s="11" t="b" cm="1">
        <f t="array" ref="AG1561">IF(OR(Y1561:AA1561="TRUE", AE1561="true"), "Threatened")</f>
        <v>0</v>
      </c>
      <c r="AH1561" s="11" t="s">
        <v>4083</v>
      </c>
      <c r="AI1561" s="8" t="b">
        <v>1</v>
      </c>
    </row>
    <row r="1562" spans="1:35" ht="31.2">
      <c r="A1562" s="8">
        <v>-73.96423978</v>
      </c>
      <c r="B1562" s="8">
        <v>40.791899239999999</v>
      </c>
      <c r="C1562" s="8" t="s">
        <v>4084</v>
      </c>
      <c r="D1562" s="8" t="s">
        <v>398</v>
      </c>
      <c r="E1562" s="8" t="b">
        <f t="shared" si="24"/>
        <v>0</v>
      </c>
      <c r="F1562" s="8" t="str" cm="1">
        <f t="array" ref="F1562">_xlfn._xlws.FILTER(E1562:E4760, C1562:C4760= "6D-PM-1020-01", "No Squirrels Found")</f>
        <v>No Squirrels Found</v>
      </c>
      <c r="G1562" s="8" t="s">
        <v>34</v>
      </c>
      <c r="H1562" s="10">
        <v>10172018</v>
      </c>
      <c r="I1562" s="10">
        <v>2</v>
      </c>
      <c r="J1562" s="8" t="s">
        <v>39</v>
      </c>
      <c r="K1562" s="8" t="s">
        <v>41</v>
      </c>
      <c r="L1562" s="8" t="s">
        <v>84</v>
      </c>
      <c r="M1562" s="8" t="s">
        <v>85</v>
      </c>
      <c r="O1562" s="8" t="s">
        <v>43</v>
      </c>
      <c r="P1562" s="8" t="b">
        <v>0</v>
      </c>
      <c r="R1562" s="8" t="b">
        <v>0</v>
      </c>
      <c r="S1562" s="8" t="b">
        <v>0</v>
      </c>
      <c r="T1562" s="8" t="b">
        <v>0</v>
      </c>
      <c r="U1562" s="8" t="b">
        <v>1</v>
      </c>
      <c r="V1562" s="8" t="b">
        <v>0</v>
      </c>
      <c r="X1562" s="8" t="b">
        <v>0</v>
      </c>
      <c r="Y1562" s="8" t="b">
        <v>0</v>
      </c>
      <c r="Z1562" s="8" t="b">
        <v>0</v>
      </c>
      <c r="AA1562" s="8" t="b">
        <v>0</v>
      </c>
      <c r="AB1562" s="8" t="b">
        <v>0</v>
      </c>
      <c r="AC1562" s="8" t="b">
        <v>0</v>
      </c>
      <c r="AD1562" s="8" t="b">
        <v>0</v>
      </c>
      <c r="AE1562" s="8" t="b">
        <v>0</v>
      </c>
      <c r="AG1562" s="11" t="b" cm="1">
        <f t="array" ref="AG1562">IF(OR(Y1562:AA1562="TRUE", AE1562="true"), "Threatened")</f>
        <v>0</v>
      </c>
      <c r="AH1562" s="11" t="s">
        <v>4085</v>
      </c>
      <c r="AI1562" s="8" t="b">
        <v>1</v>
      </c>
    </row>
    <row r="1563" spans="1:35" ht="31.2">
      <c r="A1563" s="8">
        <v>-73.974084680000004</v>
      </c>
      <c r="B1563" s="8">
        <v>40.77281971</v>
      </c>
      <c r="C1563" s="8" t="s">
        <v>4086</v>
      </c>
      <c r="D1563" s="8" t="s">
        <v>2088</v>
      </c>
      <c r="E1563" s="8" t="b">
        <f t="shared" si="24"/>
        <v>0</v>
      </c>
      <c r="F1563" s="8" t="str" cm="1">
        <f t="array" ref="F1563">_xlfn._xlws.FILTER(E1563:E4761, C1563:C4761= "6D-PM-1020-01", "No Squirrels Found")</f>
        <v>No Squirrels Found</v>
      </c>
      <c r="G1563" s="8" t="s">
        <v>48</v>
      </c>
      <c r="H1563" s="10">
        <v>10072018</v>
      </c>
      <c r="I1563" s="10">
        <v>6</v>
      </c>
      <c r="J1563" s="8" t="s">
        <v>39</v>
      </c>
      <c r="K1563" s="8" t="s">
        <v>40</v>
      </c>
      <c r="M1563" s="8" t="s">
        <v>55</v>
      </c>
      <c r="O1563" s="8" t="s">
        <v>43</v>
      </c>
      <c r="P1563" s="8" t="b">
        <v>0</v>
      </c>
      <c r="R1563" s="8" t="b">
        <v>1</v>
      </c>
      <c r="S1563" s="8" t="b">
        <v>0</v>
      </c>
      <c r="T1563" s="8" t="b">
        <v>0</v>
      </c>
      <c r="U1563" s="8" t="b">
        <v>0</v>
      </c>
      <c r="V1563" s="8" t="b">
        <v>0</v>
      </c>
      <c r="X1563" s="8" t="b">
        <v>0</v>
      </c>
      <c r="Y1563" s="8" t="b">
        <v>0</v>
      </c>
      <c r="Z1563" s="8" t="b">
        <v>0</v>
      </c>
      <c r="AA1563" s="8" t="b">
        <v>0</v>
      </c>
      <c r="AB1563" s="8" t="b">
        <v>0</v>
      </c>
      <c r="AC1563" s="8" t="b">
        <v>0</v>
      </c>
      <c r="AD1563" s="8" t="b">
        <v>0</v>
      </c>
      <c r="AE1563" s="8" t="b">
        <v>0</v>
      </c>
      <c r="AG1563" s="11" t="b" cm="1">
        <f t="array" ref="AG1563">IF(OR(Y1563:AA1563="TRUE", AE1563="true"), "Threatened")</f>
        <v>0</v>
      </c>
      <c r="AH1563" s="11" t="s">
        <v>4087</v>
      </c>
      <c r="AI1563" s="8" t="b">
        <v>1</v>
      </c>
    </row>
    <row r="1564" spans="1:35" ht="31.2">
      <c r="A1564" s="8">
        <v>-73.967627070000006</v>
      </c>
      <c r="B1564" s="8">
        <v>40.776391439999998</v>
      </c>
      <c r="C1564" s="8" t="s">
        <v>4088</v>
      </c>
      <c r="D1564" s="8" t="s">
        <v>326</v>
      </c>
      <c r="E1564" s="8" t="b">
        <f t="shared" si="24"/>
        <v>0</v>
      </c>
      <c r="F1564" s="8" t="str" cm="1">
        <f t="array" ref="F1564">_xlfn._xlws.FILTER(E1564:E4762, C1564:C4762= "6D-PM-1020-01", "No Squirrels Found")</f>
        <v>No Squirrels Found</v>
      </c>
      <c r="G1564" s="8" t="s">
        <v>48</v>
      </c>
      <c r="H1564" s="10">
        <v>10082018</v>
      </c>
      <c r="I1564" s="10">
        <v>4</v>
      </c>
      <c r="J1564" s="8" t="s">
        <v>39</v>
      </c>
      <c r="K1564" s="8" t="s">
        <v>40</v>
      </c>
      <c r="M1564" s="8" t="s">
        <v>55</v>
      </c>
      <c r="O1564" s="8" t="s">
        <v>43</v>
      </c>
      <c r="P1564" s="8" t="b">
        <v>0</v>
      </c>
      <c r="R1564" s="8" t="b">
        <v>0</v>
      </c>
      <c r="S1564" s="8" t="b">
        <v>1</v>
      </c>
      <c r="T1564" s="8" t="b">
        <v>0</v>
      </c>
      <c r="U1564" s="8" t="b">
        <v>0</v>
      </c>
      <c r="V1564" s="8" t="b">
        <v>0</v>
      </c>
      <c r="X1564" s="8" t="b">
        <v>1</v>
      </c>
      <c r="Y1564" s="8" t="b">
        <v>0</v>
      </c>
      <c r="Z1564" s="8" t="b">
        <v>0</v>
      </c>
      <c r="AA1564" s="8" t="b">
        <v>0</v>
      </c>
      <c r="AB1564" s="8" t="b">
        <v>0</v>
      </c>
      <c r="AC1564" s="8" t="b">
        <v>0</v>
      </c>
      <c r="AD1564" s="8" t="b">
        <v>0</v>
      </c>
      <c r="AE1564" s="8" t="b">
        <v>0</v>
      </c>
      <c r="AG1564" s="11" t="b" cm="1">
        <f t="array" ref="AG1564">IF(OR(Y1564:AA1564="TRUE", AE1564="true"), "Threatened")</f>
        <v>0</v>
      </c>
      <c r="AH1564" s="11" t="s">
        <v>4089</v>
      </c>
      <c r="AI1564" s="8" t="b">
        <v>1</v>
      </c>
    </row>
    <row r="1565" spans="1:35" ht="31.2">
      <c r="A1565" s="8">
        <v>-73.970381610000004</v>
      </c>
      <c r="B1565" s="8">
        <v>40.777384609999999</v>
      </c>
      <c r="C1565" s="8" t="s">
        <v>4090</v>
      </c>
      <c r="D1565" s="8" t="s">
        <v>554</v>
      </c>
      <c r="E1565" s="8" t="b">
        <f t="shared" si="24"/>
        <v>0</v>
      </c>
      <c r="F1565" s="8" t="str" cm="1">
        <f t="array" ref="F1565">_xlfn._xlws.FILTER(E1565:E4763, C1565:C4763= "6D-PM-1020-01", "No Squirrels Found")</f>
        <v>No Squirrels Found</v>
      </c>
      <c r="G1565" s="8" t="s">
        <v>34</v>
      </c>
      <c r="H1565" s="10">
        <v>10172018</v>
      </c>
      <c r="I1565" s="10">
        <v>2</v>
      </c>
      <c r="J1565" s="8" t="s">
        <v>39</v>
      </c>
      <c r="K1565" s="8" t="s">
        <v>40</v>
      </c>
      <c r="L1565" s="8" t="s">
        <v>41</v>
      </c>
      <c r="M1565" s="8" t="s">
        <v>42</v>
      </c>
      <c r="O1565" s="8" t="s">
        <v>50</v>
      </c>
      <c r="P1565" s="8">
        <v>1</v>
      </c>
      <c r="R1565" s="8" t="b">
        <v>0</v>
      </c>
      <c r="S1565" s="8" t="b">
        <v>0</v>
      </c>
      <c r="T1565" s="8" t="b">
        <v>1</v>
      </c>
      <c r="U1565" s="8" t="b">
        <v>0</v>
      </c>
      <c r="V1565" s="8" t="b">
        <v>1</v>
      </c>
      <c r="X1565" s="8" t="b">
        <v>0</v>
      </c>
      <c r="Y1565" s="8" t="b">
        <v>0</v>
      </c>
      <c r="Z1565" s="8" t="b">
        <v>0</v>
      </c>
      <c r="AA1565" s="8" t="b">
        <v>0</v>
      </c>
      <c r="AB1565" s="8" t="b">
        <v>0</v>
      </c>
      <c r="AC1565" s="8" t="b">
        <v>0</v>
      </c>
      <c r="AD1565" s="8" t="b">
        <v>1</v>
      </c>
      <c r="AE1565" s="8" t="b">
        <v>0</v>
      </c>
      <c r="AG1565" s="11" t="b" cm="1">
        <f t="array" ref="AG1565">IF(OR(Y1565:AA1565="TRUE", AE1565="true"), "Threatened")</f>
        <v>0</v>
      </c>
      <c r="AH1565" s="11" t="s">
        <v>4091</v>
      </c>
      <c r="AI1565" s="8" t="b">
        <v>1</v>
      </c>
    </row>
    <row r="1566" spans="1:35" ht="31.2">
      <c r="A1566" s="8">
        <v>-73.980389529999997</v>
      </c>
      <c r="B1566" s="8">
        <v>40.768073080000001</v>
      </c>
      <c r="C1566" s="8" t="s">
        <v>4092</v>
      </c>
      <c r="D1566" s="8" t="s">
        <v>855</v>
      </c>
      <c r="E1566" s="8" t="b">
        <f t="shared" si="24"/>
        <v>0</v>
      </c>
      <c r="F1566" s="8" t="str" cm="1">
        <f t="array" ref="F1566">_xlfn._xlws.FILTER(E1566:E4764, C1566:C4764= "6D-PM-1020-01", "No Squirrels Found")</f>
        <v>No Squirrels Found</v>
      </c>
      <c r="G1566" s="8" t="s">
        <v>48</v>
      </c>
      <c r="H1566" s="10">
        <v>10122018</v>
      </c>
      <c r="I1566" s="10">
        <v>13</v>
      </c>
      <c r="J1566" s="8" t="s">
        <v>39</v>
      </c>
      <c r="K1566" s="8" t="s">
        <v>40</v>
      </c>
      <c r="L1566" s="8" t="s">
        <v>41</v>
      </c>
      <c r="M1566" s="8" t="s">
        <v>42</v>
      </c>
      <c r="O1566" s="8" t="s">
        <v>43</v>
      </c>
      <c r="P1566" s="8" t="b">
        <v>0</v>
      </c>
      <c r="R1566" s="8" t="b">
        <v>1</v>
      </c>
      <c r="S1566" s="8" t="b">
        <v>0</v>
      </c>
      <c r="T1566" s="8" t="b">
        <v>0</v>
      </c>
      <c r="U1566" s="8" t="b">
        <v>0</v>
      </c>
      <c r="V1566" s="8" t="b">
        <v>1</v>
      </c>
      <c r="X1566" s="8" t="b">
        <v>0</v>
      </c>
      <c r="Y1566" s="8" t="b">
        <v>0</v>
      </c>
      <c r="Z1566" s="8" t="b">
        <v>0</v>
      </c>
      <c r="AA1566" s="8" t="b">
        <v>0</v>
      </c>
      <c r="AB1566" s="8" t="b">
        <v>0</v>
      </c>
      <c r="AC1566" s="8" t="b">
        <v>0</v>
      </c>
      <c r="AD1566" s="8" t="b">
        <v>1</v>
      </c>
      <c r="AE1566" s="8" t="b">
        <v>0</v>
      </c>
      <c r="AG1566" s="11" t="b" cm="1">
        <f t="array" ref="AG1566">IF(OR(Y1566:AA1566="TRUE", AE1566="true"), "Threatened")</f>
        <v>0</v>
      </c>
      <c r="AH1566" s="11" t="s">
        <v>4093</v>
      </c>
      <c r="AI1566" s="8" t="b">
        <v>1</v>
      </c>
    </row>
    <row r="1567" spans="1:35" ht="31.2">
      <c r="A1567" s="8">
        <v>-73.969513340000006</v>
      </c>
      <c r="B1567" s="8">
        <v>40.776500980000002</v>
      </c>
      <c r="C1567" s="8" t="s">
        <v>4094</v>
      </c>
      <c r="D1567" s="8" t="s">
        <v>121</v>
      </c>
      <c r="E1567" s="8" t="b">
        <f t="shared" si="24"/>
        <v>0</v>
      </c>
      <c r="F1567" s="8" t="str" cm="1">
        <f t="array" ref="F1567">_xlfn._xlws.FILTER(E1567:E4765, C1567:C4765= "6D-PM-1020-01", "No Squirrels Found")</f>
        <v>No Squirrels Found</v>
      </c>
      <c r="G1567" s="8" t="s">
        <v>48</v>
      </c>
      <c r="H1567" s="10">
        <v>10082018</v>
      </c>
      <c r="I1567" s="10">
        <v>16</v>
      </c>
      <c r="J1567" s="8" t="s">
        <v>39</v>
      </c>
      <c r="K1567" s="8" t="s">
        <v>40</v>
      </c>
      <c r="M1567" s="8" t="s">
        <v>55</v>
      </c>
      <c r="O1567" s="8" t="s">
        <v>50</v>
      </c>
      <c r="P1567" s="8">
        <v>6</v>
      </c>
      <c r="R1567" s="8" t="b">
        <v>0</v>
      </c>
      <c r="S1567" s="8" t="b">
        <v>0</v>
      </c>
      <c r="T1567" s="8" t="b">
        <v>1</v>
      </c>
      <c r="U1567" s="8" t="b">
        <v>1</v>
      </c>
      <c r="V1567" s="8" t="b">
        <v>1</v>
      </c>
      <c r="X1567" s="8" t="b">
        <v>0</v>
      </c>
      <c r="Y1567" s="8" t="b">
        <v>0</v>
      </c>
      <c r="Z1567" s="8" t="b">
        <v>0</v>
      </c>
      <c r="AA1567" s="8" t="b">
        <v>0</v>
      </c>
      <c r="AB1567" s="8" t="b">
        <v>0</v>
      </c>
      <c r="AC1567" s="8" t="b">
        <v>0</v>
      </c>
      <c r="AD1567" s="8" t="b">
        <v>1</v>
      </c>
      <c r="AE1567" s="8" t="b">
        <v>0</v>
      </c>
      <c r="AG1567" s="11" t="b" cm="1">
        <f t="array" ref="AG1567">IF(OR(Y1567:AA1567="TRUE", AE1567="true"), "Threatened")</f>
        <v>0</v>
      </c>
      <c r="AH1567" s="11" t="s">
        <v>4095</v>
      </c>
      <c r="AI1567" s="8" t="b">
        <v>1</v>
      </c>
    </row>
    <row r="1568" spans="1:35" ht="31.2">
      <c r="A1568" s="8">
        <v>-73.977440740000006</v>
      </c>
      <c r="B1568" s="8">
        <v>40.769805609999999</v>
      </c>
      <c r="C1568" s="8" t="s">
        <v>4096</v>
      </c>
      <c r="D1568" s="8" t="s">
        <v>1586</v>
      </c>
      <c r="E1568" s="8" t="b">
        <f t="shared" si="24"/>
        <v>0</v>
      </c>
      <c r="F1568" s="8" t="str" cm="1">
        <f t="array" ref="F1568">_xlfn._xlws.FILTER(E1568:E4766, C1568:C4766= "6D-PM-1020-01", "No Squirrels Found")</f>
        <v>No Squirrels Found</v>
      </c>
      <c r="G1568" s="8" t="s">
        <v>34</v>
      </c>
      <c r="H1568" s="10">
        <v>10102018</v>
      </c>
      <c r="I1568" s="10">
        <v>12</v>
      </c>
      <c r="J1568" s="8" t="s">
        <v>39</v>
      </c>
      <c r="K1568" s="8" t="s">
        <v>40</v>
      </c>
      <c r="L1568" s="8" t="s">
        <v>41</v>
      </c>
      <c r="M1568" s="8" t="s">
        <v>42</v>
      </c>
      <c r="O1568" s="8" t="s">
        <v>43</v>
      </c>
      <c r="P1568" s="8" t="b">
        <v>0</v>
      </c>
      <c r="R1568" s="8" t="b">
        <v>1</v>
      </c>
      <c r="S1568" s="8" t="b">
        <v>0</v>
      </c>
      <c r="T1568" s="8" t="b">
        <v>0</v>
      </c>
      <c r="U1568" s="8" t="b">
        <v>0</v>
      </c>
      <c r="V1568" s="8" t="b">
        <v>1</v>
      </c>
      <c r="X1568" s="8" t="b">
        <v>0</v>
      </c>
      <c r="Y1568" s="8" t="b">
        <v>0</v>
      </c>
      <c r="Z1568" s="8" t="b">
        <v>0</v>
      </c>
      <c r="AA1568" s="8" t="b">
        <v>0</v>
      </c>
      <c r="AB1568" s="8" t="b">
        <v>0</v>
      </c>
      <c r="AC1568" s="8" t="b">
        <v>0</v>
      </c>
      <c r="AD1568" s="8" t="b">
        <v>0</v>
      </c>
      <c r="AE1568" s="8" t="b">
        <v>0</v>
      </c>
      <c r="AG1568" s="11" t="b" cm="1">
        <f t="array" ref="AG1568">IF(OR(Y1568:AA1568="TRUE", AE1568="true"), "Threatened")</f>
        <v>0</v>
      </c>
      <c r="AH1568" s="11" t="s">
        <v>4097</v>
      </c>
      <c r="AI1568" s="8" t="b">
        <v>1</v>
      </c>
    </row>
    <row r="1569" spans="1:35" ht="31.2">
      <c r="A1569" s="8">
        <v>-73.968107989999993</v>
      </c>
      <c r="B1569" s="8">
        <v>40.772349409999997</v>
      </c>
      <c r="C1569" s="8" t="s">
        <v>4098</v>
      </c>
      <c r="D1569" s="8" t="s">
        <v>1270</v>
      </c>
      <c r="E1569" s="8" t="b">
        <f t="shared" si="24"/>
        <v>0</v>
      </c>
      <c r="F1569" s="8" t="str" cm="1">
        <f t="array" ref="F1569">_xlfn._xlws.FILTER(E1569:E4767, C1569:C4767= "6D-PM-1020-01", "No Squirrels Found")</f>
        <v>No Squirrels Found</v>
      </c>
      <c r="G1569" s="8" t="s">
        <v>34</v>
      </c>
      <c r="H1569" s="10">
        <v>10122018</v>
      </c>
      <c r="I1569" s="10">
        <v>5</v>
      </c>
      <c r="J1569" s="8" t="s">
        <v>39</v>
      </c>
      <c r="K1569" s="8" t="s">
        <v>40</v>
      </c>
      <c r="M1569" s="8" t="s">
        <v>55</v>
      </c>
      <c r="O1569" s="8" t="s">
        <v>50</v>
      </c>
      <c r="P1569" s="8">
        <v>2</v>
      </c>
      <c r="R1569" s="8" t="b">
        <v>1</v>
      </c>
      <c r="S1569" s="8" t="b">
        <v>0</v>
      </c>
      <c r="T1569" s="8" t="b">
        <v>1</v>
      </c>
      <c r="U1569" s="8" t="b">
        <v>0</v>
      </c>
      <c r="V1569" s="8" t="b">
        <v>1</v>
      </c>
      <c r="X1569" s="8" t="b">
        <v>0</v>
      </c>
      <c r="Y1569" s="8" t="b">
        <v>0</v>
      </c>
      <c r="Z1569" s="8" t="b">
        <v>0</v>
      </c>
      <c r="AA1569" s="8" t="b">
        <v>0</v>
      </c>
      <c r="AB1569" s="8" t="b">
        <v>0</v>
      </c>
      <c r="AC1569" s="8" t="b">
        <v>0</v>
      </c>
      <c r="AD1569" s="8" t="b">
        <v>0</v>
      </c>
      <c r="AE1569" s="8" t="b">
        <v>0</v>
      </c>
      <c r="AG1569" s="11" t="b" cm="1">
        <f t="array" ref="AG1569">IF(OR(Y1569:AA1569="TRUE", AE1569="true"), "Threatened")</f>
        <v>0</v>
      </c>
      <c r="AH1569" s="11" t="s">
        <v>4099</v>
      </c>
      <c r="AI1569" s="8" t="b">
        <v>1</v>
      </c>
    </row>
    <row r="1570" spans="1:35" ht="31.2">
      <c r="A1570" s="8">
        <v>-73.973047820000005</v>
      </c>
      <c r="B1570" s="8">
        <v>40.77008738</v>
      </c>
      <c r="C1570" s="8" t="s">
        <v>4100</v>
      </c>
      <c r="D1570" s="8" t="s">
        <v>368</v>
      </c>
      <c r="E1570" s="8" t="b">
        <f t="shared" si="24"/>
        <v>0</v>
      </c>
      <c r="F1570" s="8" t="str" cm="1">
        <f t="array" ref="F1570">_xlfn._xlws.FILTER(E1570:E4768, C1570:C4768= "6D-PM-1020-01", "No Squirrels Found")</f>
        <v>No Squirrels Found</v>
      </c>
      <c r="G1570" s="8" t="s">
        <v>48</v>
      </c>
      <c r="H1570" s="10">
        <v>10082018</v>
      </c>
      <c r="I1570" s="10">
        <v>3</v>
      </c>
      <c r="J1570" s="8" t="s">
        <v>39</v>
      </c>
      <c r="K1570" s="8" t="s">
        <v>40</v>
      </c>
      <c r="M1570" s="8" t="s">
        <v>55</v>
      </c>
      <c r="O1570" s="8" t="s">
        <v>50</v>
      </c>
      <c r="P1570" s="8">
        <v>10</v>
      </c>
      <c r="R1570" s="8" t="b">
        <v>0</v>
      </c>
      <c r="S1570" s="8" t="b">
        <v>0</v>
      </c>
      <c r="T1570" s="8" t="b">
        <v>1</v>
      </c>
      <c r="U1570" s="8" t="b">
        <v>0</v>
      </c>
      <c r="V1570" s="8" t="b">
        <v>0</v>
      </c>
      <c r="X1570" s="8" t="b">
        <v>0</v>
      </c>
      <c r="Y1570" s="8" t="b">
        <v>0</v>
      </c>
      <c r="Z1570" s="8" t="b">
        <v>0</v>
      </c>
      <c r="AA1570" s="8" t="b">
        <v>0</v>
      </c>
      <c r="AB1570" s="8" t="b">
        <v>0</v>
      </c>
      <c r="AC1570" s="8" t="b">
        <v>0</v>
      </c>
      <c r="AD1570" s="8" t="b">
        <v>1</v>
      </c>
      <c r="AE1570" s="8" t="b">
        <v>0</v>
      </c>
      <c r="AG1570" s="11" t="b" cm="1">
        <f t="array" ref="AG1570">IF(OR(Y1570:AA1570="TRUE", AE1570="true"), "Threatened")</f>
        <v>0</v>
      </c>
      <c r="AH1570" s="11" t="s">
        <v>4101</v>
      </c>
      <c r="AI1570" s="8" t="b">
        <v>1</v>
      </c>
    </row>
    <row r="1571" spans="1:35" ht="31.2">
      <c r="A1571" s="8">
        <v>-73.966286490000002</v>
      </c>
      <c r="B1571" s="8">
        <v>40.789106230000002</v>
      </c>
      <c r="C1571" s="8" t="s">
        <v>4102</v>
      </c>
      <c r="D1571" s="8" t="s">
        <v>174</v>
      </c>
      <c r="E1571" s="8" t="b">
        <f t="shared" si="24"/>
        <v>0</v>
      </c>
      <c r="F1571" s="8" t="str" cm="1">
        <f t="array" ref="F1571">_xlfn._xlws.FILTER(E1571:E4769, C1571:C4769= "6D-PM-1020-01", "No Squirrels Found")</f>
        <v>No Squirrels Found</v>
      </c>
      <c r="G1571" s="8" t="s">
        <v>34</v>
      </c>
      <c r="H1571" s="10">
        <v>10072018</v>
      </c>
      <c r="I1571" s="10">
        <v>2</v>
      </c>
      <c r="J1571" s="8" t="s">
        <v>39</v>
      </c>
      <c r="K1571" s="8" t="s">
        <v>40</v>
      </c>
      <c r="M1571" s="8" t="s">
        <v>55</v>
      </c>
      <c r="O1571" s="8" t="s">
        <v>43</v>
      </c>
      <c r="P1571" s="8" t="b">
        <v>0</v>
      </c>
      <c r="R1571" s="8" t="b">
        <v>1</v>
      </c>
      <c r="S1571" s="8" t="b">
        <v>0</v>
      </c>
      <c r="T1571" s="8" t="b">
        <v>0</v>
      </c>
      <c r="U1571" s="8" t="b">
        <v>0</v>
      </c>
      <c r="V1571" s="8" t="b">
        <v>0</v>
      </c>
      <c r="W1571" s="11" t="s">
        <v>4103</v>
      </c>
      <c r="X1571" s="8" t="b">
        <v>0</v>
      </c>
      <c r="Y1571" s="8" t="b">
        <v>0</v>
      </c>
      <c r="Z1571" s="8" t="b">
        <v>0</v>
      </c>
      <c r="AA1571" s="8" t="b">
        <v>0</v>
      </c>
      <c r="AB1571" s="8" t="b">
        <v>0</v>
      </c>
      <c r="AC1571" s="8" t="b">
        <v>0</v>
      </c>
      <c r="AD1571" s="8" t="b">
        <v>1</v>
      </c>
      <c r="AE1571" s="8" t="b">
        <v>0</v>
      </c>
      <c r="AG1571" s="11" t="b" cm="1">
        <f t="array" ref="AG1571">IF(OR(Y1571:AA1571="TRUE", AE1571="true"), "Threatened")</f>
        <v>0</v>
      </c>
      <c r="AH1571" s="11" t="s">
        <v>4104</v>
      </c>
      <c r="AI1571" s="8" t="b">
        <v>0</v>
      </c>
    </row>
    <row r="1572" spans="1:35" ht="31.2">
      <c r="A1572" s="8">
        <v>-73.967312899999996</v>
      </c>
      <c r="B1572" s="8">
        <v>40.777816979999997</v>
      </c>
      <c r="C1572" s="8" t="s">
        <v>4105</v>
      </c>
      <c r="D1572" s="8" t="s">
        <v>960</v>
      </c>
      <c r="E1572" s="8" t="b">
        <f t="shared" si="24"/>
        <v>0</v>
      </c>
      <c r="F1572" s="8" t="str" cm="1">
        <f t="array" ref="F1572">_xlfn._xlws.FILTER(E1572:E4770, C1572:C4770= "6D-PM-1020-01", "No Squirrels Found")</f>
        <v>No Squirrels Found</v>
      </c>
      <c r="G1572" s="8" t="s">
        <v>34</v>
      </c>
      <c r="H1572" s="10">
        <v>10132018</v>
      </c>
      <c r="I1572" s="10">
        <v>5</v>
      </c>
      <c r="J1572" s="8" t="s">
        <v>39</v>
      </c>
      <c r="K1572" s="8" t="s">
        <v>40</v>
      </c>
      <c r="L1572" s="8" t="s">
        <v>41</v>
      </c>
      <c r="M1572" s="8" t="s">
        <v>42</v>
      </c>
      <c r="O1572" s="8" t="s">
        <v>43</v>
      </c>
      <c r="P1572" s="8" t="b">
        <v>0</v>
      </c>
      <c r="Q1572" s="8" t="s">
        <v>4106</v>
      </c>
      <c r="R1572" s="8" t="b">
        <v>0</v>
      </c>
      <c r="S1572" s="8" t="b">
        <v>0</v>
      </c>
      <c r="T1572" s="8" t="b">
        <v>0</v>
      </c>
      <c r="U1572" s="8" t="b">
        <v>1</v>
      </c>
      <c r="V1572" s="8" t="b">
        <v>1</v>
      </c>
      <c r="X1572" s="8" t="b">
        <v>0</v>
      </c>
      <c r="Y1572" s="8" t="b">
        <v>0</v>
      </c>
      <c r="Z1572" s="8" t="b">
        <v>0</v>
      </c>
      <c r="AA1572" s="8" t="b">
        <v>0</v>
      </c>
      <c r="AB1572" s="8" t="b">
        <v>0</v>
      </c>
      <c r="AC1572" s="8" t="b">
        <v>0</v>
      </c>
      <c r="AD1572" s="8" t="b">
        <v>0</v>
      </c>
      <c r="AE1572" s="8" t="b">
        <v>1</v>
      </c>
      <c r="AG1572" s="11" t="b" cm="1">
        <f t="array" ref="AG1572">IF(OR(Y1572:AA1572="TRUE", AE1572="true"), "Threatened")</f>
        <v>0</v>
      </c>
      <c r="AH1572" s="11" t="s">
        <v>4107</v>
      </c>
      <c r="AI1572" s="8" t="b">
        <v>1</v>
      </c>
    </row>
    <row r="1573" spans="1:35" ht="31.2">
      <c r="A1573" s="8">
        <v>-73.954019709999997</v>
      </c>
      <c r="B1573" s="8">
        <v>40.798039260000003</v>
      </c>
      <c r="C1573" s="8" t="s">
        <v>4108</v>
      </c>
      <c r="D1573" s="8" t="s">
        <v>1520</v>
      </c>
      <c r="E1573" s="8" t="b">
        <f t="shared" si="24"/>
        <v>0</v>
      </c>
      <c r="F1573" s="8" t="str" cm="1">
        <f t="array" ref="F1573">_xlfn._xlws.FILTER(E1573:E4771, C1573:C4771= "6D-PM-1020-01", "No Squirrels Found")</f>
        <v>No Squirrels Found</v>
      </c>
      <c r="G1573" s="8" t="s">
        <v>34</v>
      </c>
      <c r="H1573" s="10">
        <v>10132018</v>
      </c>
      <c r="I1573" s="10">
        <v>3</v>
      </c>
      <c r="J1573" s="8" t="s">
        <v>39</v>
      </c>
      <c r="K1573" s="8" t="s">
        <v>41</v>
      </c>
      <c r="L1573" s="8" t="s">
        <v>135</v>
      </c>
      <c r="M1573" s="8" t="s">
        <v>136</v>
      </c>
      <c r="N1573" s="11" t="s">
        <v>4109</v>
      </c>
      <c r="O1573" s="8" t="s">
        <v>50</v>
      </c>
      <c r="P1573" s="8">
        <v>20</v>
      </c>
      <c r="R1573" s="8" t="b">
        <v>0</v>
      </c>
      <c r="S1573" s="8" t="b">
        <v>0</v>
      </c>
      <c r="T1573" s="8" t="b">
        <v>0</v>
      </c>
      <c r="U1573" s="8" t="b">
        <v>0</v>
      </c>
      <c r="V1573" s="8" t="b">
        <v>1</v>
      </c>
      <c r="X1573" s="8" t="b">
        <v>0</v>
      </c>
      <c r="Y1573" s="8" t="b">
        <v>0</v>
      </c>
      <c r="Z1573" s="8" t="b">
        <v>0</v>
      </c>
      <c r="AA1573" s="8" t="b">
        <v>0</v>
      </c>
      <c r="AB1573" s="8" t="b">
        <v>0</v>
      </c>
      <c r="AC1573" s="8" t="b">
        <v>0</v>
      </c>
      <c r="AD1573" s="8" t="b">
        <v>0</v>
      </c>
      <c r="AE1573" s="8" t="b">
        <v>0</v>
      </c>
      <c r="AG1573" s="11" t="b" cm="1">
        <f t="array" ref="AG1573">IF(OR(Y1573:AA1573="TRUE", AE1573="true"), "Threatened")</f>
        <v>0</v>
      </c>
      <c r="AH1573" s="11" t="s">
        <v>4110</v>
      </c>
      <c r="AI1573" s="8" t="b">
        <v>1</v>
      </c>
    </row>
    <row r="1574" spans="1:35" ht="31.2">
      <c r="A1574" s="8">
        <v>-73.959561350000001</v>
      </c>
      <c r="B1574" s="8">
        <v>40.783805749999999</v>
      </c>
      <c r="C1574" s="8" t="s">
        <v>4111</v>
      </c>
      <c r="D1574" s="8" t="s">
        <v>2570</v>
      </c>
      <c r="E1574" s="8" t="b">
        <f t="shared" si="24"/>
        <v>0</v>
      </c>
      <c r="F1574" s="8" t="str" cm="1">
        <f t="array" ref="F1574">_xlfn._xlws.FILTER(E1574:E4772, C1574:C4772= "6D-PM-1020-01", "No Squirrels Found")</f>
        <v>No Squirrels Found</v>
      </c>
      <c r="G1574" s="8" t="s">
        <v>34</v>
      </c>
      <c r="H1574" s="10">
        <v>10072018</v>
      </c>
      <c r="I1574" s="10">
        <v>4</v>
      </c>
      <c r="J1574" s="8" t="s">
        <v>39</v>
      </c>
      <c r="K1574" s="8" t="s">
        <v>40</v>
      </c>
      <c r="M1574" s="8" t="s">
        <v>55</v>
      </c>
      <c r="O1574" s="8" t="s">
        <v>50</v>
      </c>
      <c r="P1574" s="8">
        <v>25</v>
      </c>
      <c r="R1574" s="8" t="b">
        <v>0</v>
      </c>
      <c r="S1574" s="8" t="b">
        <v>0</v>
      </c>
      <c r="T1574" s="8" t="b">
        <v>1</v>
      </c>
      <c r="U1574" s="8" t="b">
        <v>0</v>
      </c>
      <c r="V1574" s="8" t="b">
        <v>0</v>
      </c>
      <c r="X1574" s="8" t="b">
        <v>0</v>
      </c>
      <c r="Y1574" s="8" t="b">
        <v>0</v>
      </c>
      <c r="Z1574" s="8" t="b">
        <v>0</v>
      </c>
      <c r="AA1574" s="8" t="b">
        <v>0</v>
      </c>
      <c r="AB1574" s="8" t="b">
        <v>0</v>
      </c>
      <c r="AC1574" s="8" t="b">
        <v>0</v>
      </c>
      <c r="AD1574" s="8" t="b">
        <v>0</v>
      </c>
      <c r="AE1574" s="8" t="b">
        <v>0</v>
      </c>
      <c r="AG1574" s="11" t="b" cm="1">
        <f t="array" ref="AG1574">IF(OR(Y1574:AA1574="TRUE", AE1574="true"), "Threatened")</f>
        <v>0</v>
      </c>
      <c r="AH1574" s="11" t="s">
        <v>4112</v>
      </c>
      <c r="AI1574" s="8" t="b">
        <v>1</v>
      </c>
    </row>
    <row r="1575" spans="1:35" ht="31.2">
      <c r="A1575" s="8">
        <v>-73.956184089999994</v>
      </c>
      <c r="B1575" s="8">
        <v>40.799203779999999</v>
      </c>
      <c r="C1575" s="8" t="s">
        <v>4113</v>
      </c>
      <c r="D1575" s="8" t="s">
        <v>350</v>
      </c>
      <c r="E1575" s="8" t="b">
        <f t="shared" si="24"/>
        <v>0</v>
      </c>
      <c r="F1575" s="8" t="str" cm="1">
        <f t="array" ref="F1575">_xlfn._xlws.FILTER(E1575:E4773, C1575:C4773= "6D-PM-1020-01", "No Squirrels Found")</f>
        <v>No Squirrels Found</v>
      </c>
      <c r="G1575" s="8" t="s">
        <v>34</v>
      </c>
      <c r="H1575" s="10">
        <v>10132018</v>
      </c>
      <c r="I1575" s="10">
        <v>5</v>
      </c>
      <c r="J1575" s="8" t="s">
        <v>39</v>
      </c>
      <c r="K1575" s="8" t="s">
        <v>40</v>
      </c>
      <c r="M1575" s="8" t="s">
        <v>55</v>
      </c>
      <c r="O1575" s="8" t="s">
        <v>50</v>
      </c>
      <c r="P1575" s="8">
        <v>20</v>
      </c>
      <c r="R1575" s="8" t="b">
        <v>0</v>
      </c>
      <c r="S1575" s="8" t="b">
        <v>0</v>
      </c>
      <c r="T1575" s="8" t="b">
        <v>0</v>
      </c>
      <c r="U1575" s="8" t="b">
        <v>1</v>
      </c>
      <c r="V1575" s="8" t="b">
        <v>0</v>
      </c>
      <c r="X1575" s="8" t="b">
        <v>1</v>
      </c>
      <c r="Y1575" s="8" t="b">
        <v>0</v>
      </c>
      <c r="Z1575" s="8" t="b">
        <v>0</v>
      </c>
      <c r="AA1575" s="8" t="b">
        <v>0</v>
      </c>
      <c r="AB1575" s="8" t="b">
        <v>0</v>
      </c>
      <c r="AC1575" s="8" t="b">
        <v>0</v>
      </c>
      <c r="AD1575" s="8" t="b">
        <v>1</v>
      </c>
      <c r="AE1575" s="8" t="b">
        <v>0</v>
      </c>
      <c r="AG1575" s="11" t="b" cm="1">
        <f t="array" ref="AG1575">IF(OR(Y1575:AA1575="TRUE", AE1575="true"), "Threatened")</f>
        <v>0</v>
      </c>
      <c r="AH1575" s="11" t="s">
        <v>4114</v>
      </c>
      <c r="AI1575" s="8" t="b">
        <v>1</v>
      </c>
    </row>
    <row r="1576" spans="1:35" ht="31.2">
      <c r="A1576" s="8">
        <v>-73.970316940000004</v>
      </c>
      <c r="B1576" s="8">
        <v>40.770065879999997</v>
      </c>
      <c r="C1576" s="8" t="s">
        <v>4115</v>
      </c>
      <c r="D1576" s="8" t="s">
        <v>113</v>
      </c>
      <c r="E1576" s="8" t="b">
        <f t="shared" si="24"/>
        <v>0</v>
      </c>
      <c r="F1576" s="8" t="str" cm="1">
        <f t="array" ref="F1576">_xlfn._xlws.FILTER(E1576:E4774, C1576:C4774= "6D-PM-1020-01", "No Squirrels Found")</f>
        <v>No Squirrels Found</v>
      </c>
      <c r="G1576" s="8" t="s">
        <v>48</v>
      </c>
      <c r="H1576" s="10">
        <v>10062018</v>
      </c>
      <c r="I1576" s="10">
        <v>13</v>
      </c>
      <c r="J1576" s="8" t="s">
        <v>39</v>
      </c>
      <c r="K1576" s="8" t="s">
        <v>40</v>
      </c>
      <c r="M1576" s="8" t="s">
        <v>55</v>
      </c>
      <c r="O1576" s="8" t="s">
        <v>50</v>
      </c>
      <c r="P1576" s="8">
        <v>10</v>
      </c>
      <c r="R1576" s="8" t="b">
        <v>1</v>
      </c>
      <c r="S1576" s="8" t="b">
        <v>0</v>
      </c>
      <c r="T1576" s="8" t="b">
        <v>0</v>
      </c>
      <c r="U1576" s="8" t="b">
        <v>0</v>
      </c>
      <c r="V1576" s="8" t="b">
        <v>0</v>
      </c>
      <c r="W1576" s="11" t="s">
        <v>4116</v>
      </c>
      <c r="X1576" s="8" t="b">
        <v>0</v>
      </c>
      <c r="Y1576" s="8" t="b">
        <v>0</v>
      </c>
      <c r="Z1576" s="8" t="b">
        <v>0</v>
      </c>
      <c r="AA1576" s="8" t="b">
        <v>0</v>
      </c>
      <c r="AB1576" s="8" t="b">
        <v>0</v>
      </c>
      <c r="AC1576" s="8" t="b">
        <v>0</v>
      </c>
      <c r="AD1576" s="8" t="b">
        <v>1</v>
      </c>
      <c r="AE1576" s="8" t="b">
        <v>0</v>
      </c>
      <c r="AG1576" s="11" t="b" cm="1">
        <f t="array" ref="AG1576">IF(OR(Y1576:AA1576="TRUE", AE1576="true"), "Threatened")</f>
        <v>0</v>
      </c>
      <c r="AH1576" s="11" t="s">
        <v>4117</v>
      </c>
      <c r="AI1576" s="8" t="b">
        <v>0</v>
      </c>
    </row>
    <row r="1577" spans="1:35" ht="31.2">
      <c r="A1577" s="8">
        <v>-73.961998519999995</v>
      </c>
      <c r="B1577" s="8">
        <v>40.794327770000002</v>
      </c>
      <c r="C1577" s="8" t="s">
        <v>4118</v>
      </c>
      <c r="D1577" s="8" t="s">
        <v>2657</v>
      </c>
      <c r="E1577" s="8" t="b">
        <f t="shared" si="24"/>
        <v>0</v>
      </c>
      <c r="F1577" s="8" t="str" cm="1">
        <f t="array" ref="F1577">_xlfn._xlws.FILTER(E1577:E4775, C1577:C4775= "6D-PM-1020-01", "No Squirrels Found")</f>
        <v>No Squirrels Found</v>
      </c>
      <c r="G1577" s="8" t="s">
        <v>48</v>
      </c>
      <c r="H1577" s="10">
        <v>10122018</v>
      </c>
      <c r="I1577" s="10">
        <v>2</v>
      </c>
      <c r="J1577" s="8" t="s">
        <v>39</v>
      </c>
      <c r="K1577" s="8" t="s">
        <v>40</v>
      </c>
      <c r="L1577" s="8" t="s">
        <v>117</v>
      </c>
      <c r="M1577" s="8" t="s">
        <v>118</v>
      </c>
      <c r="O1577" s="8" t="s">
        <v>50</v>
      </c>
      <c r="P1577" s="8">
        <v>10</v>
      </c>
      <c r="Q1577" s="8" t="s">
        <v>4119</v>
      </c>
      <c r="R1577" s="8" t="b">
        <v>1</v>
      </c>
      <c r="S1577" s="8" t="b">
        <v>1</v>
      </c>
      <c r="T1577" s="8" t="b">
        <v>1</v>
      </c>
      <c r="U1577" s="8" t="b">
        <v>0</v>
      </c>
      <c r="V1577" s="8" t="b">
        <v>0</v>
      </c>
      <c r="X1577" s="8" t="b">
        <v>0</v>
      </c>
      <c r="Y1577" s="8" t="b">
        <v>0</v>
      </c>
      <c r="Z1577" s="8" t="b">
        <v>0</v>
      </c>
      <c r="AA1577" s="8" t="b">
        <v>0</v>
      </c>
      <c r="AB1577" s="8" t="b">
        <v>0</v>
      </c>
      <c r="AC1577" s="8" t="b">
        <v>0</v>
      </c>
      <c r="AD1577" s="8" t="b">
        <v>1</v>
      </c>
      <c r="AE1577" s="8" t="b">
        <v>0</v>
      </c>
      <c r="AG1577" s="11" t="b" cm="1">
        <f t="array" ref="AG1577">IF(OR(Y1577:AA1577="TRUE", AE1577="true"), "Threatened")</f>
        <v>0</v>
      </c>
      <c r="AH1577" s="11" t="s">
        <v>4120</v>
      </c>
      <c r="AI1577" s="8" t="b">
        <v>1</v>
      </c>
    </row>
    <row r="1578" spans="1:35" ht="31.2">
      <c r="A1578" s="8">
        <v>-73.965390619999994</v>
      </c>
      <c r="B1578" s="8">
        <v>40.780773140000001</v>
      </c>
      <c r="C1578" s="8" t="s">
        <v>4121</v>
      </c>
      <c r="D1578" s="8" t="s">
        <v>574</v>
      </c>
      <c r="E1578" s="8" t="b">
        <f t="shared" si="24"/>
        <v>0</v>
      </c>
      <c r="F1578" s="8" t="str" cm="1">
        <f t="array" ref="F1578">_xlfn._xlws.FILTER(E1578:E4776, C1578:C4776= "6D-PM-1020-01", "No Squirrels Found")</f>
        <v>No Squirrels Found</v>
      </c>
      <c r="G1578" s="8" t="s">
        <v>34</v>
      </c>
      <c r="H1578" s="10">
        <v>10072018</v>
      </c>
      <c r="I1578" s="10">
        <v>8</v>
      </c>
      <c r="J1578" s="8" t="s">
        <v>39</v>
      </c>
      <c r="K1578" s="8" t="s">
        <v>41</v>
      </c>
      <c r="L1578" s="8" t="s">
        <v>84</v>
      </c>
      <c r="M1578" s="8" t="s">
        <v>85</v>
      </c>
      <c r="N1578" s="11" t="s">
        <v>4122</v>
      </c>
      <c r="O1578" s="8" t="s">
        <v>43</v>
      </c>
      <c r="P1578" s="8" t="b">
        <v>0</v>
      </c>
      <c r="R1578" s="8" t="b">
        <v>0</v>
      </c>
      <c r="S1578" s="8" t="b">
        <v>0</v>
      </c>
      <c r="T1578" s="8" t="b">
        <v>0</v>
      </c>
      <c r="U1578" s="8" t="b">
        <v>0</v>
      </c>
      <c r="V1578" s="8" t="b">
        <v>1</v>
      </c>
      <c r="X1578" s="8" t="b">
        <v>0</v>
      </c>
      <c r="Y1578" s="8" t="b">
        <v>0</v>
      </c>
      <c r="Z1578" s="8" t="b">
        <v>0</v>
      </c>
      <c r="AA1578" s="8" t="b">
        <v>0</v>
      </c>
      <c r="AB1578" s="8" t="b">
        <v>0</v>
      </c>
      <c r="AC1578" s="8" t="b">
        <v>0</v>
      </c>
      <c r="AD1578" s="8" t="b">
        <v>0</v>
      </c>
      <c r="AE1578" s="8" t="b">
        <v>1</v>
      </c>
      <c r="AG1578" s="11" t="b" cm="1">
        <f t="array" ref="AG1578">IF(OR(Y1578:AA1578="TRUE", AE1578="true"), "Threatened")</f>
        <v>0</v>
      </c>
      <c r="AH1578" s="11" t="s">
        <v>4123</v>
      </c>
      <c r="AI1578" s="8" t="b">
        <v>1</v>
      </c>
    </row>
    <row r="1579" spans="1:35" ht="31.2">
      <c r="A1579" s="8">
        <v>-73.973529889999995</v>
      </c>
      <c r="B1579" s="8">
        <v>40.771493999999997</v>
      </c>
      <c r="C1579" s="8" t="s">
        <v>4124</v>
      </c>
      <c r="D1579" s="8" t="s">
        <v>1209</v>
      </c>
      <c r="E1579" s="8" t="b">
        <f t="shared" si="24"/>
        <v>0</v>
      </c>
      <c r="F1579" s="8" t="str" cm="1">
        <f t="array" ref="F1579">_xlfn._xlws.FILTER(E1579:E4777, C1579:C4777= "6D-PM-1020-01", "No Squirrels Found")</f>
        <v>No Squirrels Found</v>
      </c>
      <c r="G1579" s="8" t="s">
        <v>48</v>
      </c>
      <c r="H1579" s="10">
        <v>10132018</v>
      </c>
      <c r="I1579" s="10">
        <v>2</v>
      </c>
      <c r="J1579" s="8" t="s">
        <v>39</v>
      </c>
      <c r="K1579" s="8" t="s">
        <v>40</v>
      </c>
      <c r="L1579" s="8" t="s">
        <v>41</v>
      </c>
      <c r="M1579" s="8" t="s">
        <v>42</v>
      </c>
      <c r="O1579" s="8" t="s">
        <v>43</v>
      </c>
      <c r="P1579" s="8" t="b">
        <v>0</v>
      </c>
      <c r="R1579" s="8" t="b">
        <v>0</v>
      </c>
      <c r="S1579" s="8" t="b">
        <v>0</v>
      </c>
      <c r="T1579" s="8" t="b">
        <v>0</v>
      </c>
      <c r="U1579" s="8" t="b">
        <v>0</v>
      </c>
      <c r="V1579" s="8" t="b">
        <v>1</v>
      </c>
      <c r="X1579" s="8" t="b">
        <v>0</v>
      </c>
      <c r="Y1579" s="8" t="b">
        <v>0</v>
      </c>
      <c r="Z1579" s="8" t="b">
        <v>0</v>
      </c>
      <c r="AA1579" s="8" t="b">
        <v>0</v>
      </c>
      <c r="AB1579" s="8" t="b">
        <v>1</v>
      </c>
      <c r="AC1579" s="8" t="b">
        <v>0</v>
      </c>
      <c r="AD1579" s="8" t="b">
        <v>1</v>
      </c>
      <c r="AE1579" s="8" t="b">
        <v>0</v>
      </c>
      <c r="AG1579" s="11" t="b" cm="1">
        <f t="array" ref="AG1579">IF(OR(Y1579:AA1579="TRUE", AE1579="true"), "Threatened")</f>
        <v>0</v>
      </c>
      <c r="AH1579" s="11" t="s">
        <v>4125</v>
      </c>
      <c r="AI1579" s="8" t="b">
        <v>1</v>
      </c>
    </row>
    <row r="1580" spans="1:35" ht="31.2">
      <c r="A1580" s="8">
        <v>-73.976830960000001</v>
      </c>
      <c r="B1580" s="8">
        <v>40.771780370000002</v>
      </c>
      <c r="C1580" s="8" t="s">
        <v>4126</v>
      </c>
      <c r="D1580" s="8" t="s">
        <v>808</v>
      </c>
      <c r="E1580" s="8" t="b">
        <f t="shared" si="24"/>
        <v>0</v>
      </c>
      <c r="F1580" s="8" t="str" cm="1">
        <f t="array" ref="F1580">_xlfn._xlws.FILTER(E1580:E4778, C1580:C4778= "6D-PM-1020-01", "No Squirrels Found")</f>
        <v>No Squirrels Found</v>
      </c>
      <c r="G1580" s="8" t="s">
        <v>48</v>
      </c>
      <c r="H1580" s="10">
        <v>10122018</v>
      </c>
      <c r="I1580" s="10">
        <v>1</v>
      </c>
      <c r="J1580" s="8" t="s">
        <v>39</v>
      </c>
      <c r="K1580" s="8" t="s">
        <v>40</v>
      </c>
      <c r="L1580" s="8" t="s">
        <v>41</v>
      </c>
      <c r="M1580" s="8" t="s">
        <v>42</v>
      </c>
      <c r="O1580" s="8" t="s">
        <v>43</v>
      </c>
      <c r="P1580" s="8" t="b">
        <v>0</v>
      </c>
      <c r="Q1580" s="8" t="s">
        <v>4127</v>
      </c>
      <c r="R1580" s="8" t="b">
        <v>1</v>
      </c>
      <c r="S1580" s="8" t="b">
        <v>0</v>
      </c>
      <c r="T1580" s="8" t="b">
        <v>0</v>
      </c>
      <c r="U1580" s="8" t="b">
        <v>0</v>
      </c>
      <c r="V1580" s="8" t="b">
        <v>1</v>
      </c>
      <c r="X1580" s="8" t="b">
        <v>0</v>
      </c>
      <c r="Y1580" s="8" t="b">
        <v>0</v>
      </c>
      <c r="Z1580" s="8" t="b">
        <v>0</v>
      </c>
      <c r="AA1580" s="8" t="b">
        <v>0</v>
      </c>
      <c r="AB1580" s="8" t="b">
        <v>0</v>
      </c>
      <c r="AC1580" s="8" t="b">
        <v>0</v>
      </c>
      <c r="AD1580" s="8" t="b">
        <v>1</v>
      </c>
      <c r="AE1580" s="8" t="b">
        <v>0</v>
      </c>
      <c r="AG1580" s="11" t="b" cm="1">
        <f t="array" ref="AG1580">IF(OR(Y1580:AA1580="TRUE", AE1580="true"), "Threatened")</f>
        <v>0</v>
      </c>
      <c r="AH1580" s="11" t="s">
        <v>4128</v>
      </c>
      <c r="AI1580" s="8" t="b">
        <v>1</v>
      </c>
    </row>
    <row r="1581" spans="1:35" ht="31.2">
      <c r="A1581" s="8">
        <v>-73.977507970000005</v>
      </c>
      <c r="B1581" s="8">
        <v>40.76915004</v>
      </c>
      <c r="C1581" s="8" t="s">
        <v>4129</v>
      </c>
      <c r="D1581" s="8" t="s">
        <v>1586</v>
      </c>
      <c r="E1581" s="8" t="b">
        <f t="shared" si="24"/>
        <v>0</v>
      </c>
      <c r="F1581" s="8" t="str" cm="1">
        <f t="array" ref="F1581">_xlfn._xlws.FILTER(E1581:E4779, C1581:C4779= "6D-PM-1020-01", "No Squirrels Found")</f>
        <v>No Squirrels Found</v>
      </c>
      <c r="G1581" s="8" t="s">
        <v>34</v>
      </c>
      <c r="H1581" s="10">
        <v>10102018</v>
      </c>
      <c r="I1581" s="10">
        <v>7</v>
      </c>
      <c r="J1581" s="8" t="s">
        <v>39</v>
      </c>
      <c r="K1581" s="8" t="s">
        <v>40</v>
      </c>
      <c r="L1581" s="8" t="s">
        <v>84</v>
      </c>
      <c r="M1581" s="8" t="s">
        <v>103</v>
      </c>
      <c r="O1581" s="8" t="s">
        <v>43</v>
      </c>
      <c r="P1581" s="8" t="b">
        <v>0</v>
      </c>
      <c r="R1581" s="8" t="b">
        <v>0</v>
      </c>
      <c r="S1581" s="8" t="b">
        <v>0</v>
      </c>
      <c r="T1581" s="8" t="b">
        <v>0</v>
      </c>
      <c r="U1581" s="8" t="b">
        <v>0</v>
      </c>
      <c r="V1581" s="8" t="b">
        <v>1</v>
      </c>
      <c r="X1581" s="8" t="b">
        <v>0</v>
      </c>
      <c r="Y1581" s="8" t="b">
        <v>0</v>
      </c>
      <c r="Z1581" s="8" t="b">
        <v>0</v>
      </c>
      <c r="AA1581" s="8" t="b">
        <v>0</v>
      </c>
      <c r="AB1581" s="8" t="b">
        <v>0</v>
      </c>
      <c r="AC1581" s="8" t="b">
        <v>0</v>
      </c>
      <c r="AD1581" s="8" t="b">
        <v>1</v>
      </c>
      <c r="AE1581" s="8" t="b">
        <v>0</v>
      </c>
      <c r="AG1581" s="11" t="b" cm="1">
        <f t="array" ref="AG1581">IF(OR(Y1581:AA1581="TRUE", AE1581="true"), "Threatened")</f>
        <v>0</v>
      </c>
      <c r="AH1581" s="11" t="s">
        <v>4130</v>
      </c>
      <c r="AI1581" s="8" t="b">
        <v>1</v>
      </c>
    </row>
    <row r="1582" spans="1:35" ht="31.2">
      <c r="A1582" s="8">
        <v>-73.971577539999998</v>
      </c>
      <c r="B1582" s="8">
        <v>40.777625</v>
      </c>
      <c r="C1582" s="8" t="s">
        <v>4131</v>
      </c>
      <c r="D1582" s="8" t="s">
        <v>1657</v>
      </c>
      <c r="E1582" s="8" t="b">
        <f t="shared" si="24"/>
        <v>0</v>
      </c>
      <c r="F1582" s="8" t="str" cm="1">
        <f t="array" ref="F1582">_xlfn._xlws.FILTER(E1582:E4780, C1582:C4780= "6D-PM-1020-01", "No Squirrels Found")</f>
        <v>No Squirrels Found</v>
      </c>
      <c r="G1582" s="8" t="s">
        <v>34</v>
      </c>
      <c r="H1582" s="10">
        <v>10062018</v>
      </c>
      <c r="I1582" s="10">
        <v>1</v>
      </c>
      <c r="J1582" s="8" t="s">
        <v>39</v>
      </c>
      <c r="K1582" s="8" t="s">
        <v>40</v>
      </c>
      <c r="L1582" s="8" t="s">
        <v>41</v>
      </c>
      <c r="M1582" s="8" t="s">
        <v>42</v>
      </c>
      <c r="O1582" s="8" t="s">
        <v>50</v>
      </c>
      <c r="P1582" s="8">
        <v>10</v>
      </c>
      <c r="R1582" s="8" t="b">
        <v>0</v>
      </c>
      <c r="S1582" s="8" t="b">
        <v>0</v>
      </c>
      <c r="T1582" s="8" t="b">
        <v>1</v>
      </c>
      <c r="U1582" s="8" t="b">
        <v>0</v>
      </c>
      <c r="V1582" s="8" t="b">
        <v>0</v>
      </c>
      <c r="X1582" s="8" t="b">
        <v>0</v>
      </c>
      <c r="Y1582" s="8" t="b">
        <v>1</v>
      </c>
      <c r="Z1582" s="8" t="b">
        <v>0</v>
      </c>
      <c r="AA1582" s="8" t="b">
        <v>0</v>
      </c>
      <c r="AB1582" s="8" t="b">
        <v>0</v>
      </c>
      <c r="AC1582" s="8" t="b">
        <v>0</v>
      </c>
      <c r="AD1582" s="8" t="b">
        <v>0</v>
      </c>
      <c r="AE1582" s="8" t="b">
        <v>1</v>
      </c>
      <c r="AG1582" s="11" t="b" cm="1">
        <f t="array" ref="AG1582">IF(OR(Y1582:AA1582="TRUE", AE1582="true"), "Threatened")</f>
        <v>0</v>
      </c>
      <c r="AH1582" s="11" t="s">
        <v>4132</v>
      </c>
      <c r="AI1582" s="8" t="b">
        <v>1</v>
      </c>
    </row>
    <row r="1583" spans="1:35" ht="31.2">
      <c r="A1583" s="8">
        <v>-73.980406529999996</v>
      </c>
      <c r="B1583" s="8">
        <v>40.768148119999999</v>
      </c>
      <c r="C1583" s="8" t="s">
        <v>4133</v>
      </c>
      <c r="D1583" s="8" t="s">
        <v>855</v>
      </c>
      <c r="E1583" s="8" t="b">
        <f t="shared" si="24"/>
        <v>0</v>
      </c>
      <c r="F1583" s="8" t="str" cm="1">
        <f t="array" ref="F1583">_xlfn._xlws.FILTER(E1583:E4781, C1583:C4781= "6D-PM-1020-01", "No Squirrels Found")</f>
        <v>No Squirrels Found</v>
      </c>
      <c r="G1583" s="8" t="s">
        <v>34</v>
      </c>
      <c r="H1583" s="10">
        <v>10192018</v>
      </c>
      <c r="I1583" s="10">
        <v>8</v>
      </c>
      <c r="J1583" s="8" t="s">
        <v>39</v>
      </c>
      <c r="K1583" s="8" t="s">
        <v>40</v>
      </c>
      <c r="L1583" s="8" t="s">
        <v>84</v>
      </c>
      <c r="M1583" s="8" t="s">
        <v>103</v>
      </c>
      <c r="O1583" s="8" t="s">
        <v>43</v>
      </c>
      <c r="P1583" s="8" t="b">
        <v>0</v>
      </c>
      <c r="R1583" s="8" t="b">
        <v>0</v>
      </c>
      <c r="S1583" s="8" t="b">
        <v>0</v>
      </c>
      <c r="T1583" s="8" t="b">
        <v>0</v>
      </c>
      <c r="U1583" s="8" t="b">
        <v>1</v>
      </c>
      <c r="V1583" s="8" t="b">
        <v>0</v>
      </c>
      <c r="X1583" s="8" t="b">
        <v>0</v>
      </c>
      <c r="Y1583" s="8" t="b">
        <v>0</v>
      </c>
      <c r="Z1583" s="8" t="b">
        <v>0</v>
      </c>
      <c r="AA1583" s="8" t="b">
        <v>0</v>
      </c>
      <c r="AB1583" s="8" t="b">
        <v>0</v>
      </c>
      <c r="AC1583" s="8" t="b">
        <v>0</v>
      </c>
      <c r="AD1583" s="8" t="b">
        <v>1</v>
      </c>
      <c r="AE1583" s="8" t="b">
        <v>0</v>
      </c>
      <c r="AG1583" s="11" t="b" cm="1">
        <f t="array" ref="AG1583">IF(OR(Y1583:AA1583="TRUE", AE1583="true"), "Threatened")</f>
        <v>0</v>
      </c>
      <c r="AH1583" s="11" t="s">
        <v>4134</v>
      </c>
      <c r="AI1583" s="8" t="b">
        <v>1</v>
      </c>
    </row>
    <row r="1584" spans="1:35" ht="31.2">
      <c r="A1584" s="8">
        <v>-73.970103039999998</v>
      </c>
      <c r="B1584" s="8">
        <v>40.783895309999998</v>
      </c>
      <c r="C1584" s="8" t="s">
        <v>4135</v>
      </c>
      <c r="D1584" s="8" t="s">
        <v>2014</v>
      </c>
      <c r="E1584" s="8" t="b">
        <f t="shared" si="24"/>
        <v>0</v>
      </c>
      <c r="F1584" s="8" t="str" cm="1">
        <f t="array" ref="F1584">_xlfn._xlws.FILTER(E1584:E4782, C1584:C4782= "6D-PM-1020-01", "No Squirrels Found")</f>
        <v>No Squirrels Found</v>
      </c>
      <c r="G1584" s="8" t="s">
        <v>48</v>
      </c>
      <c r="H1584" s="10">
        <v>10192018</v>
      </c>
      <c r="I1584" s="10">
        <v>4</v>
      </c>
      <c r="J1584" s="8" t="s">
        <v>54</v>
      </c>
      <c r="K1584" s="8" t="s">
        <v>40</v>
      </c>
      <c r="L1584" s="8" t="s">
        <v>192</v>
      </c>
      <c r="M1584" s="8" t="s">
        <v>354</v>
      </c>
      <c r="O1584" s="8" t="s">
        <v>43</v>
      </c>
      <c r="P1584" s="8" t="b">
        <v>0</v>
      </c>
      <c r="R1584" s="8" t="b">
        <v>0</v>
      </c>
      <c r="S1584" s="8" t="b">
        <v>0</v>
      </c>
      <c r="T1584" s="8" t="b">
        <v>0</v>
      </c>
      <c r="U1584" s="8" t="b">
        <v>0</v>
      </c>
      <c r="V1584" s="8" t="b">
        <v>1</v>
      </c>
      <c r="X1584" s="8" t="b">
        <v>0</v>
      </c>
      <c r="Y1584" s="8" t="b">
        <v>0</v>
      </c>
      <c r="Z1584" s="8" t="b">
        <v>0</v>
      </c>
      <c r="AA1584" s="8" t="b">
        <v>0</v>
      </c>
      <c r="AB1584" s="8" t="b">
        <v>0</v>
      </c>
      <c r="AC1584" s="8" t="b">
        <v>0</v>
      </c>
      <c r="AD1584" s="8" t="b">
        <v>1</v>
      </c>
      <c r="AE1584" s="8" t="b">
        <v>0</v>
      </c>
      <c r="AG1584" s="11" t="b" cm="1">
        <f t="array" ref="AG1584">IF(OR(Y1584:AA1584="TRUE", AE1584="true"), "Threatened")</f>
        <v>0</v>
      </c>
      <c r="AH1584" s="11" t="s">
        <v>4136</v>
      </c>
      <c r="AI1584" s="8" t="b">
        <v>1</v>
      </c>
    </row>
    <row r="1585" spans="1:35" ht="31.2">
      <c r="A1585" s="8">
        <v>-73.958131059999999</v>
      </c>
      <c r="B1585" s="8">
        <v>40.796021469999999</v>
      </c>
      <c r="C1585" s="8" t="s">
        <v>4137</v>
      </c>
      <c r="D1585" s="8" t="s">
        <v>191</v>
      </c>
      <c r="E1585" s="8" t="b">
        <f t="shared" si="24"/>
        <v>0</v>
      </c>
      <c r="F1585" s="8" t="str" cm="1">
        <f t="array" ref="F1585">_xlfn._xlws.FILTER(E1585:E4783, C1585:C4783= "6D-PM-1020-01", "No Squirrels Found")</f>
        <v>No Squirrels Found</v>
      </c>
      <c r="G1585" s="8" t="s">
        <v>34</v>
      </c>
      <c r="H1585" s="10">
        <v>10142018</v>
      </c>
      <c r="I1585" s="10">
        <v>5</v>
      </c>
      <c r="J1585" s="8" t="s">
        <v>39</v>
      </c>
      <c r="K1585" s="8" t="s">
        <v>40</v>
      </c>
      <c r="L1585" s="8" t="s">
        <v>117</v>
      </c>
      <c r="M1585" s="8" t="s">
        <v>118</v>
      </c>
      <c r="O1585" s="8" t="s">
        <v>43</v>
      </c>
      <c r="P1585" s="8" t="b">
        <v>0</v>
      </c>
      <c r="R1585" s="8" t="b">
        <v>0</v>
      </c>
      <c r="S1585" s="8" t="b">
        <v>1</v>
      </c>
      <c r="T1585" s="8" t="b">
        <v>0</v>
      </c>
      <c r="U1585" s="8" t="b">
        <v>0</v>
      </c>
      <c r="V1585" s="8" t="b">
        <v>0</v>
      </c>
      <c r="W1585" s="11" t="s">
        <v>4138</v>
      </c>
      <c r="X1585" s="8" t="b">
        <v>0</v>
      </c>
      <c r="Y1585" s="8" t="b">
        <v>0</v>
      </c>
      <c r="Z1585" s="8" t="b">
        <v>0</v>
      </c>
      <c r="AA1585" s="8" t="b">
        <v>0</v>
      </c>
      <c r="AB1585" s="8" t="b">
        <v>0</v>
      </c>
      <c r="AC1585" s="8" t="b">
        <v>0</v>
      </c>
      <c r="AD1585" s="8" t="b">
        <v>0</v>
      </c>
      <c r="AE1585" s="8" t="b">
        <v>1</v>
      </c>
      <c r="AG1585" s="11" t="b" cm="1">
        <f t="array" ref="AG1585">IF(OR(Y1585:AA1585="TRUE", AE1585="true"), "Threatened")</f>
        <v>0</v>
      </c>
      <c r="AH1585" s="11" t="s">
        <v>4139</v>
      </c>
      <c r="AI1585" s="8" t="b">
        <v>0</v>
      </c>
    </row>
    <row r="1586" spans="1:35" ht="31.2">
      <c r="A1586" s="8">
        <v>-73.96113124</v>
      </c>
      <c r="B1586" s="8">
        <v>40.795013089999998</v>
      </c>
      <c r="C1586" s="8" t="s">
        <v>4140</v>
      </c>
      <c r="D1586" s="8" t="s">
        <v>387</v>
      </c>
      <c r="E1586" s="8" t="b">
        <f t="shared" si="24"/>
        <v>0</v>
      </c>
      <c r="F1586" s="8" t="str" cm="1">
        <f t="array" ref="F1586">_xlfn._xlws.FILTER(E1586:E4784, C1586:C4784= "6D-PM-1020-01", "No Squirrels Found")</f>
        <v>No Squirrels Found</v>
      </c>
      <c r="G1586" s="8" t="s">
        <v>34</v>
      </c>
      <c r="H1586" s="10">
        <v>10132018</v>
      </c>
      <c r="I1586" s="10">
        <v>4</v>
      </c>
      <c r="K1586" s="8" t="s">
        <v>40</v>
      </c>
      <c r="L1586" s="8" t="s">
        <v>84</v>
      </c>
      <c r="M1586" s="8" t="s">
        <v>103</v>
      </c>
      <c r="O1586" s="8" t="s">
        <v>43</v>
      </c>
      <c r="P1586" s="8" t="b">
        <v>0</v>
      </c>
      <c r="Q1586" s="8" t="s">
        <v>4141</v>
      </c>
      <c r="R1586" s="8" t="b">
        <v>0</v>
      </c>
      <c r="S1586" s="8" t="b">
        <v>0</v>
      </c>
      <c r="T1586" s="8" t="b">
        <v>0</v>
      </c>
      <c r="U1586" s="8" t="b">
        <v>0</v>
      </c>
      <c r="V1586" s="8" t="b">
        <v>0</v>
      </c>
      <c r="W1586" s="11" t="s">
        <v>141</v>
      </c>
      <c r="X1586" s="8" t="b">
        <v>0</v>
      </c>
      <c r="Y1586" s="8" t="b">
        <v>0</v>
      </c>
      <c r="Z1586" s="8" t="b">
        <v>0</v>
      </c>
      <c r="AA1586" s="8" t="b">
        <v>0</v>
      </c>
      <c r="AB1586" s="8" t="b">
        <v>1</v>
      </c>
      <c r="AC1586" s="8" t="b">
        <v>0</v>
      </c>
      <c r="AD1586" s="8" t="b">
        <v>1</v>
      </c>
      <c r="AE1586" s="8" t="b">
        <v>0</v>
      </c>
      <c r="AG1586" s="11" t="b" cm="1">
        <f t="array" ref="AG1586">IF(OR(Y1586:AA1586="TRUE", AE1586="true"), "Threatened")</f>
        <v>0</v>
      </c>
      <c r="AH1586" s="11" t="s">
        <v>4142</v>
      </c>
      <c r="AI1586" s="8" t="b">
        <v>0</v>
      </c>
    </row>
    <row r="1587" spans="1:35" ht="31.2">
      <c r="A1587" s="8">
        <v>-73.971415010000001</v>
      </c>
      <c r="B1587" s="8">
        <v>40.77749764</v>
      </c>
      <c r="C1587" s="8" t="s">
        <v>4143</v>
      </c>
      <c r="D1587" s="8" t="s">
        <v>1657</v>
      </c>
      <c r="E1587" s="8" t="b">
        <f t="shared" si="24"/>
        <v>0</v>
      </c>
      <c r="F1587" s="8" t="str" cm="1">
        <f t="array" ref="F1587">_xlfn._xlws.FILTER(E1587:E4785, C1587:C4785= "6D-PM-1020-01", "No Squirrels Found")</f>
        <v>No Squirrels Found</v>
      </c>
      <c r="G1587" s="8" t="s">
        <v>34</v>
      </c>
      <c r="H1587" s="10">
        <v>10062018</v>
      </c>
      <c r="I1587" s="10">
        <v>3</v>
      </c>
      <c r="J1587" s="8" t="s">
        <v>39</v>
      </c>
      <c r="K1587" s="8" t="s">
        <v>40</v>
      </c>
      <c r="L1587" s="8" t="s">
        <v>41</v>
      </c>
      <c r="M1587" s="8" t="s">
        <v>42</v>
      </c>
      <c r="O1587" s="8" t="s">
        <v>43</v>
      </c>
      <c r="P1587" s="8" t="b">
        <v>0</v>
      </c>
      <c r="R1587" s="8" t="b">
        <v>0</v>
      </c>
      <c r="S1587" s="8" t="b">
        <v>0</v>
      </c>
      <c r="T1587" s="8" t="b">
        <v>0</v>
      </c>
      <c r="U1587" s="8" t="b">
        <v>1</v>
      </c>
      <c r="V1587" s="8" t="b">
        <v>0</v>
      </c>
      <c r="X1587" s="8" t="b">
        <v>0</v>
      </c>
      <c r="Y1587" s="8" t="b">
        <v>0</v>
      </c>
      <c r="Z1587" s="8" t="b">
        <v>0</v>
      </c>
      <c r="AA1587" s="8" t="b">
        <v>0</v>
      </c>
      <c r="AB1587" s="8" t="b">
        <v>1</v>
      </c>
      <c r="AC1587" s="8" t="b">
        <v>0</v>
      </c>
      <c r="AD1587" s="8" t="b">
        <v>1</v>
      </c>
      <c r="AE1587" s="8" t="b">
        <v>0</v>
      </c>
      <c r="AG1587" s="11" t="b" cm="1">
        <f t="array" ref="AG1587">IF(OR(Y1587:AA1587="TRUE", AE1587="true"), "Threatened")</f>
        <v>0</v>
      </c>
      <c r="AH1587" s="11" t="s">
        <v>4144</v>
      </c>
      <c r="AI1587" s="8" t="b">
        <v>1</v>
      </c>
    </row>
    <row r="1588" spans="1:35" ht="31.2">
      <c r="A1588" s="8">
        <v>-73.980551779999999</v>
      </c>
      <c r="B1588" s="8">
        <v>40.768304469999997</v>
      </c>
      <c r="C1588" s="8" t="s">
        <v>4145</v>
      </c>
      <c r="D1588" s="8" t="s">
        <v>219</v>
      </c>
      <c r="E1588" s="8" t="b">
        <f t="shared" si="24"/>
        <v>0</v>
      </c>
      <c r="F1588" s="8" t="str" cm="1">
        <f t="array" ref="F1588">_xlfn._xlws.FILTER(E1588:E4786, C1588:C4786= "6D-PM-1020-01", "No Squirrels Found")</f>
        <v>No Squirrels Found</v>
      </c>
      <c r="G1588" s="8" t="s">
        <v>34</v>
      </c>
      <c r="H1588" s="10">
        <v>10132018</v>
      </c>
      <c r="I1588" s="10">
        <v>5</v>
      </c>
      <c r="J1588" s="8" t="s">
        <v>39</v>
      </c>
      <c r="K1588" s="8" t="s">
        <v>40</v>
      </c>
      <c r="L1588" s="8" t="s">
        <v>84</v>
      </c>
      <c r="M1588" s="8" t="s">
        <v>103</v>
      </c>
      <c r="O1588" s="8" t="s">
        <v>43</v>
      </c>
      <c r="P1588" s="8" t="b">
        <v>0</v>
      </c>
      <c r="R1588" s="8" t="b">
        <v>1</v>
      </c>
      <c r="S1588" s="8" t="b">
        <v>0</v>
      </c>
      <c r="T1588" s="8" t="b">
        <v>1</v>
      </c>
      <c r="U1588" s="8" t="b">
        <v>0</v>
      </c>
      <c r="V1588" s="8" t="b">
        <v>0</v>
      </c>
      <c r="W1588" s="11" t="s">
        <v>4146</v>
      </c>
      <c r="X1588" s="8" t="b">
        <v>0</v>
      </c>
      <c r="Y1588" s="8" t="b">
        <v>0</v>
      </c>
      <c r="Z1588" s="8" t="b">
        <v>0</v>
      </c>
      <c r="AA1588" s="8" t="b">
        <v>0</v>
      </c>
      <c r="AB1588" s="8" t="b">
        <v>0</v>
      </c>
      <c r="AC1588" s="8" t="b">
        <v>0</v>
      </c>
      <c r="AD1588" s="8" t="b">
        <v>0</v>
      </c>
      <c r="AE1588" s="8" t="b">
        <v>0</v>
      </c>
      <c r="AF1588" s="11" t="s">
        <v>4147</v>
      </c>
      <c r="AG1588" s="11" t="b" cm="1">
        <f t="array" ref="AG1588">IF(OR(Y1588:AA1588="TRUE", AE1588="true"), "Threatened")</f>
        <v>0</v>
      </c>
      <c r="AH1588" s="11" t="s">
        <v>4148</v>
      </c>
      <c r="AI1588" s="8" t="b">
        <v>0</v>
      </c>
    </row>
    <row r="1589" spans="1:35" ht="31.2">
      <c r="A1589" s="8">
        <v>-73.96932099</v>
      </c>
      <c r="B1589" s="8">
        <v>40.770744999999998</v>
      </c>
      <c r="C1589" s="8" t="s">
        <v>4149</v>
      </c>
      <c r="D1589" s="8" t="s">
        <v>1326</v>
      </c>
      <c r="E1589" s="8" t="b">
        <f t="shared" si="24"/>
        <v>0</v>
      </c>
      <c r="F1589" s="8" t="str" cm="1">
        <f t="array" ref="F1589">_xlfn._xlws.FILTER(E1589:E4787, C1589:C4787= "6D-PM-1020-01", "No Squirrels Found")</f>
        <v>No Squirrels Found</v>
      </c>
      <c r="G1589" s="8" t="s">
        <v>48</v>
      </c>
      <c r="H1589" s="10">
        <v>10062018</v>
      </c>
      <c r="I1589" s="10">
        <v>1</v>
      </c>
      <c r="J1589" s="8" t="s">
        <v>39</v>
      </c>
      <c r="K1589" s="8" t="s">
        <v>40</v>
      </c>
      <c r="L1589" s="8" t="s">
        <v>84</v>
      </c>
      <c r="M1589" s="8" t="s">
        <v>103</v>
      </c>
      <c r="O1589" s="8" t="s">
        <v>43</v>
      </c>
      <c r="P1589" s="8" t="b">
        <v>0</v>
      </c>
      <c r="R1589" s="8" t="b">
        <v>1</v>
      </c>
      <c r="S1589" s="8" t="b">
        <v>1</v>
      </c>
      <c r="T1589" s="8" t="b">
        <v>0</v>
      </c>
      <c r="U1589" s="8" t="b">
        <v>0</v>
      </c>
      <c r="V1589" s="8" t="b">
        <v>0</v>
      </c>
      <c r="X1589" s="8" t="b">
        <v>1</v>
      </c>
      <c r="Y1589" s="8" t="b">
        <v>0</v>
      </c>
      <c r="Z1589" s="8" t="b">
        <v>0</v>
      </c>
      <c r="AA1589" s="8" t="b">
        <v>0</v>
      </c>
      <c r="AB1589" s="8" t="b">
        <v>0</v>
      </c>
      <c r="AC1589" s="8" t="b">
        <v>0</v>
      </c>
      <c r="AD1589" s="8" t="b">
        <v>1</v>
      </c>
      <c r="AE1589" s="8" t="b">
        <v>0</v>
      </c>
      <c r="AG1589" s="11" t="b" cm="1">
        <f t="array" ref="AG1589">IF(OR(Y1589:AA1589="TRUE", AE1589="true"), "Threatened")</f>
        <v>0</v>
      </c>
      <c r="AH1589" s="11" t="s">
        <v>4150</v>
      </c>
      <c r="AI1589" s="8" t="b">
        <v>1</v>
      </c>
    </row>
    <row r="1590" spans="1:35" ht="31.2">
      <c r="A1590" s="8">
        <v>-73.956706199999999</v>
      </c>
      <c r="B1590" s="8">
        <v>40.797482870000003</v>
      </c>
      <c r="C1590" s="8" t="s">
        <v>4151</v>
      </c>
      <c r="D1590" s="8" t="s">
        <v>1248</v>
      </c>
      <c r="E1590" s="8" t="b">
        <f t="shared" si="24"/>
        <v>0</v>
      </c>
      <c r="F1590" s="8" t="str" cm="1">
        <f t="array" ref="F1590">_xlfn._xlws.FILTER(E1590:E4788, C1590:C4788= "6D-PM-1020-01", "No Squirrels Found")</f>
        <v>No Squirrels Found</v>
      </c>
      <c r="G1590" s="8" t="s">
        <v>34</v>
      </c>
      <c r="H1590" s="10">
        <v>10062018</v>
      </c>
      <c r="I1590" s="10">
        <v>2</v>
      </c>
      <c r="J1590" s="8" t="s">
        <v>39</v>
      </c>
      <c r="K1590" s="8" t="s">
        <v>40</v>
      </c>
      <c r="M1590" s="8" t="s">
        <v>55</v>
      </c>
      <c r="O1590" s="8" t="s">
        <v>43</v>
      </c>
      <c r="P1590" s="8" t="b">
        <v>0</v>
      </c>
      <c r="R1590" s="8" t="b">
        <v>0</v>
      </c>
      <c r="S1590" s="8" t="b">
        <v>0</v>
      </c>
      <c r="T1590" s="8" t="b">
        <v>1</v>
      </c>
      <c r="U1590" s="8" t="b">
        <v>0</v>
      </c>
      <c r="V1590" s="8" t="b">
        <v>0</v>
      </c>
      <c r="X1590" s="8" t="b">
        <v>0</v>
      </c>
      <c r="Y1590" s="8" t="b">
        <v>0</v>
      </c>
      <c r="Z1590" s="8" t="b">
        <v>0</v>
      </c>
      <c r="AA1590" s="8" t="b">
        <v>0</v>
      </c>
      <c r="AB1590" s="8" t="b">
        <v>0</v>
      </c>
      <c r="AC1590" s="8" t="b">
        <v>0</v>
      </c>
      <c r="AD1590" s="8" t="b">
        <v>0</v>
      </c>
      <c r="AE1590" s="8" t="b">
        <v>0</v>
      </c>
      <c r="AG1590" s="11" t="b" cm="1">
        <f t="array" ref="AG1590">IF(OR(Y1590:AA1590="TRUE", AE1590="true"), "Threatened")</f>
        <v>0</v>
      </c>
      <c r="AH1590" s="11" t="s">
        <v>4152</v>
      </c>
      <c r="AI1590" s="8" t="b">
        <v>1</v>
      </c>
    </row>
    <row r="1591" spans="1:35" ht="31.2">
      <c r="A1591" s="8">
        <v>-73.961038810000005</v>
      </c>
      <c r="B1591" s="8">
        <v>40.793952939999997</v>
      </c>
      <c r="C1591" s="8" t="s">
        <v>4153</v>
      </c>
      <c r="D1591" s="8" t="s">
        <v>2398</v>
      </c>
      <c r="E1591" s="8" t="b">
        <f t="shared" si="24"/>
        <v>0</v>
      </c>
      <c r="F1591" s="8" t="str" cm="1">
        <f t="array" ref="F1591">_xlfn._xlws.FILTER(E1591:E4789, C1591:C4789= "6D-PM-1020-01", "No Squirrels Found")</f>
        <v>No Squirrels Found</v>
      </c>
      <c r="G1591" s="8" t="s">
        <v>34</v>
      </c>
      <c r="H1591" s="10">
        <v>10072018</v>
      </c>
      <c r="I1591" s="10">
        <v>1</v>
      </c>
      <c r="J1591" s="8" t="s">
        <v>39</v>
      </c>
      <c r="K1591" s="8" t="s">
        <v>40</v>
      </c>
      <c r="L1591" s="8" t="s">
        <v>84</v>
      </c>
      <c r="M1591" s="8" t="s">
        <v>103</v>
      </c>
      <c r="O1591" s="8" t="s">
        <v>43</v>
      </c>
      <c r="P1591" s="8" t="b">
        <v>0</v>
      </c>
      <c r="R1591" s="8" t="b">
        <v>1</v>
      </c>
      <c r="S1591" s="8" t="b">
        <v>0</v>
      </c>
      <c r="T1591" s="8" t="b">
        <v>0</v>
      </c>
      <c r="U1591" s="8" t="b">
        <v>0</v>
      </c>
      <c r="V1591" s="8" t="b">
        <v>0</v>
      </c>
      <c r="X1591" s="8" t="b">
        <v>0</v>
      </c>
      <c r="Y1591" s="8" t="b">
        <v>0</v>
      </c>
      <c r="Z1591" s="8" t="b">
        <v>0</v>
      </c>
      <c r="AA1591" s="8" t="b">
        <v>0</v>
      </c>
      <c r="AB1591" s="8" t="b">
        <v>0</v>
      </c>
      <c r="AC1591" s="8" t="b">
        <v>0</v>
      </c>
      <c r="AD1591" s="8" t="b">
        <v>1</v>
      </c>
      <c r="AE1591" s="8" t="b">
        <v>0</v>
      </c>
      <c r="AG1591" s="11" t="b" cm="1">
        <f t="array" ref="AG1591">IF(OR(Y1591:AA1591="TRUE", AE1591="true"), "Threatened")</f>
        <v>0</v>
      </c>
      <c r="AH1591" s="11" t="s">
        <v>4154</v>
      </c>
      <c r="AI1591" s="8" t="b">
        <v>1</v>
      </c>
    </row>
    <row r="1592" spans="1:35" ht="31.2">
      <c r="A1592" s="8">
        <v>-73.95762234</v>
      </c>
      <c r="B1592" s="8">
        <v>40.797974660000001</v>
      </c>
      <c r="C1592" s="8" t="s">
        <v>4155</v>
      </c>
      <c r="D1592" s="8" t="s">
        <v>227</v>
      </c>
      <c r="E1592" s="8" t="b">
        <f t="shared" si="24"/>
        <v>0</v>
      </c>
      <c r="F1592" s="8" t="str" cm="1">
        <f t="array" ref="F1592">_xlfn._xlws.FILTER(E1592:E4790, C1592:C4790= "6D-PM-1020-01", "No Squirrels Found")</f>
        <v>No Squirrels Found</v>
      </c>
      <c r="G1592" s="8" t="s">
        <v>48</v>
      </c>
      <c r="H1592" s="10">
        <v>10192018</v>
      </c>
      <c r="I1592" s="10">
        <v>4</v>
      </c>
      <c r="J1592" s="8" t="s">
        <v>54</v>
      </c>
      <c r="K1592" s="8" t="s">
        <v>40</v>
      </c>
      <c r="L1592" s="8" t="s">
        <v>117</v>
      </c>
      <c r="M1592" s="8" t="s">
        <v>118</v>
      </c>
      <c r="O1592" s="8" t="s">
        <v>43</v>
      </c>
      <c r="P1592" s="8" t="b">
        <v>0</v>
      </c>
      <c r="R1592" s="8" t="b">
        <v>0</v>
      </c>
      <c r="S1592" s="8" t="b">
        <v>0</v>
      </c>
      <c r="T1592" s="8" t="b">
        <v>1</v>
      </c>
      <c r="U1592" s="8" t="b">
        <v>0</v>
      </c>
      <c r="V1592" s="8" t="b">
        <v>1</v>
      </c>
      <c r="X1592" s="8" t="b">
        <v>0</v>
      </c>
      <c r="Y1592" s="8" t="b">
        <v>0</v>
      </c>
      <c r="Z1592" s="8" t="b">
        <v>0</v>
      </c>
      <c r="AA1592" s="8" t="b">
        <v>0</v>
      </c>
      <c r="AB1592" s="8" t="b">
        <v>0</v>
      </c>
      <c r="AC1592" s="8" t="b">
        <v>1</v>
      </c>
      <c r="AD1592" s="8" t="b">
        <v>1</v>
      </c>
      <c r="AE1592" s="8" t="b">
        <v>0</v>
      </c>
      <c r="AG1592" s="11" t="b" cm="1">
        <f t="array" ref="AG1592">IF(OR(Y1592:AA1592="TRUE", AE1592="true"), "Threatened")</f>
        <v>0</v>
      </c>
      <c r="AH1592" s="11" t="s">
        <v>4156</v>
      </c>
      <c r="AI1592" s="8" t="b">
        <v>1</v>
      </c>
    </row>
    <row r="1593" spans="1:35" ht="31.2">
      <c r="A1593" s="8">
        <v>-73.957551789999997</v>
      </c>
      <c r="B1593" s="8">
        <v>40.788915830000001</v>
      </c>
      <c r="C1593" s="8" t="s">
        <v>4157</v>
      </c>
      <c r="D1593" s="8" t="s">
        <v>196</v>
      </c>
      <c r="E1593" s="8" t="b">
        <f t="shared" si="24"/>
        <v>0</v>
      </c>
      <c r="F1593" s="8" t="str" cm="1">
        <f t="array" ref="F1593">_xlfn._xlws.FILTER(E1593:E4791, C1593:C4791= "6D-PM-1020-01", "No Squirrels Found")</f>
        <v>No Squirrels Found</v>
      </c>
      <c r="G1593" s="8" t="s">
        <v>34</v>
      </c>
      <c r="H1593" s="10">
        <v>10082018</v>
      </c>
      <c r="I1593" s="10">
        <v>5</v>
      </c>
      <c r="J1593" s="8" t="s">
        <v>39</v>
      </c>
      <c r="K1593" s="8" t="s">
        <v>40</v>
      </c>
      <c r="L1593" s="8" t="s">
        <v>117</v>
      </c>
      <c r="M1593" s="8" t="s">
        <v>118</v>
      </c>
      <c r="O1593" s="8" t="s">
        <v>50</v>
      </c>
      <c r="R1593" s="8" t="b">
        <v>0</v>
      </c>
      <c r="S1593" s="8" t="b">
        <v>0</v>
      </c>
      <c r="T1593" s="8" t="b">
        <v>1</v>
      </c>
      <c r="U1593" s="8" t="b">
        <v>0</v>
      </c>
      <c r="V1593" s="8" t="b">
        <v>0</v>
      </c>
      <c r="X1593" s="8" t="b">
        <v>0</v>
      </c>
      <c r="Y1593" s="8" t="b">
        <v>0</v>
      </c>
      <c r="Z1593" s="8" t="b">
        <v>0</v>
      </c>
      <c r="AA1593" s="8" t="b">
        <v>0</v>
      </c>
      <c r="AB1593" s="8" t="b">
        <v>0</v>
      </c>
      <c r="AC1593" s="8" t="b">
        <v>0</v>
      </c>
      <c r="AD1593" s="8" t="b">
        <v>0</v>
      </c>
      <c r="AE1593" s="8" t="b">
        <v>1</v>
      </c>
      <c r="AG1593" s="11" t="b" cm="1">
        <f t="array" ref="AG1593">IF(OR(Y1593:AA1593="TRUE", AE1593="true"), "Threatened")</f>
        <v>0</v>
      </c>
      <c r="AH1593" s="11" t="s">
        <v>4158</v>
      </c>
      <c r="AI1593" s="8" t="b">
        <v>1</v>
      </c>
    </row>
    <row r="1594" spans="1:35" ht="31.2">
      <c r="A1594" s="8">
        <v>-73.967653970000001</v>
      </c>
      <c r="B1594" s="8">
        <v>40.777722990000001</v>
      </c>
      <c r="C1594" s="8" t="s">
        <v>4159</v>
      </c>
      <c r="D1594" s="8" t="s">
        <v>960</v>
      </c>
      <c r="E1594" s="8" t="b">
        <f t="shared" si="24"/>
        <v>0</v>
      </c>
      <c r="F1594" s="8" t="str" cm="1">
        <f t="array" ref="F1594">_xlfn._xlws.FILTER(E1594:E4792, C1594:C4792= "6D-PM-1020-01", "No Squirrels Found")</f>
        <v>No Squirrels Found</v>
      </c>
      <c r="G1594" s="8" t="s">
        <v>48</v>
      </c>
      <c r="H1594" s="10">
        <v>10082018</v>
      </c>
      <c r="I1594" s="10">
        <v>2</v>
      </c>
      <c r="J1594" s="8" t="s">
        <v>39</v>
      </c>
      <c r="K1594" s="8" t="s">
        <v>40</v>
      </c>
      <c r="L1594" s="8" t="s">
        <v>117</v>
      </c>
      <c r="M1594" s="8" t="s">
        <v>118</v>
      </c>
      <c r="O1594" s="8" t="s">
        <v>43</v>
      </c>
      <c r="P1594" s="8" t="b">
        <v>0</v>
      </c>
      <c r="Q1594" s="8" t="s">
        <v>2701</v>
      </c>
      <c r="R1594" s="8" t="b">
        <v>0</v>
      </c>
      <c r="S1594" s="8" t="b">
        <v>0</v>
      </c>
      <c r="T1594" s="8" t="b">
        <v>0</v>
      </c>
      <c r="U1594" s="8" t="b">
        <v>0</v>
      </c>
      <c r="V1594" s="8" t="b">
        <v>1</v>
      </c>
      <c r="X1594" s="8" t="b">
        <v>0</v>
      </c>
      <c r="Y1594" s="8" t="b">
        <v>0</v>
      </c>
      <c r="Z1594" s="8" t="b">
        <v>0</v>
      </c>
      <c r="AA1594" s="8" t="b">
        <v>0</v>
      </c>
      <c r="AB1594" s="8" t="b">
        <v>1</v>
      </c>
      <c r="AC1594" s="8" t="b">
        <v>0</v>
      </c>
      <c r="AD1594" s="8" t="b">
        <v>0</v>
      </c>
      <c r="AE1594" s="8" t="b">
        <v>0</v>
      </c>
      <c r="AG1594" s="11" t="b" cm="1">
        <f t="array" ref="AG1594">IF(OR(Y1594:AA1594="TRUE", AE1594="true"), "Threatened")</f>
        <v>0</v>
      </c>
      <c r="AH1594" s="11" t="s">
        <v>4160</v>
      </c>
      <c r="AI1594" s="8" t="b">
        <v>1</v>
      </c>
    </row>
    <row r="1595" spans="1:35" ht="31.2">
      <c r="A1595" s="8">
        <v>-73.977873079999995</v>
      </c>
      <c r="B1595" s="8">
        <v>40.770827250000004</v>
      </c>
      <c r="C1595" s="8" t="s">
        <v>4161</v>
      </c>
      <c r="D1595" s="8" t="s">
        <v>2864</v>
      </c>
      <c r="E1595" s="8" t="b">
        <f t="shared" si="24"/>
        <v>0</v>
      </c>
      <c r="F1595" s="8" t="str" cm="1">
        <f t="array" ref="F1595">_xlfn._xlws.FILTER(E1595:E4793, C1595:C4793= "6D-PM-1020-01", "No Squirrels Found")</f>
        <v>No Squirrels Found</v>
      </c>
      <c r="G1595" s="8" t="s">
        <v>34</v>
      </c>
      <c r="H1595" s="10">
        <v>10132018</v>
      </c>
      <c r="I1595" s="10">
        <v>5</v>
      </c>
      <c r="J1595" s="8" t="s">
        <v>39</v>
      </c>
      <c r="K1595" s="8" t="s">
        <v>40</v>
      </c>
      <c r="M1595" s="8" t="s">
        <v>55</v>
      </c>
      <c r="O1595" s="8" t="s">
        <v>50</v>
      </c>
      <c r="P1595" s="8">
        <v>3</v>
      </c>
      <c r="R1595" s="8" t="b">
        <v>1</v>
      </c>
      <c r="S1595" s="8" t="b">
        <v>0</v>
      </c>
      <c r="T1595" s="8" t="b">
        <v>1</v>
      </c>
      <c r="U1595" s="8" t="b">
        <v>0</v>
      </c>
      <c r="V1595" s="8" t="b">
        <v>0</v>
      </c>
      <c r="X1595" s="8" t="b">
        <v>0</v>
      </c>
      <c r="Y1595" s="8" t="b">
        <v>0</v>
      </c>
      <c r="Z1595" s="8" t="b">
        <v>0</v>
      </c>
      <c r="AA1595" s="8" t="b">
        <v>0</v>
      </c>
      <c r="AB1595" s="8" t="b">
        <v>0</v>
      </c>
      <c r="AC1595" s="8" t="b">
        <v>0</v>
      </c>
      <c r="AD1595" s="8" t="b">
        <v>0</v>
      </c>
      <c r="AE1595" s="8" t="b">
        <v>1</v>
      </c>
      <c r="AG1595" s="11" t="b" cm="1">
        <f t="array" ref="AG1595">IF(OR(Y1595:AA1595="TRUE", AE1595="true"), "Threatened")</f>
        <v>0</v>
      </c>
      <c r="AH1595" s="11" t="s">
        <v>4162</v>
      </c>
      <c r="AI1595" s="8" t="b">
        <v>1</v>
      </c>
    </row>
    <row r="1596" spans="1:35" ht="31.2">
      <c r="A1596" s="8">
        <v>-73.975469630000006</v>
      </c>
      <c r="B1596" s="8">
        <v>40.768191649999999</v>
      </c>
      <c r="C1596" s="8" t="s">
        <v>4163</v>
      </c>
      <c r="D1596" s="8" t="s">
        <v>794</v>
      </c>
      <c r="E1596" s="8" t="b">
        <f t="shared" si="24"/>
        <v>0</v>
      </c>
      <c r="F1596" s="8" t="str" cm="1">
        <f t="array" ref="F1596">_xlfn._xlws.FILTER(E1596:E4794, C1596:C4794= "6D-PM-1020-01", "No Squirrels Found")</f>
        <v>No Squirrels Found</v>
      </c>
      <c r="G1596" s="8" t="s">
        <v>48</v>
      </c>
      <c r="H1596" s="10">
        <v>10202018</v>
      </c>
      <c r="I1596" s="10">
        <v>2</v>
      </c>
      <c r="J1596" s="8" t="s">
        <v>39</v>
      </c>
      <c r="K1596" s="8" t="s">
        <v>40</v>
      </c>
      <c r="L1596" s="8" t="s">
        <v>117</v>
      </c>
      <c r="M1596" s="8" t="s">
        <v>118</v>
      </c>
      <c r="N1596" s="11" t="s">
        <v>817</v>
      </c>
      <c r="O1596" s="8" t="s">
        <v>50</v>
      </c>
      <c r="P1596" s="8">
        <v>15</v>
      </c>
      <c r="R1596" s="8" t="b">
        <v>0</v>
      </c>
      <c r="S1596" s="8" t="b">
        <v>0</v>
      </c>
      <c r="T1596" s="8" t="b">
        <v>1</v>
      </c>
      <c r="U1596" s="8" t="b">
        <v>0</v>
      </c>
      <c r="V1596" s="8" t="b">
        <v>1</v>
      </c>
      <c r="W1596" s="11" t="s">
        <v>4164</v>
      </c>
      <c r="X1596" s="8" t="b">
        <v>0</v>
      </c>
      <c r="Y1596" s="8" t="b">
        <v>0</v>
      </c>
      <c r="Z1596" s="8" t="b">
        <v>0</v>
      </c>
      <c r="AA1596" s="8" t="b">
        <v>0</v>
      </c>
      <c r="AB1596" s="8" t="b">
        <v>0</v>
      </c>
      <c r="AC1596" s="8" t="b">
        <v>0</v>
      </c>
      <c r="AD1596" s="8" t="b">
        <v>1</v>
      </c>
      <c r="AE1596" s="8" t="b">
        <v>0</v>
      </c>
      <c r="AG1596" s="11" t="b" cm="1">
        <f t="array" ref="AG1596">IF(OR(Y1596:AA1596="TRUE", AE1596="true"), "Threatened")</f>
        <v>0</v>
      </c>
      <c r="AH1596" s="11" t="s">
        <v>4165</v>
      </c>
      <c r="AI1596" s="8" t="b">
        <v>0</v>
      </c>
    </row>
    <row r="1597" spans="1:35" ht="31.2">
      <c r="A1597" s="8">
        <v>-73.966694509999996</v>
      </c>
      <c r="B1597" s="8">
        <v>40.783995650000001</v>
      </c>
      <c r="C1597" s="8" t="s">
        <v>4166</v>
      </c>
      <c r="D1597" s="8" t="s">
        <v>698</v>
      </c>
      <c r="E1597" s="8" t="b">
        <f t="shared" si="24"/>
        <v>0</v>
      </c>
      <c r="F1597" s="8" t="str" cm="1">
        <f t="array" ref="F1597">_xlfn._xlws.FILTER(E1597:E4795, C1597:C4795= "6D-PM-1020-01", "No Squirrels Found")</f>
        <v>No Squirrels Found</v>
      </c>
      <c r="G1597" s="8" t="s">
        <v>34</v>
      </c>
      <c r="H1597" s="10">
        <v>10062018</v>
      </c>
      <c r="I1597" s="10">
        <v>11</v>
      </c>
      <c r="J1597" s="8" t="s">
        <v>54</v>
      </c>
      <c r="K1597" s="8" t="s">
        <v>40</v>
      </c>
      <c r="M1597" s="8" t="s">
        <v>55</v>
      </c>
      <c r="O1597" s="8" t="s">
        <v>50</v>
      </c>
      <c r="P1597" s="8">
        <v>13</v>
      </c>
      <c r="R1597" s="8" t="b">
        <v>0</v>
      </c>
      <c r="S1597" s="8" t="b">
        <v>0</v>
      </c>
      <c r="T1597" s="8" t="b">
        <v>1</v>
      </c>
      <c r="U1597" s="8" t="b">
        <v>0</v>
      </c>
      <c r="V1597" s="8" t="b">
        <v>0</v>
      </c>
      <c r="X1597" s="8" t="b">
        <v>1</v>
      </c>
      <c r="Y1597" s="8" t="b">
        <v>0</v>
      </c>
      <c r="Z1597" s="8" t="b">
        <v>0</v>
      </c>
      <c r="AA1597" s="8" t="b">
        <v>0</v>
      </c>
      <c r="AB1597" s="8" t="b">
        <v>0</v>
      </c>
      <c r="AC1597" s="8" t="b">
        <v>0</v>
      </c>
      <c r="AD1597" s="8" t="b">
        <v>0</v>
      </c>
      <c r="AE1597" s="8" t="b">
        <v>0</v>
      </c>
      <c r="AG1597" s="11" t="b" cm="1">
        <f t="array" ref="AG1597">IF(OR(Y1597:AA1597="TRUE", AE1597="true"), "Threatened")</f>
        <v>0</v>
      </c>
      <c r="AH1597" s="11" t="s">
        <v>4167</v>
      </c>
      <c r="AI1597" s="8" t="b">
        <v>1</v>
      </c>
    </row>
    <row r="1598" spans="1:35" ht="31.2">
      <c r="A1598" s="8">
        <v>-73.978940140000006</v>
      </c>
      <c r="B1598" s="8">
        <v>40.769737309999996</v>
      </c>
      <c r="C1598" s="8" t="s">
        <v>4168</v>
      </c>
      <c r="D1598" s="8" t="s">
        <v>889</v>
      </c>
      <c r="E1598" s="8" t="b">
        <f t="shared" si="24"/>
        <v>0</v>
      </c>
      <c r="F1598" s="8" t="str" cm="1">
        <f t="array" ref="F1598">_xlfn._xlws.FILTER(E1598:E4796, C1598:C4796= "6D-PM-1020-01", "No Squirrels Found")</f>
        <v>No Squirrels Found</v>
      </c>
      <c r="G1598" s="8" t="s">
        <v>48</v>
      </c>
      <c r="H1598" s="10">
        <v>10102018</v>
      </c>
      <c r="I1598" s="10">
        <v>4</v>
      </c>
      <c r="J1598" s="8" t="s">
        <v>39</v>
      </c>
      <c r="K1598" s="8" t="s">
        <v>40</v>
      </c>
      <c r="L1598" s="8" t="s">
        <v>41</v>
      </c>
      <c r="M1598" s="8" t="s">
        <v>42</v>
      </c>
      <c r="O1598" s="8" t="s">
        <v>43</v>
      </c>
      <c r="P1598" s="8" t="b">
        <v>0</v>
      </c>
      <c r="R1598" s="8" t="b">
        <v>0</v>
      </c>
      <c r="S1598" s="8" t="b">
        <v>0</v>
      </c>
      <c r="T1598" s="8" t="b">
        <v>0</v>
      </c>
      <c r="U1598" s="8" t="b">
        <v>1</v>
      </c>
      <c r="V1598" s="8" t="b">
        <v>1</v>
      </c>
      <c r="X1598" s="8" t="b">
        <v>0</v>
      </c>
      <c r="Y1598" s="8" t="b">
        <v>0</v>
      </c>
      <c r="Z1598" s="8" t="b">
        <v>0</v>
      </c>
      <c r="AA1598" s="8" t="b">
        <v>0</v>
      </c>
      <c r="AB1598" s="8" t="b">
        <v>0</v>
      </c>
      <c r="AC1598" s="8" t="b">
        <v>1</v>
      </c>
      <c r="AD1598" s="8" t="b">
        <v>0</v>
      </c>
      <c r="AE1598" s="8" t="b">
        <v>0</v>
      </c>
      <c r="AG1598" s="11" t="b" cm="1">
        <f t="array" ref="AG1598">IF(OR(Y1598:AA1598="TRUE", AE1598="true"), "Threatened")</f>
        <v>0</v>
      </c>
      <c r="AH1598" s="11" t="s">
        <v>4169</v>
      </c>
      <c r="AI1598" s="8" t="b">
        <v>1</v>
      </c>
    </row>
    <row r="1599" spans="1:35" ht="31.2">
      <c r="A1599" s="8">
        <v>-73.972682849999998</v>
      </c>
      <c r="B1599" s="8">
        <v>40.770570769999999</v>
      </c>
      <c r="C1599" s="8" t="s">
        <v>4170</v>
      </c>
      <c r="D1599" s="8" t="s">
        <v>368</v>
      </c>
      <c r="E1599" s="8" t="b">
        <f t="shared" si="24"/>
        <v>0</v>
      </c>
      <c r="F1599" s="8" t="str" cm="1">
        <f t="array" ref="F1599">_xlfn._xlws.FILTER(E1599:E4797, C1599:C4797= "6D-PM-1020-01", "No Squirrels Found")</f>
        <v>No Squirrels Found</v>
      </c>
      <c r="G1599" s="8" t="s">
        <v>48</v>
      </c>
      <c r="H1599" s="10">
        <v>10082018</v>
      </c>
      <c r="I1599" s="10">
        <v>8</v>
      </c>
      <c r="J1599" s="8" t="s">
        <v>39</v>
      </c>
      <c r="K1599" s="8" t="s">
        <v>40</v>
      </c>
      <c r="M1599" s="8" t="s">
        <v>55</v>
      </c>
      <c r="O1599" s="8" t="s">
        <v>50</v>
      </c>
      <c r="P1599" s="8">
        <v>20</v>
      </c>
      <c r="R1599" s="8" t="b">
        <v>0</v>
      </c>
      <c r="S1599" s="8" t="b">
        <v>0</v>
      </c>
      <c r="T1599" s="8" t="b">
        <v>1</v>
      </c>
      <c r="U1599" s="8" t="b">
        <v>0</v>
      </c>
      <c r="V1599" s="8" t="b">
        <v>0</v>
      </c>
      <c r="W1599" s="11" t="s">
        <v>4171</v>
      </c>
      <c r="X1599" s="8" t="b">
        <v>0</v>
      </c>
      <c r="Y1599" s="8" t="b">
        <v>0</v>
      </c>
      <c r="Z1599" s="8" t="b">
        <v>0</v>
      </c>
      <c r="AA1599" s="8" t="b">
        <v>0</v>
      </c>
      <c r="AB1599" s="8" t="b">
        <v>0</v>
      </c>
      <c r="AC1599" s="8" t="b">
        <v>0</v>
      </c>
      <c r="AD1599" s="8" t="b">
        <v>1</v>
      </c>
      <c r="AE1599" s="8" t="b">
        <v>0</v>
      </c>
      <c r="AG1599" s="11" t="b" cm="1">
        <f t="array" ref="AG1599">IF(OR(Y1599:AA1599="TRUE", AE1599="true"), "Threatened")</f>
        <v>0</v>
      </c>
      <c r="AH1599" s="11" t="s">
        <v>4172</v>
      </c>
      <c r="AI1599" s="8" t="b">
        <v>0</v>
      </c>
    </row>
    <row r="1600" spans="1:35" ht="31.2">
      <c r="A1600" s="8">
        <v>-73.978260329999998</v>
      </c>
      <c r="B1600" s="8">
        <v>40.77057903</v>
      </c>
      <c r="C1600" s="8" t="s">
        <v>4173</v>
      </c>
      <c r="D1600" s="8" t="s">
        <v>2864</v>
      </c>
      <c r="E1600" s="8" t="b">
        <f t="shared" si="24"/>
        <v>0</v>
      </c>
      <c r="F1600" s="8" t="str" cm="1">
        <f t="array" ref="F1600">_xlfn._xlws.FILTER(E1600:E4798, C1600:C4798= "6D-PM-1020-01", "No Squirrels Found")</f>
        <v>No Squirrels Found</v>
      </c>
      <c r="G1600" s="8" t="s">
        <v>34</v>
      </c>
      <c r="H1600" s="10">
        <v>10132018</v>
      </c>
      <c r="I1600" s="10">
        <v>6</v>
      </c>
      <c r="J1600" s="8" t="s">
        <v>39</v>
      </c>
      <c r="K1600" s="8" t="s">
        <v>40</v>
      </c>
      <c r="M1600" s="8" t="s">
        <v>55</v>
      </c>
      <c r="O1600" s="8" t="s">
        <v>50</v>
      </c>
      <c r="P1600" s="8">
        <v>5</v>
      </c>
      <c r="R1600" s="8" t="b">
        <v>1</v>
      </c>
      <c r="S1600" s="8" t="b">
        <v>0</v>
      </c>
      <c r="T1600" s="8" t="b">
        <v>1</v>
      </c>
      <c r="U1600" s="8" t="b">
        <v>0</v>
      </c>
      <c r="V1600" s="8" t="b">
        <v>0</v>
      </c>
      <c r="X1600" s="8" t="b">
        <v>0</v>
      </c>
      <c r="Y1600" s="8" t="b">
        <v>0</v>
      </c>
      <c r="Z1600" s="8" t="b">
        <v>0</v>
      </c>
      <c r="AA1600" s="8" t="b">
        <v>0</v>
      </c>
      <c r="AB1600" s="8" t="b">
        <v>0</v>
      </c>
      <c r="AC1600" s="8" t="b">
        <v>0</v>
      </c>
      <c r="AD1600" s="8" t="b">
        <v>0</v>
      </c>
      <c r="AE1600" s="8" t="b">
        <v>0</v>
      </c>
      <c r="AG1600" s="11" t="b" cm="1">
        <f t="array" ref="AG1600">IF(OR(Y1600:AA1600="TRUE", AE1600="true"), "Threatened")</f>
        <v>0</v>
      </c>
      <c r="AH1600" s="11" t="s">
        <v>4174</v>
      </c>
      <c r="AI1600" s="8" t="b">
        <v>1</v>
      </c>
    </row>
    <row r="1601" spans="1:35" ht="31.2">
      <c r="A1601" s="8">
        <v>-73.975309379999999</v>
      </c>
      <c r="B1601" s="8">
        <v>40.766667390000002</v>
      </c>
      <c r="C1601" s="8" t="s">
        <v>4175</v>
      </c>
      <c r="D1601" s="8" t="s">
        <v>481</v>
      </c>
      <c r="E1601" s="8" t="b">
        <f t="shared" si="24"/>
        <v>0</v>
      </c>
      <c r="F1601" s="8" t="str" cm="1">
        <f t="array" ref="F1601">_xlfn._xlws.FILTER(E1601:E4799, C1601:C4799= "6D-PM-1020-01", "No Squirrels Found")</f>
        <v>No Squirrels Found</v>
      </c>
      <c r="G1601" s="8" t="s">
        <v>48</v>
      </c>
      <c r="H1601" s="10">
        <v>10062018</v>
      </c>
      <c r="I1601" s="10">
        <v>4</v>
      </c>
      <c r="J1601" s="8" t="s">
        <v>39</v>
      </c>
      <c r="K1601" s="8" t="s">
        <v>40</v>
      </c>
      <c r="L1601" s="8" t="s">
        <v>117</v>
      </c>
      <c r="M1601" s="8" t="s">
        <v>118</v>
      </c>
      <c r="N1601" s="11" t="s">
        <v>4176</v>
      </c>
      <c r="O1601" s="8" t="s">
        <v>43</v>
      </c>
      <c r="P1601" s="8" t="b">
        <v>0</v>
      </c>
      <c r="R1601" s="8" t="b">
        <v>1</v>
      </c>
      <c r="S1601" s="8" t="b">
        <v>0</v>
      </c>
      <c r="T1601" s="8" t="b">
        <v>0</v>
      </c>
      <c r="U1601" s="8" t="b">
        <v>0</v>
      </c>
      <c r="V1601" s="8" t="b">
        <v>0</v>
      </c>
      <c r="X1601" s="8" t="b">
        <v>0</v>
      </c>
      <c r="Y1601" s="8" t="b">
        <v>0</v>
      </c>
      <c r="Z1601" s="8" t="b">
        <v>0</v>
      </c>
      <c r="AA1601" s="8" t="b">
        <v>0</v>
      </c>
      <c r="AB1601" s="8" t="b">
        <v>1</v>
      </c>
      <c r="AC1601" s="8" t="b">
        <v>0</v>
      </c>
      <c r="AD1601" s="8" t="b">
        <v>1</v>
      </c>
      <c r="AE1601" s="8" t="b">
        <v>0</v>
      </c>
      <c r="AG1601" s="11" t="b" cm="1">
        <f t="array" ref="AG1601">IF(OR(Y1601:AA1601="TRUE", AE1601="true"), "Threatened")</f>
        <v>0</v>
      </c>
      <c r="AH1601" s="11" t="s">
        <v>4177</v>
      </c>
      <c r="AI1601" s="8" t="b">
        <v>1</v>
      </c>
    </row>
    <row r="1602" spans="1:35" ht="31.2">
      <c r="A1602" s="8">
        <v>-73.95442783</v>
      </c>
      <c r="B1602" s="8">
        <v>40.798782729999999</v>
      </c>
      <c r="C1602" s="8" t="s">
        <v>4178</v>
      </c>
      <c r="D1602" s="8" t="s">
        <v>1429</v>
      </c>
      <c r="E1602" s="8" t="b">
        <f t="shared" si="24"/>
        <v>0</v>
      </c>
      <c r="F1602" s="8" t="str" cm="1">
        <f t="array" ref="F1602">_xlfn._xlws.FILTER(E1602:E4800, C1602:C4800= "6D-PM-1020-01", "No Squirrels Found")</f>
        <v>No Squirrels Found</v>
      </c>
      <c r="G1602" s="8" t="s">
        <v>34</v>
      </c>
      <c r="H1602" s="10">
        <v>10132018</v>
      </c>
      <c r="I1602" s="10">
        <v>2</v>
      </c>
      <c r="J1602" s="8" t="s">
        <v>39</v>
      </c>
      <c r="K1602" s="8" t="s">
        <v>41</v>
      </c>
      <c r="L1602" s="8" t="s">
        <v>40</v>
      </c>
      <c r="M1602" s="8" t="s">
        <v>110</v>
      </c>
      <c r="N1602" s="11" t="s">
        <v>4179</v>
      </c>
      <c r="O1602" s="8" t="s">
        <v>43</v>
      </c>
      <c r="P1602" s="8" t="b">
        <v>0</v>
      </c>
      <c r="R1602" s="8" t="b">
        <v>0</v>
      </c>
      <c r="S1602" s="8" t="b">
        <v>1</v>
      </c>
      <c r="T1602" s="8" t="b">
        <v>0</v>
      </c>
      <c r="U1602" s="8" t="b">
        <v>0</v>
      </c>
      <c r="V1602" s="8" t="b">
        <v>1</v>
      </c>
      <c r="W1602" s="11" t="s">
        <v>4180</v>
      </c>
      <c r="X1602" s="8" t="b">
        <v>0</v>
      </c>
      <c r="Y1602" s="8" t="b">
        <v>0</v>
      </c>
      <c r="Z1602" s="8" t="b">
        <v>0</v>
      </c>
      <c r="AA1602" s="8" t="b">
        <v>0</v>
      </c>
      <c r="AB1602" s="8" t="b">
        <v>0</v>
      </c>
      <c r="AC1602" s="8" t="b">
        <v>0</v>
      </c>
      <c r="AD1602" s="8" t="b">
        <v>1</v>
      </c>
      <c r="AE1602" s="8" t="b">
        <v>0</v>
      </c>
      <c r="AG1602" s="11" t="b" cm="1">
        <f t="array" ref="AG1602">IF(OR(Y1602:AA1602="TRUE", AE1602="true"), "Threatened")</f>
        <v>0</v>
      </c>
      <c r="AH1602" s="11" t="s">
        <v>4181</v>
      </c>
      <c r="AI1602" s="8" t="b">
        <v>0</v>
      </c>
    </row>
    <row r="1603" spans="1:35" ht="31.2">
      <c r="A1603" s="8">
        <v>-73.972883670000002</v>
      </c>
      <c r="B1603" s="8">
        <v>40.770815849999998</v>
      </c>
      <c r="C1603" s="8" t="s">
        <v>4182</v>
      </c>
      <c r="D1603" s="8" t="s">
        <v>368</v>
      </c>
      <c r="E1603" s="8" t="b">
        <f t="shared" ref="E1603:E1666" si="25">OR(D1603 = "05D", D1603 = "07D", D1603 = "06C", D1603 = "06E")</f>
        <v>0</v>
      </c>
      <c r="F1603" s="8" t="str" cm="1">
        <f t="array" ref="F1603">_xlfn._xlws.FILTER(E1603:E4801, C1603:C4801= "6D-PM-1020-01", "No Squirrels Found")</f>
        <v>No Squirrels Found</v>
      </c>
      <c r="G1603" s="8" t="s">
        <v>48</v>
      </c>
      <c r="H1603" s="10">
        <v>10082018</v>
      </c>
      <c r="I1603" s="10">
        <v>10</v>
      </c>
      <c r="J1603" s="8" t="s">
        <v>39</v>
      </c>
      <c r="K1603" s="8" t="s">
        <v>40</v>
      </c>
      <c r="M1603" s="8" t="s">
        <v>55</v>
      </c>
      <c r="O1603" s="8" t="s">
        <v>43</v>
      </c>
      <c r="P1603" s="8" t="b">
        <v>0</v>
      </c>
      <c r="R1603" s="8" t="b">
        <v>1</v>
      </c>
      <c r="S1603" s="8" t="b">
        <v>0</v>
      </c>
      <c r="T1603" s="8" t="b">
        <v>0</v>
      </c>
      <c r="U1603" s="8" t="b">
        <v>0</v>
      </c>
      <c r="V1603" s="8" t="b">
        <v>0</v>
      </c>
      <c r="X1603" s="8" t="b">
        <v>0</v>
      </c>
      <c r="Y1603" s="8" t="b">
        <v>0</v>
      </c>
      <c r="Z1603" s="8" t="b">
        <v>0</v>
      </c>
      <c r="AA1603" s="8" t="b">
        <v>0</v>
      </c>
      <c r="AB1603" s="8" t="b">
        <v>0</v>
      </c>
      <c r="AC1603" s="8" t="b">
        <v>0</v>
      </c>
      <c r="AD1603" s="8" t="b">
        <v>1</v>
      </c>
      <c r="AE1603" s="8" t="b">
        <v>0</v>
      </c>
      <c r="AG1603" s="11" t="b" cm="1">
        <f t="array" ref="AG1603">IF(OR(Y1603:AA1603="TRUE", AE1603="true"), "Threatened")</f>
        <v>0</v>
      </c>
      <c r="AH1603" s="11" t="s">
        <v>4183</v>
      </c>
      <c r="AI1603" s="8" t="b">
        <v>1</v>
      </c>
    </row>
    <row r="1604" spans="1:35" ht="31.2">
      <c r="A1604" s="8">
        <v>-73.954592919999996</v>
      </c>
      <c r="B1604" s="8">
        <v>40.798694019999999</v>
      </c>
      <c r="C1604" s="8" t="s">
        <v>4184</v>
      </c>
      <c r="D1604" s="8" t="s">
        <v>1429</v>
      </c>
      <c r="E1604" s="8" t="b">
        <f t="shared" si="25"/>
        <v>0</v>
      </c>
      <c r="F1604" s="8" t="str" cm="1">
        <f t="array" ref="F1604">_xlfn._xlws.FILTER(E1604:E4802, C1604:C4802= "6D-PM-1020-01", "No Squirrels Found")</f>
        <v>No Squirrels Found</v>
      </c>
      <c r="G1604" s="8" t="s">
        <v>48</v>
      </c>
      <c r="H1604" s="10">
        <v>10142018</v>
      </c>
      <c r="I1604" s="10">
        <v>2</v>
      </c>
      <c r="J1604" s="8" t="s">
        <v>39</v>
      </c>
      <c r="K1604" s="8" t="s">
        <v>40</v>
      </c>
      <c r="L1604" s="8" t="s">
        <v>117</v>
      </c>
      <c r="M1604" s="8" t="s">
        <v>118</v>
      </c>
      <c r="N1604" s="11" t="s">
        <v>1383</v>
      </c>
      <c r="O1604" s="8" t="s">
        <v>43</v>
      </c>
      <c r="P1604" s="8" t="b">
        <v>0</v>
      </c>
      <c r="R1604" s="8" t="b">
        <v>0</v>
      </c>
      <c r="S1604" s="8" t="b">
        <v>0</v>
      </c>
      <c r="T1604" s="8" t="b">
        <v>0</v>
      </c>
      <c r="U1604" s="8" t="b">
        <v>1</v>
      </c>
      <c r="V1604" s="8" t="b">
        <v>1</v>
      </c>
      <c r="X1604" s="8" t="b">
        <v>0</v>
      </c>
      <c r="Y1604" s="8" t="b">
        <v>0</v>
      </c>
      <c r="Z1604" s="8" t="b">
        <v>0</v>
      </c>
      <c r="AA1604" s="8" t="b">
        <v>0</v>
      </c>
      <c r="AB1604" s="8" t="b">
        <v>0</v>
      </c>
      <c r="AC1604" s="8" t="b">
        <v>0</v>
      </c>
      <c r="AD1604" s="8" t="b">
        <v>1</v>
      </c>
      <c r="AE1604" s="8" t="b">
        <v>0</v>
      </c>
      <c r="AG1604" s="11" t="b" cm="1">
        <f t="array" ref="AG1604">IF(OR(Y1604:AA1604="TRUE", AE1604="true"), "Threatened")</f>
        <v>0</v>
      </c>
      <c r="AH1604" s="11" t="s">
        <v>4185</v>
      </c>
      <c r="AI1604" s="8" t="b">
        <v>1</v>
      </c>
    </row>
    <row r="1605" spans="1:35" ht="31.2">
      <c r="A1605" s="8">
        <v>-73.973464449999994</v>
      </c>
      <c r="B1605" s="8">
        <v>40.778276650000002</v>
      </c>
      <c r="C1605" s="8" t="s">
        <v>4186</v>
      </c>
      <c r="D1605" s="8" t="s">
        <v>797</v>
      </c>
      <c r="E1605" s="8" t="b">
        <f t="shared" si="25"/>
        <v>0</v>
      </c>
      <c r="F1605" s="8" t="str" cm="1">
        <f t="array" ref="F1605">_xlfn._xlws.FILTER(E1605:E4803, C1605:C4803= "6D-PM-1020-01", "No Squirrels Found")</f>
        <v>No Squirrels Found</v>
      </c>
      <c r="G1605" s="8" t="s">
        <v>34</v>
      </c>
      <c r="H1605" s="10">
        <v>10142018</v>
      </c>
      <c r="I1605" s="10">
        <v>5</v>
      </c>
      <c r="J1605" s="8" t="s">
        <v>39</v>
      </c>
      <c r="K1605" s="8" t="s">
        <v>40</v>
      </c>
      <c r="L1605" s="8" t="s">
        <v>84</v>
      </c>
      <c r="M1605" s="8" t="s">
        <v>103</v>
      </c>
      <c r="O1605" s="8" t="s">
        <v>43</v>
      </c>
      <c r="P1605" s="8" t="b">
        <v>0</v>
      </c>
      <c r="R1605" s="8" t="b">
        <v>1</v>
      </c>
      <c r="S1605" s="8" t="b">
        <v>0</v>
      </c>
      <c r="T1605" s="8" t="b">
        <v>0</v>
      </c>
      <c r="U1605" s="8" t="b">
        <v>0</v>
      </c>
      <c r="V1605" s="8" t="b">
        <v>0</v>
      </c>
      <c r="X1605" s="8" t="b">
        <v>0</v>
      </c>
      <c r="Y1605" s="8" t="b">
        <v>0</v>
      </c>
      <c r="Z1605" s="8" t="b">
        <v>0</v>
      </c>
      <c r="AA1605" s="8" t="b">
        <v>0</v>
      </c>
      <c r="AB1605" s="8" t="b">
        <v>0</v>
      </c>
      <c r="AC1605" s="8" t="b">
        <v>0</v>
      </c>
      <c r="AD1605" s="8" t="b">
        <v>1</v>
      </c>
      <c r="AE1605" s="8" t="b">
        <v>0</v>
      </c>
      <c r="AG1605" s="11" t="b" cm="1">
        <f t="array" ref="AG1605">IF(OR(Y1605:AA1605="TRUE", AE1605="true"), "Threatened")</f>
        <v>0</v>
      </c>
      <c r="AH1605" s="11" t="s">
        <v>4187</v>
      </c>
      <c r="AI1605" s="8" t="b">
        <v>1</v>
      </c>
    </row>
    <row r="1606" spans="1:35" ht="31.2">
      <c r="A1606" s="8">
        <v>-73.969036239999994</v>
      </c>
      <c r="B1606" s="8">
        <v>40.776716280000002</v>
      </c>
      <c r="C1606" s="8" t="s">
        <v>4188</v>
      </c>
      <c r="D1606" s="8" t="s">
        <v>239</v>
      </c>
      <c r="E1606" s="8" t="b">
        <f t="shared" si="25"/>
        <v>0</v>
      </c>
      <c r="F1606" s="8" t="str" cm="1">
        <f t="array" ref="F1606">_xlfn._xlws.FILTER(E1606:E4804, C1606:C4804= "6D-PM-1020-01", "No Squirrels Found")</f>
        <v>No Squirrels Found</v>
      </c>
      <c r="G1606" s="8" t="s">
        <v>34</v>
      </c>
      <c r="H1606" s="10">
        <v>10122018</v>
      </c>
      <c r="I1606" s="10">
        <v>9</v>
      </c>
      <c r="J1606" s="8" t="s">
        <v>39</v>
      </c>
      <c r="K1606" s="8" t="s">
        <v>41</v>
      </c>
      <c r="L1606" s="8" t="s">
        <v>135</v>
      </c>
      <c r="M1606" s="8" t="s">
        <v>136</v>
      </c>
      <c r="O1606" s="8" t="s">
        <v>43</v>
      </c>
      <c r="P1606" s="8" t="b">
        <v>0</v>
      </c>
      <c r="R1606" s="8" t="b">
        <v>0</v>
      </c>
      <c r="S1606" s="8" t="b">
        <v>0</v>
      </c>
      <c r="T1606" s="8" t="b">
        <v>0</v>
      </c>
      <c r="U1606" s="8" t="b">
        <v>1</v>
      </c>
      <c r="V1606" s="8" t="b">
        <v>1</v>
      </c>
      <c r="X1606" s="8" t="b">
        <v>0</v>
      </c>
      <c r="Y1606" s="8" t="b">
        <v>0</v>
      </c>
      <c r="Z1606" s="8" t="b">
        <v>0</v>
      </c>
      <c r="AA1606" s="8" t="b">
        <v>0</v>
      </c>
      <c r="AB1606" s="8" t="b">
        <v>0</v>
      </c>
      <c r="AC1606" s="8" t="b">
        <v>0</v>
      </c>
      <c r="AD1606" s="8" t="b">
        <v>1</v>
      </c>
      <c r="AE1606" s="8" t="b">
        <v>0</v>
      </c>
      <c r="AG1606" s="11" t="b" cm="1">
        <f t="array" ref="AG1606">IF(OR(Y1606:AA1606="TRUE", AE1606="true"), "Threatened")</f>
        <v>0</v>
      </c>
      <c r="AH1606" s="11" t="s">
        <v>4189</v>
      </c>
      <c r="AI1606" s="8" t="b">
        <v>1</v>
      </c>
    </row>
    <row r="1607" spans="1:35" ht="31.2">
      <c r="A1607" s="8">
        <v>-73.962893280000003</v>
      </c>
      <c r="B1607" s="8">
        <v>40.792311640000001</v>
      </c>
      <c r="C1607" s="8" t="s">
        <v>4190</v>
      </c>
      <c r="D1607" s="8" t="s">
        <v>785</v>
      </c>
      <c r="E1607" s="8" t="b">
        <f t="shared" si="25"/>
        <v>0</v>
      </c>
      <c r="F1607" s="8" t="str" cm="1">
        <f t="array" ref="F1607">_xlfn._xlws.FILTER(E1607:E4805, C1607:C4805= "6D-PM-1020-01", "No Squirrels Found")</f>
        <v>No Squirrels Found</v>
      </c>
      <c r="G1607" s="8" t="s">
        <v>34</v>
      </c>
      <c r="H1607" s="10">
        <v>10102018</v>
      </c>
      <c r="I1607" s="10">
        <v>5</v>
      </c>
      <c r="J1607" s="8" t="s">
        <v>39</v>
      </c>
      <c r="K1607" s="8" t="s">
        <v>40</v>
      </c>
      <c r="M1607" s="8" t="s">
        <v>55</v>
      </c>
      <c r="O1607" s="8" t="s">
        <v>43</v>
      </c>
      <c r="P1607" s="8" t="b">
        <v>0</v>
      </c>
      <c r="R1607" s="8" t="b">
        <v>1</v>
      </c>
      <c r="S1607" s="8" t="b">
        <v>0</v>
      </c>
      <c r="T1607" s="8" t="b">
        <v>0</v>
      </c>
      <c r="U1607" s="8" t="b">
        <v>0</v>
      </c>
      <c r="V1607" s="8" t="b">
        <v>1</v>
      </c>
      <c r="X1607" s="8" t="b">
        <v>0</v>
      </c>
      <c r="Y1607" s="8" t="b">
        <v>0</v>
      </c>
      <c r="Z1607" s="8" t="b">
        <v>0</v>
      </c>
      <c r="AA1607" s="8" t="b">
        <v>0</v>
      </c>
      <c r="AB1607" s="8" t="b">
        <v>0</v>
      </c>
      <c r="AC1607" s="8" t="b">
        <v>0</v>
      </c>
      <c r="AD1607" s="8" t="b">
        <v>0</v>
      </c>
      <c r="AE1607" s="8" t="b">
        <v>0</v>
      </c>
      <c r="AG1607" s="11" t="b" cm="1">
        <f t="array" ref="AG1607">IF(OR(Y1607:AA1607="TRUE", AE1607="true"), "Threatened")</f>
        <v>0</v>
      </c>
      <c r="AH1607" s="11" t="s">
        <v>4191</v>
      </c>
      <c r="AI1607" s="8" t="b">
        <v>1</v>
      </c>
    </row>
    <row r="1608" spans="1:35" ht="31.2">
      <c r="A1608" s="8">
        <v>-73.977050860000006</v>
      </c>
      <c r="B1608" s="8">
        <v>40.77107693</v>
      </c>
      <c r="C1608" s="8" t="s">
        <v>4192</v>
      </c>
      <c r="D1608" s="8" t="s">
        <v>2799</v>
      </c>
      <c r="E1608" s="8" t="b">
        <f t="shared" si="25"/>
        <v>1</v>
      </c>
      <c r="F1608" s="8" t="str" cm="1">
        <f t="array" ref="F1608">_xlfn._xlws.FILTER(E1608:E4806, C1608:C4806= "6D-PM-1020-01", "No Squirrels Found")</f>
        <v>No Squirrels Found</v>
      </c>
      <c r="G1608" s="8" t="s">
        <v>48</v>
      </c>
      <c r="H1608" s="10">
        <v>10072018</v>
      </c>
      <c r="I1608" s="10">
        <v>2</v>
      </c>
      <c r="J1608" s="8" t="s">
        <v>39</v>
      </c>
      <c r="M1608" s="8" t="s">
        <v>35</v>
      </c>
      <c r="O1608" s="8" t="s">
        <v>50</v>
      </c>
      <c r="P1608" s="8">
        <v>15</v>
      </c>
      <c r="R1608" s="8" t="b">
        <v>0</v>
      </c>
      <c r="S1608" s="8" t="b">
        <v>0</v>
      </c>
      <c r="T1608" s="8" t="b">
        <v>1</v>
      </c>
      <c r="U1608" s="8" t="b">
        <v>0</v>
      </c>
      <c r="V1608" s="8" t="b">
        <v>0</v>
      </c>
      <c r="W1608" s="11" t="s">
        <v>4193</v>
      </c>
      <c r="X1608" s="8" t="b">
        <v>0</v>
      </c>
      <c r="Y1608" s="8" t="b">
        <v>0</v>
      </c>
      <c r="Z1608" s="8" t="b">
        <v>0</v>
      </c>
      <c r="AA1608" s="8" t="b">
        <v>0</v>
      </c>
      <c r="AB1608" s="8" t="b">
        <v>0</v>
      </c>
      <c r="AC1608" s="8" t="b">
        <v>0</v>
      </c>
      <c r="AD1608" s="8" t="b">
        <v>0</v>
      </c>
      <c r="AE1608" s="8" t="b">
        <v>0</v>
      </c>
      <c r="AG1608" s="11" t="b" cm="1">
        <f t="array" ref="AG1608">IF(OR(Y1608:AA1608="TRUE", AE1608="true"), "Threatened")</f>
        <v>0</v>
      </c>
      <c r="AH1608" s="11" t="s">
        <v>4194</v>
      </c>
      <c r="AI1608" s="8" t="b">
        <v>0</v>
      </c>
    </row>
    <row r="1609" spans="1:35" ht="31.2">
      <c r="A1609" s="8">
        <v>-73.954542549999999</v>
      </c>
      <c r="B1609" s="8">
        <v>40.795685339999999</v>
      </c>
      <c r="C1609" s="8" t="s">
        <v>4195</v>
      </c>
      <c r="D1609" s="8" t="s">
        <v>1066</v>
      </c>
      <c r="E1609" s="8" t="b">
        <f t="shared" si="25"/>
        <v>0</v>
      </c>
      <c r="F1609" s="8" t="str" cm="1">
        <f t="array" ref="F1609">_xlfn._xlws.FILTER(E1609:E4807, C1609:C4807= "6D-PM-1020-01", "No Squirrels Found")</f>
        <v>No Squirrels Found</v>
      </c>
      <c r="G1609" s="8" t="s">
        <v>34</v>
      </c>
      <c r="H1609" s="10">
        <v>10062018</v>
      </c>
      <c r="I1609" s="10">
        <v>4</v>
      </c>
      <c r="J1609" s="8" t="s">
        <v>39</v>
      </c>
      <c r="K1609" s="8" t="s">
        <v>40</v>
      </c>
      <c r="L1609" s="8" t="s">
        <v>41</v>
      </c>
      <c r="M1609" s="8" t="s">
        <v>42</v>
      </c>
      <c r="O1609" s="8" t="s">
        <v>50</v>
      </c>
      <c r="P1609" s="8">
        <v>35</v>
      </c>
      <c r="Q1609" s="8" t="s">
        <v>466</v>
      </c>
      <c r="R1609" s="8" t="b">
        <v>0</v>
      </c>
      <c r="S1609" s="8" t="b">
        <v>0</v>
      </c>
      <c r="T1609" s="8" t="b">
        <v>1</v>
      </c>
      <c r="U1609" s="8" t="b">
        <v>0</v>
      </c>
      <c r="V1609" s="8" t="b">
        <v>0</v>
      </c>
      <c r="W1609" s="11" t="s">
        <v>4196</v>
      </c>
      <c r="X1609" s="8" t="b">
        <v>0</v>
      </c>
      <c r="Y1609" s="8" t="b">
        <v>0</v>
      </c>
      <c r="Z1609" s="8" t="b">
        <v>0</v>
      </c>
      <c r="AA1609" s="8" t="b">
        <v>0</v>
      </c>
      <c r="AB1609" s="8" t="b">
        <v>0</v>
      </c>
      <c r="AC1609" s="8" t="b">
        <v>0</v>
      </c>
      <c r="AD1609" s="8" t="b">
        <v>0</v>
      </c>
      <c r="AE1609" s="8" t="b">
        <v>1</v>
      </c>
      <c r="AF1609" s="11" t="s">
        <v>4197</v>
      </c>
      <c r="AG1609" s="11" t="b" cm="1">
        <f t="array" ref="AG1609">IF(OR(Y1609:AA1609="TRUE", AE1609="true"), "Threatened")</f>
        <v>0</v>
      </c>
      <c r="AH1609" s="11" t="s">
        <v>4198</v>
      </c>
      <c r="AI1609" s="8" t="b">
        <v>0</v>
      </c>
    </row>
    <row r="1610" spans="1:35" ht="31.2">
      <c r="A1610" s="8">
        <v>-73.963902500000003</v>
      </c>
      <c r="B1610" s="8">
        <v>40.777695309999999</v>
      </c>
      <c r="C1610" s="8" t="s">
        <v>4199</v>
      </c>
      <c r="D1610" s="8" t="s">
        <v>1144</v>
      </c>
      <c r="E1610" s="8" t="b">
        <f t="shared" si="25"/>
        <v>0</v>
      </c>
      <c r="F1610" s="8" t="str" cm="1">
        <f t="array" ref="F1610">_xlfn._xlws.FILTER(E1610:E4808, C1610:C4808= "6D-PM-1020-01", "No Squirrels Found")</f>
        <v>No Squirrels Found</v>
      </c>
      <c r="G1610" s="8" t="s">
        <v>34</v>
      </c>
      <c r="H1610" s="10">
        <v>10072018</v>
      </c>
      <c r="I1610" s="10">
        <v>1</v>
      </c>
      <c r="J1610" s="8" t="s">
        <v>39</v>
      </c>
      <c r="K1610" s="8" t="s">
        <v>40</v>
      </c>
      <c r="L1610" s="8" t="s">
        <v>41</v>
      </c>
      <c r="M1610" s="8" t="s">
        <v>42</v>
      </c>
      <c r="O1610" s="8" t="s">
        <v>50</v>
      </c>
      <c r="P1610" s="8">
        <v>25</v>
      </c>
      <c r="R1610" s="8" t="b">
        <v>0</v>
      </c>
      <c r="S1610" s="8" t="b">
        <v>0</v>
      </c>
      <c r="T1610" s="8" t="b">
        <v>1</v>
      </c>
      <c r="U1610" s="8" t="b">
        <v>1</v>
      </c>
      <c r="V1610" s="8" t="b">
        <v>1</v>
      </c>
      <c r="W1610" s="11" t="s">
        <v>4200</v>
      </c>
      <c r="X1610" s="8" t="b">
        <v>0</v>
      </c>
      <c r="Y1610" s="8" t="b">
        <v>0</v>
      </c>
      <c r="Z1610" s="8" t="b">
        <v>0</v>
      </c>
      <c r="AA1610" s="8" t="b">
        <v>0</v>
      </c>
      <c r="AB1610" s="8" t="b">
        <v>0</v>
      </c>
      <c r="AC1610" s="8" t="b">
        <v>0</v>
      </c>
      <c r="AD1610" s="8" t="b">
        <v>1</v>
      </c>
      <c r="AE1610" s="8" t="b">
        <v>0</v>
      </c>
      <c r="AG1610" s="11" t="b" cm="1">
        <f t="array" ref="AG1610">IF(OR(Y1610:AA1610="TRUE", AE1610="true"), "Threatened")</f>
        <v>0</v>
      </c>
      <c r="AH1610" s="11" t="s">
        <v>4201</v>
      </c>
      <c r="AI1610" s="8" t="b">
        <v>0</v>
      </c>
    </row>
    <row r="1611" spans="1:35" ht="31.2">
      <c r="A1611" s="8">
        <v>-73.960705660000002</v>
      </c>
      <c r="B1611" s="8">
        <v>40.788978610000001</v>
      </c>
      <c r="C1611" s="8" t="s">
        <v>4202</v>
      </c>
      <c r="D1611" s="8" t="s">
        <v>1102</v>
      </c>
      <c r="E1611" s="8" t="b">
        <f t="shared" si="25"/>
        <v>0</v>
      </c>
      <c r="F1611" s="8" t="str" cm="1">
        <f t="array" ref="F1611">_xlfn._xlws.FILTER(E1611:E4809, C1611:C4809= "6D-PM-1020-01", "No Squirrels Found")</f>
        <v>No Squirrels Found</v>
      </c>
      <c r="G1611" s="8" t="s">
        <v>48</v>
      </c>
      <c r="H1611" s="10">
        <v>10082018</v>
      </c>
      <c r="I1611" s="10">
        <v>3</v>
      </c>
      <c r="J1611" s="8" t="s">
        <v>39</v>
      </c>
      <c r="K1611" s="8" t="s">
        <v>40</v>
      </c>
      <c r="M1611" s="8" t="s">
        <v>55</v>
      </c>
      <c r="O1611" s="8" t="s">
        <v>50</v>
      </c>
      <c r="P1611" s="8">
        <v>6</v>
      </c>
      <c r="R1611" s="8" t="b">
        <v>0</v>
      </c>
      <c r="S1611" s="8" t="b">
        <v>0</v>
      </c>
      <c r="T1611" s="8" t="b">
        <v>1</v>
      </c>
      <c r="U1611" s="8" t="b">
        <v>0</v>
      </c>
      <c r="V1611" s="8" t="b">
        <v>0</v>
      </c>
      <c r="X1611" s="8" t="b">
        <v>0</v>
      </c>
      <c r="Y1611" s="8" t="b">
        <v>0</v>
      </c>
      <c r="Z1611" s="8" t="b">
        <v>0</v>
      </c>
      <c r="AA1611" s="8" t="b">
        <v>0</v>
      </c>
      <c r="AB1611" s="8" t="b">
        <v>0</v>
      </c>
      <c r="AC1611" s="8" t="b">
        <v>0</v>
      </c>
      <c r="AD1611" s="8" t="b">
        <v>1</v>
      </c>
      <c r="AE1611" s="8" t="b">
        <v>0</v>
      </c>
      <c r="AG1611" s="11" t="b" cm="1">
        <f t="array" ref="AG1611">IF(OR(Y1611:AA1611="TRUE", AE1611="true"), "Threatened")</f>
        <v>0</v>
      </c>
      <c r="AH1611" s="11" t="s">
        <v>4203</v>
      </c>
      <c r="AI1611" s="8" t="b">
        <v>1</v>
      </c>
    </row>
    <row r="1612" spans="1:35" ht="31.2">
      <c r="A1612" s="8">
        <v>-73.965523849999997</v>
      </c>
      <c r="B1612" s="8">
        <v>40.781563390000002</v>
      </c>
      <c r="C1612" s="8" t="s">
        <v>4204</v>
      </c>
      <c r="D1612" s="8" t="s">
        <v>1059</v>
      </c>
      <c r="E1612" s="8" t="b">
        <f t="shared" si="25"/>
        <v>0</v>
      </c>
      <c r="F1612" s="8" t="str" cm="1">
        <f t="array" ref="F1612">_xlfn._xlws.FILTER(E1612:E4810, C1612:C4810= "6D-PM-1020-01", "No Squirrels Found")</f>
        <v>No Squirrels Found</v>
      </c>
      <c r="G1612" s="8" t="s">
        <v>48</v>
      </c>
      <c r="H1612" s="10">
        <v>10172018</v>
      </c>
      <c r="I1612" s="10">
        <v>3</v>
      </c>
      <c r="J1612" s="8" t="s">
        <v>39</v>
      </c>
      <c r="K1612" s="8" t="s">
        <v>40</v>
      </c>
      <c r="M1612" s="8" t="s">
        <v>55</v>
      </c>
      <c r="O1612" s="8" t="s">
        <v>50</v>
      </c>
      <c r="P1612" s="8">
        <v>7</v>
      </c>
      <c r="R1612" s="8" t="b">
        <v>0</v>
      </c>
      <c r="S1612" s="8" t="b">
        <v>1</v>
      </c>
      <c r="T1612" s="8" t="b">
        <v>0</v>
      </c>
      <c r="U1612" s="8" t="b">
        <v>0</v>
      </c>
      <c r="V1612" s="8" t="b">
        <v>0</v>
      </c>
      <c r="X1612" s="8" t="b">
        <v>0</v>
      </c>
      <c r="Y1612" s="8" t="b">
        <v>0</v>
      </c>
      <c r="Z1612" s="8" t="b">
        <v>0</v>
      </c>
      <c r="AA1612" s="8" t="b">
        <v>0</v>
      </c>
      <c r="AB1612" s="8" t="b">
        <v>0</v>
      </c>
      <c r="AC1612" s="8" t="b">
        <v>0</v>
      </c>
      <c r="AD1612" s="8" t="b">
        <v>1</v>
      </c>
      <c r="AE1612" s="8" t="b">
        <v>0</v>
      </c>
      <c r="AG1612" s="11" t="b" cm="1">
        <f t="array" ref="AG1612">IF(OR(Y1612:AA1612="TRUE", AE1612="true"), "Threatened")</f>
        <v>0</v>
      </c>
      <c r="AH1612" s="11" t="s">
        <v>4205</v>
      </c>
      <c r="AI1612" s="8" t="b">
        <v>1</v>
      </c>
    </row>
    <row r="1613" spans="1:35" ht="31.2">
      <c r="A1613" s="8">
        <v>-73.974604909999996</v>
      </c>
      <c r="B1613" s="8">
        <v>40.772877690000001</v>
      </c>
      <c r="C1613" s="8" t="s">
        <v>4206</v>
      </c>
      <c r="D1613" s="8" t="s">
        <v>805</v>
      </c>
      <c r="E1613" s="8" t="b">
        <f t="shared" si="25"/>
        <v>0</v>
      </c>
      <c r="F1613" s="8" t="str" cm="1">
        <f t="array" ref="F1613">_xlfn._xlws.FILTER(E1613:E4811, C1613:C4811= "6D-PM-1020-01", "No Squirrels Found")</f>
        <v>No Squirrels Found</v>
      </c>
      <c r="G1613" s="8" t="s">
        <v>48</v>
      </c>
      <c r="H1613" s="10">
        <v>10072018</v>
      </c>
      <c r="I1613" s="10">
        <v>1</v>
      </c>
      <c r="J1613" s="8" t="s">
        <v>39</v>
      </c>
      <c r="K1613" s="8" t="s">
        <v>40</v>
      </c>
      <c r="M1613" s="8" t="s">
        <v>55</v>
      </c>
      <c r="O1613" s="8" t="s">
        <v>43</v>
      </c>
      <c r="P1613" s="8" t="b">
        <v>0</v>
      </c>
      <c r="Q1613" s="8" t="s">
        <v>4207</v>
      </c>
      <c r="R1613" s="8" t="b">
        <v>1</v>
      </c>
      <c r="S1613" s="8" t="b">
        <v>0</v>
      </c>
      <c r="T1613" s="8" t="b">
        <v>0</v>
      </c>
      <c r="U1613" s="8" t="b">
        <v>0</v>
      </c>
      <c r="V1613" s="8" t="b">
        <v>1</v>
      </c>
      <c r="X1613" s="8" t="b">
        <v>0</v>
      </c>
      <c r="Y1613" s="8" t="b">
        <v>0</v>
      </c>
      <c r="Z1613" s="8" t="b">
        <v>0</v>
      </c>
      <c r="AA1613" s="8" t="b">
        <v>0</v>
      </c>
      <c r="AB1613" s="8" t="b">
        <v>0</v>
      </c>
      <c r="AC1613" s="8" t="b">
        <v>0</v>
      </c>
      <c r="AD1613" s="8" t="b">
        <v>1</v>
      </c>
      <c r="AE1613" s="8" t="b">
        <v>0</v>
      </c>
      <c r="AG1613" s="11" t="b" cm="1">
        <f t="array" ref="AG1613">IF(OR(Y1613:AA1613="TRUE", AE1613="true"), "Threatened")</f>
        <v>0</v>
      </c>
      <c r="AH1613" s="11" t="s">
        <v>4208</v>
      </c>
      <c r="AI1613" s="8" t="b">
        <v>1</v>
      </c>
    </row>
    <row r="1614" spans="1:35" ht="31.2">
      <c r="A1614" s="8">
        <v>-73.959920220000001</v>
      </c>
      <c r="B1614" s="8">
        <v>40.797259990000001</v>
      </c>
      <c r="C1614" s="8" t="s">
        <v>4209</v>
      </c>
      <c r="D1614" s="8" t="s">
        <v>689</v>
      </c>
      <c r="E1614" s="8" t="b">
        <f t="shared" si="25"/>
        <v>0</v>
      </c>
      <c r="F1614" s="8" t="str" cm="1">
        <f t="array" ref="F1614">_xlfn._xlws.FILTER(E1614:E4812, C1614:C4812= "6D-PM-1020-01", "No Squirrels Found")</f>
        <v>No Squirrels Found</v>
      </c>
      <c r="G1614" s="8" t="s">
        <v>48</v>
      </c>
      <c r="H1614" s="10">
        <v>10192018</v>
      </c>
      <c r="I1614" s="10">
        <v>2</v>
      </c>
      <c r="J1614" s="8" t="s">
        <v>39</v>
      </c>
      <c r="K1614" s="8" t="s">
        <v>40</v>
      </c>
      <c r="M1614" s="8" t="s">
        <v>55</v>
      </c>
      <c r="O1614" s="8" t="s">
        <v>50</v>
      </c>
      <c r="P1614" s="8">
        <v>3</v>
      </c>
      <c r="R1614" s="8" t="b">
        <v>1</v>
      </c>
      <c r="S1614" s="8" t="b">
        <v>1</v>
      </c>
      <c r="T1614" s="8" t="b">
        <v>1</v>
      </c>
      <c r="U1614" s="8" t="b">
        <v>0</v>
      </c>
      <c r="V1614" s="8" t="b">
        <v>0</v>
      </c>
      <c r="X1614" s="8" t="b">
        <v>0</v>
      </c>
      <c r="Y1614" s="8" t="b">
        <v>0</v>
      </c>
      <c r="Z1614" s="8" t="b">
        <v>0</v>
      </c>
      <c r="AA1614" s="8" t="b">
        <v>0</v>
      </c>
      <c r="AB1614" s="8" t="b">
        <v>0</v>
      </c>
      <c r="AC1614" s="8" t="b">
        <v>0</v>
      </c>
      <c r="AD1614" s="8" t="b">
        <v>1</v>
      </c>
      <c r="AE1614" s="8" t="b">
        <v>0</v>
      </c>
      <c r="AG1614" s="11" t="b" cm="1">
        <f t="array" ref="AG1614">IF(OR(Y1614:AA1614="TRUE", AE1614="true"), "Threatened")</f>
        <v>0</v>
      </c>
      <c r="AH1614" s="11" t="s">
        <v>4210</v>
      </c>
      <c r="AI1614" s="8" t="b">
        <v>1</v>
      </c>
    </row>
    <row r="1615" spans="1:35" ht="31.2">
      <c r="A1615" s="8">
        <v>-73.980671830000006</v>
      </c>
      <c r="B1615" s="8">
        <v>40.769277690000003</v>
      </c>
      <c r="C1615" s="8" t="s">
        <v>4211</v>
      </c>
      <c r="D1615" s="8" t="s">
        <v>1909</v>
      </c>
      <c r="E1615" s="8" t="b">
        <f t="shared" si="25"/>
        <v>0</v>
      </c>
      <c r="F1615" s="8" t="str" cm="1">
        <f t="array" ref="F1615">_xlfn._xlws.FILTER(E1615:E4813, C1615:C4813= "6D-PM-1020-01", "No Squirrels Found")</f>
        <v>No Squirrels Found</v>
      </c>
      <c r="G1615" s="8" t="s">
        <v>48</v>
      </c>
      <c r="H1615" s="10">
        <v>10102018</v>
      </c>
      <c r="I1615" s="10">
        <v>7</v>
      </c>
      <c r="J1615" s="8" t="s">
        <v>39</v>
      </c>
      <c r="K1615" s="8" t="s">
        <v>40</v>
      </c>
      <c r="L1615" s="8" t="s">
        <v>41</v>
      </c>
      <c r="M1615" s="8" t="s">
        <v>42</v>
      </c>
      <c r="O1615" s="8" t="s">
        <v>43</v>
      </c>
      <c r="P1615" s="8" t="b">
        <v>0</v>
      </c>
      <c r="R1615" s="8" t="b">
        <v>0</v>
      </c>
      <c r="S1615" s="8" t="b">
        <v>0</v>
      </c>
      <c r="T1615" s="8" t="b">
        <v>0</v>
      </c>
      <c r="U1615" s="8" t="b">
        <v>1</v>
      </c>
      <c r="V1615" s="8" t="b">
        <v>1</v>
      </c>
      <c r="X1615" s="8" t="b">
        <v>0</v>
      </c>
      <c r="Y1615" s="8" t="b">
        <v>0</v>
      </c>
      <c r="Z1615" s="8" t="b">
        <v>0</v>
      </c>
      <c r="AA1615" s="8" t="b">
        <v>0</v>
      </c>
      <c r="AB1615" s="8" t="b">
        <v>1</v>
      </c>
      <c r="AC1615" s="8" t="b">
        <v>0</v>
      </c>
      <c r="AD1615" s="8" t="b">
        <v>0</v>
      </c>
      <c r="AE1615" s="8" t="b">
        <v>0</v>
      </c>
      <c r="AF1615" s="11" t="s">
        <v>4212</v>
      </c>
      <c r="AG1615" s="11" t="b" cm="1">
        <f t="array" ref="AG1615">IF(OR(Y1615:AA1615="TRUE", AE1615="true"), "Threatened")</f>
        <v>0</v>
      </c>
      <c r="AH1615" s="11" t="s">
        <v>4213</v>
      </c>
      <c r="AI1615" s="8" t="b">
        <v>1</v>
      </c>
    </row>
    <row r="1616" spans="1:35" ht="31.2">
      <c r="A1616" s="8">
        <v>-73.956421570000003</v>
      </c>
      <c r="B1616" s="8">
        <v>40.795753939999997</v>
      </c>
      <c r="C1616" s="8" t="s">
        <v>4214</v>
      </c>
      <c r="D1616" s="8" t="s">
        <v>530</v>
      </c>
      <c r="E1616" s="8" t="b">
        <f t="shared" si="25"/>
        <v>0</v>
      </c>
      <c r="F1616" s="8" t="str" cm="1">
        <f t="array" ref="F1616">_xlfn._xlws.FILTER(E1616:E4814, C1616:C4814= "6D-PM-1020-01", "No Squirrels Found")</f>
        <v>No Squirrels Found</v>
      </c>
      <c r="G1616" s="8" t="s">
        <v>48</v>
      </c>
      <c r="H1616" s="10">
        <v>10102018</v>
      </c>
      <c r="I1616" s="10">
        <v>1</v>
      </c>
      <c r="J1616" s="8" t="s">
        <v>39</v>
      </c>
      <c r="K1616" s="8" t="s">
        <v>40</v>
      </c>
      <c r="L1616" s="8" t="s">
        <v>41</v>
      </c>
      <c r="M1616" s="8" t="s">
        <v>42</v>
      </c>
      <c r="O1616" s="8" t="s">
        <v>43</v>
      </c>
      <c r="P1616" s="8" t="b">
        <v>0</v>
      </c>
      <c r="R1616" s="8" t="b">
        <v>0</v>
      </c>
      <c r="S1616" s="8" t="b">
        <v>0</v>
      </c>
      <c r="T1616" s="8" t="b">
        <v>0</v>
      </c>
      <c r="U1616" s="8" t="b">
        <v>0</v>
      </c>
      <c r="V1616" s="8" t="b">
        <v>1</v>
      </c>
      <c r="X1616" s="8" t="b">
        <v>0</v>
      </c>
      <c r="Y1616" s="8" t="b">
        <v>0</v>
      </c>
      <c r="Z1616" s="8" t="b">
        <v>0</v>
      </c>
      <c r="AA1616" s="8" t="b">
        <v>0</v>
      </c>
      <c r="AB1616" s="8" t="b">
        <v>0</v>
      </c>
      <c r="AC1616" s="8" t="b">
        <v>0</v>
      </c>
      <c r="AD1616" s="8" t="b">
        <v>1</v>
      </c>
      <c r="AE1616" s="8" t="b">
        <v>0</v>
      </c>
      <c r="AG1616" s="11" t="b" cm="1">
        <f t="array" ref="AG1616">IF(OR(Y1616:AA1616="TRUE", AE1616="true"), "Threatened")</f>
        <v>0</v>
      </c>
      <c r="AH1616" s="11" t="s">
        <v>4215</v>
      </c>
      <c r="AI1616" s="8" t="b">
        <v>1</v>
      </c>
    </row>
    <row r="1617" spans="1:35" ht="31.2">
      <c r="A1617" s="8">
        <v>-73.964266600000002</v>
      </c>
      <c r="B1617" s="8">
        <v>40.78103849</v>
      </c>
      <c r="C1617" s="8" t="s">
        <v>4216</v>
      </c>
      <c r="D1617" s="8" t="s">
        <v>358</v>
      </c>
      <c r="E1617" s="8" t="b">
        <f t="shared" si="25"/>
        <v>0</v>
      </c>
      <c r="F1617" s="8" t="str" cm="1">
        <f t="array" ref="F1617">_xlfn._xlws.FILTER(E1617:E4815, C1617:C4815= "6D-PM-1020-01", "No Squirrels Found")</f>
        <v>No Squirrels Found</v>
      </c>
      <c r="G1617" s="8" t="s">
        <v>34</v>
      </c>
      <c r="H1617" s="10">
        <v>10072018</v>
      </c>
      <c r="I1617" s="10">
        <v>3</v>
      </c>
      <c r="J1617" s="8" t="s">
        <v>39</v>
      </c>
      <c r="K1617" s="8" t="s">
        <v>40</v>
      </c>
      <c r="L1617" s="8" t="s">
        <v>41</v>
      </c>
      <c r="M1617" s="8" t="s">
        <v>42</v>
      </c>
      <c r="O1617" s="8" t="s">
        <v>43</v>
      </c>
      <c r="P1617" s="8" t="b">
        <v>0</v>
      </c>
      <c r="R1617" s="8" t="b">
        <v>0</v>
      </c>
      <c r="S1617" s="8" t="b">
        <v>0</v>
      </c>
      <c r="T1617" s="8" t="b">
        <v>0</v>
      </c>
      <c r="U1617" s="8" t="b">
        <v>0</v>
      </c>
      <c r="V1617" s="8" t="b">
        <v>1</v>
      </c>
      <c r="X1617" s="8" t="b">
        <v>0</v>
      </c>
      <c r="Y1617" s="8" t="b">
        <v>0</v>
      </c>
      <c r="Z1617" s="8" t="b">
        <v>0</v>
      </c>
      <c r="AA1617" s="8" t="b">
        <v>1</v>
      </c>
      <c r="AB1617" s="8" t="b">
        <v>0</v>
      </c>
      <c r="AC1617" s="8" t="b">
        <v>0</v>
      </c>
      <c r="AD1617" s="8" t="b">
        <v>1</v>
      </c>
      <c r="AE1617" s="8" t="b">
        <v>0</v>
      </c>
      <c r="AG1617" s="11" t="b" cm="1">
        <f t="array" ref="AG1617">IF(OR(Y1617:AA1617="TRUE", AE1617="true"), "Threatened")</f>
        <v>0</v>
      </c>
      <c r="AH1617" s="11" t="s">
        <v>4217</v>
      </c>
      <c r="AI1617" s="8" t="b">
        <v>1</v>
      </c>
    </row>
    <row r="1618" spans="1:35" ht="31.2">
      <c r="A1618" s="8">
        <v>-73.975202949999996</v>
      </c>
      <c r="B1618" s="8">
        <v>40.767173470000003</v>
      </c>
      <c r="C1618" s="8" t="s">
        <v>4218</v>
      </c>
      <c r="D1618" s="8" t="s">
        <v>1706</v>
      </c>
      <c r="E1618" s="8" t="b">
        <f t="shared" si="25"/>
        <v>0</v>
      </c>
      <c r="F1618" s="8" t="str" cm="1">
        <f t="array" ref="F1618">_xlfn._xlws.FILTER(E1618:E4816, C1618:C4816= "6D-PM-1020-01", "No Squirrels Found")</f>
        <v>No Squirrels Found</v>
      </c>
      <c r="G1618" s="8" t="s">
        <v>48</v>
      </c>
      <c r="H1618" s="10">
        <v>10062018</v>
      </c>
      <c r="I1618" s="10">
        <v>4</v>
      </c>
      <c r="J1618" s="8" t="s">
        <v>39</v>
      </c>
      <c r="K1618" s="8" t="s">
        <v>41</v>
      </c>
      <c r="L1618" s="8" t="s">
        <v>84</v>
      </c>
      <c r="M1618" s="8" t="s">
        <v>85</v>
      </c>
      <c r="O1618" s="8" t="s">
        <v>43</v>
      </c>
      <c r="P1618" s="8" t="b">
        <v>0</v>
      </c>
      <c r="Q1618" s="8" t="s">
        <v>2422</v>
      </c>
      <c r="R1618" s="8" t="b">
        <v>0</v>
      </c>
      <c r="S1618" s="8" t="b">
        <v>0</v>
      </c>
      <c r="T1618" s="8" t="b">
        <v>0</v>
      </c>
      <c r="U1618" s="8" t="b">
        <v>0</v>
      </c>
      <c r="V1618" s="8" t="b">
        <v>1</v>
      </c>
      <c r="X1618" s="8" t="b">
        <v>0</v>
      </c>
      <c r="Y1618" s="8" t="b">
        <v>0</v>
      </c>
      <c r="Z1618" s="8" t="b">
        <v>0</v>
      </c>
      <c r="AA1618" s="8" t="b">
        <v>0</v>
      </c>
      <c r="AB1618" s="8" t="b">
        <v>0</v>
      </c>
      <c r="AC1618" s="8" t="b">
        <v>0</v>
      </c>
      <c r="AD1618" s="8" t="b">
        <v>0</v>
      </c>
      <c r="AE1618" s="8" t="b">
        <v>1</v>
      </c>
      <c r="AG1618" s="11" t="b" cm="1">
        <f t="array" ref="AG1618">IF(OR(Y1618:AA1618="TRUE", AE1618="true"), "Threatened")</f>
        <v>0</v>
      </c>
      <c r="AH1618" s="11" t="s">
        <v>4219</v>
      </c>
      <c r="AI1618" s="8" t="b">
        <v>1</v>
      </c>
    </row>
    <row r="1619" spans="1:35" ht="31.2">
      <c r="A1619" s="8">
        <v>-73.97558368</v>
      </c>
      <c r="B1619" s="8">
        <v>40.767023930000001</v>
      </c>
      <c r="C1619" s="8" t="s">
        <v>4220</v>
      </c>
      <c r="D1619" s="8" t="s">
        <v>481</v>
      </c>
      <c r="E1619" s="8" t="b">
        <f t="shared" si="25"/>
        <v>0</v>
      </c>
      <c r="F1619" s="8" t="str" cm="1">
        <f t="array" ref="F1619">_xlfn._xlws.FILTER(E1619:E4817, C1619:C4817= "6D-PM-1020-01", "No Squirrels Found")</f>
        <v>No Squirrels Found</v>
      </c>
      <c r="G1619" s="8" t="s">
        <v>34</v>
      </c>
      <c r="H1619" s="10">
        <v>10142018</v>
      </c>
      <c r="I1619" s="10">
        <v>2</v>
      </c>
      <c r="J1619" s="8" t="s">
        <v>39</v>
      </c>
      <c r="K1619" s="8" t="s">
        <v>40</v>
      </c>
      <c r="M1619" s="8" t="s">
        <v>55</v>
      </c>
      <c r="O1619" s="8" t="s">
        <v>43</v>
      </c>
      <c r="P1619" s="8" t="b">
        <v>0</v>
      </c>
      <c r="R1619" s="8" t="b">
        <v>0</v>
      </c>
      <c r="S1619" s="8" t="b">
        <v>0</v>
      </c>
      <c r="T1619" s="8" t="b">
        <v>0</v>
      </c>
      <c r="U1619" s="8" t="b">
        <v>0</v>
      </c>
      <c r="V1619" s="8" t="b">
        <v>1</v>
      </c>
      <c r="X1619" s="8" t="b">
        <v>0</v>
      </c>
      <c r="Y1619" s="8" t="b">
        <v>0</v>
      </c>
      <c r="Z1619" s="8" t="b">
        <v>0</v>
      </c>
      <c r="AA1619" s="8" t="b">
        <v>0</v>
      </c>
      <c r="AB1619" s="8" t="b">
        <v>0</v>
      </c>
      <c r="AC1619" s="8" t="b">
        <v>0</v>
      </c>
      <c r="AD1619" s="8" t="b">
        <v>1</v>
      </c>
      <c r="AE1619" s="8" t="b">
        <v>0</v>
      </c>
      <c r="AG1619" s="11" t="b" cm="1">
        <f t="array" ref="AG1619">IF(OR(Y1619:AA1619="TRUE", AE1619="true"), "Threatened")</f>
        <v>0</v>
      </c>
      <c r="AH1619" s="11" t="s">
        <v>4221</v>
      </c>
      <c r="AI1619" s="8" t="b">
        <v>1</v>
      </c>
    </row>
    <row r="1620" spans="1:35" ht="31.2">
      <c r="A1620" s="8">
        <v>-73.97445553</v>
      </c>
      <c r="B1620" s="8">
        <v>40.772849809999997</v>
      </c>
      <c r="C1620" s="8" t="s">
        <v>4222</v>
      </c>
      <c r="D1620" s="8" t="s">
        <v>2088</v>
      </c>
      <c r="E1620" s="8" t="b">
        <f t="shared" si="25"/>
        <v>0</v>
      </c>
      <c r="F1620" s="8" t="str" cm="1">
        <f t="array" ref="F1620">_xlfn._xlws.FILTER(E1620:E4818, C1620:C4818= "6D-PM-1020-01", "No Squirrels Found")</f>
        <v>No Squirrels Found</v>
      </c>
      <c r="G1620" s="8" t="s">
        <v>34</v>
      </c>
      <c r="H1620" s="10">
        <v>10072018</v>
      </c>
      <c r="I1620" s="10">
        <v>3</v>
      </c>
      <c r="J1620" s="8" t="s">
        <v>39</v>
      </c>
      <c r="K1620" s="8" t="s">
        <v>41</v>
      </c>
      <c r="L1620" s="8" t="s">
        <v>40</v>
      </c>
      <c r="M1620" s="8" t="s">
        <v>110</v>
      </c>
      <c r="R1620" s="8" t="b">
        <v>0</v>
      </c>
      <c r="S1620" s="8" t="b">
        <v>0</v>
      </c>
      <c r="T1620" s="8" t="b">
        <v>0</v>
      </c>
      <c r="U1620" s="8" t="b">
        <v>0</v>
      </c>
      <c r="V1620" s="8" t="b">
        <v>1</v>
      </c>
      <c r="X1620" s="8" t="b">
        <v>0</v>
      </c>
      <c r="Y1620" s="8" t="b">
        <v>0</v>
      </c>
      <c r="Z1620" s="8" t="b">
        <v>0</v>
      </c>
      <c r="AA1620" s="8" t="b">
        <v>0</v>
      </c>
      <c r="AB1620" s="8" t="b">
        <v>0</v>
      </c>
      <c r="AC1620" s="8" t="b">
        <v>0</v>
      </c>
      <c r="AD1620" s="8" t="b">
        <v>0</v>
      </c>
      <c r="AE1620" s="8" t="b">
        <v>1</v>
      </c>
      <c r="AG1620" s="11" t="b" cm="1">
        <f t="array" ref="AG1620">IF(OR(Y1620:AA1620="TRUE", AE1620="true"), "Threatened")</f>
        <v>0</v>
      </c>
      <c r="AH1620" s="11" t="s">
        <v>4223</v>
      </c>
      <c r="AI1620" s="8" t="b">
        <v>1</v>
      </c>
    </row>
    <row r="1621" spans="1:35" ht="31.2">
      <c r="A1621" s="8">
        <v>-73.963560619999996</v>
      </c>
      <c r="B1621" s="8">
        <v>40.782206969999997</v>
      </c>
      <c r="C1621" s="8" t="s">
        <v>4224</v>
      </c>
      <c r="D1621" s="8" t="s">
        <v>1287</v>
      </c>
      <c r="E1621" s="8" t="b">
        <f t="shared" si="25"/>
        <v>0</v>
      </c>
      <c r="F1621" s="8" t="str" cm="1">
        <f t="array" ref="F1621">_xlfn._xlws.FILTER(E1621:E4819, C1621:C4819= "6D-PM-1020-01", "No Squirrels Found")</f>
        <v>No Squirrels Found</v>
      </c>
      <c r="G1621" s="8" t="s">
        <v>48</v>
      </c>
      <c r="H1621" s="10">
        <v>10182018</v>
      </c>
      <c r="I1621" s="10">
        <v>3</v>
      </c>
      <c r="J1621" s="8" t="s">
        <v>54</v>
      </c>
      <c r="K1621" s="8" t="s">
        <v>40</v>
      </c>
      <c r="L1621" s="8" t="s">
        <v>41</v>
      </c>
      <c r="M1621" s="8" t="s">
        <v>42</v>
      </c>
      <c r="O1621" s="8" t="s">
        <v>43</v>
      </c>
      <c r="P1621" s="8" t="b">
        <v>0</v>
      </c>
      <c r="R1621" s="8" t="b">
        <v>0</v>
      </c>
      <c r="S1621" s="8" t="b">
        <v>0</v>
      </c>
      <c r="T1621" s="8" t="b">
        <v>0</v>
      </c>
      <c r="U1621" s="8" t="b">
        <v>1</v>
      </c>
      <c r="V1621" s="8" t="b">
        <v>0</v>
      </c>
      <c r="X1621" s="8" t="b">
        <v>0</v>
      </c>
      <c r="Y1621" s="8" t="b">
        <v>0</v>
      </c>
      <c r="Z1621" s="8" t="b">
        <v>0</v>
      </c>
      <c r="AA1621" s="8" t="b">
        <v>0</v>
      </c>
      <c r="AB1621" s="8" t="b">
        <v>0</v>
      </c>
      <c r="AC1621" s="8" t="b">
        <v>0</v>
      </c>
      <c r="AD1621" s="8" t="b">
        <v>0</v>
      </c>
      <c r="AE1621" s="8" t="b">
        <v>1</v>
      </c>
      <c r="AG1621" s="11" t="b" cm="1">
        <f t="array" ref="AG1621">IF(OR(Y1621:AA1621="TRUE", AE1621="true"), "Threatened")</f>
        <v>0</v>
      </c>
      <c r="AH1621" s="11" t="s">
        <v>4225</v>
      </c>
      <c r="AI1621" s="8" t="b">
        <v>1</v>
      </c>
    </row>
    <row r="1622" spans="1:35" ht="31.2">
      <c r="A1622" s="8">
        <v>-73.973496929999996</v>
      </c>
      <c r="B1622" s="8">
        <v>40.772275460000003</v>
      </c>
      <c r="C1622" s="8" t="s">
        <v>4226</v>
      </c>
      <c r="D1622" s="8" t="s">
        <v>1209</v>
      </c>
      <c r="E1622" s="8" t="b">
        <f t="shared" si="25"/>
        <v>0</v>
      </c>
      <c r="F1622" s="8" t="str" cm="1">
        <f t="array" ref="F1622">_xlfn._xlws.FILTER(E1622:E4820, C1622:C4820= "6D-PM-1020-01", "No Squirrels Found")</f>
        <v>No Squirrels Found</v>
      </c>
      <c r="G1622" s="8" t="s">
        <v>48</v>
      </c>
      <c r="H1622" s="10">
        <v>10132018</v>
      </c>
      <c r="I1622" s="10">
        <v>1</v>
      </c>
      <c r="J1622" s="8" t="s">
        <v>39</v>
      </c>
      <c r="K1622" s="8" t="s">
        <v>40</v>
      </c>
      <c r="L1622" s="8" t="s">
        <v>41</v>
      </c>
      <c r="M1622" s="8" t="s">
        <v>42</v>
      </c>
      <c r="O1622" s="8" t="s">
        <v>43</v>
      </c>
      <c r="P1622" s="8" t="b">
        <v>0</v>
      </c>
      <c r="R1622" s="8" t="b">
        <v>0</v>
      </c>
      <c r="S1622" s="8" t="b">
        <v>0</v>
      </c>
      <c r="T1622" s="8" t="b">
        <v>0</v>
      </c>
      <c r="U1622" s="8" t="b">
        <v>1</v>
      </c>
      <c r="V1622" s="8" t="b">
        <v>0</v>
      </c>
      <c r="X1622" s="8" t="b">
        <v>0</v>
      </c>
      <c r="Y1622" s="8" t="b">
        <v>0</v>
      </c>
      <c r="Z1622" s="8" t="b">
        <v>0</v>
      </c>
      <c r="AA1622" s="8" t="b">
        <v>0</v>
      </c>
      <c r="AB1622" s="8" t="b">
        <v>0</v>
      </c>
      <c r="AC1622" s="8" t="b">
        <v>0</v>
      </c>
      <c r="AD1622" s="8" t="b">
        <v>0</v>
      </c>
      <c r="AE1622" s="8" t="b">
        <v>1</v>
      </c>
      <c r="AG1622" s="11" t="b" cm="1">
        <f t="array" ref="AG1622">IF(OR(Y1622:AA1622="TRUE", AE1622="true"), "Threatened")</f>
        <v>0</v>
      </c>
      <c r="AH1622" s="11" t="s">
        <v>4227</v>
      </c>
      <c r="AI1622" s="8" t="b">
        <v>1</v>
      </c>
    </row>
    <row r="1623" spans="1:35" ht="31.2">
      <c r="A1623" s="8">
        <v>-73.96150901</v>
      </c>
      <c r="B1623" s="8">
        <v>40.794515019999999</v>
      </c>
      <c r="C1623" s="8" t="s">
        <v>4228</v>
      </c>
      <c r="D1623" s="8" t="s">
        <v>301</v>
      </c>
      <c r="E1623" s="8" t="b">
        <f t="shared" si="25"/>
        <v>0</v>
      </c>
      <c r="F1623" s="8" t="str" cm="1">
        <f t="array" ref="F1623">_xlfn._xlws.FILTER(E1623:E4821, C1623:C4821= "6D-PM-1020-01", "No Squirrels Found")</f>
        <v>No Squirrels Found</v>
      </c>
      <c r="G1623" s="8" t="s">
        <v>34</v>
      </c>
      <c r="H1623" s="10">
        <v>10132018</v>
      </c>
      <c r="I1623" s="10">
        <v>9</v>
      </c>
      <c r="K1623" s="8" t="s">
        <v>40</v>
      </c>
      <c r="L1623" s="8" t="s">
        <v>41</v>
      </c>
      <c r="M1623" s="8" t="s">
        <v>42</v>
      </c>
      <c r="O1623" s="8" t="s">
        <v>43</v>
      </c>
      <c r="P1623" s="8" t="b">
        <v>0</v>
      </c>
      <c r="R1623" s="8" t="b">
        <v>0</v>
      </c>
      <c r="S1623" s="8" t="b">
        <v>0</v>
      </c>
      <c r="T1623" s="8" t="b">
        <v>0</v>
      </c>
      <c r="U1623" s="8" t="b">
        <v>1</v>
      </c>
      <c r="V1623" s="8" t="b">
        <v>1</v>
      </c>
      <c r="X1623" s="8" t="b">
        <v>0</v>
      </c>
      <c r="Y1623" s="8" t="b">
        <v>0</v>
      </c>
      <c r="Z1623" s="8" t="b">
        <v>0</v>
      </c>
      <c r="AA1623" s="8" t="b">
        <v>0</v>
      </c>
      <c r="AB1623" s="8" t="b">
        <v>0</v>
      </c>
      <c r="AC1623" s="8" t="b">
        <v>0</v>
      </c>
      <c r="AD1623" s="8" t="b">
        <v>0</v>
      </c>
      <c r="AE1623" s="8" t="b">
        <v>1</v>
      </c>
      <c r="AG1623" s="11" t="b" cm="1">
        <f t="array" ref="AG1623">IF(OR(Y1623:AA1623="TRUE", AE1623="true"), "Threatened")</f>
        <v>0</v>
      </c>
      <c r="AH1623" s="11" t="s">
        <v>4229</v>
      </c>
      <c r="AI1623" s="8" t="b">
        <v>1</v>
      </c>
    </row>
    <row r="1624" spans="1:35" ht="31.2">
      <c r="A1624" s="8">
        <v>-73.977011910000002</v>
      </c>
      <c r="B1624" s="8">
        <v>40.773294909999997</v>
      </c>
      <c r="C1624" s="8" t="s">
        <v>4230</v>
      </c>
      <c r="D1624" s="8" t="s">
        <v>753</v>
      </c>
      <c r="E1624" s="8" t="b">
        <f t="shared" si="25"/>
        <v>0</v>
      </c>
      <c r="F1624" s="8" t="str" cm="1">
        <f t="array" ref="F1624">_xlfn._xlws.FILTER(E1624:E4822, C1624:C4822= "6D-PM-1020-01", "No Squirrels Found")</f>
        <v>No Squirrels Found</v>
      </c>
      <c r="G1624" s="8" t="s">
        <v>48</v>
      </c>
      <c r="H1624" s="10">
        <v>10132018</v>
      </c>
      <c r="I1624" s="10">
        <v>4</v>
      </c>
      <c r="J1624" s="8" t="s">
        <v>54</v>
      </c>
      <c r="M1624" s="8" t="s">
        <v>35</v>
      </c>
      <c r="O1624" s="8" t="s">
        <v>50</v>
      </c>
      <c r="P1624" s="8">
        <v>4</v>
      </c>
      <c r="Q1624" s="8" t="s">
        <v>754</v>
      </c>
      <c r="R1624" s="8" t="b">
        <v>1</v>
      </c>
      <c r="S1624" s="8" t="b">
        <v>1</v>
      </c>
      <c r="T1624" s="8" t="b">
        <v>0</v>
      </c>
      <c r="U1624" s="8" t="b">
        <v>1</v>
      </c>
      <c r="V1624" s="8" t="b">
        <v>1</v>
      </c>
      <c r="W1624" s="11" t="s">
        <v>755</v>
      </c>
      <c r="X1624" s="8" t="b">
        <v>0</v>
      </c>
      <c r="Y1624" s="8" t="b">
        <v>0</v>
      </c>
      <c r="Z1624" s="8" t="b">
        <v>0</v>
      </c>
      <c r="AA1624" s="8" t="b">
        <v>0</v>
      </c>
      <c r="AB1624" s="8" t="b">
        <v>0</v>
      </c>
      <c r="AC1624" s="8" t="b">
        <v>1</v>
      </c>
      <c r="AD1624" s="8" t="b">
        <v>0</v>
      </c>
      <c r="AE1624" s="8" t="b">
        <v>0</v>
      </c>
      <c r="AG1624" s="11" t="b" cm="1">
        <f t="array" ref="AG1624">IF(OR(Y1624:AA1624="TRUE", AE1624="true"), "Threatened")</f>
        <v>0</v>
      </c>
      <c r="AH1624" s="11" t="s">
        <v>4231</v>
      </c>
      <c r="AI1624" s="8" t="b">
        <v>0</v>
      </c>
    </row>
    <row r="1625" spans="1:35" ht="31.2">
      <c r="A1625" s="8">
        <v>-73.973706000000007</v>
      </c>
      <c r="B1625" s="8">
        <v>40.772566019999999</v>
      </c>
      <c r="C1625" s="8" t="s">
        <v>4232</v>
      </c>
      <c r="D1625" s="8" t="s">
        <v>2088</v>
      </c>
      <c r="E1625" s="8" t="b">
        <f t="shared" si="25"/>
        <v>0</v>
      </c>
      <c r="F1625" s="8" t="str" cm="1">
        <f t="array" ref="F1625">_xlfn._xlws.FILTER(E1625:E4823, C1625:C4823= "6D-PM-1020-01", "No Squirrels Found")</f>
        <v>No Squirrels Found</v>
      </c>
      <c r="G1625" s="8" t="s">
        <v>48</v>
      </c>
      <c r="H1625" s="10">
        <v>10072018</v>
      </c>
      <c r="I1625" s="10">
        <v>5</v>
      </c>
      <c r="J1625" s="8" t="s">
        <v>39</v>
      </c>
      <c r="K1625" s="8" t="s">
        <v>40</v>
      </c>
      <c r="M1625" s="8" t="s">
        <v>55</v>
      </c>
      <c r="O1625" s="8" t="s">
        <v>50</v>
      </c>
      <c r="P1625" s="8">
        <v>15</v>
      </c>
      <c r="R1625" s="8" t="b">
        <v>0</v>
      </c>
      <c r="S1625" s="8" t="b">
        <v>0</v>
      </c>
      <c r="T1625" s="8" t="b">
        <v>0</v>
      </c>
      <c r="U1625" s="8" t="b">
        <v>1</v>
      </c>
      <c r="V1625" s="8" t="b">
        <v>0</v>
      </c>
      <c r="X1625" s="8" t="b">
        <v>0</v>
      </c>
      <c r="Y1625" s="8" t="b">
        <v>0</v>
      </c>
      <c r="Z1625" s="8" t="b">
        <v>0</v>
      </c>
      <c r="AA1625" s="8" t="b">
        <v>0</v>
      </c>
      <c r="AB1625" s="8" t="b">
        <v>0</v>
      </c>
      <c r="AC1625" s="8" t="b">
        <v>0</v>
      </c>
      <c r="AD1625" s="8" t="b">
        <v>0</v>
      </c>
      <c r="AE1625" s="8" t="b">
        <v>0</v>
      </c>
      <c r="AG1625" s="11" t="b" cm="1">
        <f t="array" ref="AG1625">IF(OR(Y1625:AA1625="TRUE", AE1625="true"), "Threatened")</f>
        <v>0</v>
      </c>
      <c r="AH1625" s="11" t="s">
        <v>4233</v>
      </c>
      <c r="AI1625" s="8" t="b">
        <v>1</v>
      </c>
    </row>
    <row r="1626" spans="1:35" ht="31.2">
      <c r="A1626" s="8">
        <v>-73.973687299999995</v>
      </c>
      <c r="B1626" s="8">
        <v>40.764910669999999</v>
      </c>
      <c r="C1626" s="8" t="s">
        <v>4234</v>
      </c>
      <c r="D1626" s="8" t="s">
        <v>4235</v>
      </c>
      <c r="E1626" s="8" t="b">
        <f t="shared" si="25"/>
        <v>0</v>
      </c>
      <c r="F1626" s="8" t="str" cm="1">
        <f t="array" ref="F1626">_xlfn._xlws.FILTER(E1626:E4824, C1626:C4824= "6D-PM-1020-01", "No Squirrels Found")</f>
        <v>No Squirrels Found</v>
      </c>
      <c r="G1626" s="8" t="s">
        <v>34</v>
      </c>
      <c r="H1626" s="10">
        <v>10122018</v>
      </c>
      <c r="I1626" s="10">
        <v>2</v>
      </c>
      <c r="J1626" s="8" t="s">
        <v>54</v>
      </c>
      <c r="K1626" s="8" t="s">
        <v>40</v>
      </c>
      <c r="L1626" s="8" t="s">
        <v>168</v>
      </c>
      <c r="M1626" s="8" t="s">
        <v>169</v>
      </c>
      <c r="N1626" s="11" t="s">
        <v>4236</v>
      </c>
      <c r="O1626" s="8" t="s">
        <v>50</v>
      </c>
      <c r="P1626" s="8">
        <v>1</v>
      </c>
      <c r="Q1626" s="8" t="s">
        <v>206</v>
      </c>
      <c r="R1626" s="8" t="b">
        <v>0</v>
      </c>
      <c r="S1626" s="8" t="b">
        <v>0</v>
      </c>
      <c r="T1626" s="8" t="b">
        <v>1</v>
      </c>
      <c r="U1626" s="8" t="b">
        <v>0</v>
      </c>
      <c r="V1626" s="8" t="b">
        <v>0</v>
      </c>
      <c r="X1626" s="8" t="b">
        <v>1</v>
      </c>
      <c r="Y1626" s="8" t="b">
        <v>0</v>
      </c>
      <c r="Z1626" s="8" t="b">
        <v>0</v>
      </c>
      <c r="AA1626" s="8" t="b">
        <v>0</v>
      </c>
      <c r="AB1626" s="8" t="b">
        <v>0</v>
      </c>
      <c r="AC1626" s="8" t="b">
        <v>0</v>
      </c>
      <c r="AD1626" s="8" t="b">
        <v>0</v>
      </c>
      <c r="AE1626" s="8" t="b">
        <v>1</v>
      </c>
      <c r="AG1626" s="11" t="b" cm="1">
        <f t="array" ref="AG1626">IF(OR(Y1626:AA1626="TRUE", AE1626="true"), "Threatened")</f>
        <v>0</v>
      </c>
      <c r="AH1626" s="11" t="s">
        <v>4237</v>
      </c>
      <c r="AI1626" s="8" t="b">
        <v>1</v>
      </c>
    </row>
    <row r="1627" spans="1:35" ht="31.2">
      <c r="A1627" s="8">
        <v>-73.961751910000004</v>
      </c>
      <c r="B1627" s="8">
        <v>40.794717910000003</v>
      </c>
      <c r="C1627" s="8" t="s">
        <v>4238</v>
      </c>
      <c r="D1627" s="8" t="s">
        <v>301</v>
      </c>
      <c r="E1627" s="8" t="b">
        <f t="shared" si="25"/>
        <v>0</v>
      </c>
      <c r="F1627" s="8" t="str" cm="1">
        <f t="array" ref="F1627">_xlfn._xlws.FILTER(E1627:E4825, C1627:C4825= "6D-PM-1020-01", "No Squirrels Found")</f>
        <v>No Squirrels Found</v>
      </c>
      <c r="G1627" s="8" t="s">
        <v>34</v>
      </c>
      <c r="H1627" s="10">
        <v>10132018</v>
      </c>
      <c r="I1627" s="10">
        <v>4</v>
      </c>
      <c r="J1627" s="8" t="s">
        <v>39</v>
      </c>
      <c r="K1627" s="8" t="s">
        <v>40</v>
      </c>
      <c r="M1627" s="8" t="s">
        <v>55</v>
      </c>
      <c r="O1627" s="8" t="s">
        <v>43</v>
      </c>
      <c r="P1627" s="8" t="b">
        <v>0</v>
      </c>
      <c r="Q1627" s="8" t="s">
        <v>4239</v>
      </c>
      <c r="R1627" s="8" t="b">
        <v>0</v>
      </c>
      <c r="S1627" s="8" t="b">
        <v>0</v>
      </c>
      <c r="T1627" s="8" t="b">
        <v>0</v>
      </c>
      <c r="U1627" s="8" t="b">
        <v>0</v>
      </c>
      <c r="V1627" s="8" t="b">
        <v>1</v>
      </c>
      <c r="X1627" s="8" t="b">
        <v>0</v>
      </c>
      <c r="Y1627" s="8" t="b">
        <v>0</v>
      </c>
      <c r="Z1627" s="8" t="b">
        <v>0</v>
      </c>
      <c r="AA1627" s="8" t="b">
        <v>0</v>
      </c>
      <c r="AB1627" s="8" t="b">
        <v>0</v>
      </c>
      <c r="AC1627" s="8" t="b">
        <v>0</v>
      </c>
      <c r="AD1627" s="8" t="b">
        <v>0</v>
      </c>
      <c r="AE1627" s="8" t="b">
        <v>1</v>
      </c>
      <c r="AG1627" s="11" t="b" cm="1">
        <f t="array" ref="AG1627">IF(OR(Y1627:AA1627="TRUE", AE1627="true"), "Threatened")</f>
        <v>0</v>
      </c>
      <c r="AH1627" s="11" t="s">
        <v>4240</v>
      </c>
      <c r="AI1627" s="8" t="b">
        <v>1</v>
      </c>
    </row>
    <row r="1628" spans="1:35" ht="31.2">
      <c r="A1628" s="8">
        <v>-73.959439180000004</v>
      </c>
      <c r="B1628" s="8">
        <v>40.784115700000001</v>
      </c>
      <c r="C1628" s="8" t="s">
        <v>4241</v>
      </c>
      <c r="D1628" s="8" t="s">
        <v>848</v>
      </c>
      <c r="E1628" s="8" t="b">
        <f t="shared" si="25"/>
        <v>0</v>
      </c>
      <c r="F1628" s="8" t="str" cm="1">
        <f t="array" ref="F1628">_xlfn._xlws.FILTER(E1628:E4826, C1628:C4826= "6D-PM-1020-01", "No Squirrels Found")</f>
        <v>No Squirrels Found</v>
      </c>
      <c r="G1628" s="8" t="s">
        <v>34</v>
      </c>
      <c r="H1628" s="10">
        <v>10102018</v>
      </c>
      <c r="I1628" s="10">
        <v>3</v>
      </c>
      <c r="J1628" s="8" t="s">
        <v>39</v>
      </c>
      <c r="K1628" s="8" t="s">
        <v>40</v>
      </c>
      <c r="L1628" s="8" t="s">
        <v>168</v>
      </c>
      <c r="M1628" s="8" t="s">
        <v>169</v>
      </c>
      <c r="N1628" s="11" t="s">
        <v>4242</v>
      </c>
      <c r="O1628" s="8" t="s">
        <v>50</v>
      </c>
      <c r="P1628" s="8">
        <v>15</v>
      </c>
      <c r="Q1628" s="8" t="s">
        <v>206</v>
      </c>
      <c r="R1628" s="8" t="b">
        <v>0</v>
      </c>
      <c r="S1628" s="8" t="b">
        <v>0</v>
      </c>
      <c r="T1628" s="8" t="b">
        <v>1</v>
      </c>
      <c r="U1628" s="8" t="b">
        <v>1</v>
      </c>
      <c r="V1628" s="8" t="b">
        <v>1</v>
      </c>
      <c r="X1628" s="8" t="b">
        <v>0</v>
      </c>
      <c r="Y1628" s="8" t="b">
        <v>0</v>
      </c>
      <c r="Z1628" s="8" t="b">
        <v>0</v>
      </c>
      <c r="AA1628" s="8" t="b">
        <v>0</v>
      </c>
      <c r="AB1628" s="8" t="b">
        <v>1</v>
      </c>
      <c r="AC1628" s="8" t="b">
        <v>0</v>
      </c>
      <c r="AD1628" s="8" t="b">
        <v>1</v>
      </c>
      <c r="AE1628" s="8" t="b">
        <v>0</v>
      </c>
      <c r="AG1628" s="11" t="b" cm="1">
        <f t="array" ref="AG1628">IF(OR(Y1628:AA1628="TRUE", AE1628="true"), "Threatened")</f>
        <v>0</v>
      </c>
      <c r="AH1628" s="11" t="s">
        <v>4243</v>
      </c>
      <c r="AI1628" s="8" t="b">
        <v>1</v>
      </c>
    </row>
    <row r="1629" spans="1:35" ht="31.2">
      <c r="A1629" s="8">
        <v>-73.971366520000004</v>
      </c>
      <c r="B1629" s="8">
        <v>40.76971786</v>
      </c>
      <c r="C1629" s="8" t="s">
        <v>4244</v>
      </c>
      <c r="D1629" s="8" t="s">
        <v>113</v>
      </c>
      <c r="E1629" s="8" t="b">
        <f t="shared" si="25"/>
        <v>0</v>
      </c>
      <c r="F1629" s="8" t="str" cm="1">
        <f t="array" ref="F1629">_xlfn._xlws.FILTER(E1629:E4827, C1629:C4827= "6D-PM-1020-01", "No Squirrels Found")</f>
        <v>No Squirrels Found</v>
      </c>
      <c r="G1629" s="8" t="s">
        <v>48</v>
      </c>
      <c r="H1629" s="10">
        <v>10062018</v>
      </c>
      <c r="I1629" s="10">
        <v>1</v>
      </c>
      <c r="J1629" s="8" t="s">
        <v>39</v>
      </c>
      <c r="K1629" s="8" t="s">
        <v>40</v>
      </c>
      <c r="L1629" s="8" t="s">
        <v>41</v>
      </c>
      <c r="M1629" s="8" t="s">
        <v>42</v>
      </c>
      <c r="O1629" s="8" t="s">
        <v>43</v>
      </c>
      <c r="P1629" s="8" t="b">
        <v>0</v>
      </c>
      <c r="R1629" s="8" t="b">
        <v>1</v>
      </c>
      <c r="S1629" s="8" t="b">
        <v>0</v>
      </c>
      <c r="T1629" s="8" t="b">
        <v>0</v>
      </c>
      <c r="U1629" s="8" t="b">
        <v>0</v>
      </c>
      <c r="V1629" s="8" t="b">
        <v>0</v>
      </c>
      <c r="W1629" s="11" t="s">
        <v>2549</v>
      </c>
      <c r="X1629" s="8" t="b">
        <v>0</v>
      </c>
      <c r="Y1629" s="8" t="b">
        <v>0</v>
      </c>
      <c r="Z1629" s="8" t="b">
        <v>0</v>
      </c>
      <c r="AA1629" s="8" t="b">
        <v>0</v>
      </c>
      <c r="AB1629" s="8" t="b">
        <v>0</v>
      </c>
      <c r="AC1629" s="8" t="b">
        <v>0</v>
      </c>
      <c r="AD1629" s="8" t="b">
        <v>1</v>
      </c>
      <c r="AE1629" s="8" t="b">
        <v>0</v>
      </c>
      <c r="AG1629" s="11" t="b" cm="1">
        <f t="array" ref="AG1629">IF(OR(Y1629:AA1629="TRUE", AE1629="true"), "Threatened")</f>
        <v>0</v>
      </c>
      <c r="AH1629" s="11" t="s">
        <v>4245</v>
      </c>
      <c r="AI1629" s="8" t="b">
        <v>0</v>
      </c>
    </row>
    <row r="1630" spans="1:35" ht="31.2">
      <c r="A1630" s="8">
        <v>-73.975942799999999</v>
      </c>
      <c r="B1630" s="8">
        <v>40.771508179999998</v>
      </c>
      <c r="C1630" s="8" t="s">
        <v>4246</v>
      </c>
      <c r="D1630" s="8" t="s">
        <v>2804</v>
      </c>
      <c r="E1630" s="8" t="b">
        <f t="shared" si="25"/>
        <v>0</v>
      </c>
      <c r="F1630" s="8" t="str" cm="1">
        <f t="array" ref="F1630">_xlfn._xlws.FILTER(E1630:E4828, C1630:C4828= "6D-PM-1020-01", "No Squirrels Found")</f>
        <v>No Squirrels Found</v>
      </c>
      <c r="G1630" s="8" t="s">
        <v>34</v>
      </c>
      <c r="H1630" s="10">
        <v>10202018</v>
      </c>
      <c r="I1630" s="10">
        <v>6</v>
      </c>
      <c r="J1630" s="8" t="s">
        <v>39</v>
      </c>
      <c r="K1630" s="8" t="s">
        <v>40</v>
      </c>
      <c r="M1630" s="8" t="s">
        <v>55</v>
      </c>
      <c r="O1630" s="8" t="s">
        <v>43</v>
      </c>
      <c r="P1630" s="8" t="b">
        <v>0</v>
      </c>
      <c r="R1630" s="8" t="b">
        <v>0</v>
      </c>
      <c r="S1630" s="8" t="b">
        <v>1</v>
      </c>
      <c r="T1630" s="8" t="b">
        <v>0</v>
      </c>
      <c r="U1630" s="8" t="b">
        <v>0</v>
      </c>
      <c r="V1630" s="8" t="b">
        <v>0</v>
      </c>
      <c r="X1630" s="8" t="b">
        <v>0</v>
      </c>
      <c r="Y1630" s="8" t="b">
        <v>1</v>
      </c>
      <c r="Z1630" s="8" t="b">
        <v>0</v>
      </c>
      <c r="AA1630" s="8" t="b">
        <v>0</v>
      </c>
      <c r="AB1630" s="8" t="b">
        <v>0</v>
      </c>
      <c r="AC1630" s="8" t="b">
        <v>0</v>
      </c>
      <c r="AD1630" s="8" t="b">
        <v>0</v>
      </c>
      <c r="AE1630" s="8" t="b">
        <v>0</v>
      </c>
      <c r="AG1630" s="11" t="b" cm="1">
        <f t="array" ref="AG1630">IF(OR(Y1630:AA1630="TRUE", AE1630="true"), "Threatened")</f>
        <v>0</v>
      </c>
      <c r="AH1630" s="11" t="s">
        <v>4247</v>
      </c>
      <c r="AI1630" s="8" t="b">
        <v>1</v>
      </c>
    </row>
    <row r="1631" spans="1:35" ht="31.2">
      <c r="A1631" s="8">
        <v>-73.971002549999994</v>
      </c>
      <c r="B1631" s="8">
        <v>40.77925295</v>
      </c>
      <c r="C1631" s="8" t="s">
        <v>4248</v>
      </c>
      <c r="D1631" s="8" t="s">
        <v>116</v>
      </c>
      <c r="E1631" s="8" t="b">
        <f t="shared" si="25"/>
        <v>0</v>
      </c>
      <c r="F1631" s="8" t="str" cm="1">
        <f t="array" ref="F1631">_xlfn._xlws.FILTER(E1631:E4829, C1631:C4829= "6D-PM-1020-01", "No Squirrels Found")</f>
        <v>No Squirrels Found</v>
      </c>
      <c r="G1631" s="8" t="s">
        <v>48</v>
      </c>
      <c r="H1631" s="10">
        <v>10142018</v>
      </c>
      <c r="I1631" s="10">
        <v>1</v>
      </c>
      <c r="J1631" s="8" t="s">
        <v>54</v>
      </c>
      <c r="K1631" s="8" t="s">
        <v>40</v>
      </c>
      <c r="M1631" s="8" t="s">
        <v>55</v>
      </c>
      <c r="O1631" s="8" t="s">
        <v>50</v>
      </c>
      <c r="P1631" s="8">
        <v>40</v>
      </c>
      <c r="R1631" s="8" t="b">
        <v>0</v>
      </c>
      <c r="S1631" s="8" t="b">
        <v>0</v>
      </c>
      <c r="T1631" s="8" t="b">
        <v>1</v>
      </c>
      <c r="U1631" s="8" t="b">
        <v>0</v>
      </c>
      <c r="V1631" s="8" t="b">
        <v>0</v>
      </c>
      <c r="X1631" s="8" t="b">
        <v>0</v>
      </c>
      <c r="Y1631" s="8" t="b">
        <v>0</v>
      </c>
      <c r="Z1631" s="8" t="b">
        <v>0</v>
      </c>
      <c r="AA1631" s="8" t="b">
        <v>0</v>
      </c>
      <c r="AB1631" s="8" t="b">
        <v>0</v>
      </c>
      <c r="AC1631" s="8" t="b">
        <v>0</v>
      </c>
      <c r="AD1631" s="8" t="b">
        <v>1</v>
      </c>
      <c r="AE1631" s="8" t="b">
        <v>0</v>
      </c>
      <c r="AG1631" s="11" t="b" cm="1">
        <f t="array" ref="AG1631">IF(OR(Y1631:AA1631="TRUE", AE1631="true"), "Threatened")</f>
        <v>0</v>
      </c>
      <c r="AH1631" s="11" t="s">
        <v>4249</v>
      </c>
      <c r="AI1631" s="8" t="b">
        <v>1</v>
      </c>
    </row>
    <row r="1632" spans="1:35" ht="31.2">
      <c r="A1632" s="8">
        <v>-73.952719669999993</v>
      </c>
      <c r="B1632" s="8">
        <v>40.792363829999999</v>
      </c>
      <c r="C1632" s="8" t="s">
        <v>4250</v>
      </c>
      <c r="D1632" s="8" t="s">
        <v>106</v>
      </c>
      <c r="E1632" s="8" t="b">
        <f t="shared" si="25"/>
        <v>0</v>
      </c>
      <c r="F1632" s="8" t="str" cm="1">
        <f t="array" ref="F1632">_xlfn._xlws.FILTER(E1632:E4830, C1632:C4830= "6D-PM-1020-01", "No Squirrels Found")</f>
        <v>No Squirrels Found</v>
      </c>
      <c r="G1632" s="8" t="s">
        <v>34</v>
      </c>
      <c r="H1632" s="10">
        <v>10072018</v>
      </c>
      <c r="I1632" s="10">
        <v>11</v>
      </c>
      <c r="J1632" s="8" t="s">
        <v>54</v>
      </c>
      <c r="K1632" s="8" t="s">
        <v>41</v>
      </c>
      <c r="L1632" s="8" t="s">
        <v>40</v>
      </c>
      <c r="M1632" s="8" t="s">
        <v>110</v>
      </c>
      <c r="O1632" s="8" t="s">
        <v>50</v>
      </c>
      <c r="P1632" s="8">
        <v>3</v>
      </c>
      <c r="R1632" s="8" t="b">
        <v>0</v>
      </c>
      <c r="S1632" s="8" t="b">
        <v>0</v>
      </c>
      <c r="T1632" s="8" t="b">
        <v>1</v>
      </c>
      <c r="U1632" s="8" t="b">
        <v>0</v>
      </c>
      <c r="V1632" s="8" t="b">
        <v>0</v>
      </c>
      <c r="X1632" s="8" t="b">
        <v>0</v>
      </c>
      <c r="Y1632" s="8" t="b">
        <v>0</v>
      </c>
      <c r="Z1632" s="8" t="b">
        <v>0</v>
      </c>
      <c r="AA1632" s="8" t="b">
        <v>0</v>
      </c>
      <c r="AB1632" s="8" t="b">
        <v>0</v>
      </c>
      <c r="AC1632" s="8" t="b">
        <v>0</v>
      </c>
      <c r="AD1632" s="8" t="b">
        <v>0</v>
      </c>
      <c r="AE1632" s="8" t="b">
        <v>1</v>
      </c>
      <c r="AF1632" s="11" t="s">
        <v>4251</v>
      </c>
      <c r="AG1632" s="11" t="b" cm="1">
        <f t="array" ref="AG1632">IF(OR(Y1632:AA1632="TRUE", AE1632="true"), "Threatened")</f>
        <v>0</v>
      </c>
      <c r="AH1632" s="11" t="s">
        <v>4252</v>
      </c>
      <c r="AI1632" s="8" t="b">
        <v>1</v>
      </c>
    </row>
    <row r="1633" spans="1:35" ht="31.2">
      <c r="A1633" s="8">
        <v>-73.959239269999998</v>
      </c>
      <c r="B1633" s="8">
        <v>40.796187000000003</v>
      </c>
      <c r="C1633" s="8" t="s">
        <v>4253</v>
      </c>
      <c r="D1633" s="8" t="s">
        <v>972</v>
      </c>
      <c r="E1633" s="8" t="b">
        <f t="shared" si="25"/>
        <v>0</v>
      </c>
      <c r="F1633" s="8" t="str" cm="1">
        <f t="array" ref="F1633">_xlfn._xlws.FILTER(E1633:E4831, C1633:C4831= "6D-PM-1020-01", "No Squirrels Found")</f>
        <v>No Squirrels Found</v>
      </c>
      <c r="G1633" s="8" t="s">
        <v>48</v>
      </c>
      <c r="H1633" s="10">
        <v>10182018</v>
      </c>
      <c r="I1633" s="10">
        <v>2</v>
      </c>
      <c r="J1633" s="8" t="s">
        <v>39</v>
      </c>
      <c r="K1633" s="8" t="s">
        <v>40</v>
      </c>
      <c r="M1633" s="8" t="s">
        <v>55</v>
      </c>
      <c r="O1633" s="8" t="s">
        <v>43</v>
      </c>
      <c r="P1633" s="8" t="b">
        <v>0</v>
      </c>
      <c r="R1633" s="8" t="b">
        <v>0</v>
      </c>
      <c r="S1633" s="8" t="b">
        <v>0</v>
      </c>
      <c r="T1633" s="8" t="b">
        <v>0</v>
      </c>
      <c r="U1633" s="8" t="b">
        <v>1</v>
      </c>
      <c r="V1633" s="8" t="b">
        <v>0</v>
      </c>
      <c r="X1633" s="8" t="b">
        <v>0</v>
      </c>
      <c r="Y1633" s="8" t="b">
        <v>0</v>
      </c>
      <c r="Z1633" s="8" t="b">
        <v>0</v>
      </c>
      <c r="AA1633" s="8" t="b">
        <v>0</v>
      </c>
      <c r="AB1633" s="8" t="b">
        <v>0</v>
      </c>
      <c r="AC1633" s="8" t="b">
        <v>0</v>
      </c>
      <c r="AD1633" s="8" t="b">
        <v>0</v>
      </c>
      <c r="AE1633" s="8" t="b">
        <v>1</v>
      </c>
      <c r="AG1633" s="11" t="b" cm="1">
        <f t="array" ref="AG1633">IF(OR(Y1633:AA1633="TRUE", AE1633="true"), "Threatened")</f>
        <v>0</v>
      </c>
      <c r="AH1633" s="11" t="s">
        <v>4254</v>
      </c>
      <c r="AI1633" s="8" t="b">
        <v>1</v>
      </c>
    </row>
    <row r="1634" spans="1:35" ht="46.8">
      <c r="A1634" s="8">
        <v>-73.974706010000006</v>
      </c>
      <c r="B1634" s="8">
        <v>40.772852819999997</v>
      </c>
      <c r="C1634" s="8" t="s">
        <v>4255</v>
      </c>
      <c r="D1634" s="8" t="s">
        <v>805</v>
      </c>
      <c r="E1634" s="8" t="b">
        <f t="shared" si="25"/>
        <v>0</v>
      </c>
      <c r="F1634" s="8" t="str" cm="1">
        <f t="array" ref="F1634">_xlfn._xlws.FILTER(E1634:E4832, C1634:C4832= "6D-PM-1020-01", "No Squirrels Found")</f>
        <v>No Squirrels Found</v>
      </c>
      <c r="G1634" s="8" t="s">
        <v>48</v>
      </c>
      <c r="H1634" s="10">
        <v>10072018</v>
      </c>
      <c r="I1634" s="10">
        <v>2</v>
      </c>
      <c r="J1634" s="8" t="s">
        <v>39</v>
      </c>
      <c r="K1634" s="8" t="s">
        <v>40</v>
      </c>
      <c r="M1634" s="8" t="s">
        <v>55</v>
      </c>
      <c r="O1634" s="8" t="s">
        <v>43</v>
      </c>
      <c r="P1634" s="8" t="b">
        <v>0</v>
      </c>
      <c r="R1634" s="8" t="b">
        <v>0</v>
      </c>
      <c r="S1634" s="8" t="b">
        <v>0</v>
      </c>
      <c r="T1634" s="8" t="b">
        <v>0</v>
      </c>
      <c r="U1634" s="8" t="b">
        <v>0</v>
      </c>
      <c r="V1634" s="8" t="b">
        <v>1</v>
      </c>
      <c r="X1634" s="8" t="b">
        <v>0</v>
      </c>
      <c r="Y1634" s="8" t="b">
        <v>0</v>
      </c>
      <c r="Z1634" s="8" t="b">
        <v>0</v>
      </c>
      <c r="AA1634" s="8" t="b">
        <v>0</v>
      </c>
      <c r="AB1634" s="8" t="b">
        <v>0</v>
      </c>
      <c r="AC1634" s="8" t="b">
        <v>0</v>
      </c>
      <c r="AD1634" s="8" t="b">
        <v>0</v>
      </c>
      <c r="AE1634" s="8" t="b">
        <v>0</v>
      </c>
      <c r="AF1634" s="11" t="s">
        <v>4256</v>
      </c>
      <c r="AG1634" s="11" t="b" cm="1">
        <f t="array" ref="AG1634">IF(OR(Y1634:AA1634="TRUE", AE1634="true"), "Threatened")</f>
        <v>0</v>
      </c>
      <c r="AH1634" s="11" t="s">
        <v>4257</v>
      </c>
      <c r="AI1634" s="8" t="b">
        <v>1</v>
      </c>
    </row>
    <row r="1635" spans="1:35" ht="31.2">
      <c r="A1635" s="8">
        <v>-73.972645979999996</v>
      </c>
      <c r="B1635" s="8">
        <v>40.76563574</v>
      </c>
      <c r="C1635" s="8" t="s">
        <v>4258</v>
      </c>
      <c r="D1635" s="8" t="s">
        <v>2245</v>
      </c>
      <c r="E1635" s="8" t="b">
        <f t="shared" si="25"/>
        <v>0</v>
      </c>
      <c r="F1635" s="8" t="str" cm="1">
        <f t="array" ref="F1635">_xlfn._xlws.FILTER(E1635:E4833, C1635:C4833= "6D-PM-1020-01", "No Squirrels Found")</f>
        <v>No Squirrels Found</v>
      </c>
      <c r="G1635" s="8" t="s">
        <v>48</v>
      </c>
      <c r="H1635" s="10">
        <v>10062018</v>
      </c>
      <c r="I1635" s="10">
        <v>2</v>
      </c>
      <c r="J1635" s="8" t="s">
        <v>39</v>
      </c>
      <c r="K1635" s="8" t="s">
        <v>40</v>
      </c>
      <c r="M1635" s="8" t="s">
        <v>55</v>
      </c>
      <c r="O1635" s="8" t="s">
        <v>43</v>
      </c>
      <c r="P1635" s="8" t="b">
        <v>0</v>
      </c>
      <c r="R1635" s="8" t="b">
        <v>0</v>
      </c>
      <c r="S1635" s="8" t="b">
        <v>0</v>
      </c>
      <c r="T1635" s="8" t="b">
        <v>0</v>
      </c>
      <c r="U1635" s="8" t="b">
        <v>0</v>
      </c>
      <c r="V1635" s="8" t="b">
        <v>1</v>
      </c>
      <c r="X1635" s="8" t="b">
        <v>0</v>
      </c>
      <c r="Y1635" s="8" t="b">
        <v>0</v>
      </c>
      <c r="Z1635" s="8" t="b">
        <v>0</v>
      </c>
      <c r="AA1635" s="8" t="b">
        <v>0</v>
      </c>
      <c r="AB1635" s="8" t="b">
        <v>0</v>
      </c>
      <c r="AC1635" s="8" t="b">
        <v>0</v>
      </c>
      <c r="AD1635" s="8" t="b">
        <v>1</v>
      </c>
      <c r="AE1635" s="8" t="b">
        <v>0</v>
      </c>
      <c r="AG1635" s="11" t="b" cm="1">
        <f t="array" ref="AG1635">IF(OR(Y1635:AA1635="TRUE", AE1635="true"), "Threatened")</f>
        <v>0</v>
      </c>
      <c r="AH1635" s="11" t="s">
        <v>4259</v>
      </c>
      <c r="AI1635" s="8" t="b">
        <v>1</v>
      </c>
    </row>
    <row r="1636" spans="1:35" ht="31.2">
      <c r="A1636" s="8">
        <v>-73.956073169999996</v>
      </c>
      <c r="B1636" s="8">
        <v>40.798033599999997</v>
      </c>
      <c r="C1636" s="8" t="s">
        <v>4260</v>
      </c>
      <c r="D1636" s="8" t="s">
        <v>353</v>
      </c>
      <c r="E1636" s="8" t="b">
        <f t="shared" si="25"/>
        <v>0</v>
      </c>
      <c r="F1636" s="8" t="str" cm="1">
        <f t="array" ref="F1636">_xlfn._xlws.FILTER(E1636:E4834, C1636:C4834= "6D-PM-1020-01", "No Squirrels Found")</f>
        <v>No Squirrels Found</v>
      </c>
      <c r="G1636" s="8" t="s">
        <v>34</v>
      </c>
      <c r="H1636" s="10">
        <v>10142018</v>
      </c>
      <c r="I1636" s="10">
        <v>2</v>
      </c>
      <c r="J1636" s="8" t="s">
        <v>39</v>
      </c>
      <c r="K1636" s="8" t="s">
        <v>40</v>
      </c>
      <c r="L1636" s="8" t="s">
        <v>41</v>
      </c>
      <c r="M1636" s="8" t="s">
        <v>42</v>
      </c>
      <c r="O1636" s="8" t="s">
        <v>43</v>
      </c>
      <c r="P1636" s="8" t="b">
        <v>0</v>
      </c>
      <c r="R1636" s="8" t="b">
        <v>1</v>
      </c>
      <c r="S1636" s="8" t="b">
        <v>0</v>
      </c>
      <c r="T1636" s="8" t="b">
        <v>0</v>
      </c>
      <c r="U1636" s="8" t="b">
        <v>0</v>
      </c>
      <c r="V1636" s="8" t="b">
        <v>0</v>
      </c>
      <c r="X1636" s="8" t="b">
        <v>0</v>
      </c>
      <c r="Y1636" s="8" t="b">
        <v>0</v>
      </c>
      <c r="Z1636" s="8" t="b">
        <v>0</v>
      </c>
      <c r="AA1636" s="8" t="b">
        <v>0</v>
      </c>
      <c r="AB1636" s="8" t="b">
        <v>0</v>
      </c>
      <c r="AC1636" s="8" t="b">
        <v>0</v>
      </c>
      <c r="AD1636" s="8" t="b">
        <v>0</v>
      </c>
      <c r="AE1636" s="8" t="b">
        <v>1</v>
      </c>
      <c r="AG1636" s="11" t="b" cm="1">
        <f t="array" ref="AG1636">IF(OR(Y1636:AA1636="TRUE", AE1636="true"), "Threatened")</f>
        <v>0</v>
      </c>
      <c r="AH1636" s="11" t="s">
        <v>4261</v>
      </c>
      <c r="AI1636" s="8" t="b">
        <v>1</v>
      </c>
    </row>
    <row r="1637" spans="1:35" ht="31.2">
      <c r="A1637" s="8">
        <v>-73.970140860000001</v>
      </c>
      <c r="B1637" s="8">
        <v>40.76955117</v>
      </c>
      <c r="C1637" s="8" t="s">
        <v>4262</v>
      </c>
      <c r="D1637" s="8" t="s">
        <v>1310</v>
      </c>
      <c r="E1637" s="8" t="b">
        <f t="shared" si="25"/>
        <v>0</v>
      </c>
      <c r="F1637" s="8" t="str" cm="1">
        <f t="array" ref="F1637">_xlfn._xlws.FILTER(E1637:E4835, C1637:C4835= "6D-PM-1020-01", "No Squirrels Found")</f>
        <v>No Squirrels Found</v>
      </c>
      <c r="G1637" s="8" t="s">
        <v>34</v>
      </c>
      <c r="H1637" s="10">
        <v>10132018</v>
      </c>
      <c r="I1637" s="10">
        <v>4</v>
      </c>
      <c r="J1637" s="8" t="s">
        <v>39</v>
      </c>
      <c r="K1637" s="8" t="s">
        <v>41</v>
      </c>
      <c r="L1637" s="8" t="s">
        <v>40</v>
      </c>
      <c r="M1637" s="8" t="s">
        <v>110</v>
      </c>
      <c r="O1637" s="8" t="s">
        <v>43</v>
      </c>
      <c r="P1637" s="8" t="b">
        <v>0</v>
      </c>
      <c r="Q1637" s="8" t="s">
        <v>3457</v>
      </c>
      <c r="R1637" s="8" t="b">
        <v>1</v>
      </c>
      <c r="S1637" s="8" t="b">
        <v>0</v>
      </c>
      <c r="T1637" s="8" t="b">
        <v>0</v>
      </c>
      <c r="U1637" s="8" t="b">
        <v>1</v>
      </c>
      <c r="V1637" s="8" t="b">
        <v>0</v>
      </c>
      <c r="X1637" s="8" t="b">
        <v>0</v>
      </c>
      <c r="Y1637" s="8" t="b">
        <v>0</v>
      </c>
      <c r="Z1637" s="8" t="b">
        <v>0</v>
      </c>
      <c r="AA1637" s="8" t="b">
        <v>1</v>
      </c>
      <c r="AB1637" s="8" t="b">
        <v>0</v>
      </c>
      <c r="AC1637" s="8" t="b">
        <v>0</v>
      </c>
      <c r="AD1637" s="8" t="b">
        <v>0</v>
      </c>
      <c r="AE1637" s="8" t="b">
        <v>0</v>
      </c>
      <c r="AG1637" s="11" t="b" cm="1">
        <f t="array" ref="AG1637">IF(OR(Y1637:AA1637="TRUE", AE1637="true"), "Threatened")</f>
        <v>0</v>
      </c>
      <c r="AH1637" s="11" t="s">
        <v>4263</v>
      </c>
      <c r="AI1637" s="8" t="b">
        <v>1</v>
      </c>
    </row>
    <row r="1638" spans="1:35" ht="31.2">
      <c r="A1638" s="8">
        <v>-73.969951320000007</v>
      </c>
      <c r="B1638" s="8">
        <v>40.772206300000001</v>
      </c>
      <c r="C1638" s="8" t="s">
        <v>4264</v>
      </c>
      <c r="D1638" s="8" t="s">
        <v>609</v>
      </c>
      <c r="E1638" s="8" t="b">
        <f t="shared" si="25"/>
        <v>0</v>
      </c>
      <c r="F1638" s="8" t="str" cm="1">
        <f t="array" ref="F1638">_xlfn._xlws.FILTER(E1638:E4836, C1638:C4836= "6D-PM-1020-01", "No Squirrels Found")</f>
        <v>No Squirrels Found</v>
      </c>
      <c r="G1638" s="8" t="s">
        <v>34</v>
      </c>
      <c r="H1638" s="10">
        <v>10172018</v>
      </c>
      <c r="I1638" s="10">
        <v>5</v>
      </c>
      <c r="J1638" s="8" t="s">
        <v>54</v>
      </c>
      <c r="K1638" s="8" t="s">
        <v>40</v>
      </c>
      <c r="M1638" s="8" t="s">
        <v>55</v>
      </c>
      <c r="O1638" s="8" t="s">
        <v>43</v>
      </c>
      <c r="P1638" s="8" t="b">
        <v>0</v>
      </c>
      <c r="R1638" s="8" t="b">
        <v>0</v>
      </c>
      <c r="S1638" s="8" t="b">
        <v>0</v>
      </c>
      <c r="T1638" s="8" t="b">
        <v>0</v>
      </c>
      <c r="U1638" s="8" t="b">
        <v>1</v>
      </c>
      <c r="V1638" s="8" t="b">
        <v>1</v>
      </c>
      <c r="X1638" s="8" t="b">
        <v>0</v>
      </c>
      <c r="Y1638" s="8" t="b">
        <v>0</v>
      </c>
      <c r="Z1638" s="8" t="b">
        <v>0</v>
      </c>
      <c r="AA1638" s="8" t="b">
        <v>0</v>
      </c>
      <c r="AB1638" s="8" t="b">
        <v>0</v>
      </c>
      <c r="AC1638" s="8" t="b">
        <v>0</v>
      </c>
      <c r="AD1638" s="8" t="b">
        <v>1</v>
      </c>
      <c r="AE1638" s="8" t="b">
        <v>0</v>
      </c>
      <c r="AG1638" s="11" t="b" cm="1">
        <f t="array" ref="AG1638">IF(OR(Y1638:AA1638="TRUE", AE1638="true"), "Threatened")</f>
        <v>0</v>
      </c>
      <c r="AH1638" s="11" t="s">
        <v>4265</v>
      </c>
      <c r="AI1638" s="8" t="b">
        <v>1</v>
      </c>
    </row>
    <row r="1639" spans="1:35" ht="31.2">
      <c r="A1639" s="8">
        <v>-73.977062829999994</v>
      </c>
      <c r="B1639" s="8">
        <v>40.772856740000002</v>
      </c>
      <c r="C1639" s="8" t="s">
        <v>4266</v>
      </c>
      <c r="D1639" s="8" t="s">
        <v>72</v>
      </c>
      <c r="E1639" s="8" t="b">
        <f t="shared" si="25"/>
        <v>0</v>
      </c>
      <c r="F1639" s="8" t="str" cm="1">
        <f t="array" ref="F1639">_xlfn._xlws.FILTER(E1639:E4837, C1639:C4837= "6D-PM-1020-01", "No Squirrels Found")</f>
        <v>No Squirrels Found</v>
      </c>
      <c r="G1639" s="8" t="s">
        <v>48</v>
      </c>
      <c r="H1639" s="10">
        <v>10082018</v>
      </c>
      <c r="I1639" s="10">
        <v>6</v>
      </c>
      <c r="J1639" s="8" t="s">
        <v>39</v>
      </c>
      <c r="K1639" s="8" t="s">
        <v>40</v>
      </c>
      <c r="M1639" s="8" t="s">
        <v>55</v>
      </c>
      <c r="O1639" s="8" t="s">
        <v>43</v>
      </c>
      <c r="P1639" s="8" t="b">
        <v>0</v>
      </c>
      <c r="R1639" s="8" t="b">
        <v>0</v>
      </c>
      <c r="S1639" s="8" t="b">
        <v>0</v>
      </c>
      <c r="T1639" s="8" t="b">
        <v>0</v>
      </c>
      <c r="U1639" s="8" t="b">
        <v>0</v>
      </c>
      <c r="V1639" s="8" t="b">
        <v>1</v>
      </c>
      <c r="X1639" s="8" t="b">
        <v>0</v>
      </c>
      <c r="Y1639" s="8" t="b">
        <v>0</v>
      </c>
      <c r="Z1639" s="8" t="b">
        <v>0</v>
      </c>
      <c r="AA1639" s="8" t="b">
        <v>0</v>
      </c>
      <c r="AB1639" s="8" t="b">
        <v>0</v>
      </c>
      <c r="AC1639" s="8" t="b">
        <v>0</v>
      </c>
      <c r="AD1639" s="8" t="b">
        <v>1</v>
      </c>
      <c r="AE1639" s="8" t="b">
        <v>0</v>
      </c>
      <c r="AG1639" s="11" t="b" cm="1">
        <f t="array" ref="AG1639">IF(OR(Y1639:AA1639="TRUE", AE1639="true"), "Threatened")</f>
        <v>0</v>
      </c>
      <c r="AH1639" s="11" t="s">
        <v>4267</v>
      </c>
      <c r="AI1639" s="8" t="b">
        <v>1</v>
      </c>
    </row>
    <row r="1640" spans="1:35" ht="31.2">
      <c r="A1640" s="8">
        <v>-73.973680060000007</v>
      </c>
      <c r="B1640" s="8">
        <v>40.778306970000003</v>
      </c>
      <c r="C1640" s="8" t="s">
        <v>4268</v>
      </c>
      <c r="D1640" s="8" t="s">
        <v>797</v>
      </c>
      <c r="E1640" s="8" t="b">
        <f t="shared" si="25"/>
        <v>0</v>
      </c>
      <c r="F1640" s="8" t="str" cm="1">
        <f t="array" ref="F1640">_xlfn._xlws.FILTER(E1640:E4838, C1640:C4838= "6D-PM-1020-01", "No Squirrels Found")</f>
        <v>No Squirrels Found</v>
      </c>
      <c r="G1640" s="8" t="s">
        <v>34</v>
      </c>
      <c r="H1640" s="10">
        <v>10142018</v>
      </c>
      <c r="I1640" s="10">
        <v>4</v>
      </c>
      <c r="J1640" s="8" t="s">
        <v>39</v>
      </c>
      <c r="K1640" s="8" t="s">
        <v>40</v>
      </c>
      <c r="L1640" s="8" t="s">
        <v>117</v>
      </c>
      <c r="M1640" s="8" t="s">
        <v>118</v>
      </c>
      <c r="O1640" s="8" t="s">
        <v>43</v>
      </c>
      <c r="P1640" s="8" t="b">
        <v>0</v>
      </c>
      <c r="R1640" s="8" t="b">
        <v>0</v>
      </c>
      <c r="S1640" s="8" t="b">
        <v>1</v>
      </c>
      <c r="T1640" s="8" t="b">
        <v>0</v>
      </c>
      <c r="U1640" s="8" t="b">
        <v>0</v>
      </c>
      <c r="V1640" s="8" t="b">
        <v>0</v>
      </c>
      <c r="W1640" s="11" t="s">
        <v>3473</v>
      </c>
      <c r="X1640" s="8" t="b">
        <v>0</v>
      </c>
      <c r="Y1640" s="8" t="b">
        <v>0</v>
      </c>
      <c r="Z1640" s="8" t="b">
        <v>0</v>
      </c>
      <c r="AA1640" s="8" t="b">
        <v>0</v>
      </c>
      <c r="AB1640" s="8" t="b">
        <v>1</v>
      </c>
      <c r="AC1640" s="8" t="b">
        <v>0</v>
      </c>
      <c r="AD1640" s="8" t="b">
        <v>1</v>
      </c>
      <c r="AE1640" s="8" t="b">
        <v>0</v>
      </c>
      <c r="AG1640" s="11" t="b" cm="1">
        <f t="array" ref="AG1640">IF(OR(Y1640:AA1640="TRUE", AE1640="true"), "Threatened")</f>
        <v>0</v>
      </c>
      <c r="AH1640" s="11" t="s">
        <v>4269</v>
      </c>
      <c r="AI1640" s="8" t="b">
        <v>0</v>
      </c>
    </row>
    <row r="1641" spans="1:35" ht="31.2">
      <c r="A1641" s="8">
        <v>-73.956463220000003</v>
      </c>
      <c r="B1641" s="8">
        <v>40.79048074</v>
      </c>
      <c r="C1641" s="8" t="s">
        <v>4270</v>
      </c>
      <c r="D1641" s="8" t="s">
        <v>533</v>
      </c>
      <c r="E1641" s="8" t="b">
        <f t="shared" si="25"/>
        <v>0</v>
      </c>
      <c r="F1641" s="8" t="str" cm="1">
        <f t="array" ref="F1641">_xlfn._xlws.FILTER(E1641:E4839, C1641:C4839= "6D-PM-1020-01", "No Squirrels Found")</f>
        <v>No Squirrels Found</v>
      </c>
      <c r="G1641" s="8" t="s">
        <v>48</v>
      </c>
      <c r="H1641" s="10">
        <v>10132018</v>
      </c>
      <c r="I1641" s="10">
        <v>1</v>
      </c>
      <c r="J1641" s="8" t="s">
        <v>39</v>
      </c>
      <c r="K1641" s="8" t="s">
        <v>41</v>
      </c>
      <c r="M1641" s="8" t="s">
        <v>49</v>
      </c>
      <c r="O1641" s="8" t="s">
        <v>50</v>
      </c>
      <c r="P1641" s="8">
        <v>13</v>
      </c>
      <c r="Q1641" s="8" t="s">
        <v>534</v>
      </c>
      <c r="R1641" s="8" t="b">
        <v>0</v>
      </c>
      <c r="S1641" s="8" t="b">
        <v>0</v>
      </c>
      <c r="T1641" s="8" t="b">
        <v>1</v>
      </c>
      <c r="U1641" s="8" t="b">
        <v>0</v>
      </c>
      <c r="V1641" s="8" t="b">
        <v>0</v>
      </c>
      <c r="X1641" s="8" t="b">
        <v>0</v>
      </c>
      <c r="Y1641" s="8" t="b">
        <v>0</v>
      </c>
      <c r="Z1641" s="8" t="b">
        <v>0</v>
      </c>
      <c r="AA1641" s="8" t="b">
        <v>0</v>
      </c>
      <c r="AB1641" s="8" t="b">
        <v>0</v>
      </c>
      <c r="AC1641" s="8" t="b">
        <v>0</v>
      </c>
      <c r="AD1641" s="8" t="b">
        <v>1</v>
      </c>
      <c r="AE1641" s="8" t="b">
        <v>1</v>
      </c>
      <c r="AG1641" s="11" t="b" cm="1">
        <f t="array" ref="AG1641">IF(OR(Y1641:AA1641="TRUE", AE1641="true"), "Threatened")</f>
        <v>0</v>
      </c>
      <c r="AH1641" s="11" t="s">
        <v>4271</v>
      </c>
      <c r="AI1641" s="8" t="b">
        <v>1</v>
      </c>
    </row>
    <row r="1642" spans="1:35" ht="31.2">
      <c r="A1642" s="8">
        <v>-73.965313530000003</v>
      </c>
      <c r="B1642" s="8">
        <v>40.781743409999997</v>
      </c>
      <c r="C1642" s="8" t="s">
        <v>4272</v>
      </c>
      <c r="D1642" s="8" t="s">
        <v>1059</v>
      </c>
      <c r="E1642" s="8" t="b">
        <f t="shared" si="25"/>
        <v>0</v>
      </c>
      <c r="F1642" s="8" t="str" cm="1">
        <f t="array" ref="F1642">_xlfn._xlws.FILTER(E1642:E4840, C1642:C4840= "6D-PM-1020-01", "No Squirrels Found")</f>
        <v>No Squirrels Found</v>
      </c>
      <c r="G1642" s="8" t="s">
        <v>34</v>
      </c>
      <c r="H1642" s="10">
        <v>10122018</v>
      </c>
      <c r="I1642" s="10">
        <v>1</v>
      </c>
      <c r="J1642" s="8" t="s">
        <v>39</v>
      </c>
      <c r="K1642" s="8" t="s">
        <v>40</v>
      </c>
      <c r="M1642" s="8" t="s">
        <v>55</v>
      </c>
      <c r="O1642" s="8" t="s">
        <v>50</v>
      </c>
      <c r="P1642" s="8">
        <v>20</v>
      </c>
      <c r="Q1642" s="8" t="s">
        <v>466</v>
      </c>
      <c r="R1642" s="8" t="b">
        <v>0</v>
      </c>
      <c r="S1642" s="8" t="b">
        <v>0</v>
      </c>
      <c r="T1642" s="8" t="b">
        <v>1</v>
      </c>
      <c r="U1642" s="8" t="b">
        <v>0</v>
      </c>
      <c r="V1642" s="8" t="b">
        <v>0</v>
      </c>
      <c r="X1642" s="8" t="b">
        <v>0</v>
      </c>
      <c r="Y1642" s="8" t="b">
        <v>0</v>
      </c>
      <c r="Z1642" s="8" t="b">
        <v>0</v>
      </c>
      <c r="AA1642" s="8" t="b">
        <v>0</v>
      </c>
      <c r="AB1642" s="8" t="b">
        <v>0</v>
      </c>
      <c r="AC1642" s="8" t="b">
        <v>0</v>
      </c>
      <c r="AD1642" s="8" t="b">
        <v>0</v>
      </c>
      <c r="AE1642" s="8" t="b">
        <v>0</v>
      </c>
      <c r="AG1642" s="11" t="b" cm="1">
        <f t="array" ref="AG1642">IF(OR(Y1642:AA1642="TRUE", AE1642="true"), "Threatened")</f>
        <v>0</v>
      </c>
      <c r="AH1642" s="11" t="s">
        <v>4273</v>
      </c>
      <c r="AI1642" s="8" t="b">
        <v>1</v>
      </c>
    </row>
    <row r="1643" spans="1:35" ht="31.2">
      <c r="A1643" s="8">
        <v>-73.970886089999993</v>
      </c>
      <c r="B1643" s="8">
        <v>40.776837669999999</v>
      </c>
      <c r="C1643" s="8" t="s">
        <v>4274</v>
      </c>
      <c r="D1643" s="8" t="s">
        <v>741</v>
      </c>
      <c r="E1643" s="8" t="b">
        <f t="shared" si="25"/>
        <v>0</v>
      </c>
      <c r="F1643" s="8" t="str" cm="1">
        <f t="array" ref="F1643">_xlfn._xlws.FILTER(E1643:E4841, C1643:C4841= "6D-PM-1020-01", "No Squirrels Found")</f>
        <v>No Squirrels Found</v>
      </c>
      <c r="G1643" s="8" t="s">
        <v>34</v>
      </c>
      <c r="H1643" s="10">
        <v>10192018</v>
      </c>
      <c r="I1643" s="10">
        <v>15</v>
      </c>
      <c r="J1643" s="8" t="s">
        <v>39</v>
      </c>
      <c r="K1643" s="8" t="s">
        <v>40</v>
      </c>
      <c r="M1643" s="8" t="s">
        <v>55</v>
      </c>
      <c r="O1643" s="8" t="s">
        <v>43</v>
      </c>
      <c r="P1643" s="8" t="b">
        <v>0</v>
      </c>
      <c r="R1643" s="8" t="b">
        <v>0</v>
      </c>
      <c r="S1643" s="8" t="b">
        <v>0</v>
      </c>
      <c r="T1643" s="8" t="b">
        <v>0</v>
      </c>
      <c r="U1643" s="8" t="b">
        <v>0</v>
      </c>
      <c r="V1643" s="8" t="b">
        <v>1</v>
      </c>
      <c r="X1643" s="8" t="b">
        <v>0</v>
      </c>
      <c r="Y1643" s="8" t="b">
        <v>0</v>
      </c>
      <c r="Z1643" s="8" t="b">
        <v>0</v>
      </c>
      <c r="AA1643" s="8" t="b">
        <v>0</v>
      </c>
      <c r="AB1643" s="8" t="b">
        <v>0</v>
      </c>
      <c r="AC1643" s="8" t="b">
        <v>0</v>
      </c>
      <c r="AD1643" s="8" t="b">
        <v>0</v>
      </c>
      <c r="AE1643" s="8" t="b">
        <v>0</v>
      </c>
      <c r="AG1643" s="11" t="b" cm="1">
        <f t="array" ref="AG1643">IF(OR(Y1643:AA1643="TRUE", AE1643="true"), "Threatened")</f>
        <v>0</v>
      </c>
      <c r="AH1643" s="11" t="s">
        <v>4275</v>
      </c>
      <c r="AI1643" s="8" t="b">
        <v>1</v>
      </c>
    </row>
    <row r="1644" spans="1:35" ht="31.2">
      <c r="A1644" s="8">
        <v>-73.953053560000001</v>
      </c>
      <c r="B1644" s="8">
        <v>40.792980909999997</v>
      </c>
      <c r="C1644" s="8" t="s">
        <v>4276</v>
      </c>
      <c r="D1644" s="8" t="s">
        <v>936</v>
      </c>
      <c r="E1644" s="8" t="b">
        <f t="shared" si="25"/>
        <v>0</v>
      </c>
      <c r="F1644" s="8" t="str" cm="1">
        <f t="array" ref="F1644">_xlfn._xlws.FILTER(E1644:E4842, C1644:C4842= "6D-PM-1020-01", "No Squirrels Found")</f>
        <v>No Squirrels Found</v>
      </c>
      <c r="G1644" s="8" t="s">
        <v>48</v>
      </c>
      <c r="H1644" s="10">
        <v>10102018</v>
      </c>
      <c r="I1644" s="10">
        <v>2</v>
      </c>
      <c r="J1644" s="8" t="s">
        <v>39</v>
      </c>
      <c r="K1644" s="8" t="s">
        <v>40</v>
      </c>
      <c r="M1644" s="8" t="s">
        <v>55</v>
      </c>
      <c r="O1644" s="8" t="s">
        <v>43</v>
      </c>
      <c r="P1644" s="8" t="b">
        <v>0</v>
      </c>
      <c r="R1644" s="8" t="b">
        <v>1</v>
      </c>
      <c r="S1644" s="8" t="b">
        <v>0</v>
      </c>
      <c r="T1644" s="8" t="b">
        <v>0</v>
      </c>
      <c r="U1644" s="8" t="b">
        <v>0</v>
      </c>
      <c r="V1644" s="8" t="b">
        <v>0</v>
      </c>
      <c r="X1644" s="8" t="b">
        <v>0</v>
      </c>
      <c r="Y1644" s="8" t="b">
        <v>0</v>
      </c>
      <c r="Z1644" s="8" t="b">
        <v>0</v>
      </c>
      <c r="AA1644" s="8" t="b">
        <v>0</v>
      </c>
      <c r="AB1644" s="8" t="b">
        <v>0</v>
      </c>
      <c r="AC1644" s="8" t="b">
        <v>0</v>
      </c>
      <c r="AD1644" s="8" t="b">
        <v>0</v>
      </c>
      <c r="AE1644" s="8" t="b">
        <v>1</v>
      </c>
      <c r="AG1644" s="11" t="b" cm="1">
        <f t="array" ref="AG1644">IF(OR(Y1644:AA1644="TRUE", AE1644="true"), "Threatened")</f>
        <v>0</v>
      </c>
      <c r="AH1644" s="11" t="s">
        <v>4277</v>
      </c>
      <c r="AI1644" s="8" t="b">
        <v>1</v>
      </c>
    </row>
    <row r="1645" spans="1:35" ht="31.2">
      <c r="A1645" s="8">
        <v>-73.973465469999994</v>
      </c>
      <c r="B1645" s="8">
        <v>40.771598869999998</v>
      </c>
      <c r="C1645" s="8" t="s">
        <v>4278</v>
      </c>
      <c r="D1645" s="8" t="s">
        <v>1209</v>
      </c>
      <c r="E1645" s="8" t="b">
        <f t="shared" si="25"/>
        <v>0</v>
      </c>
      <c r="F1645" s="8" t="str" cm="1">
        <f t="array" ref="F1645">_xlfn._xlws.FILTER(E1645:E4843, C1645:C4843= "6D-PM-1020-01", "No Squirrels Found")</f>
        <v>No Squirrels Found</v>
      </c>
      <c r="G1645" s="8" t="s">
        <v>34</v>
      </c>
      <c r="H1645" s="10">
        <v>10082018</v>
      </c>
      <c r="I1645" s="10">
        <v>6</v>
      </c>
      <c r="J1645" s="8" t="s">
        <v>39</v>
      </c>
      <c r="K1645" s="8" t="s">
        <v>40</v>
      </c>
      <c r="L1645" s="8" t="s">
        <v>84</v>
      </c>
      <c r="M1645" s="8" t="s">
        <v>103</v>
      </c>
      <c r="O1645" s="8" t="s">
        <v>43</v>
      </c>
      <c r="P1645" s="8" t="b">
        <v>0</v>
      </c>
      <c r="Q1645" s="8" t="s">
        <v>1361</v>
      </c>
      <c r="R1645" s="8" t="b">
        <v>0</v>
      </c>
      <c r="S1645" s="8" t="b">
        <v>1</v>
      </c>
      <c r="T1645" s="8" t="b">
        <v>1</v>
      </c>
      <c r="U1645" s="8" t="b">
        <v>0</v>
      </c>
      <c r="V1645" s="8" t="b">
        <v>0</v>
      </c>
      <c r="X1645" s="8" t="b">
        <v>0</v>
      </c>
      <c r="Y1645" s="8" t="b">
        <v>0</v>
      </c>
      <c r="Z1645" s="8" t="b">
        <v>0</v>
      </c>
      <c r="AA1645" s="8" t="b">
        <v>0</v>
      </c>
      <c r="AB1645" s="8" t="b">
        <v>0</v>
      </c>
      <c r="AC1645" s="8" t="b">
        <v>0</v>
      </c>
      <c r="AD1645" s="8" t="b">
        <v>0</v>
      </c>
      <c r="AE1645" s="8" t="b">
        <v>0</v>
      </c>
      <c r="AG1645" s="11" t="b" cm="1">
        <f t="array" ref="AG1645">IF(OR(Y1645:AA1645="TRUE", AE1645="true"), "Threatened")</f>
        <v>0</v>
      </c>
      <c r="AH1645" s="11" t="s">
        <v>4279</v>
      </c>
      <c r="AI1645" s="8" t="b">
        <v>1</v>
      </c>
    </row>
    <row r="1646" spans="1:35" ht="31.2">
      <c r="A1646" s="8">
        <v>-73.961967329999993</v>
      </c>
      <c r="B1646" s="8">
        <v>40.792417669999999</v>
      </c>
      <c r="C1646" s="8" t="s">
        <v>4280</v>
      </c>
      <c r="D1646" s="8" t="s">
        <v>931</v>
      </c>
      <c r="E1646" s="8" t="b">
        <f t="shared" si="25"/>
        <v>0</v>
      </c>
      <c r="F1646" s="8" t="str" cm="1">
        <f t="array" ref="F1646">_xlfn._xlws.FILTER(E1646:E4844, C1646:C4844= "6D-PM-1020-01", "No Squirrels Found")</f>
        <v>No Squirrels Found</v>
      </c>
      <c r="G1646" s="8" t="s">
        <v>34</v>
      </c>
      <c r="H1646" s="10">
        <v>10102018</v>
      </c>
      <c r="I1646" s="10">
        <v>8</v>
      </c>
      <c r="J1646" s="8" t="s">
        <v>54</v>
      </c>
      <c r="K1646" s="8" t="s">
        <v>40</v>
      </c>
      <c r="M1646" s="8" t="s">
        <v>55</v>
      </c>
      <c r="O1646" s="8" t="s">
        <v>50</v>
      </c>
      <c r="Q1646" s="8" t="s">
        <v>4281</v>
      </c>
      <c r="R1646" s="8" t="b">
        <v>0</v>
      </c>
      <c r="S1646" s="8" t="b">
        <v>0</v>
      </c>
      <c r="T1646" s="8" t="b">
        <v>1</v>
      </c>
      <c r="U1646" s="8" t="b">
        <v>0</v>
      </c>
      <c r="V1646" s="8" t="b">
        <v>0</v>
      </c>
      <c r="X1646" s="8" t="b">
        <v>0</v>
      </c>
      <c r="Y1646" s="8" t="b">
        <v>0</v>
      </c>
      <c r="Z1646" s="8" t="b">
        <v>0</v>
      </c>
      <c r="AA1646" s="8" t="b">
        <v>0</v>
      </c>
      <c r="AB1646" s="8" t="b">
        <v>0</v>
      </c>
      <c r="AC1646" s="8" t="b">
        <v>0</v>
      </c>
      <c r="AD1646" s="8" t="b">
        <v>0</v>
      </c>
      <c r="AE1646" s="8" t="b">
        <v>1</v>
      </c>
      <c r="AG1646" s="11" t="b" cm="1">
        <f t="array" ref="AG1646">IF(OR(Y1646:AA1646="TRUE", AE1646="true"), "Threatened")</f>
        <v>0</v>
      </c>
      <c r="AH1646" s="11" t="s">
        <v>4282</v>
      </c>
      <c r="AI1646" s="8" t="b">
        <v>1</v>
      </c>
    </row>
    <row r="1647" spans="1:35" ht="31.2">
      <c r="A1647" s="8">
        <v>-73.966978280000006</v>
      </c>
      <c r="B1647" s="8">
        <v>40.784116670000003</v>
      </c>
      <c r="C1647" s="8" t="s">
        <v>4283</v>
      </c>
      <c r="D1647" s="8" t="s">
        <v>698</v>
      </c>
      <c r="E1647" s="8" t="b">
        <f t="shared" si="25"/>
        <v>0</v>
      </c>
      <c r="F1647" s="8" t="str" cm="1">
        <f t="array" ref="F1647">_xlfn._xlws.FILTER(E1647:E4845, C1647:C4845= "6D-PM-1020-01", "No Squirrels Found")</f>
        <v>No Squirrels Found</v>
      </c>
      <c r="G1647" s="8" t="s">
        <v>34</v>
      </c>
      <c r="H1647" s="10">
        <v>10062018</v>
      </c>
      <c r="I1647" s="10">
        <v>13</v>
      </c>
      <c r="J1647" s="8" t="s">
        <v>54</v>
      </c>
      <c r="K1647" s="8" t="s">
        <v>40</v>
      </c>
      <c r="M1647" s="8" t="s">
        <v>55</v>
      </c>
      <c r="O1647" s="8" t="s">
        <v>43</v>
      </c>
      <c r="P1647" s="8" t="b">
        <v>0</v>
      </c>
      <c r="R1647" s="8" t="b">
        <v>1</v>
      </c>
      <c r="S1647" s="8" t="b">
        <v>0</v>
      </c>
      <c r="T1647" s="8" t="b">
        <v>0</v>
      </c>
      <c r="U1647" s="8" t="b">
        <v>0</v>
      </c>
      <c r="V1647" s="8" t="b">
        <v>0</v>
      </c>
      <c r="X1647" s="8" t="b">
        <v>0</v>
      </c>
      <c r="Y1647" s="8" t="b">
        <v>0</v>
      </c>
      <c r="Z1647" s="8" t="b">
        <v>0</v>
      </c>
      <c r="AA1647" s="8" t="b">
        <v>0</v>
      </c>
      <c r="AB1647" s="8" t="b">
        <v>0</v>
      </c>
      <c r="AC1647" s="8" t="b">
        <v>0</v>
      </c>
      <c r="AD1647" s="8" t="b">
        <v>0</v>
      </c>
      <c r="AE1647" s="8" t="b">
        <v>0</v>
      </c>
      <c r="AG1647" s="11" t="b" cm="1">
        <f t="array" ref="AG1647">IF(OR(Y1647:AA1647="TRUE", AE1647="true"), "Threatened")</f>
        <v>0</v>
      </c>
      <c r="AH1647" s="11" t="s">
        <v>4284</v>
      </c>
      <c r="AI1647" s="8" t="b">
        <v>1</v>
      </c>
    </row>
    <row r="1648" spans="1:35" ht="31.2">
      <c r="A1648" s="8">
        <v>-73.979558530000006</v>
      </c>
      <c r="B1648" s="8">
        <v>40.768895890000003</v>
      </c>
      <c r="C1648" s="8" t="s">
        <v>4285</v>
      </c>
      <c r="D1648" s="8" t="s">
        <v>465</v>
      </c>
      <c r="E1648" s="8" t="b">
        <f t="shared" si="25"/>
        <v>0</v>
      </c>
      <c r="F1648" s="8" t="str" cm="1">
        <f t="array" ref="F1648">_xlfn._xlws.FILTER(E1648:E4846, C1648:C4846= "6D-PM-1020-01", "No Squirrels Found")</f>
        <v>No Squirrels Found</v>
      </c>
      <c r="G1648" s="8" t="s">
        <v>34</v>
      </c>
      <c r="H1648" s="10">
        <v>10072018</v>
      </c>
      <c r="I1648" s="10">
        <v>8</v>
      </c>
      <c r="J1648" s="8" t="s">
        <v>54</v>
      </c>
      <c r="K1648" s="8" t="s">
        <v>40</v>
      </c>
      <c r="M1648" s="8" t="s">
        <v>55</v>
      </c>
      <c r="O1648" s="8" t="s">
        <v>43</v>
      </c>
      <c r="P1648" s="8" t="b">
        <v>0</v>
      </c>
      <c r="R1648" s="8" t="b">
        <v>0</v>
      </c>
      <c r="S1648" s="8" t="b">
        <v>0</v>
      </c>
      <c r="T1648" s="8" t="b">
        <v>0</v>
      </c>
      <c r="U1648" s="8" t="b">
        <v>1</v>
      </c>
      <c r="V1648" s="8" t="b">
        <v>1</v>
      </c>
      <c r="X1648" s="8" t="b">
        <v>0</v>
      </c>
      <c r="Y1648" s="8" t="b">
        <v>0</v>
      </c>
      <c r="Z1648" s="8" t="b">
        <v>0</v>
      </c>
      <c r="AA1648" s="8" t="b">
        <v>0</v>
      </c>
      <c r="AB1648" s="8" t="b">
        <v>0</v>
      </c>
      <c r="AC1648" s="8" t="b">
        <v>0</v>
      </c>
      <c r="AD1648" s="8" t="b">
        <v>1</v>
      </c>
      <c r="AE1648" s="8" t="b">
        <v>0</v>
      </c>
      <c r="AG1648" s="11" t="b" cm="1">
        <f t="array" ref="AG1648">IF(OR(Y1648:AA1648="TRUE", AE1648="true"), "Threatened")</f>
        <v>0</v>
      </c>
      <c r="AH1648" s="11" t="s">
        <v>4286</v>
      </c>
      <c r="AI1648" s="8" t="b">
        <v>1</v>
      </c>
    </row>
    <row r="1649" spans="1:35" ht="31.2">
      <c r="A1649" s="8">
        <v>-73.979026340000004</v>
      </c>
      <c r="B1649" s="8">
        <v>40.768351369999998</v>
      </c>
      <c r="C1649" s="8" t="s">
        <v>4287</v>
      </c>
      <c r="D1649" s="8" t="s">
        <v>1235</v>
      </c>
      <c r="E1649" s="8" t="b">
        <f t="shared" si="25"/>
        <v>0</v>
      </c>
      <c r="F1649" s="8" t="str" cm="1">
        <f t="array" ref="F1649">_xlfn._xlws.FILTER(E1649:E4847, C1649:C4847= "6D-PM-1020-01", "No Squirrels Found")</f>
        <v>No Squirrels Found</v>
      </c>
      <c r="G1649" s="8" t="s">
        <v>34</v>
      </c>
      <c r="H1649" s="10">
        <v>10132018</v>
      </c>
      <c r="I1649" s="10">
        <v>7</v>
      </c>
      <c r="J1649" s="8" t="s">
        <v>39</v>
      </c>
      <c r="K1649" s="8" t="s">
        <v>40</v>
      </c>
      <c r="L1649" s="8" t="s">
        <v>84</v>
      </c>
      <c r="M1649" s="8" t="s">
        <v>103</v>
      </c>
      <c r="R1649" s="8" t="b">
        <v>1</v>
      </c>
      <c r="S1649" s="8" t="b">
        <v>0</v>
      </c>
      <c r="T1649" s="8" t="b">
        <v>0</v>
      </c>
      <c r="U1649" s="8" t="b">
        <v>0</v>
      </c>
      <c r="V1649" s="8" t="b">
        <v>1</v>
      </c>
      <c r="X1649" s="8" t="b">
        <v>0</v>
      </c>
      <c r="Y1649" s="8" t="b">
        <v>0</v>
      </c>
      <c r="Z1649" s="8" t="b">
        <v>0</v>
      </c>
      <c r="AA1649" s="8" t="b">
        <v>0</v>
      </c>
      <c r="AB1649" s="8" t="b">
        <v>0</v>
      </c>
      <c r="AC1649" s="8" t="b">
        <v>0</v>
      </c>
      <c r="AD1649" s="8" t="b">
        <v>0</v>
      </c>
      <c r="AE1649" s="8" t="b">
        <v>0</v>
      </c>
      <c r="AG1649" s="11" t="b" cm="1">
        <f t="array" ref="AG1649">IF(OR(Y1649:AA1649="TRUE", AE1649="true"), "Threatened")</f>
        <v>0</v>
      </c>
      <c r="AH1649" s="11" t="s">
        <v>4288</v>
      </c>
      <c r="AI1649" s="8" t="b">
        <v>1</v>
      </c>
    </row>
    <row r="1650" spans="1:35" ht="31.2">
      <c r="A1650" s="8">
        <v>-73.969347810000002</v>
      </c>
      <c r="B1650" s="8">
        <v>40.774409810000002</v>
      </c>
      <c r="C1650" s="8" t="s">
        <v>4289</v>
      </c>
      <c r="D1650" s="8" t="s">
        <v>991</v>
      </c>
      <c r="E1650" s="8" t="b">
        <f t="shared" si="25"/>
        <v>0</v>
      </c>
      <c r="F1650" s="8" t="str" cm="1">
        <f t="array" ref="F1650">_xlfn._xlws.FILTER(E1650:E4848, C1650:C4848= "6D-PM-1020-01", "No Squirrels Found")</f>
        <v>No Squirrels Found</v>
      </c>
      <c r="G1650" s="8" t="s">
        <v>34</v>
      </c>
      <c r="H1650" s="10">
        <v>10072018</v>
      </c>
      <c r="I1650" s="10">
        <v>2</v>
      </c>
      <c r="K1650" s="8" t="s">
        <v>40</v>
      </c>
      <c r="M1650" s="8" t="s">
        <v>55</v>
      </c>
      <c r="O1650" s="8" t="s">
        <v>50</v>
      </c>
      <c r="Q1650" s="8" t="s">
        <v>466</v>
      </c>
      <c r="R1650" s="8" t="b">
        <v>0</v>
      </c>
      <c r="S1650" s="8" t="b">
        <v>1</v>
      </c>
      <c r="T1650" s="8" t="b">
        <v>0</v>
      </c>
      <c r="U1650" s="8" t="b">
        <v>0</v>
      </c>
      <c r="V1650" s="8" t="b">
        <v>0</v>
      </c>
      <c r="X1650" s="8" t="b">
        <v>0</v>
      </c>
      <c r="Y1650" s="8" t="b">
        <v>0</v>
      </c>
      <c r="Z1650" s="8" t="b">
        <v>0</v>
      </c>
      <c r="AA1650" s="8" t="b">
        <v>0</v>
      </c>
      <c r="AB1650" s="8" t="b">
        <v>0</v>
      </c>
      <c r="AC1650" s="8" t="b">
        <v>0</v>
      </c>
      <c r="AD1650" s="8" t="b">
        <v>0</v>
      </c>
      <c r="AE1650" s="8" t="b">
        <v>0</v>
      </c>
      <c r="AG1650" s="11" t="b" cm="1">
        <f t="array" ref="AG1650">IF(OR(Y1650:AA1650="TRUE", AE1650="true"), "Threatened")</f>
        <v>0</v>
      </c>
      <c r="AH1650" s="11" t="s">
        <v>4290</v>
      </c>
      <c r="AI1650" s="8" t="b">
        <v>1</v>
      </c>
    </row>
    <row r="1651" spans="1:35" ht="31.2">
      <c r="A1651" s="8">
        <v>-73.976249420000002</v>
      </c>
      <c r="B1651" s="8">
        <v>40.77501753</v>
      </c>
      <c r="C1651" s="8" t="s">
        <v>4291</v>
      </c>
      <c r="D1651" s="8" t="s">
        <v>167</v>
      </c>
      <c r="E1651" s="8" t="b">
        <f t="shared" si="25"/>
        <v>0</v>
      </c>
      <c r="F1651" s="8" t="str" cm="1">
        <f t="array" ref="F1651">_xlfn._xlws.FILTER(E1651:E4849, C1651:C4849= "6D-PM-1020-01", "No Squirrels Found")</f>
        <v>No Squirrels Found</v>
      </c>
      <c r="G1651" s="8" t="s">
        <v>48</v>
      </c>
      <c r="H1651" s="10">
        <v>10062018</v>
      </c>
      <c r="I1651" s="10">
        <v>1</v>
      </c>
      <c r="J1651" s="8" t="s">
        <v>39</v>
      </c>
      <c r="K1651" s="8" t="s">
        <v>41</v>
      </c>
      <c r="L1651" s="8" t="s">
        <v>84</v>
      </c>
      <c r="M1651" s="8" t="s">
        <v>85</v>
      </c>
      <c r="O1651" s="8" t="s">
        <v>43</v>
      </c>
      <c r="P1651" s="8" t="b">
        <v>0</v>
      </c>
      <c r="Q1651" s="8" t="s">
        <v>4292</v>
      </c>
      <c r="R1651" s="8" t="b">
        <v>0</v>
      </c>
      <c r="S1651" s="8" t="b">
        <v>0</v>
      </c>
      <c r="T1651" s="8" t="b">
        <v>0</v>
      </c>
      <c r="U1651" s="8" t="b">
        <v>1</v>
      </c>
      <c r="V1651" s="8" t="b">
        <v>0</v>
      </c>
      <c r="W1651" s="11" t="s">
        <v>4293</v>
      </c>
      <c r="X1651" s="8" t="b">
        <v>0</v>
      </c>
      <c r="Y1651" s="8" t="b">
        <v>0</v>
      </c>
      <c r="Z1651" s="8" t="b">
        <v>0</v>
      </c>
      <c r="AA1651" s="8" t="b">
        <v>0</v>
      </c>
      <c r="AB1651" s="8" t="b">
        <v>0</v>
      </c>
      <c r="AC1651" s="8" t="b">
        <v>1</v>
      </c>
      <c r="AD1651" s="8" t="b">
        <v>0</v>
      </c>
      <c r="AE1651" s="8" t="b">
        <v>0</v>
      </c>
      <c r="AG1651" s="11" t="b" cm="1">
        <f t="array" ref="AG1651">IF(OR(Y1651:AA1651="TRUE", AE1651="true"), "Threatened")</f>
        <v>0</v>
      </c>
      <c r="AH1651" s="11" t="s">
        <v>4294</v>
      </c>
      <c r="AI1651" s="8" t="b">
        <v>0</v>
      </c>
    </row>
    <row r="1652" spans="1:35" ht="31.2">
      <c r="A1652" s="8">
        <v>-73.976337349999994</v>
      </c>
      <c r="B1652" s="8">
        <v>40.774116890000002</v>
      </c>
      <c r="C1652" s="8" t="s">
        <v>4295</v>
      </c>
      <c r="D1652" s="8" t="s">
        <v>802</v>
      </c>
      <c r="E1652" s="8" t="b">
        <f t="shared" si="25"/>
        <v>0</v>
      </c>
      <c r="F1652" s="8" t="str" cm="1">
        <f t="array" ref="F1652">_xlfn._xlws.FILTER(E1652:E4850, C1652:C4850= "6D-PM-1020-01", "No Squirrels Found")</f>
        <v>No Squirrels Found</v>
      </c>
      <c r="G1652" s="8" t="s">
        <v>34</v>
      </c>
      <c r="H1652" s="10">
        <v>10132018</v>
      </c>
      <c r="I1652" s="10">
        <v>9</v>
      </c>
      <c r="J1652" s="8" t="s">
        <v>54</v>
      </c>
      <c r="K1652" s="8" t="s">
        <v>40</v>
      </c>
      <c r="M1652" s="8" t="s">
        <v>55</v>
      </c>
      <c r="O1652" s="8" t="s">
        <v>43</v>
      </c>
      <c r="P1652" s="8" t="b">
        <v>0</v>
      </c>
      <c r="R1652" s="8" t="b">
        <v>0</v>
      </c>
      <c r="S1652" s="8" t="b">
        <v>0</v>
      </c>
      <c r="T1652" s="8" t="b">
        <v>0</v>
      </c>
      <c r="U1652" s="8" t="b">
        <v>0</v>
      </c>
      <c r="V1652" s="8" t="b">
        <v>1</v>
      </c>
      <c r="X1652" s="8" t="b">
        <v>0</v>
      </c>
      <c r="Y1652" s="8" t="b">
        <v>0</v>
      </c>
      <c r="Z1652" s="8" t="b">
        <v>0</v>
      </c>
      <c r="AA1652" s="8" t="b">
        <v>0</v>
      </c>
      <c r="AB1652" s="8" t="b">
        <v>1</v>
      </c>
      <c r="AC1652" s="8" t="b">
        <v>0</v>
      </c>
      <c r="AD1652" s="8" t="b">
        <v>0</v>
      </c>
      <c r="AE1652" s="8" t="b">
        <v>1</v>
      </c>
      <c r="AF1652" s="11" t="s">
        <v>4296</v>
      </c>
      <c r="AG1652" s="11" t="b" cm="1">
        <f t="array" ref="AG1652">IF(OR(Y1652:AA1652="TRUE", AE1652="true"), "Threatened")</f>
        <v>0</v>
      </c>
      <c r="AH1652" s="11" t="s">
        <v>4297</v>
      </c>
      <c r="AI1652" s="8" t="b">
        <v>1</v>
      </c>
    </row>
    <row r="1653" spans="1:35" ht="31.2">
      <c r="A1653" s="8">
        <v>-73.949842169999997</v>
      </c>
      <c r="B1653" s="8">
        <v>40.796939739999999</v>
      </c>
      <c r="C1653" s="8" t="s">
        <v>4298</v>
      </c>
      <c r="D1653" s="8" t="s">
        <v>1723</v>
      </c>
      <c r="E1653" s="8" t="b">
        <f t="shared" si="25"/>
        <v>0</v>
      </c>
      <c r="F1653" s="8" t="str" cm="1">
        <f t="array" ref="F1653">_xlfn._xlws.FILTER(E1653:E4851, C1653:C4851= "6D-PM-1020-01", "No Squirrels Found")</f>
        <v>No Squirrels Found</v>
      </c>
      <c r="G1653" s="8" t="s">
        <v>34</v>
      </c>
      <c r="H1653" s="10">
        <v>10142018</v>
      </c>
      <c r="I1653" s="10">
        <v>2</v>
      </c>
      <c r="J1653" s="8" t="s">
        <v>39</v>
      </c>
      <c r="K1653" s="8" t="s">
        <v>41</v>
      </c>
      <c r="L1653" s="8" t="s">
        <v>84</v>
      </c>
      <c r="M1653" s="8" t="s">
        <v>85</v>
      </c>
      <c r="O1653" s="8" t="s">
        <v>50</v>
      </c>
      <c r="P1653" s="8">
        <v>8</v>
      </c>
      <c r="R1653" s="8" t="b">
        <v>1</v>
      </c>
      <c r="S1653" s="8" t="b">
        <v>0</v>
      </c>
      <c r="T1653" s="8" t="b">
        <v>0</v>
      </c>
      <c r="U1653" s="8" t="b">
        <v>0</v>
      </c>
      <c r="V1653" s="8" t="b">
        <v>0</v>
      </c>
      <c r="X1653" s="8" t="b">
        <v>0</v>
      </c>
      <c r="Y1653" s="8" t="b">
        <v>0</v>
      </c>
      <c r="Z1653" s="8" t="b">
        <v>0</v>
      </c>
      <c r="AA1653" s="8" t="b">
        <v>0</v>
      </c>
      <c r="AB1653" s="8" t="b">
        <v>0</v>
      </c>
      <c r="AC1653" s="8" t="b">
        <v>0</v>
      </c>
      <c r="AD1653" s="8" t="b">
        <v>0</v>
      </c>
      <c r="AE1653" s="8" t="b">
        <v>1</v>
      </c>
      <c r="AG1653" s="11" t="b" cm="1">
        <f t="array" ref="AG1653">IF(OR(Y1653:AA1653="TRUE", AE1653="true"), "Threatened")</f>
        <v>0</v>
      </c>
      <c r="AH1653" s="11" t="s">
        <v>4299</v>
      </c>
      <c r="AI1653" s="8" t="b">
        <v>1</v>
      </c>
    </row>
    <row r="1654" spans="1:35" ht="46.8">
      <c r="A1654" s="8">
        <v>-73.969588110000004</v>
      </c>
      <c r="B1654" s="8">
        <v>40.784244129999998</v>
      </c>
      <c r="C1654" s="8" t="s">
        <v>4300</v>
      </c>
      <c r="D1654" s="8" t="s">
        <v>2014</v>
      </c>
      <c r="E1654" s="8" t="b">
        <f t="shared" si="25"/>
        <v>0</v>
      </c>
      <c r="F1654" s="8" t="str" cm="1">
        <f t="array" ref="F1654">_xlfn._xlws.FILTER(E1654:E4852, C1654:C4852= "6D-PM-1020-01", "No Squirrels Found")</f>
        <v>No Squirrels Found</v>
      </c>
      <c r="G1654" s="8" t="s">
        <v>48</v>
      </c>
      <c r="H1654" s="10">
        <v>10192018</v>
      </c>
      <c r="I1654" s="10">
        <v>1</v>
      </c>
      <c r="J1654" s="8" t="s">
        <v>54</v>
      </c>
      <c r="K1654" s="8" t="s">
        <v>40</v>
      </c>
      <c r="L1654" s="8" t="s">
        <v>192</v>
      </c>
      <c r="M1654" s="8" t="s">
        <v>354</v>
      </c>
      <c r="O1654" s="8" t="s">
        <v>50</v>
      </c>
      <c r="P1654" s="8">
        <v>3</v>
      </c>
      <c r="R1654" s="8" t="b">
        <v>0</v>
      </c>
      <c r="S1654" s="8" t="b">
        <v>0</v>
      </c>
      <c r="T1654" s="8" t="b">
        <v>1</v>
      </c>
      <c r="U1654" s="8" t="b">
        <v>0</v>
      </c>
      <c r="V1654" s="8" t="b">
        <v>0</v>
      </c>
      <c r="X1654" s="8" t="b">
        <v>0</v>
      </c>
      <c r="Y1654" s="8" t="b">
        <v>0</v>
      </c>
      <c r="Z1654" s="8" t="b">
        <v>0</v>
      </c>
      <c r="AA1654" s="8" t="b">
        <v>0</v>
      </c>
      <c r="AB1654" s="8" t="b">
        <v>0</v>
      </c>
      <c r="AC1654" s="8" t="b">
        <v>0</v>
      </c>
      <c r="AD1654" s="8" t="b">
        <v>0</v>
      </c>
      <c r="AE1654" s="8" t="b">
        <v>0</v>
      </c>
      <c r="AF1654" s="11" t="s">
        <v>4301</v>
      </c>
      <c r="AG1654" s="11" t="b" cm="1">
        <f t="array" ref="AG1654">IF(OR(Y1654:AA1654="TRUE", AE1654="true"), "Threatened")</f>
        <v>0</v>
      </c>
      <c r="AH1654" s="11" t="s">
        <v>4302</v>
      </c>
      <c r="AI1654" s="8" t="b">
        <v>1</v>
      </c>
    </row>
    <row r="1655" spans="1:35" ht="31.2">
      <c r="A1655" s="8">
        <v>-73.97663421</v>
      </c>
      <c r="B1655" s="8">
        <v>40.771543710000003</v>
      </c>
      <c r="C1655" s="8" t="s">
        <v>4303</v>
      </c>
      <c r="D1655" s="8" t="s">
        <v>2799</v>
      </c>
      <c r="E1655" s="8" t="b">
        <f t="shared" si="25"/>
        <v>1</v>
      </c>
      <c r="F1655" s="8" t="str" cm="1">
        <f t="array" ref="F1655">_xlfn._xlws.FILTER(E1655:E4853, C1655:C4853= "6D-PM-1020-01", "No Squirrels Found")</f>
        <v>No Squirrels Found</v>
      </c>
      <c r="G1655" s="8" t="s">
        <v>48</v>
      </c>
      <c r="H1655" s="10">
        <v>10072018</v>
      </c>
      <c r="I1655" s="10">
        <v>8</v>
      </c>
      <c r="J1655" s="8" t="s">
        <v>39</v>
      </c>
      <c r="M1655" s="8" t="s">
        <v>35</v>
      </c>
      <c r="O1655" s="8" t="s">
        <v>50</v>
      </c>
      <c r="P1655" s="8">
        <v>35</v>
      </c>
      <c r="R1655" s="8" t="b">
        <v>0</v>
      </c>
      <c r="S1655" s="8" t="b">
        <v>0</v>
      </c>
      <c r="T1655" s="8" t="b">
        <v>1</v>
      </c>
      <c r="U1655" s="8" t="b">
        <v>0</v>
      </c>
      <c r="V1655" s="8" t="b">
        <v>0</v>
      </c>
      <c r="W1655" s="11" t="s">
        <v>4304</v>
      </c>
      <c r="X1655" s="8" t="b">
        <v>0</v>
      </c>
      <c r="Y1655" s="8" t="b">
        <v>0</v>
      </c>
      <c r="Z1655" s="8" t="b">
        <v>0</v>
      </c>
      <c r="AA1655" s="8" t="b">
        <v>0</v>
      </c>
      <c r="AB1655" s="8" t="b">
        <v>0</v>
      </c>
      <c r="AC1655" s="8" t="b">
        <v>0</v>
      </c>
      <c r="AD1655" s="8" t="b">
        <v>0</v>
      </c>
      <c r="AE1655" s="8" t="b">
        <v>0</v>
      </c>
      <c r="AG1655" s="11" t="b" cm="1">
        <f t="array" ref="AG1655">IF(OR(Y1655:AA1655="TRUE", AE1655="true"), "Threatened")</f>
        <v>0</v>
      </c>
      <c r="AH1655" s="11" t="s">
        <v>4305</v>
      </c>
      <c r="AI1655" s="8" t="b">
        <v>0</v>
      </c>
    </row>
    <row r="1656" spans="1:35" ht="31.2">
      <c r="A1656" s="8">
        <v>-73.969570009999998</v>
      </c>
      <c r="B1656" s="8">
        <v>40.781650149999997</v>
      </c>
      <c r="C1656" s="8" t="s">
        <v>4306</v>
      </c>
      <c r="D1656" s="8" t="s">
        <v>422</v>
      </c>
      <c r="E1656" s="8" t="b">
        <f t="shared" si="25"/>
        <v>0</v>
      </c>
      <c r="F1656" s="8" t="str" cm="1">
        <f t="array" ref="F1656">_xlfn._xlws.FILTER(E1656:E4854, C1656:C4854= "6D-PM-1020-01", "No Squirrels Found")</f>
        <v>No Squirrels Found</v>
      </c>
      <c r="G1656" s="8" t="s">
        <v>34</v>
      </c>
      <c r="H1656" s="10">
        <v>10182018</v>
      </c>
      <c r="I1656" s="10">
        <v>4</v>
      </c>
      <c r="J1656" s="8" t="s">
        <v>39</v>
      </c>
      <c r="K1656" s="8" t="s">
        <v>40</v>
      </c>
      <c r="L1656" s="8" t="s">
        <v>117</v>
      </c>
      <c r="M1656" s="8" t="s">
        <v>118</v>
      </c>
      <c r="N1656" s="11" t="s">
        <v>4307</v>
      </c>
      <c r="O1656" s="8" t="s">
        <v>43</v>
      </c>
      <c r="P1656" s="8" t="b">
        <v>0</v>
      </c>
      <c r="R1656" s="8" t="b">
        <v>0</v>
      </c>
      <c r="S1656" s="8" t="b">
        <v>0</v>
      </c>
      <c r="T1656" s="8" t="b">
        <v>0</v>
      </c>
      <c r="U1656" s="8" t="b">
        <v>0</v>
      </c>
      <c r="V1656" s="8" t="b">
        <v>1</v>
      </c>
      <c r="X1656" s="8" t="b">
        <v>0</v>
      </c>
      <c r="Y1656" s="8" t="b">
        <v>0</v>
      </c>
      <c r="Z1656" s="8" t="b">
        <v>0</v>
      </c>
      <c r="AA1656" s="8" t="b">
        <v>0</v>
      </c>
      <c r="AB1656" s="8" t="b">
        <v>0</v>
      </c>
      <c r="AC1656" s="8" t="b">
        <v>0</v>
      </c>
      <c r="AD1656" s="8" t="b">
        <v>0</v>
      </c>
      <c r="AE1656" s="8" t="b">
        <v>0</v>
      </c>
      <c r="AG1656" s="11" t="b" cm="1">
        <f t="array" ref="AG1656">IF(OR(Y1656:AA1656="TRUE", AE1656="true"), "Threatened")</f>
        <v>0</v>
      </c>
      <c r="AH1656" s="11" t="s">
        <v>4308</v>
      </c>
      <c r="AI1656" s="8" t="b">
        <v>1</v>
      </c>
    </row>
    <row r="1657" spans="1:35" ht="31.2">
      <c r="A1657" s="8">
        <v>-73.955739989999998</v>
      </c>
      <c r="B1657" s="8">
        <v>40.797156370000003</v>
      </c>
      <c r="C1657" s="8" t="s">
        <v>4309</v>
      </c>
      <c r="D1657" s="8" t="s">
        <v>439</v>
      </c>
      <c r="E1657" s="8" t="b">
        <f t="shared" si="25"/>
        <v>0</v>
      </c>
      <c r="F1657" s="8" t="str" cm="1">
        <f t="array" ref="F1657">_xlfn._xlws.FILTER(E1657:E4855, C1657:C4855= "6D-PM-1020-01", "No Squirrels Found")</f>
        <v>No Squirrels Found</v>
      </c>
      <c r="G1657" s="8" t="s">
        <v>34</v>
      </c>
      <c r="H1657" s="10">
        <v>10132018</v>
      </c>
      <c r="I1657" s="10">
        <v>7</v>
      </c>
      <c r="J1657" s="8" t="s">
        <v>39</v>
      </c>
      <c r="K1657" s="8" t="s">
        <v>40</v>
      </c>
      <c r="L1657" s="8" t="s">
        <v>41</v>
      </c>
      <c r="M1657" s="8" t="s">
        <v>42</v>
      </c>
      <c r="O1657" s="8" t="s">
        <v>43</v>
      </c>
      <c r="P1657" s="8" t="b">
        <v>0</v>
      </c>
      <c r="R1657" s="8" t="b">
        <v>1</v>
      </c>
      <c r="S1657" s="8" t="b">
        <v>1</v>
      </c>
      <c r="T1657" s="8" t="b">
        <v>0</v>
      </c>
      <c r="U1657" s="8" t="b">
        <v>0</v>
      </c>
      <c r="V1657" s="8" t="b">
        <v>0</v>
      </c>
      <c r="X1657" s="8" t="b">
        <v>0</v>
      </c>
      <c r="Y1657" s="8" t="b">
        <v>0</v>
      </c>
      <c r="Z1657" s="8" t="b">
        <v>0</v>
      </c>
      <c r="AA1657" s="8" t="b">
        <v>0</v>
      </c>
      <c r="AB1657" s="8" t="b">
        <v>0</v>
      </c>
      <c r="AC1657" s="8" t="b">
        <v>0</v>
      </c>
      <c r="AD1657" s="8" t="b">
        <v>0</v>
      </c>
      <c r="AE1657" s="8" t="b">
        <v>1</v>
      </c>
      <c r="AG1657" s="11" t="b" cm="1">
        <f t="array" ref="AG1657">IF(OR(Y1657:AA1657="TRUE", AE1657="true"), "Threatened")</f>
        <v>0</v>
      </c>
      <c r="AH1657" s="11" t="s">
        <v>4310</v>
      </c>
      <c r="AI1657" s="8" t="b">
        <v>1</v>
      </c>
    </row>
    <row r="1658" spans="1:35" ht="31.2">
      <c r="A1658" s="8">
        <v>-73.976825410000004</v>
      </c>
      <c r="B1658" s="8">
        <v>40.771675790000003</v>
      </c>
      <c r="C1658" s="8" t="s">
        <v>4311</v>
      </c>
      <c r="D1658" s="8" t="s">
        <v>2799</v>
      </c>
      <c r="E1658" s="8" t="b">
        <f t="shared" si="25"/>
        <v>1</v>
      </c>
      <c r="F1658" s="8" t="str" cm="1">
        <f t="array" ref="F1658">_xlfn._xlws.FILTER(E1658:E4856, C1658:C4856= "6D-PM-1020-01", "No Squirrels Found")</f>
        <v>No Squirrels Found</v>
      </c>
      <c r="G1658" s="8" t="s">
        <v>34</v>
      </c>
      <c r="H1658" s="10">
        <v>10202018</v>
      </c>
      <c r="I1658" s="10">
        <v>3</v>
      </c>
      <c r="J1658" s="8" t="s">
        <v>39</v>
      </c>
      <c r="K1658" s="8" t="s">
        <v>40</v>
      </c>
      <c r="M1658" s="8" t="s">
        <v>55</v>
      </c>
      <c r="O1658" s="8" t="s">
        <v>43</v>
      </c>
      <c r="P1658" s="8" t="b">
        <v>0</v>
      </c>
      <c r="R1658" s="8" t="b">
        <v>0</v>
      </c>
      <c r="S1658" s="8" t="b">
        <v>0</v>
      </c>
      <c r="T1658" s="8" t="b">
        <v>0</v>
      </c>
      <c r="U1658" s="8" t="b">
        <v>0</v>
      </c>
      <c r="V1658" s="8" t="b">
        <v>1</v>
      </c>
      <c r="X1658" s="8" t="b">
        <v>0</v>
      </c>
      <c r="Y1658" s="8" t="b">
        <v>0</v>
      </c>
      <c r="Z1658" s="8" t="b">
        <v>0</v>
      </c>
      <c r="AA1658" s="8" t="b">
        <v>0</v>
      </c>
      <c r="AB1658" s="8" t="b">
        <v>1</v>
      </c>
      <c r="AC1658" s="8" t="b">
        <v>0</v>
      </c>
      <c r="AD1658" s="8" t="b">
        <v>0</v>
      </c>
      <c r="AE1658" s="8" t="b">
        <v>1</v>
      </c>
      <c r="AG1658" s="11" t="b" cm="1">
        <f t="array" ref="AG1658">IF(OR(Y1658:AA1658="TRUE", AE1658="true"), "Threatened")</f>
        <v>0</v>
      </c>
      <c r="AH1658" s="11" t="s">
        <v>4312</v>
      </c>
      <c r="AI1658" s="8" t="b">
        <v>1</v>
      </c>
    </row>
    <row r="1659" spans="1:35" ht="31.2">
      <c r="A1659" s="8">
        <v>-73.973601619999997</v>
      </c>
      <c r="B1659" s="8">
        <v>40.772378140000001</v>
      </c>
      <c r="C1659" s="8" t="s">
        <v>4313</v>
      </c>
      <c r="D1659" s="8" t="s">
        <v>2088</v>
      </c>
      <c r="E1659" s="8" t="b">
        <f t="shared" si="25"/>
        <v>0</v>
      </c>
      <c r="F1659" s="8" t="str" cm="1">
        <f t="array" ref="F1659">_xlfn._xlws.FILTER(E1659:E4857, C1659:C4857= "6D-PM-1020-01", "No Squirrels Found")</f>
        <v>No Squirrels Found</v>
      </c>
      <c r="G1659" s="8" t="s">
        <v>48</v>
      </c>
      <c r="H1659" s="10">
        <v>10072018</v>
      </c>
      <c r="I1659" s="10">
        <v>3</v>
      </c>
      <c r="J1659" s="8" t="s">
        <v>39</v>
      </c>
      <c r="K1659" s="8" t="s">
        <v>40</v>
      </c>
      <c r="M1659" s="8" t="s">
        <v>55</v>
      </c>
      <c r="O1659" s="8" t="s">
        <v>43</v>
      </c>
      <c r="P1659" s="8" t="b">
        <v>0</v>
      </c>
      <c r="R1659" s="8" t="b">
        <v>0</v>
      </c>
      <c r="S1659" s="8" t="b">
        <v>0</v>
      </c>
      <c r="T1659" s="8" t="b">
        <v>0</v>
      </c>
      <c r="U1659" s="8" t="b">
        <v>0</v>
      </c>
      <c r="V1659" s="8" t="b">
        <v>1</v>
      </c>
      <c r="X1659" s="8" t="b">
        <v>0</v>
      </c>
      <c r="Y1659" s="8" t="b">
        <v>0</v>
      </c>
      <c r="Z1659" s="8" t="b">
        <v>0</v>
      </c>
      <c r="AA1659" s="8" t="b">
        <v>0</v>
      </c>
      <c r="AB1659" s="8" t="b">
        <v>0</v>
      </c>
      <c r="AC1659" s="8" t="b">
        <v>0</v>
      </c>
      <c r="AD1659" s="8" t="b">
        <v>0</v>
      </c>
      <c r="AE1659" s="8" t="b">
        <v>1</v>
      </c>
      <c r="AF1659" s="11" t="s">
        <v>1068</v>
      </c>
      <c r="AG1659" s="11" t="b" cm="1">
        <f t="array" ref="AG1659">IF(OR(Y1659:AA1659="TRUE", AE1659="true"), "Threatened")</f>
        <v>0</v>
      </c>
      <c r="AH1659" s="11" t="s">
        <v>4314</v>
      </c>
      <c r="AI1659" s="8" t="b">
        <v>1</v>
      </c>
    </row>
    <row r="1660" spans="1:35" ht="31.2">
      <c r="A1660" s="8">
        <v>-73.969049889999994</v>
      </c>
      <c r="B1660" s="8">
        <v>40.770001180000001</v>
      </c>
      <c r="C1660" s="8" t="s">
        <v>4315</v>
      </c>
      <c r="D1660" s="8" t="s">
        <v>1326</v>
      </c>
      <c r="E1660" s="8" t="b">
        <f t="shared" si="25"/>
        <v>0</v>
      </c>
      <c r="F1660" s="8" t="str" cm="1">
        <f t="array" ref="F1660">_xlfn._xlws.FILTER(E1660:E4858, C1660:C4858= "6D-PM-1020-01", "No Squirrels Found")</f>
        <v>No Squirrels Found</v>
      </c>
      <c r="G1660" s="8" t="s">
        <v>48</v>
      </c>
      <c r="H1660" s="10">
        <v>10062018</v>
      </c>
      <c r="I1660" s="10">
        <v>7</v>
      </c>
      <c r="J1660" s="8" t="s">
        <v>39</v>
      </c>
      <c r="K1660" s="8" t="s">
        <v>40</v>
      </c>
      <c r="L1660" s="8" t="s">
        <v>84</v>
      </c>
      <c r="M1660" s="8" t="s">
        <v>103</v>
      </c>
      <c r="N1660" s="11" t="s">
        <v>4316</v>
      </c>
      <c r="O1660" s="8" t="s">
        <v>50</v>
      </c>
      <c r="P1660" s="8">
        <v>20</v>
      </c>
      <c r="R1660" s="8" t="b">
        <v>0</v>
      </c>
      <c r="S1660" s="8" t="b">
        <v>0</v>
      </c>
      <c r="T1660" s="8" t="b">
        <v>1</v>
      </c>
      <c r="U1660" s="8" t="b">
        <v>0</v>
      </c>
      <c r="V1660" s="8" t="b">
        <v>1</v>
      </c>
      <c r="X1660" s="8" t="b">
        <v>0</v>
      </c>
      <c r="Y1660" s="8" t="b">
        <v>0</v>
      </c>
      <c r="Z1660" s="8" t="b">
        <v>0</v>
      </c>
      <c r="AA1660" s="8" t="b">
        <v>0</v>
      </c>
      <c r="AB1660" s="8" t="b">
        <v>0</v>
      </c>
      <c r="AC1660" s="8" t="b">
        <v>0</v>
      </c>
      <c r="AD1660" s="8" t="b">
        <v>1</v>
      </c>
      <c r="AE1660" s="8" t="b">
        <v>0</v>
      </c>
      <c r="AG1660" s="11" t="b" cm="1">
        <f t="array" ref="AG1660">IF(OR(Y1660:AA1660="TRUE", AE1660="true"), "Threatened")</f>
        <v>0</v>
      </c>
      <c r="AH1660" s="11" t="s">
        <v>4317</v>
      </c>
      <c r="AI1660" s="8" t="b">
        <v>1</v>
      </c>
    </row>
    <row r="1661" spans="1:35" ht="31.2">
      <c r="A1661" s="8">
        <v>-73.980049949999994</v>
      </c>
      <c r="B1661" s="8">
        <v>40.770218110000002</v>
      </c>
      <c r="C1661" s="8" t="s">
        <v>4318</v>
      </c>
      <c r="D1661" s="8" t="s">
        <v>1364</v>
      </c>
      <c r="E1661" s="8" t="b">
        <f t="shared" si="25"/>
        <v>0</v>
      </c>
      <c r="F1661" s="8" t="str" cm="1">
        <f t="array" ref="F1661">_xlfn._xlws.FILTER(E1661:E4859, C1661:C4859= "6D-PM-1020-01", "No Squirrels Found")</f>
        <v>No Squirrels Found</v>
      </c>
      <c r="G1661" s="8" t="s">
        <v>34</v>
      </c>
      <c r="H1661" s="10">
        <v>10072018</v>
      </c>
      <c r="I1661" s="10">
        <v>5</v>
      </c>
      <c r="J1661" s="8" t="s">
        <v>39</v>
      </c>
      <c r="K1661" s="8" t="s">
        <v>40</v>
      </c>
      <c r="L1661" s="8" t="s">
        <v>84</v>
      </c>
      <c r="M1661" s="8" t="s">
        <v>103</v>
      </c>
      <c r="O1661" s="8" t="s">
        <v>43</v>
      </c>
      <c r="P1661" s="8" t="b">
        <v>0</v>
      </c>
      <c r="Q1661" s="8" t="s">
        <v>4319</v>
      </c>
      <c r="R1661" s="8" t="b">
        <v>0</v>
      </c>
      <c r="S1661" s="8" t="b">
        <v>0</v>
      </c>
      <c r="T1661" s="8" t="b">
        <v>0</v>
      </c>
      <c r="U1661" s="8" t="b">
        <v>0</v>
      </c>
      <c r="V1661" s="8" t="b">
        <v>1</v>
      </c>
      <c r="X1661" s="8" t="b">
        <v>0</v>
      </c>
      <c r="Y1661" s="8" t="b">
        <v>0</v>
      </c>
      <c r="Z1661" s="8" t="b">
        <v>0</v>
      </c>
      <c r="AA1661" s="8" t="b">
        <v>1</v>
      </c>
      <c r="AB1661" s="8" t="b">
        <v>1</v>
      </c>
      <c r="AC1661" s="8" t="b">
        <v>0</v>
      </c>
      <c r="AD1661" s="8" t="b">
        <v>1</v>
      </c>
      <c r="AE1661" s="8" t="b">
        <v>0</v>
      </c>
      <c r="AG1661" s="11" t="b" cm="1">
        <f t="array" ref="AG1661">IF(OR(Y1661:AA1661="TRUE", AE1661="true"), "Threatened")</f>
        <v>0</v>
      </c>
      <c r="AH1661" s="11" t="s">
        <v>4320</v>
      </c>
      <c r="AI1661" s="8" t="b">
        <v>1</v>
      </c>
    </row>
    <row r="1662" spans="1:35" ht="31.2">
      <c r="A1662" s="8">
        <v>-73.974519310000005</v>
      </c>
      <c r="B1662" s="8">
        <v>40.769122879999998</v>
      </c>
      <c r="C1662" s="8" t="s">
        <v>4321</v>
      </c>
      <c r="D1662" s="8" t="s">
        <v>259</v>
      </c>
      <c r="E1662" s="8" t="b">
        <f t="shared" si="25"/>
        <v>0</v>
      </c>
      <c r="F1662" s="8" t="str" cm="1">
        <f t="array" ref="F1662">_xlfn._xlws.FILTER(E1662:E4860, C1662:C4860= "6D-PM-1020-01", "No Squirrels Found")</f>
        <v>No Squirrels Found</v>
      </c>
      <c r="G1662" s="8" t="s">
        <v>48</v>
      </c>
      <c r="H1662" s="10">
        <v>10082018</v>
      </c>
      <c r="I1662" s="10">
        <v>2</v>
      </c>
      <c r="J1662" s="8" t="s">
        <v>39</v>
      </c>
      <c r="K1662" s="8" t="s">
        <v>40</v>
      </c>
      <c r="L1662" s="8" t="s">
        <v>41</v>
      </c>
      <c r="M1662" s="8" t="s">
        <v>42</v>
      </c>
      <c r="O1662" s="8" t="s">
        <v>50</v>
      </c>
      <c r="P1662" s="8">
        <v>8</v>
      </c>
      <c r="Q1662" s="8" t="s">
        <v>4322</v>
      </c>
      <c r="R1662" s="8" t="b">
        <v>1</v>
      </c>
      <c r="S1662" s="8" t="b">
        <v>0</v>
      </c>
      <c r="T1662" s="8" t="b">
        <v>0</v>
      </c>
      <c r="U1662" s="8" t="b">
        <v>0</v>
      </c>
      <c r="V1662" s="8" t="b">
        <v>1</v>
      </c>
      <c r="X1662" s="8" t="b">
        <v>0</v>
      </c>
      <c r="Y1662" s="8" t="b">
        <v>0</v>
      </c>
      <c r="Z1662" s="8" t="b">
        <v>0</v>
      </c>
      <c r="AA1662" s="8" t="b">
        <v>0</v>
      </c>
      <c r="AB1662" s="8" t="b">
        <v>0</v>
      </c>
      <c r="AC1662" s="8" t="b">
        <v>1</v>
      </c>
      <c r="AD1662" s="8" t="b">
        <v>0</v>
      </c>
      <c r="AE1662" s="8" t="b">
        <v>0</v>
      </c>
      <c r="AG1662" s="11" t="b" cm="1">
        <f t="array" ref="AG1662">IF(OR(Y1662:AA1662="TRUE", AE1662="true"), "Threatened")</f>
        <v>0</v>
      </c>
      <c r="AH1662" s="11" t="s">
        <v>4323</v>
      </c>
      <c r="AI1662" s="8" t="b">
        <v>1</v>
      </c>
    </row>
    <row r="1663" spans="1:35" ht="31.2">
      <c r="A1663" s="8">
        <v>-73.956160019999999</v>
      </c>
      <c r="B1663" s="8">
        <v>40.795314320000003</v>
      </c>
      <c r="C1663" s="8" t="s">
        <v>4324</v>
      </c>
      <c r="D1663" s="8" t="s">
        <v>530</v>
      </c>
      <c r="E1663" s="8" t="b">
        <f t="shared" si="25"/>
        <v>0</v>
      </c>
      <c r="F1663" s="8" t="str" cm="1">
        <f t="array" ref="F1663">_xlfn._xlws.FILTER(E1663:E4861, C1663:C4861= "6D-PM-1020-01", "No Squirrels Found")</f>
        <v>No Squirrels Found</v>
      </c>
      <c r="G1663" s="8" t="s">
        <v>48</v>
      </c>
      <c r="H1663" s="10">
        <v>10102018</v>
      </c>
      <c r="I1663" s="10">
        <v>10</v>
      </c>
      <c r="J1663" s="8" t="s">
        <v>39</v>
      </c>
      <c r="K1663" s="8" t="s">
        <v>40</v>
      </c>
      <c r="L1663" s="8" t="s">
        <v>41</v>
      </c>
      <c r="M1663" s="8" t="s">
        <v>42</v>
      </c>
      <c r="O1663" s="8" t="s">
        <v>50</v>
      </c>
      <c r="P1663" s="8">
        <v>1</v>
      </c>
      <c r="Q1663" s="8" t="s">
        <v>4325</v>
      </c>
      <c r="R1663" s="8" t="b">
        <v>0</v>
      </c>
      <c r="S1663" s="8" t="b">
        <v>0</v>
      </c>
      <c r="T1663" s="8" t="b">
        <v>0</v>
      </c>
      <c r="U1663" s="8" t="b">
        <v>0</v>
      </c>
      <c r="V1663" s="8" t="b">
        <v>0</v>
      </c>
      <c r="W1663" s="11" t="s">
        <v>4326</v>
      </c>
      <c r="X1663" s="8" t="b">
        <v>0</v>
      </c>
      <c r="Y1663" s="8" t="b">
        <v>0</v>
      </c>
      <c r="Z1663" s="8" t="b">
        <v>0</v>
      </c>
      <c r="AA1663" s="8" t="b">
        <v>0</v>
      </c>
      <c r="AB1663" s="8" t="b">
        <v>0</v>
      </c>
      <c r="AC1663" s="8" t="b">
        <v>0</v>
      </c>
      <c r="AD1663" s="8" t="b">
        <v>0</v>
      </c>
      <c r="AE1663" s="8" t="b">
        <v>1</v>
      </c>
      <c r="AF1663" s="11" t="s">
        <v>4327</v>
      </c>
      <c r="AG1663" s="11" t="b" cm="1">
        <f t="array" ref="AG1663">IF(OR(Y1663:AA1663="TRUE", AE1663="true"), "Threatened")</f>
        <v>0</v>
      </c>
      <c r="AH1663" s="11" t="s">
        <v>4328</v>
      </c>
      <c r="AI1663" s="8" t="b">
        <v>0</v>
      </c>
    </row>
    <row r="1664" spans="1:35" ht="31.2">
      <c r="A1664" s="8">
        <v>-73.969672040000006</v>
      </c>
      <c r="B1664" s="8">
        <v>40.779185159999997</v>
      </c>
      <c r="C1664" s="8" t="s">
        <v>4329</v>
      </c>
      <c r="D1664" s="8" t="s">
        <v>1996</v>
      </c>
      <c r="E1664" s="8" t="b">
        <f t="shared" si="25"/>
        <v>0</v>
      </c>
      <c r="F1664" s="8" t="str" cm="1">
        <f t="array" ref="F1664">_xlfn._xlws.FILTER(E1664:E4862, C1664:C4862= "6D-PM-1020-01", "No Squirrels Found")</f>
        <v>No Squirrels Found</v>
      </c>
      <c r="G1664" s="8" t="s">
        <v>48</v>
      </c>
      <c r="H1664" s="10">
        <v>10082018</v>
      </c>
      <c r="I1664" s="10">
        <v>4</v>
      </c>
      <c r="J1664" s="8" t="s">
        <v>39</v>
      </c>
      <c r="K1664" s="8" t="s">
        <v>40</v>
      </c>
      <c r="L1664" s="8" t="s">
        <v>84</v>
      </c>
      <c r="M1664" s="8" t="s">
        <v>103</v>
      </c>
      <c r="O1664" s="8" t="s">
        <v>43</v>
      </c>
      <c r="P1664" s="8" t="b">
        <v>0</v>
      </c>
      <c r="R1664" s="8" t="b">
        <v>0</v>
      </c>
      <c r="S1664" s="8" t="b">
        <v>0</v>
      </c>
      <c r="T1664" s="8" t="b">
        <v>0</v>
      </c>
      <c r="U1664" s="8" t="b">
        <v>0</v>
      </c>
      <c r="V1664" s="8" t="b">
        <v>0</v>
      </c>
      <c r="X1664" s="8" t="b">
        <v>0</v>
      </c>
      <c r="Y1664" s="8" t="b">
        <v>0</v>
      </c>
      <c r="Z1664" s="8" t="b">
        <v>0</v>
      </c>
      <c r="AA1664" s="8" t="b">
        <v>0</v>
      </c>
      <c r="AB1664" s="8" t="b">
        <v>1</v>
      </c>
      <c r="AC1664" s="8" t="b">
        <v>0</v>
      </c>
      <c r="AD1664" s="8" t="b">
        <v>1</v>
      </c>
      <c r="AE1664" s="8" t="b">
        <v>0</v>
      </c>
      <c r="AG1664" s="11" t="b" cm="1">
        <f t="array" ref="AG1664">IF(OR(Y1664:AA1664="TRUE", AE1664="true"), "Threatened")</f>
        <v>0</v>
      </c>
      <c r="AH1664" s="11" t="s">
        <v>4330</v>
      </c>
      <c r="AI1664" s="8" t="b">
        <v>1</v>
      </c>
    </row>
    <row r="1665" spans="1:35" ht="31.2">
      <c r="A1665" s="8">
        <v>-73.972914290000006</v>
      </c>
      <c r="B1665" s="8">
        <v>40.772409109999998</v>
      </c>
      <c r="C1665" s="8" t="s">
        <v>4331</v>
      </c>
      <c r="D1665" s="8" t="s">
        <v>1923</v>
      </c>
      <c r="E1665" s="8" t="b">
        <f t="shared" si="25"/>
        <v>0</v>
      </c>
      <c r="F1665" s="8" t="str" cm="1">
        <f t="array" ref="F1665">_xlfn._xlws.FILTER(E1665:E4863, C1665:C4863= "6D-PM-1020-01", "No Squirrels Found")</f>
        <v>No Squirrels Found</v>
      </c>
      <c r="G1665" s="8" t="s">
        <v>48</v>
      </c>
      <c r="H1665" s="10">
        <v>10082018</v>
      </c>
      <c r="I1665" s="10">
        <v>3</v>
      </c>
      <c r="J1665" s="8" t="s">
        <v>39</v>
      </c>
      <c r="K1665" s="8" t="s">
        <v>40</v>
      </c>
      <c r="L1665" s="8" t="s">
        <v>41</v>
      </c>
      <c r="M1665" s="8" t="s">
        <v>42</v>
      </c>
      <c r="O1665" s="8" t="s">
        <v>43</v>
      </c>
      <c r="P1665" s="8" t="b">
        <v>0</v>
      </c>
      <c r="R1665" s="8" t="b">
        <v>0</v>
      </c>
      <c r="S1665" s="8" t="b">
        <v>0</v>
      </c>
      <c r="T1665" s="8" t="b">
        <v>0</v>
      </c>
      <c r="U1665" s="8" t="b">
        <v>1</v>
      </c>
      <c r="V1665" s="8" t="b">
        <v>0</v>
      </c>
      <c r="X1665" s="8" t="b">
        <v>0</v>
      </c>
      <c r="Y1665" s="8" t="b">
        <v>0</v>
      </c>
      <c r="Z1665" s="8" t="b">
        <v>0</v>
      </c>
      <c r="AA1665" s="8" t="b">
        <v>0</v>
      </c>
      <c r="AB1665" s="8" t="b">
        <v>0</v>
      </c>
      <c r="AC1665" s="8" t="b">
        <v>0</v>
      </c>
      <c r="AD1665" s="8" t="b">
        <v>1</v>
      </c>
      <c r="AE1665" s="8" t="b">
        <v>0</v>
      </c>
      <c r="AG1665" s="11" t="b" cm="1">
        <f t="array" ref="AG1665">IF(OR(Y1665:AA1665="TRUE", AE1665="true"), "Threatened")</f>
        <v>0</v>
      </c>
      <c r="AH1665" s="11" t="s">
        <v>4332</v>
      </c>
      <c r="AI1665" s="8" t="b">
        <v>1</v>
      </c>
    </row>
    <row r="1666" spans="1:35" ht="46.8">
      <c r="A1666" s="8">
        <v>-73.958394440000006</v>
      </c>
      <c r="B1666" s="8">
        <v>40.79796898</v>
      </c>
      <c r="C1666" s="8" t="s">
        <v>4333</v>
      </c>
      <c r="D1666" s="8" t="s">
        <v>58</v>
      </c>
      <c r="E1666" s="8" t="b">
        <f t="shared" si="25"/>
        <v>0</v>
      </c>
      <c r="F1666" s="8" t="str" cm="1">
        <f t="array" ref="F1666">_xlfn._xlws.FILTER(E1666:E4864, C1666:C4864= "6D-PM-1020-01", "No Squirrels Found")</f>
        <v>No Squirrels Found</v>
      </c>
      <c r="G1666" s="8" t="s">
        <v>34</v>
      </c>
      <c r="H1666" s="10">
        <v>10142018</v>
      </c>
      <c r="I1666" s="10">
        <v>4</v>
      </c>
      <c r="J1666" s="8" t="s">
        <v>39</v>
      </c>
      <c r="K1666" s="8" t="s">
        <v>40</v>
      </c>
      <c r="M1666" s="8" t="s">
        <v>55</v>
      </c>
      <c r="O1666" s="8" t="s">
        <v>50</v>
      </c>
      <c r="P1666" s="8">
        <v>10</v>
      </c>
      <c r="R1666" s="8" t="b">
        <v>0</v>
      </c>
      <c r="S1666" s="8" t="b">
        <v>0</v>
      </c>
      <c r="T1666" s="8" t="b">
        <v>1</v>
      </c>
      <c r="U1666" s="8" t="b">
        <v>0</v>
      </c>
      <c r="V1666" s="8" t="b">
        <v>0</v>
      </c>
      <c r="X1666" s="8" t="b">
        <v>0</v>
      </c>
      <c r="Y1666" s="8" t="b">
        <v>0</v>
      </c>
      <c r="Z1666" s="8" t="b">
        <v>0</v>
      </c>
      <c r="AA1666" s="8" t="b">
        <v>0</v>
      </c>
      <c r="AB1666" s="8" t="b">
        <v>0</v>
      </c>
      <c r="AC1666" s="8" t="b">
        <v>0</v>
      </c>
      <c r="AD1666" s="8" t="b">
        <v>1</v>
      </c>
      <c r="AE1666" s="8" t="b">
        <v>1</v>
      </c>
      <c r="AF1666" s="11" t="s">
        <v>4334</v>
      </c>
      <c r="AG1666" s="11" t="b" cm="1">
        <f t="array" ref="AG1666">IF(OR(Y1666:AA1666="TRUE", AE1666="true"), "Threatened")</f>
        <v>0</v>
      </c>
      <c r="AH1666" s="11" t="s">
        <v>4335</v>
      </c>
      <c r="AI1666" s="8" t="b">
        <v>1</v>
      </c>
    </row>
    <row r="1667" spans="1:35" ht="31.2">
      <c r="A1667" s="8">
        <v>-73.964946549999993</v>
      </c>
      <c r="B1667" s="8">
        <v>40.782270840000002</v>
      </c>
      <c r="C1667" s="8" t="s">
        <v>4336</v>
      </c>
      <c r="D1667" s="8" t="s">
        <v>177</v>
      </c>
      <c r="E1667" s="8" t="b">
        <f t="shared" ref="E1667:E1730" si="26">OR(D1667 = "05D", D1667 = "07D", D1667 = "06C", D1667 = "06E")</f>
        <v>0</v>
      </c>
      <c r="F1667" s="8" t="str" cm="1">
        <f t="array" ref="F1667">_xlfn._xlws.FILTER(E1667:E4865, C1667:C4865= "6D-PM-1020-01", "No Squirrels Found")</f>
        <v>No Squirrels Found</v>
      </c>
      <c r="G1667" s="8" t="s">
        <v>34</v>
      </c>
      <c r="H1667" s="10">
        <v>10142018</v>
      </c>
      <c r="I1667" s="10">
        <v>7</v>
      </c>
      <c r="J1667" s="8" t="s">
        <v>39</v>
      </c>
      <c r="K1667" s="8" t="s">
        <v>40</v>
      </c>
      <c r="M1667" s="8" t="s">
        <v>55</v>
      </c>
      <c r="O1667" s="8" t="s">
        <v>43</v>
      </c>
      <c r="P1667" s="8" t="b">
        <v>0</v>
      </c>
      <c r="R1667" s="8" t="b">
        <v>0</v>
      </c>
      <c r="S1667" s="8" t="b">
        <v>1</v>
      </c>
      <c r="T1667" s="8" t="b">
        <v>0</v>
      </c>
      <c r="U1667" s="8" t="b">
        <v>0</v>
      </c>
      <c r="V1667" s="8" t="b">
        <v>0</v>
      </c>
      <c r="X1667" s="8" t="b">
        <v>0</v>
      </c>
      <c r="Y1667" s="8" t="b">
        <v>0</v>
      </c>
      <c r="Z1667" s="8" t="b">
        <v>0</v>
      </c>
      <c r="AA1667" s="8" t="b">
        <v>0</v>
      </c>
      <c r="AB1667" s="8" t="b">
        <v>0</v>
      </c>
      <c r="AC1667" s="8" t="b">
        <v>0</v>
      </c>
      <c r="AD1667" s="8" t="b">
        <v>1</v>
      </c>
      <c r="AE1667" s="8" t="b">
        <v>0</v>
      </c>
      <c r="AG1667" s="11" t="b" cm="1">
        <f t="array" ref="AG1667">IF(OR(Y1667:AA1667="TRUE", AE1667="true"), "Threatened")</f>
        <v>0</v>
      </c>
      <c r="AH1667" s="11" t="s">
        <v>4337</v>
      </c>
      <c r="AI1667" s="8" t="b">
        <v>1</v>
      </c>
    </row>
    <row r="1668" spans="1:35" ht="31.2">
      <c r="A1668" s="8">
        <v>-73.964598899999999</v>
      </c>
      <c r="B1668" s="8">
        <v>40.778215750000001</v>
      </c>
      <c r="C1668" s="8" t="s">
        <v>4338</v>
      </c>
      <c r="D1668" s="8" t="s">
        <v>1813</v>
      </c>
      <c r="E1668" s="8" t="b">
        <f t="shared" si="26"/>
        <v>0</v>
      </c>
      <c r="F1668" s="8" t="str" cm="1">
        <f t="array" ref="F1668">_xlfn._xlws.FILTER(E1668:E4866, C1668:C4866= "6D-PM-1020-01", "No Squirrels Found")</f>
        <v>No Squirrels Found</v>
      </c>
      <c r="G1668" s="8" t="s">
        <v>34</v>
      </c>
      <c r="H1668" s="10">
        <v>10142018</v>
      </c>
      <c r="I1668" s="10">
        <v>1</v>
      </c>
      <c r="J1668" s="8" t="s">
        <v>39</v>
      </c>
      <c r="K1668" s="8" t="s">
        <v>40</v>
      </c>
      <c r="L1668" s="8" t="s">
        <v>84</v>
      </c>
      <c r="M1668" s="8" t="s">
        <v>103</v>
      </c>
      <c r="O1668" s="8" t="s">
        <v>43</v>
      </c>
      <c r="P1668" s="8" t="b">
        <v>0</v>
      </c>
      <c r="R1668" s="8" t="b">
        <v>0</v>
      </c>
      <c r="S1668" s="8" t="b">
        <v>0</v>
      </c>
      <c r="T1668" s="8" t="b">
        <v>1</v>
      </c>
      <c r="U1668" s="8" t="b">
        <v>1</v>
      </c>
      <c r="V1668" s="8" t="b">
        <v>0</v>
      </c>
      <c r="X1668" s="8" t="b">
        <v>0</v>
      </c>
      <c r="Y1668" s="8" t="b">
        <v>0</v>
      </c>
      <c r="Z1668" s="8" t="b">
        <v>0</v>
      </c>
      <c r="AA1668" s="8" t="b">
        <v>0</v>
      </c>
      <c r="AB1668" s="8" t="b">
        <v>0</v>
      </c>
      <c r="AC1668" s="8" t="b">
        <v>0</v>
      </c>
      <c r="AD1668" s="8" t="b">
        <v>1</v>
      </c>
      <c r="AE1668" s="8" t="b">
        <v>0</v>
      </c>
      <c r="AG1668" s="11" t="b" cm="1">
        <f t="array" ref="AG1668">IF(OR(Y1668:AA1668="TRUE", AE1668="true"), "Threatened")</f>
        <v>0</v>
      </c>
      <c r="AH1668" s="11" t="s">
        <v>4339</v>
      </c>
      <c r="AI1668" s="8" t="b">
        <v>1</v>
      </c>
    </row>
    <row r="1669" spans="1:35" ht="31.2">
      <c r="A1669" s="8">
        <v>-73.974693479999999</v>
      </c>
      <c r="B1669" s="8">
        <v>40.765943190000002</v>
      </c>
      <c r="C1669" s="8" t="s">
        <v>4340</v>
      </c>
      <c r="D1669" s="8" t="s">
        <v>2892</v>
      </c>
      <c r="E1669" s="8" t="b">
        <f t="shared" si="26"/>
        <v>0</v>
      </c>
      <c r="F1669" s="8" t="str" cm="1">
        <f t="array" ref="F1669">_xlfn._xlws.FILTER(E1669:E4867, C1669:C4867= "6D-PM-1020-01", "No Squirrels Found")</f>
        <v>No Squirrels Found</v>
      </c>
      <c r="G1669" s="8" t="s">
        <v>34</v>
      </c>
      <c r="H1669" s="10">
        <v>10072018</v>
      </c>
      <c r="I1669" s="10">
        <v>2</v>
      </c>
      <c r="J1669" s="8" t="s">
        <v>39</v>
      </c>
      <c r="K1669" s="8" t="s">
        <v>40</v>
      </c>
      <c r="L1669" s="8" t="s">
        <v>41</v>
      </c>
      <c r="M1669" s="8" t="s">
        <v>42</v>
      </c>
      <c r="O1669" s="8" t="s">
        <v>43</v>
      </c>
      <c r="P1669" s="8" t="b">
        <v>0</v>
      </c>
      <c r="R1669" s="8" t="b">
        <v>0</v>
      </c>
      <c r="S1669" s="8" t="b">
        <v>0</v>
      </c>
      <c r="T1669" s="8" t="b">
        <v>0</v>
      </c>
      <c r="U1669" s="8" t="b">
        <v>0</v>
      </c>
      <c r="V1669" s="8" t="b">
        <v>0</v>
      </c>
      <c r="W1669" s="11" t="s">
        <v>443</v>
      </c>
      <c r="X1669" s="8" t="b">
        <v>0</v>
      </c>
      <c r="Y1669" s="8" t="b">
        <v>0</v>
      </c>
      <c r="Z1669" s="8" t="b">
        <v>0</v>
      </c>
      <c r="AA1669" s="8" t="b">
        <v>0</v>
      </c>
      <c r="AB1669" s="8" t="b">
        <v>1</v>
      </c>
      <c r="AC1669" s="8" t="b">
        <v>0</v>
      </c>
      <c r="AD1669" s="8" t="b">
        <v>1</v>
      </c>
      <c r="AE1669" s="8" t="b">
        <v>0</v>
      </c>
      <c r="AG1669" s="11" t="b" cm="1">
        <f t="array" ref="AG1669">IF(OR(Y1669:AA1669="TRUE", AE1669="true"), "Threatened")</f>
        <v>0</v>
      </c>
      <c r="AH1669" s="11" t="s">
        <v>4341</v>
      </c>
      <c r="AI1669" s="8" t="b">
        <v>0</v>
      </c>
    </row>
    <row r="1670" spans="1:35" ht="31.2">
      <c r="A1670" s="8">
        <v>-73.969182119999999</v>
      </c>
      <c r="B1670" s="8">
        <v>40.776320320000004</v>
      </c>
      <c r="C1670" s="8" t="s">
        <v>4342</v>
      </c>
      <c r="D1670" s="8" t="s">
        <v>239</v>
      </c>
      <c r="E1670" s="8" t="b">
        <f t="shared" si="26"/>
        <v>0</v>
      </c>
      <c r="F1670" s="8" t="str" cm="1">
        <f t="array" ref="F1670">_xlfn._xlws.FILTER(E1670:E4868, C1670:C4868= "6D-PM-1020-01", "No Squirrels Found")</f>
        <v>No Squirrels Found</v>
      </c>
      <c r="G1670" s="8" t="s">
        <v>34</v>
      </c>
      <c r="H1670" s="10">
        <v>10122018</v>
      </c>
      <c r="I1670" s="10">
        <v>3</v>
      </c>
      <c r="J1670" s="8" t="s">
        <v>39</v>
      </c>
      <c r="K1670" s="8" t="s">
        <v>40</v>
      </c>
      <c r="L1670" s="8" t="s">
        <v>117</v>
      </c>
      <c r="M1670" s="8" t="s">
        <v>118</v>
      </c>
      <c r="O1670" s="8" t="s">
        <v>43</v>
      </c>
      <c r="P1670" s="8" t="b">
        <v>0</v>
      </c>
      <c r="R1670" s="8" t="b">
        <v>0</v>
      </c>
      <c r="S1670" s="8" t="b">
        <v>0</v>
      </c>
      <c r="T1670" s="8" t="b">
        <v>0</v>
      </c>
      <c r="U1670" s="8" t="b">
        <v>1</v>
      </c>
      <c r="V1670" s="8" t="b">
        <v>1</v>
      </c>
      <c r="X1670" s="8" t="b">
        <v>0</v>
      </c>
      <c r="Y1670" s="8" t="b">
        <v>0</v>
      </c>
      <c r="Z1670" s="8" t="b">
        <v>0</v>
      </c>
      <c r="AA1670" s="8" t="b">
        <v>0</v>
      </c>
      <c r="AB1670" s="8" t="b">
        <v>0</v>
      </c>
      <c r="AC1670" s="8" t="b">
        <v>0</v>
      </c>
      <c r="AD1670" s="8" t="b">
        <v>0</v>
      </c>
      <c r="AE1670" s="8" t="b">
        <v>0</v>
      </c>
      <c r="AG1670" s="11" t="b" cm="1">
        <f t="array" ref="AG1670">IF(OR(Y1670:AA1670="TRUE", AE1670="true"), "Threatened")</f>
        <v>0</v>
      </c>
      <c r="AH1670" s="11" t="s">
        <v>4343</v>
      </c>
      <c r="AI1670" s="8" t="b">
        <v>1</v>
      </c>
    </row>
    <row r="1671" spans="1:35" ht="31.2">
      <c r="A1671" s="8">
        <v>-73.968268879999997</v>
      </c>
      <c r="B1671" s="8">
        <v>40.771193480000001</v>
      </c>
      <c r="C1671" s="8" t="s">
        <v>4344</v>
      </c>
      <c r="D1671" s="8" t="s">
        <v>1785</v>
      </c>
      <c r="E1671" s="8" t="b">
        <f t="shared" si="26"/>
        <v>0</v>
      </c>
      <c r="F1671" s="8" t="str" cm="1">
        <f t="array" ref="F1671">_xlfn._xlws.FILTER(E1671:E4869, C1671:C4869= "6D-PM-1020-01", "No Squirrels Found")</f>
        <v>No Squirrels Found</v>
      </c>
      <c r="G1671" s="8" t="s">
        <v>34</v>
      </c>
      <c r="H1671" s="10">
        <v>10102018</v>
      </c>
      <c r="I1671" s="10">
        <v>6</v>
      </c>
      <c r="J1671" s="8" t="s">
        <v>39</v>
      </c>
      <c r="K1671" s="8" t="s">
        <v>40</v>
      </c>
      <c r="L1671" s="8" t="s">
        <v>41</v>
      </c>
      <c r="M1671" s="8" t="s">
        <v>42</v>
      </c>
      <c r="O1671" s="8" t="s">
        <v>43</v>
      </c>
      <c r="P1671" s="8" t="b">
        <v>0</v>
      </c>
      <c r="R1671" s="8" t="b">
        <v>0</v>
      </c>
      <c r="S1671" s="8" t="b">
        <v>0</v>
      </c>
      <c r="T1671" s="8" t="b">
        <v>0</v>
      </c>
      <c r="U1671" s="8" t="b">
        <v>0</v>
      </c>
      <c r="V1671" s="8" t="b">
        <v>1</v>
      </c>
      <c r="X1671" s="8" t="b">
        <v>0</v>
      </c>
      <c r="Y1671" s="8" t="b">
        <v>0</v>
      </c>
      <c r="Z1671" s="8" t="b">
        <v>0</v>
      </c>
      <c r="AA1671" s="8" t="b">
        <v>0</v>
      </c>
      <c r="AB1671" s="8" t="b">
        <v>0</v>
      </c>
      <c r="AC1671" s="8" t="b">
        <v>0</v>
      </c>
      <c r="AD1671" s="8" t="b">
        <v>1</v>
      </c>
      <c r="AE1671" s="8" t="b">
        <v>0</v>
      </c>
      <c r="AG1671" s="11" t="b" cm="1">
        <f t="array" ref="AG1671">IF(OR(Y1671:AA1671="TRUE", AE1671="true"), "Threatened")</f>
        <v>0</v>
      </c>
      <c r="AH1671" s="11" t="s">
        <v>4345</v>
      </c>
      <c r="AI1671" s="8" t="b">
        <v>1</v>
      </c>
    </row>
    <row r="1672" spans="1:35" ht="31.2">
      <c r="A1672" s="8">
        <v>-73.961139959999997</v>
      </c>
      <c r="B1672" s="8">
        <v>40.781130709999999</v>
      </c>
      <c r="C1672" s="8" t="s">
        <v>4346</v>
      </c>
      <c r="D1672" s="8" t="s">
        <v>1118</v>
      </c>
      <c r="E1672" s="8" t="b">
        <f t="shared" si="26"/>
        <v>0</v>
      </c>
      <c r="F1672" s="8" t="str" cm="1">
        <f t="array" ref="F1672">_xlfn._xlws.FILTER(E1672:E4870, C1672:C4870= "6D-PM-1020-01", "No Squirrels Found")</f>
        <v>No Squirrels Found</v>
      </c>
      <c r="G1672" s="8" t="s">
        <v>48</v>
      </c>
      <c r="H1672" s="10">
        <v>10072018</v>
      </c>
      <c r="I1672" s="10">
        <v>1</v>
      </c>
      <c r="J1672" s="8" t="s">
        <v>39</v>
      </c>
      <c r="K1672" s="8" t="s">
        <v>40</v>
      </c>
      <c r="L1672" s="8" t="s">
        <v>84</v>
      </c>
      <c r="M1672" s="8" t="s">
        <v>103</v>
      </c>
      <c r="O1672" s="8" t="s">
        <v>43</v>
      </c>
      <c r="P1672" s="8" t="b">
        <v>0</v>
      </c>
      <c r="R1672" s="8" t="b">
        <v>0</v>
      </c>
      <c r="S1672" s="8" t="b">
        <v>0</v>
      </c>
      <c r="T1672" s="8" t="b">
        <v>0</v>
      </c>
      <c r="U1672" s="8" t="b">
        <v>0</v>
      </c>
      <c r="V1672" s="8" t="b">
        <v>1</v>
      </c>
      <c r="X1672" s="8" t="b">
        <v>0</v>
      </c>
      <c r="Y1672" s="8" t="b">
        <v>0</v>
      </c>
      <c r="Z1672" s="8" t="b">
        <v>0</v>
      </c>
      <c r="AA1672" s="8" t="b">
        <v>0</v>
      </c>
      <c r="AB1672" s="8" t="b">
        <v>0</v>
      </c>
      <c r="AC1672" s="8" t="b">
        <v>0</v>
      </c>
      <c r="AD1672" s="8" t="b">
        <v>1</v>
      </c>
      <c r="AE1672" s="8" t="b">
        <v>0</v>
      </c>
      <c r="AG1672" s="11" t="b" cm="1">
        <f t="array" ref="AG1672">IF(OR(Y1672:AA1672="TRUE", AE1672="true"), "Threatened")</f>
        <v>0</v>
      </c>
      <c r="AH1672" s="11" t="s">
        <v>4347</v>
      </c>
      <c r="AI1672" s="8" t="b">
        <v>1</v>
      </c>
    </row>
    <row r="1673" spans="1:35" ht="31.2">
      <c r="A1673" s="8">
        <v>-73.964098960000001</v>
      </c>
      <c r="B1673" s="8">
        <v>40.789929540000003</v>
      </c>
      <c r="C1673" s="8" t="s">
        <v>4348</v>
      </c>
      <c r="D1673" s="8" t="s">
        <v>1136</v>
      </c>
      <c r="E1673" s="8" t="b">
        <f t="shared" si="26"/>
        <v>0</v>
      </c>
      <c r="F1673" s="8" t="str" cm="1">
        <f t="array" ref="F1673">_xlfn._xlws.FILTER(E1673:E4871, C1673:C4871= "6D-PM-1020-01", "No Squirrels Found")</f>
        <v>No Squirrels Found</v>
      </c>
      <c r="G1673" s="8" t="s">
        <v>34</v>
      </c>
      <c r="H1673" s="10">
        <v>10102018</v>
      </c>
      <c r="I1673" s="10">
        <v>3</v>
      </c>
      <c r="J1673" s="8" t="s">
        <v>54</v>
      </c>
      <c r="K1673" s="8" t="s">
        <v>40</v>
      </c>
      <c r="L1673" s="8" t="s">
        <v>84</v>
      </c>
      <c r="M1673" s="8" t="s">
        <v>103</v>
      </c>
      <c r="O1673" s="8" t="s">
        <v>43</v>
      </c>
      <c r="P1673" s="8" t="b">
        <v>0</v>
      </c>
      <c r="R1673" s="8" t="b">
        <v>0</v>
      </c>
      <c r="S1673" s="8" t="b">
        <v>0</v>
      </c>
      <c r="T1673" s="8" t="b">
        <v>0</v>
      </c>
      <c r="U1673" s="8" t="b">
        <v>1</v>
      </c>
      <c r="V1673" s="8" t="b">
        <v>1</v>
      </c>
      <c r="X1673" s="8" t="b">
        <v>0</v>
      </c>
      <c r="Y1673" s="8" t="b">
        <v>0</v>
      </c>
      <c r="Z1673" s="8" t="b">
        <v>0</v>
      </c>
      <c r="AA1673" s="8" t="b">
        <v>0</v>
      </c>
      <c r="AB1673" s="8" t="b">
        <v>0</v>
      </c>
      <c r="AC1673" s="8" t="b">
        <v>1</v>
      </c>
      <c r="AD1673" s="8" t="b">
        <v>0</v>
      </c>
      <c r="AE1673" s="8" t="b">
        <v>0</v>
      </c>
      <c r="AG1673" s="11" t="b" cm="1">
        <f t="array" ref="AG1673">IF(OR(Y1673:AA1673="TRUE", AE1673="true"), "Threatened")</f>
        <v>0</v>
      </c>
      <c r="AH1673" s="11" t="s">
        <v>4349</v>
      </c>
      <c r="AI1673" s="8" t="b">
        <v>1</v>
      </c>
    </row>
    <row r="1674" spans="1:35" ht="31.2">
      <c r="A1674" s="8">
        <v>-73.97469409</v>
      </c>
      <c r="B1674" s="8">
        <v>40.776096649999999</v>
      </c>
      <c r="C1674" s="8" t="s">
        <v>4350</v>
      </c>
      <c r="D1674" s="8" t="s">
        <v>268</v>
      </c>
      <c r="E1674" s="8" t="b">
        <f t="shared" si="26"/>
        <v>0</v>
      </c>
      <c r="F1674" s="8" t="str" cm="1">
        <f t="array" ref="F1674">_xlfn._xlws.FILTER(E1674:E4872, C1674:C4872= "6D-PM-1020-01", "No Squirrels Found")</f>
        <v>No Squirrels Found</v>
      </c>
      <c r="G1674" s="8" t="s">
        <v>34</v>
      </c>
      <c r="H1674" s="10">
        <v>10142018</v>
      </c>
      <c r="I1674" s="10">
        <v>2</v>
      </c>
      <c r="J1674" s="8" t="s">
        <v>54</v>
      </c>
      <c r="K1674" s="8" t="s">
        <v>40</v>
      </c>
      <c r="M1674" s="8" t="s">
        <v>55</v>
      </c>
      <c r="O1674" s="8" t="s">
        <v>50</v>
      </c>
      <c r="P1674" s="8">
        <v>10</v>
      </c>
      <c r="R1674" s="8" t="b">
        <v>0</v>
      </c>
      <c r="S1674" s="8" t="b">
        <v>1</v>
      </c>
      <c r="T1674" s="8" t="b">
        <v>0</v>
      </c>
      <c r="U1674" s="8" t="b">
        <v>0</v>
      </c>
      <c r="V1674" s="8" t="b">
        <v>0</v>
      </c>
      <c r="X1674" s="8" t="b">
        <v>0</v>
      </c>
      <c r="Y1674" s="8" t="b">
        <v>0</v>
      </c>
      <c r="Z1674" s="8" t="b">
        <v>0</v>
      </c>
      <c r="AA1674" s="8" t="b">
        <v>0</v>
      </c>
      <c r="AB1674" s="8" t="b">
        <v>0</v>
      </c>
      <c r="AC1674" s="8" t="b">
        <v>0</v>
      </c>
      <c r="AD1674" s="8" t="b">
        <v>0</v>
      </c>
      <c r="AE1674" s="8" t="b">
        <v>0</v>
      </c>
      <c r="AG1674" s="11" t="b" cm="1">
        <f t="array" ref="AG1674">IF(OR(Y1674:AA1674="TRUE", AE1674="true"), "Threatened")</f>
        <v>0</v>
      </c>
      <c r="AH1674" s="11" t="s">
        <v>4351</v>
      </c>
      <c r="AI1674" s="8" t="b">
        <v>1</v>
      </c>
    </row>
    <row r="1675" spans="1:35" ht="31.2">
      <c r="A1675" s="8">
        <v>-73.958969870000004</v>
      </c>
      <c r="B1675" s="8">
        <v>40.790652049999998</v>
      </c>
      <c r="C1675" s="8" t="s">
        <v>4352</v>
      </c>
      <c r="D1675" s="8" t="s">
        <v>75</v>
      </c>
      <c r="E1675" s="8" t="b">
        <f t="shared" si="26"/>
        <v>0</v>
      </c>
      <c r="F1675" s="8" t="str" cm="1">
        <f t="array" ref="F1675">_xlfn._xlws.FILTER(E1675:E4873, C1675:C4873= "6D-PM-1020-01", "No Squirrels Found")</f>
        <v>No Squirrels Found</v>
      </c>
      <c r="G1675" s="8" t="s">
        <v>34</v>
      </c>
      <c r="H1675" s="10">
        <v>10172018</v>
      </c>
      <c r="I1675" s="10">
        <v>6</v>
      </c>
      <c r="J1675" s="8" t="s">
        <v>39</v>
      </c>
      <c r="K1675" s="8" t="s">
        <v>40</v>
      </c>
      <c r="M1675" s="8" t="s">
        <v>55</v>
      </c>
      <c r="O1675" s="8" t="s">
        <v>43</v>
      </c>
      <c r="P1675" s="8" t="b">
        <v>0</v>
      </c>
      <c r="Q1675" s="8" t="s">
        <v>823</v>
      </c>
      <c r="R1675" s="8" t="b">
        <v>0</v>
      </c>
      <c r="S1675" s="8" t="b">
        <v>0</v>
      </c>
      <c r="T1675" s="8" t="b">
        <v>0</v>
      </c>
      <c r="U1675" s="8" t="b">
        <v>1</v>
      </c>
      <c r="V1675" s="8" t="b">
        <v>1</v>
      </c>
      <c r="X1675" s="8" t="b">
        <v>0</v>
      </c>
      <c r="Y1675" s="8" t="b">
        <v>0</v>
      </c>
      <c r="Z1675" s="8" t="b">
        <v>0</v>
      </c>
      <c r="AA1675" s="8" t="b">
        <v>0</v>
      </c>
      <c r="AB1675" s="8" t="b">
        <v>0</v>
      </c>
      <c r="AC1675" s="8" t="b">
        <v>0</v>
      </c>
      <c r="AD1675" s="8" t="b">
        <v>0</v>
      </c>
      <c r="AE1675" s="8" t="b">
        <v>1</v>
      </c>
      <c r="AG1675" s="11" t="b" cm="1">
        <f t="array" ref="AG1675">IF(OR(Y1675:AA1675="TRUE", AE1675="true"), "Threatened")</f>
        <v>0</v>
      </c>
      <c r="AH1675" s="11" t="s">
        <v>4353</v>
      </c>
      <c r="AI1675" s="8" t="b">
        <v>1</v>
      </c>
    </row>
    <row r="1676" spans="1:35" ht="31.2">
      <c r="A1676" s="8">
        <v>-73.977749759999995</v>
      </c>
      <c r="B1676" s="8">
        <v>40.767734470000001</v>
      </c>
      <c r="C1676" s="8" t="s">
        <v>4354</v>
      </c>
      <c r="D1676" s="8" t="s">
        <v>768</v>
      </c>
      <c r="E1676" s="8" t="b">
        <f t="shared" si="26"/>
        <v>0</v>
      </c>
      <c r="F1676" s="8" t="str" cm="1">
        <f t="array" ref="F1676">_xlfn._xlws.FILTER(E1676:E4874, C1676:C4874= "6D-PM-1020-01", "No Squirrels Found")</f>
        <v>No Squirrels Found</v>
      </c>
      <c r="G1676" s="8" t="s">
        <v>48</v>
      </c>
      <c r="H1676" s="10">
        <v>10072018</v>
      </c>
      <c r="I1676" s="10">
        <v>4</v>
      </c>
      <c r="J1676" s="8" t="s">
        <v>39</v>
      </c>
      <c r="K1676" s="8" t="s">
        <v>40</v>
      </c>
      <c r="M1676" s="8" t="s">
        <v>55</v>
      </c>
      <c r="O1676" s="8" t="s">
        <v>50</v>
      </c>
      <c r="P1676" s="8">
        <v>100</v>
      </c>
      <c r="R1676" s="8" t="b">
        <v>0</v>
      </c>
      <c r="S1676" s="8" t="b">
        <v>0</v>
      </c>
      <c r="T1676" s="8" t="b">
        <v>1</v>
      </c>
      <c r="U1676" s="8" t="b">
        <v>0</v>
      </c>
      <c r="V1676" s="8" t="b">
        <v>0</v>
      </c>
      <c r="X1676" s="8" t="b">
        <v>0</v>
      </c>
      <c r="Y1676" s="8" t="b">
        <v>0</v>
      </c>
      <c r="Z1676" s="8" t="b">
        <v>0</v>
      </c>
      <c r="AA1676" s="8" t="b">
        <v>0</v>
      </c>
      <c r="AB1676" s="8" t="b">
        <v>0</v>
      </c>
      <c r="AC1676" s="8" t="b">
        <v>0</v>
      </c>
      <c r="AD1676" s="8" t="b">
        <v>0</v>
      </c>
      <c r="AE1676" s="8" t="b">
        <v>0</v>
      </c>
      <c r="AG1676" s="11" t="b" cm="1">
        <f t="array" ref="AG1676">IF(OR(Y1676:AA1676="TRUE", AE1676="true"), "Threatened")</f>
        <v>0</v>
      </c>
      <c r="AH1676" s="11" t="s">
        <v>4355</v>
      </c>
      <c r="AI1676" s="8" t="b">
        <v>1</v>
      </c>
    </row>
    <row r="1677" spans="1:35" ht="31.2">
      <c r="A1677" s="8">
        <v>-73.956668690000001</v>
      </c>
      <c r="B1677" s="8">
        <v>40.794924399999999</v>
      </c>
      <c r="C1677" s="8" t="s">
        <v>4356</v>
      </c>
      <c r="D1677" s="8" t="s">
        <v>38</v>
      </c>
      <c r="E1677" s="8" t="b">
        <f t="shared" si="26"/>
        <v>0</v>
      </c>
      <c r="F1677" s="8" t="str" cm="1">
        <f t="array" ref="F1677">_xlfn._xlws.FILTER(E1677:E4875, C1677:C4875= "6D-PM-1020-01", "No Squirrels Found")</f>
        <v>No Squirrels Found</v>
      </c>
      <c r="G1677" s="8" t="s">
        <v>34</v>
      </c>
      <c r="H1677" s="10">
        <v>10062018</v>
      </c>
      <c r="I1677" s="10">
        <v>5</v>
      </c>
      <c r="J1677" s="8" t="s">
        <v>39</v>
      </c>
      <c r="K1677" s="8" t="s">
        <v>40</v>
      </c>
      <c r="L1677" s="8" t="s">
        <v>41</v>
      </c>
      <c r="M1677" s="8" t="s">
        <v>42</v>
      </c>
      <c r="O1677" s="8" t="s">
        <v>43</v>
      </c>
      <c r="P1677" s="8" t="b">
        <v>0</v>
      </c>
      <c r="R1677" s="8" t="b">
        <v>0</v>
      </c>
      <c r="S1677" s="8" t="b">
        <v>0</v>
      </c>
      <c r="T1677" s="8" t="b">
        <v>0</v>
      </c>
      <c r="U1677" s="8" t="b">
        <v>0</v>
      </c>
      <c r="V1677" s="8" t="b">
        <v>1</v>
      </c>
      <c r="X1677" s="8" t="b">
        <v>0</v>
      </c>
      <c r="Y1677" s="8" t="b">
        <v>0</v>
      </c>
      <c r="Z1677" s="8" t="b">
        <v>0</v>
      </c>
      <c r="AA1677" s="8" t="b">
        <v>0</v>
      </c>
      <c r="AB1677" s="8" t="b">
        <v>0</v>
      </c>
      <c r="AC1677" s="8" t="b">
        <v>0</v>
      </c>
      <c r="AD1677" s="8" t="b">
        <v>1</v>
      </c>
      <c r="AE1677" s="8" t="b">
        <v>0</v>
      </c>
      <c r="AG1677" s="11" t="b" cm="1">
        <f t="array" ref="AG1677">IF(OR(Y1677:AA1677="TRUE", AE1677="true"), "Threatened")</f>
        <v>0</v>
      </c>
      <c r="AH1677" s="11" t="s">
        <v>4357</v>
      </c>
      <c r="AI1677" s="8" t="b">
        <v>1</v>
      </c>
    </row>
    <row r="1678" spans="1:35" ht="31.2">
      <c r="A1678" s="8">
        <v>-73.959433259999997</v>
      </c>
      <c r="B1678" s="8">
        <v>40.796062239999998</v>
      </c>
      <c r="C1678" s="8" t="s">
        <v>4358</v>
      </c>
      <c r="D1678" s="8" t="s">
        <v>972</v>
      </c>
      <c r="E1678" s="8" t="b">
        <f t="shared" si="26"/>
        <v>0</v>
      </c>
      <c r="F1678" s="8" t="str" cm="1">
        <f t="array" ref="F1678">_xlfn._xlws.FILTER(E1678:E4876, C1678:C4876= "6D-PM-1020-01", "No Squirrels Found")</f>
        <v>No Squirrels Found</v>
      </c>
      <c r="G1678" s="8" t="s">
        <v>34</v>
      </c>
      <c r="H1678" s="10">
        <v>10132018</v>
      </c>
      <c r="I1678" s="10">
        <v>2</v>
      </c>
      <c r="J1678" s="8" t="s">
        <v>39</v>
      </c>
      <c r="K1678" s="8" t="s">
        <v>40</v>
      </c>
      <c r="L1678" s="8" t="s">
        <v>41</v>
      </c>
      <c r="M1678" s="8" t="s">
        <v>42</v>
      </c>
      <c r="O1678" s="8" t="s">
        <v>43</v>
      </c>
      <c r="P1678" s="8" t="b">
        <v>0</v>
      </c>
      <c r="R1678" s="8" t="b">
        <v>0</v>
      </c>
      <c r="S1678" s="8" t="b">
        <v>0</v>
      </c>
      <c r="T1678" s="8" t="b">
        <v>0</v>
      </c>
      <c r="U1678" s="8" t="b">
        <v>1</v>
      </c>
      <c r="V1678" s="8" t="b">
        <v>1</v>
      </c>
      <c r="X1678" s="8" t="b">
        <v>0</v>
      </c>
      <c r="Y1678" s="8" t="b">
        <v>0</v>
      </c>
      <c r="Z1678" s="8" t="b">
        <v>0</v>
      </c>
      <c r="AA1678" s="8" t="b">
        <v>0</v>
      </c>
      <c r="AB1678" s="8" t="b">
        <v>0</v>
      </c>
      <c r="AC1678" s="8" t="b">
        <v>0</v>
      </c>
      <c r="AD1678" s="8" t="b">
        <v>1</v>
      </c>
      <c r="AE1678" s="8" t="b">
        <v>0</v>
      </c>
      <c r="AG1678" s="11" t="b" cm="1">
        <f t="array" ref="AG1678">IF(OR(Y1678:AA1678="TRUE", AE1678="true"), "Threatened")</f>
        <v>0</v>
      </c>
      <c r="AH1678" s="11" t="s">
        <v>4359</v>
      </c>
      <c r="AI1678" s="8" t="b">
        <v>1</v>
      </c>
    </row>
    <row r="1679" spans="1:35" ht="31.2">
      <c r="A1679" s="8">
        <v>-73.956872649999994</v>
      </c>
      <c r="B1679" s="8">
        <v>40.787879510000003</v>
      </c>
      <c r="C1679" s="8" t="s">
        <v>4360</v>
      </c>
      <c r="D1679" s="8" t="s">
        <v>1915</v>
      </c>
      <c r="E1679" s="8" t="b">
        <f t="shared" si="26"/>
        <v>0</v>
      </c>
      <c r="F1679" s="8" t="str" cm="1">
        <f t="array" ref="F1679">_xlfn._xlws.FILTER(E1679:E4877, C1679:C4877= "6D-PM-1020-01", "No Squirrels Found")</f>
        <v>No Squirrels Found</v>
      </c>
      <c r="G1679" s="8" t="s">
        <v>34</v>
      </c>
      <c r="H1679" s="10">
        <v>10062018</v>
      </c>
      <c r="I1679" s="10">
        <v>3</v>
      </c>
      <c r="J1679" s="8" t="s">
        <v>39</v>
      </c>
      <c r="K1679" s="8" t="s">
        <v>40</v>
      </c>
      <c r="M1679" s="8" t="s">
        <v>55</v>
      </c>
      <c r="O1679" s="8" t="s">
        <v>43</v>
      </c>
      <c r="P1679" s="8" t="b">
        <v>0</v>
      </c>
      <c r="R1679" s="8" t="b">
        <v>0</v>
      </c>
      <c r="S1679" s="8" t="b">
        <v>0</v>
      </c>
      <c r="T1679" s="8" t="b">
        <v>0</v>
      </c>
      <c r="U1679" s="8" t="b">
        <v>0</v>
      </c>
      <c r="V1679" s="8" t="b">
        <v>1</v>
      </c>
      <c r="X1679" s="8" t="b">
        <v>0</v>
      </c>
      <c r="Y1679" s="8" t="b">
        <v>0</v>
      </c>
      <c r="Z1679" s="8" t="b">
        <v>0</v>
      </c>
      <c r="AA1679" s="8" t="b">
        <v>0</v>
      </c>
      <c r="AB1679" s="8" t="b">
        <v>0</v>
      </c>
      <c r="AC1679" s="8" t="b">
        <v>0</v>
      </c>
      <c r="AD1679" s="8" t="b">
        <v>0</v>
      </c>
      <c r="AE1679" s="8" t="b">
        <v>1</v>
      </c>
      <c r="AF1679" s="11" t="s">
        <v>3280</v>
      </c>
      <c r="AG1679" s="11" t="b" cm="1">
        <f t="array" ref="AG1679">IF(OR(Y1679:AA1679="TRUE", AE1679="true"), "Threatened")</f>
        <v>0</v>
      </c>
      <c r="AH1679" s="11" t="s">
        <v>4361</v>
      </c>
      <c r="AI1679" s="8" t="b">
        <v>1</v>
      </c>
    </row>
    <row r="1680" spans="1:35" ht="31.2">
      <c r="A1680" s="8">
        <v>-73.954539909999994</v>
      </c>
      <c r="B1680" s="8">
        <v>40.789864629999997</v>
      </c>
      <c r="C1680" s="8" t="s">
        <v>4362</v>
      </c>
      <c r="D1680" s="8" t="s">
        <v>924</v>
      </c>
      <c r="E1680" s="8" t="b">
        <f t="shared" si="26"/>
        <v>0</v>
      </c>
      <c r="F1680" s="8" t="str" cm="1">
        <f t="array" ref="F1680">_xlfn._xlws.FILTER(E1680:E4878, C1680:C4878= "6D-PM-1020-01", "No Squirrels Found")</f>
        <v>No Squirrels Found</v>
      </c>
      <c r="G1680" s="8" t="s">
        <v>34</v>
      </c>
      <c r="H1680" s="10">
        <v>10062018</v>
      </c>
      <c r="I1680" s="10">
        <v>6</v>
      </c>
      <c r="J1680" s="8" t="s">
        <v>39</v>
      </c>
      <c r="K1680" s="8" t="s">
        <v>40</v>
      </c>
      <c r="M1680" s="8" t="s">
        <v>55</v>
      </c>
      <c r="O1680" s="8" t="s">
        <v>43</v>
      </c>
      <c r="P1680" s="8" t="b">
        <v>0</v>
      </c>
      <c r="R1680" s="8" t="b">
        <v>1</v>
      </c>
      <c r="S1680" s="8" t="b">
        <v>0</v>
      </c>
      <c r="T1680" s="8" t="b">
        <v>0</v>
      </c>
      <c r="U1680" s="8" t="b">
        <v>0</v>
      </c>
      <c r="V1680" s="8" t="b">
        <v>0</v>
      </c>
      <c r="X1680" s="8" t="b">
        <v>0</v>
      </c>
      <c r="Y1680" s="8" t="b">
        <v>0</v>
      </c>
      <c r="Z1680" s="8" t="b">
        <v>0</v>
      </c>
      <c r="AA1680" s="8" t="b">
        <v>0</v>
      </c>
      <c r="AB1680" s="8" t="b">
        <v>0</v>
      </c>
      <c r="AC1680" s="8" t="b">
        <v>0</v>
      </c>
      <c r="AD1680" s="8" t="b">
        <v>0</v>
      </c>
      <c r="AE1680" s="8" t="b">
        <v>1</v>
      </c>
      <c r="AG1680" s="11" t="b" cm="1">
        <f t="array" ref="AG1680">IF(OR(Y1680:AA1680="TRUE", AE1680="true"), "Threatened")</f>
        <v>0</v>
      </c>
      <c r="AH1680" s="11" t="s">
        <v>4363</v>
      </c>
      <c r="AI1680" s="8" t="b">
        <v>1</v>
      </c>
    </row>
    <row r="1681" spans="1:35" ht="31.2">
      <c r="A1681" s="8">
        <v>-73.963816719999997</v>
      </c>
      <c r="B1681" s="8">
        <v>40.777648569999997</v>
      </c>
      <c r="C1681" s="8" t="s">
        <v>4364</v>
      </c>
      <c r="D1681" s="8" t="s">
        <v>1144</v>
      </c>
      <c r="E1681" s="8" t="b">
        <f t="shared" si="26"/>
        <v>0</v>
      </c>
      <c r="F1681" s="8" t="str" cm="1">
        <f t="array" ref="F1681">_xlfn._xlws.FILTER(E1681:E4879, C1681:C4879= "6D-PM-1020-01", "No Squirrels Found")</f>
        <v>No Squirrels Found</v>
      </c>
      <c r="G1681" s="8" t="s">
        <v>34</v>
      </c>
      <c r="H1681" s="10">
        <v>10072018</v>
      </c>
      <c r="I1681" s="10">
        <v>3</v>
      </c>
      <c r="J1681" s="8" t="s">
        <v>39</v>
      </c>
      <c r="K1681" s="8" t="s">
        <v>41</v>
      </c>
      <c r="L1681" s="8" t="s">
        <v>40</v>
      </c>
      <c r="M1681" s="8" t="s">
        <v>110</v>
      </c>
      <c r="O1681" s="8" t="s">
        <v>50</v>
      </c>
      <c r="P1681" s="8">
        <v>25</v>
      </c>
      <c r="R1681" s="8" t="b">
        <v>0</v>
      </c>
      <c r="S1681" s="8" t="b">
        <v>0</v>
      </c>
      <c r="T1681" s="8" t="b">
        <v>1</v>
      </c>
      <c r="U1681" s="8" t="b">
        <v>0</v>
      </c>
      <c r="V1681" s="8" t="b">
        <v>0</v>
      </c>
      <c r="X1681" s="8" t="b">
        <v>0</v>
      </c>
      <c r="Y1681" s="8" t="b">
        <v>0</v>
      </c>
      <c r="Z1681" s="8" t="b">
        <v>0</v>
      </c>
      <c r="AA1681" s="8" t="b">
        <v>0</v>
      </c>
      <c r="AB1681" s="8" t="b">
        <v>0</v>
      </c>
      <c r="AC1681" s="8" t="b">
        <v>0</v>
      </c>
      <c r="AD1681" s="8" t="b">
        <v>0</v>
      </c>
      <c r="AE1681" s="8" t="b">
        <v>0</v>
      </c>
      <c r="AF1681" s="11" t="s">
        <v>4365</v>
      </c>
      <c r="AG1681" s="11" t="b" cm="1">
        <f t="array" ref="AG1681">IF(OR(Y1681:AA1681="TRUE", AE1681="true"), "Threatened")</f>
        <v>0</v>
      </c>
      <c r="AH1681" s="11" t="s">
        <v>4366</v>
      </c>
      <c r="AI1681" s="8" t="b">
        <v>1</v>
      </c>
    </row>
    <row r="1682" spans="1:35" ht="46.8">
      <c r="A1682" s="8">
        <v>-73.963814189999994</v>
      </c>
      <c r="B1682" s="8">
        <v>40.78292253</v>
      </c>
      <c r="C1682" s="8" t="s">
        <v>4367</v>
      </c>
      <c r="D1682" s="8" t="s">
        <v>588</v>
      </c>
      <c r="E1682" s="8" t="b">
        <f t="shared" si="26"/>
        <v>0</v>
      </c>
      <c r="F1682" s="8" t="str" cm="1">
        <f t="array" ref="F1682">_xlfn._xlws.FILTER(E1682:E4880, C1682:C4880= "6D-PM-1020-01", "No Squirrels Found")</f>
        <v>No Squirrels Found</v>
      </c>
      <c r="G1682" s="8" t="s">
        <v>34</v>
      </c>
      <c r="H1682" s="10">
        <v>10132018</v>
      </c>
      <c r="I1682" s="10">
        <v>3</v>
      </c>
      <c r="J1682" s="8" t="s">
        <v>39</v>
      </c>
      <c r="K1682" s="8" t="s">
        <v>40</v>
      </c>
      <c r="L1682" s="8" t="s">
        <v>117</v>
      </c>
      <c r="M1682" s="8" t="s">
        <v>118</v>
      </c>
      <c r="O1682" s="8" t="s">
        <v>43</v>
      </c>
      <c r="P1682" s="8" t="b">
        <v>0</v>
      </c>
      <c r="R1682" s="8" t="b">
        <v>0</v>
      </c>
      <c r="S1682" s="8" t="b">
        <v>0</v>
      </c>
      <c r="T1682" s="8" t="b">
        <v>0</v>
      </c>
      <c r="U1682" s="8" t="b">
        <v>1</v>
      </c>
      <c r="V1682" s="8" t="b">
        <v>1</v>
      </c>
      <c r="X1682" s="8" t="b">
        <v>0</v>
      </c>
      <c r="Y1682" s="8" t="b">
        <v>0</v>
      </c>
      <c r="Z1682" s="8" t="b">
        <v>0</v>
      </c>
      <c r="AA1682" s="8" t="b">
        <v>0</v>
      </c>
      <c r="AB1682" s="8" t="b">
        <v>1</v>
      </c>
      <c r="AC1682" s="8" t="b">
        <v>0</v>
      </c>
      <c r="AD1682" s="8" t="b">
        <v>1</v>
      </c>
      <c r="AE1682" s="8" t="b">
        <v>0</v>
      </c>
      <c r="AF1682" s="11" t="s">
        <v>4368</v>
      </c>
      <c r="AG1682" s="11" t="b" cm="1">
        <f t="array" ref="AG1682">IF(OR(Y1682:AA1682="TRUE", AE1682="true"), "Threatened")</f>
        <v>0</v>
      </c>
      <c r="AH1682" s="11" t="s">
        <v>4369</v>
      </c>
      <c r="AI1682" s="8" t="b">
        <v>1</v>
      </c>
    </row>
    <row r="1683" spans="1:35" ht="31.2">
      <c r="A1683" s="8">
        <v>-73.975925840000002</v>
      </c>
      <c r="B1683" s="8">
        <v>40.766762270000001</v>
      </c>
      <c r="C1683" s="8" t="s">
        <v>4370</v>
      </c>
      <c r="D1683" s="8" t="s">
        <v>481</v>
      </c>
      <c r="E1683" s="8" t="b">
        <f t="shared" si="26"/>
        <v>0</v>
      </c>
      <c r="F1683" s="8" t="str" cm="1">
        <f t="array" ref="F1683">_xlfn._xlws.FILTER(E1683:E4881, C1683:C4881= "6D-PM-1020-01", "No Squirrels Found")</f>
        <v>No Squirrels Found</v>
      </c>
      <c r="G1683" s="8" t="s">
        <v>34</v>
      </c>
      <c r="H1683" s="10">
        <v>10142018</v>
      </c>
      <c r="I1683" s="10">
        <v>5</v>
      </c>
      <c r="J1683" s="8" t="s">
        <v>39</v>
      </c>
      <c r="K1683" s="8" t="s">
        <v>40</v>
      </c>
      <c r="M1683" s="8" t="s">
        <v>55</v>
      </c>
      <c r="O1683" s="8" t="s">
        <v>43</v>
      </c>
      <c r="P1683" s="8" t="b">
        <v>0</v>
      </c>
      <c r="R1683" s="8" t="b">
        <v>1</v>
      </c>
      <c r="S1683" s="8" t="b">
        <v>0</v>
      </c>
      <c r="T1683" s="8" t="b">
        <v>0</v>
      </c>
      <c r="U1683" s="8" t="b">
        <v>0</v>
      </c>
      <c r="V1683" s="8" t="b">
        <v>0</v>
      </c>
      <c r="X1683" s="8" t="b">
        <v>0</v>
      </c>
      <c r="Y1683" s="8" t="b">
        <v>0</v>
      </c>
      <c r="Z1683" s="8" t="b">
        <v>0</v>
      </c>
      <c r="AA1683" s="8" t="b">
        <v>0</v>
      </c>
      <c r="AB1683" s="8" t="b">
        <v>0</v>
      </c>
      <c r="AC1683" s="8" t="b">
        <v>0</v>
      </c>
      <c r="AD1683" s="8" t="b">
        <v>1</v>
      </c>
      <c r="AE1683" s="8" t="b">
        <v>0</v>
      </c>
      <c r="AG1683" s="11" t="b" cm="1">
        <f t="array" ref="AG1683">IF(OR(Y1683:AA1683="TRUE", AE1683="true"), "Threatened")</f>
        <v>0</v>
      </c>
      <c r="AH1683" s="11" t="s">
        <v>4371</v>
      </c>
      <c r="AI1683" s="8" t="b">
        <v>1</v>
      </c>
    </row>
    <row r="1684" spans="1:35" ht="31.2">
      <c r="A1684" s="8">
        <v>-73.979088899999994</v>
      </c>
      <c r="B1684" s="8">
        <v>40.767640280000002</v>
      </c>
      <c r="C1684" s="8" t="s">
        <v>4372</v>
      </c>
      <c r="D1684" s="8" t="s">
        <v>1301</v>
      </c>
      <c r="E1684" s="8" t="b">
        <f t="shared" si="26"/>
        <v>0</v>
      </c>
      <c r="F1684" s="8" t="str" cm="1">
        <f t="array" ref="F1684">_xlfn._xlws.FILTER(E1684:E4882, C1684:C4882= "6D-PM-1020-01", "No Squirrels Found")</f>
        <v>No Squirrels Found</v>
      </c>
      <c r="G1684" s="8" t="s">
        <v>34</v>
      </c>
      <c r="H1684" s="10">
        <v>10132018</v>
      </c>
      <c r="I1684" s="10">
        <v>1</v>
      </c>
      <c r="J1684" s="8" t="s">
        <v>39</v>
      </c>
      <c r="K1684" s="8" t="s">
        <v>41</v>
      </c>
      <c r="L1684" s="8" t="s">
        <v>135</v>
      </c>
      <c r="M1684" s="8" t="s">
        <v>136</v>
      </c>
      <c r="O1684" s="8" t="s">
        <v>43</v>
      </c>
      <c r="P1684" s="8" t="b">
        <v>0</v>
      </c>
      <c r="R1684" s="8" t="b">
        <v>0</v>
      </c>
      <c r="S1684" s="8" t="b">
        <v>0</v>
      </c>
      <c r="T1684" s="8" t="b">
        <v>1</v>
      </c>
      <c r="U1684" s="8" t="b">
        <v>0</v>
      </c>
      <c r="V1684" s="8" t="b">
        <v>1</v>
      </c>
      <c r="X1684" s="8" t="b">
        <v>0</v>
      </c>
      <c r="Y1684" s="8" t="b">
        <v>0</v>
      </c>
      <c r="Z1684" s="8" t="b">
        <v>0</v>
      </c>
      <c r="AA1684" s="8" t="b">
        <v>0</v>
      </c>
      <c r="AB1684" s="8" t="b">
        <v>0</v>
      </c>
      <c r="AC1684" s="8" t="b">
        <v>1</v>
      </c>
      <c r="AD1684" s="8" t="b">
        <v>0</v>
      </c>
      <c r="AE1684" s="8" t="b">
        <v>0</v>
      </c>
      <c r="AG1684" s="11" t="b" cm="1">
        <f t="array" ref="AG1684">IF(OR(Y1684:AA1684="TRUE", AE1684="true"), "Threatened")</f>
        <v>0</v>
      </c>
      <c r="AH1684" s="11" t="s">
        <v>4373</v>
      </c>
      <c r="AI1684" s="8" t="b">
        <v>1</v>
      </c>
    </row>
    <row r="1685" spans="1:35" ht="31.2">
      <c r="A1685" s="8">
        <v>-73.963782480000006</v>
      </c>
      <c r="B1685" s="8">
        <v>40.790473710000001</v>
      </c>
      <c r="C1685" s="8" t="s">
        <v>4374</v>
      </c>
      <c r="D1685" s="8" t="s">
        <v>911</v>
      </c>
      <c r="E1685" s="8" t="b">
        <f t="shared" si="26"/>
        <v>0</v>
      </c>
      <c r="F1685" s="8" t="str" cm="1">
        <f t="array" ref="F1685">_xlfn._xlws.FILTER(E1685:E4883, C1685:C4883= "6D-PM-1020-01", "No Squirrels Found")</f>
        <v>No Squirrels Found</v>
      </c>
      <c r="G1685" s="8" t="s">
        <v>48</v>
      </c>
      <c r="H1685" s="10">
        <v>10072018</v>
      </c>
      <c r="I1685" s="10">
        <v>8</v>
      </c>
      <c r="J1685" s="8" t="s">
        <v>39</v>
      </c>
      <c r="K1685" s="8" t="s">
        <v>40</v>
      </c>
      <c r="M1685" s="8" t="s">
        <v>55</v>
      </c>
      <c r="O1685" s="8" t="s">
        <v>50</v>
      </c>
      <c r="P1685" s="8">
        <v>40</v>
      </c>
      <c r="R1685" s="8" t="b">
        <v>1</v>
      </c>
      <c r="S1685" s="8" t="b">
        <v>0</v>
      </c>
      <c r="T1685" s="8" t="b">
        <v>0</v>
      </c>
      <c r="U1685" s="8" t="b">
        <v>1</v>
      </c>
      <c r="V1685" s="8" t="b">
        <v>0</v>
      </c>
      <c r="X1685" s="8" t="b">
        <v>0</v>
      </c>
      <c r="Y1685" s="8" t="b">
        <v>0</v>
      </c>
      <c r="Z1685" s="8" t="b">
        <v>0</v>
      </c>
      <c r="AA1685" s="8" t="b">
        <v>0</v>
      </c>
      <c r="AB1685" s="8" t="b">
        <v>0</v>
      </c>
      <c r="AC1685" s="8" t="b">
        <v>0</v>
      </c>
      <c r="AD1685" s="8" t="b">
        <v>0</v>
      </c>
      <c r="AE1685" s="8" t="b">
        <v>0</v>
      </c>
      <c r="AG1685" s="11" t="b" cm="1">
        <f t="array" ref="AG1685">IF(OR(Y1685:AA1685="TRUE", AE1685="true"), "Threatened")</f>
        <v>0</v>
      </c>
      <c r="AH1685" s="11" t="s">
        <v>4375</v>
      </c>
      <c r="AI1685" s="8" t="b">
        <v>1</v>
      </c>
    </row>
    <row r="1686" spans="1:35" ht="31.2">
      <c r="A1686" s="8">
        <v>-73.967882299999999</v>
      </c>
      <c r="B1686" s="8">
        <v>40.780296100000001</v>
      </c>
      <c r="C1686" s="8" t="s">
        <v>4376</v>
      </c>
      <c r="D1686" s="8" t="s">
        <v>4377</v>
      </c>
      <c r="E1686" s="8" t="b">
        <f t="shared" si="26"/>
        <v>0</v>
      </c>
      <c r="F1686" s="8" t="str" cm="1">
        <f t="array" ref="F1686">_xlfn._xlws.FILTER(E1686:E4884, C1686:C4884= "6D-PM-1020-01", "No Squirrels Found")</f>
        <v>No Squirrels Found</v>
      </c>
      <c r="G1686" s="8" t="s">
        <v>34</v>
      </c>
      <c r="H1686" s="10">
        <v>10062018</v>
      </c>
      <c r="I1686" s="10">
        <v>1</v>
      </c>
      <c r="J1686" s="8" t="s">
        <v>54</v>
      </c>
      <c r="K1686" s="8" t="s">
        <v>40</v>
      </c>
      <c r="L1686" s="8" t="s">
        <v>84</v>
      </c>
      <c r="M1686" s="8" t="s">
        <v>103</v>
      </c>
      <c r="O1686" s="8" t="s">
        <v>43</v>
      </c>
      <c r="P1686" s="8" t="b">
        <v>0</v>
      </c>
      <c r="R1686" s="8" t="b">
        <v>1</v>
      </c>
      <c r="S1686" s="8" t="b">
        <v>0</v>
      </c>
      <c r="T1686" s="8" t="b">
        <v>0</v>
      </c>
      <c r="U1686" s="8" t="b">
        <v>0</v>
      </c>
      <c r="V1686" s="8" t="b">
        <v>1</v>
      </c>
      <c r="X1686" s="8" t="b">
        <v>0</v>
      </c>
      <c r="Y1686" s="8" t="b">
        <v>0</v>
      </c>
      <c r="Z1686" s="8" t="b">
        <v>0</v>
      </c>
      <c r="AA1686" s="8" t="b">
        <v>0</v>
      </c>
      <c r="AB1686" s="8" t="b">
        <v>0</v>
      </c>
      <c r="AC1686" s="8" t="b">
        <v>0</v>
      </c>
      <c r="AD1686" s="8" t="b">
        <v>0</v>
      </c>
      <c r="AE1686" s="8" t="b">
        <v>0</v>
      </c>
      <c r="AG1686" s="11" t="b" cm="1">
        <f t="array" ref="AG1686">IF(OR(Y1686:AA1686="TRUE", AE1686="true"), "Threatened")</f>
        <v>0</v>
      </c>
      <c r="AH1686" s="11" t="s">
        <v>4378</v>
      </c>
      <c r="AI1686" s="8" t="b">
        <v>1</v>
      </c>
    </row>
    <row r="1687" spans="1:35" ht="31.2">
      <c r="A1687" s="8">
        <v>-73.959337309999995</v>
      </c>
      <c r="B1687" s="8">
        <v>40.798242850000001</v>
      </c>
      <c r="C1687" s="8" t="s">
        <v>4379</v>
      </c>
      <c r="D1687" s="8" t="s">
        <v>591</v>
      </c>
      <c r="E1687" s="8" t="b">
        <f t="shared" si="26"/>
        <v>0</v>
      </c>
      <c r="F1687" s="8" t="str" cm="1">
        <f t="array" ref="F1687">_xlfn._xlws.FILTER(E1687:E4885, C1687:C4885= "6D-PM-1020-01", "No Squirrels Found")</f>
        <v>No Squirrels Found</v>
      </c>
      <c r="G1687" s="8" t="s">
        <v>34</v>
      </c>
      <c r="H1687" s="10">
        <v>10142018</v>
      </c>
      <c r="I1687" s="10">
        <v>3</v>
      </c>
      <c r="J1687" s="8" t="s">
        <v>39</v>
      </c>
      <c r="K1687" s="8" t="s">
        <v>40</v>
      </c>
      <c r="L1687" s="8" t="s">
        <v>117</v>
      </c>
      <c r="M1687" s="8" t="s">
        <v>118</v>
      </c>
      <c r="N1687" s="11" t="s">
        <v>4380</v>
      </c>
      <c r="O1687" s="8" t="s">
        <v>50</v>
      </c>
      <c r="P1687" s="8">
        <v>6</v>
      </c>
      <c r="Q1687" s="8" t="s">
        <v>4381</v>
      </c>
      <c r="R1687" s="8" t="b">
        <v>0</v>
      </c>
      <c r="S1687" s="8" t="b">
        <v>0</v>
      </c>
      <c r="T1687" s="8" t="b">
        <v>0</v>
      </c>
      <c r="U1687" s="8" t="b">
        <v>0</v>
      </c>
      <c r="V1687" s="8" t="b">
        <v>1</v>
      </c>
      <c r="W1687" s="11" t="s">
        <v>4382</v>
      </c>
      <c r="X1687" s="8" t="b">
        <v>0</v>
      </c>
      <c r="Y1687" s="8" t="b">
        <v>0</v>
      </c>
      <c r="Z1687" s="8" t="b">
        <v>0</v>
      </c>
      <c r="AA1687" s="8" t="b">
        <v>0</v>
      </c>
      <c r="AB1687" s="8" t="b">
        <v>1</v>
      </c>
      <c r="AC1687" s="8" t="b">
        <v>0</v>
      </c>
      <c r="AD1687" s="8" t="b">
        <v>1</v>
      </c>
      <c r="AE1687" s="8" t="b">
        <v>0</v>
      </c>
      <c r="AG1687" s="11" t="b" cm="1">
        <f t="array" ref="AG1687">IF(OR(Y1687:AA1687="TRUE", AE1687="true"), "Threatened")</f>
        <v>0</v>
      </c>
      <c r="AH1687" s="11" t="s">
        <v>4383</v>
      </c>
      <c r="AI1687" s="8" t="b">
        <v>0</v>
      </c>
    </row>
    <row r="1688" spans="1:35" ht="31.2">
      <c r="A1688" s="8">
        <v>-73.975479100000001</v>
      </c>
      <c r="B1688" s="8">
        <v>40.768336390000002</v>
      </c>
      <c r="C1688" s="8" t="s">
        <v>4384</v>
      </c>
      <c r="D1688" s="8" t="s">
        <v>794</v>
      </c>
      <c r="E1688" s="8" t="b">
        <f t="shared" si="26"/>
        <v>0</v>
      </c>
      <c r="F1688" s="8" t="str" cm="1">
        <f t="array" ref="F1688">_xlfn._xlws.FILTER(E1688:E4886, C1688:C4886= "6D-PM-1020-01", "No Squirrels Found")</f>
        <v>No Squirrels Found</v>
      </c>
      <c r="G1688" s="8" t="s">
        <v>34</v>
      </c>
      <c r="H1688" s="10">
        <v>10082018</v>
      </c>
      <c r="I1688" s="10">
        <v>7</v>
      </c>
      <c r="J1688" s="8" t="s">
        <v>39</v>
      </c>
      <c r="K1688" s="8" t="s">
        <v>40</v>
      </c>
      <c r="L1688" s="8" t="s">
        <v>41</v>
      </c>
      <c r="M1688" s="8" t="s">
        <v>42</v>
      </c>
      <c r="O1688" s="8" t="s">
        <v>43</v>
      </c>
      <c r="P1688" s="8" t="b">
        <v>0</v>
      </c>
      <c r="R1688" s="8" t="b">
        <v>0</v>
      </c>
      <c r="S1688" s="8" t="b">
        <v>0</v>
      </c>
      <c r="T1688" s="8" t="b">
        <v>0</v>
      </c>
      <c r="U1688" s="8" t="b">
        <v>1</v>
      </c>
      <c r="V1688" s="8" t="b">
        <v>0</v>
      </c>
      <c r="X1688" s="8" t="b">
        <v>0</v>
      </c>
      <c r="Y1688" s="8" t="b">
        <v>0</v>
      </c>
      <c r="Z1688" s="8" t="b">
        <v>0</v>
      </c>
      <c r="AA1688" s="8" t="b">
        <v>0</v>
      </c>
      <c r="AB1688" s="8" t="b">
        <v>0</v>
      </c>
      <c r="AC1688" s="8" t="b">
        <v>0</v>
      </c>
      <c r="AD1688" s="8" t="b">
        <v>1</v>
      </c>
      <c r="AE1688" s="8" t="b">
        <v>0</v>
      </c>
      <c r="AG1688" s="11" t="b" cm="1">
        <f t="array" ref="AG1688">IF(OR(Y1688:AA1688="TRUE", AE1688="true"), "Threatened")</f>
        <v>0</v>
      </c>
      <c r="AH1688" s="11" t="s">
        <v>4385</v>
      </c>
      <c r="AI1688" s="8" t="b">
        <v>1</v>
      </c>
    </row>
    <row r="1689" spans="1:35" ht="31.2">
      <c r="A1689" s="8">
        <v>-73.967759330000007</v>
      </c>
      <c r="B1689" s="8">
        <v>40.776305430000001</v>
      </c>
      <c r="C1689" s="8" t="s">
        <v>4386</v>
      </c>
      <c r="D1689" s="8" t="s">
        <v>326</v>
      </c>
      <c r="E1689" s="8" t="b">
        <f t="shared" si="26"/>
        <v>0</v>
      </c>
      <c r="F1689" s="8" t="str" cm="1">
        <f t="array" ref="F1689">_xlfn._xlws.FILTER(E1689:E4887, C1689:C4887= "6D-PM-1020-01", "No Squirrels Found")</f>
        <v>No Squirrels Found</v>
      </c>
      <c r="G1689" s="8" t="s">
        <v>34</v>
      </c>
      <c r="H1689" s="10">
        <v>10192018</v>
      </c>
      <c r="I1689" s="10">
        <v>7</v>
      </c>
      <c r="J1689" s="8" t="s">
        <v>39</v>
      </c>
      <c r="M1689" s="8" t="s">
        <v>35</v>
      </c>
      <c r="O1689" s="8" t="s">
        <v>50</v>
      </c>
      <c r="P1689" s="8">
        <v>5</v>
      </c>
      <c r="R1689" s="8" t="b">
        <v>0</v>
      </c>
      <c r="S1689" s="8" t="b">
        <v>1</v>
      </c>
      <c r="T1689" s="8" t="b">
        <v>0</v>
      </c>
      <c r="U1689" s="8" t="b">
        <v>0</v>
      </c>
      <c r="V1689" s="8" t="b">
        <v>0</v>
      </c>
      <c r="X1689" s="8" t="b">
        <v>0</v>
      </c>
      <c r="Y1689" s="8" t="b">
        <v>0</v>
      </c>
      <c r="Z1689" s="8" t="b">
        <v>0</v>
      </c>
      <c r="AA1689" s="8" t="b">
        <v>0</v>
      </c>
      <c r="AB1689" s="8" t="b">
        <v>1</v>
      </c>
      <c r="AC1689" s="8" t="b">
        <v>0</v>
      </c>
      <c r="AD1689" s="8" t="b">
        <v>0</v>
      </c>
      <c r="AE1689" s="8" t="b">
        <v>0</v>
      </c>
      <c r="AG1689" s="11" t="b" cm="1">
        <f t="array" ref="AG1689">IF(OR(Y1689:AA1689="TRUE", AE1689="true"), "Threatened")</f>
        <v>0</v>
      </c>
      <c r="AH1689" s="11" t="s">
        <v>4387</v>
      </c>
      <c r="AI1689" s="8" t="b">
        <v>1</v>
      </c>
    </row>
    <row r="1690" spans="1:35" ht="31.2">
      <c r="A1690" s="8">
        <v>-73.95470315</v>
      </c>
      <c r="B1690" s="8">
        <v>40.797886750000004</v>
      </c>
      <c r="C1690" s="8" t="s">
        <v>4388</v>
      </c>
      <c r="D1690" s="8" t="s">
        <v>1520</v>
      </c>
      <c r="E1690" s="8" t="b">
        <f t="shared" si="26"/>
        <v>0</v>
      </c>
      <c r="F1690" s="8" t="str" cm="1">
        <f t="array" ref="F1690">_xlfn._xlws.FILTER(E1690:E4888, C1690:C4888= "6D-PM-1020-01", "No Squirrels Found")</f>
        <v>No Squirrels Found</v>
      </c>
      <c r="G1690" s="8" t="s">
        <v>34</v>
      </c>
      <c r="H1690" s="10">
        <v>10132018</v>
      </c>
      <c r="I1690" s="10">
        <v>1</v>
      </c>
      <c r="J1690" s="8" t="s">
        <v>39</v>
      </c>
      <c r="K1690" s="8" t="s">
        <v>40</v>
      </c>
      <c r="L1690" s="8" t="s">
        <v>84</v>
      </c>
      <c r="M1690" s="8" t="s">
        <v>103</v>
      </c>
      <c r="O1690" s="8" t="s">
        <v>43</v>
      </c>
      <c r="P1690" s="8" t="b">
        <v>0</v>
      </c>
      <c r="R1690" s="8" t="b">
        <v>1</v>
      </c>
      <c r="S1690" s="8" t="b">
        <v>0</v>
      </c>
      <c r="T1690" s="8" t="b">
        <v>0</v>
      </c>
      <c r="U1690" s="8" t="b">
        <v>0</v>
      </c>
      <c r="V1690" s="8" t="b">
        <v>0</v>
      </c>
      <c r="X1690" s="8" t="b">
        <v>0</v>
      </c>
      <c r="Y1690" s="8" t="b">
        <v>0</v>
      </c>
      <c r="Z1690" s="8" t="b">
        <v>0</v>
      </c>
      <c r="AA1690" s="8" t="b">
        <v>0</v>
      </c>
      <c r="AB1690" s="8" t="b">
        <v>0</v>
      </c>
      <c r="AC1690" s="8" t="b">
        <v>0</v>
      </c>
      <c r="AD1690" s="8" t="b">
        <v>1</v>
      </c>
      <c r="AE1690" s="8" t="b">
        <v>0</v>
      </c>
      <c r="AG1690" s="11" t="b" cm="1">
        <f t="array" ref="AG1690">IF(OR(Y1690:AA1690="TRUE", AE1690="true"), "Threatened")</f>
        <v>0</v>
      </c>
      <c r="AH1690" s="11" t="s">
        <v>4389</v>
      </c>
      <c r="AI1690" s="8" t="b">
        <v>1</v>
      </c>
    </row>
    <row r="1691" spans="1:35" ht="31.2">
      <c r="A1691" s="8">
        <v>-73.960522949999998</v>
      </c>
      <c r="B1691" s="8">
        <v>40.793435940000002</v>
      </c>
      <c r="C1691" s="8" t="s">
        <v>4390</v>
      </c>
      <c r="D1691" s="8" t="s">
        <v>3812</v>
      </c>
      <c r="E1691" s="8" t="b">
        <f t="shared" si="26"/>
        <v>0</v>
      </c>
      <c r="F1691" s="8" t="str" cm="1">
        <f t="array" ref="F1691">_xlfn._xlws.FILTER(E1691:E4889, C1691:C4889= "6D-PM-1020-01", "No Squirrels Found")</f>
        <v>No Squirrels Found</v>
      </c>
      <c r="G1691" s="8" t="s">
        <v>34</v>
      </c>
      <c r="H1691" s="10">
        <v>10122018</v>
      </c>
      <c r="I1691" s="10">
        <v>4</v>
      </c>
      <c r="J1691" s="8" t="s">
        <v>39</v>
      </c>
      <c r="K1691" s="8" t="s">
        <v>40</v>
      </c>
      <c r="M1691" s="8" t="s">
        <v>55</v>
      </c>
      <c r="O1691" s="8" t="s">
        <v>43</v>
      </c>
      <c r="P1691" s="8" t="b">
        <v>0</v>
      </c>
      <c r="R1691" s="8" t="b">
        <v>1</v>
      </c>
      <c r="S1691" s="8" t="b">
        <v>0</v>
      </c>
      <c r="T1691" s="8" t="b">
        <v>0</v>
      </c>
      <c r="U1691" s="8" t="b">
        <v>1</v>
      </c>
      <c r="V1691" s="8" t="b">
        <v>1</v>
      </c>
      <c r="X1691" s="8" t="b">
        <v>0</v>
      </c>
      <c r="Y1691" s="8" t="b">
        <v>0</v>
      </c>
      <c r="Z1691" s="8" t="b">
        <v>0</v>
      </c>
      <c r="AA1691" s="8" t="b">
        <v>0</v>
      </c>
      <c r="AB1691" s="8" t="b">
        <v>0</v>
      </c>
      <c r="AC1691" s="8" t="b">
        <v>0</v>
      </c>
      <c r="AD1691" s="8" t="b">
        <v>1</v>
      </c>
      <c r="AE1691" s="8" t="b">
        <v>0</v>
      </c>
      <c r="AG1691" s="11" t="b" cm="1">
        <f t="array" ref="AG1691">IF(OR(Y1691:AA1691="TRUE", AE1691="true"), "Threatened")</f>
        <v>0</v>
      </c>
      <c r="AH1691" s="11" t="s">
        <v>4391</v>
      </c>
      <c r="AI1691" s="8" t="b">
        <v>1</v>
      </c>
    </row>
    <row r="1692" spans="1:35" ht="31.2">
      <c r="A1692" s="8">
        <v>-73.970370500000001</v>
      </c>
      <c r="B1692" s="8">
        <v>40.781858620000001</v>
      </c>
      <c r="C1692" s="8" t="s">
        <v>4392</v>
      </c>
      <c r="D1692" s="8" t="s">
        <v>422</v>
      </c>
      <c r="E1692" s="8" t="b">
        <f t="shared" si="26"/>
        <v>0</v>
      </c>
      <c r="F1692" s="8" t="str" cm="1">
        <f t="array" ref="F1692">_xlfn._xlws.FILTER(E1692:E4890, C1692:C4890= "6D-PM-1020-01", "No Squirrels Found")</f>
        <v>No Squirrels Found</v>
      </c>
      <c r="G1692" s="8" t="s">
        <v>34</v>
      </c>
      <c r="H1692" s="10">
        <v>10182018</v>
      </c>
      <c r="I1692" s="10">
        <v>2</v>
      </c>
      <c r="J1692" s="8" t="s">
        <v>39</v>
      </c>
      <c r="K1692" s="8" t="s">
        <v>40</v>
      </c>
      <c r="L1692" s="8" t="s">
        <v>1924</v>
      </c>
      <c r="M1692" s="8" t="s">
        <v>1925</v>
      </c>
      <c r="N1692" s="11" t="s">
        <v>2320</v>
      </c>
      <c r="O1692" s="8" t="s">
        <v>43</v>
      </c>
      <c r="P1692" s="8" t="b">
        <v>0</v>
      </c>
      <c r="R1692" s="8" t="b">
        <v>0</v>
      </c>
      <c r="S1692" s="8" t="b">
        <v>0</v>
      </c>
      <c r="T1692" s="8" t="b">
        <v>0</v>
      </c>
      <c r="U1692" s="8" t="b">
        <v>1</v>
      </c>
      <c r="V1692" s="8" t="b">
        <v>0</v>
      </c>
      <c r="X1692" s="8" t="b">
        <v>0</v>
      </c>
      <c r="Y1692" s="8" t="b">
        <v>0</v>
      </c>
      <c r="Z1692" s="8" t="b">
        <v>0</v>
      </c>
      <c r="AA1692" s="8" t="b">
        <v>0</v>
      </c>
      <c r="AB1692" s="8" t="b">
        <v>0</v>
      </c>
      <c r="AC1692" s="8" t="b">
        <v>0</v>
      </c>
      <c r="AD1692" s="8" t="b">
        <v>1</v>
      </c>
      <c r="AE1692" s="8" t="b">
        <v>0</v>
      </c>
      <c r="AG1692" s="11" t="b" cm="1">
        <f t="array" ref="AG1692">IF(OR(Y1692:AA1692="TRUE", AE1692="true"), "Threatened")</f>
        <v>0</v>
      </c>
      <c r="AH1692" s="11" t="s">
        <v>4393</v>
      </c>
      <c r="AI1692" s="8" t="b">
        <v>1</v>
      </c>
    </row>
    <row r="1693" spans="1:35" ht="31.2">
      <c r="A1693" s="8">
        <v>-73.973268329999996</v>
      </c>
      <c r="B1693" s="8">
        <v>40.770829650000003</v>
      </c>
      <c r="C1693" s="8" t="s">
        <v>4394</v>
      </c>
      <c r="D1693" s="8" t="s">
        <v>159</v>
      </c>
      <c r="E1693" s="8" t="b">
        <f t="shared" si="26"/>
        <v>0</v>
      </c>
      <c r="F1693" s="8" t="str" cm="1">
        <f t="array" ref="F1693">_xlfn._xlws.FILTER(E1693:E4891, C1693:C4891= "6D-PM-1020-01", "No Squirrels Found")</f>
        <v>No Squirrels Found</v>
      </c>
      <c r="G1693" s="8" t="s">
        <v>48</v>
      </c>
      <c r="H1693" s="10">
        <v>10062018</v>
      </c>
      <c r="I1693" s="10">
        <v>5</v>
      </c>
      <c r="J1693" s="8" t="s">
        <v>39</v>
      </c>
      <c r="K1693" s="8" t="s">
        <v>40</v>
      </c>
      <c r="M1693" s="8" t="s">
        <v>55</v>
      </c>
      <c r="O1693" s="8" t="s">
        <v>50</v>
      </c>
      <c r="P1693" s="8">
        <v>25</v>
      </c>
      <c r="Q1693" s="8" t="s">
        <v>466</v>
      </c>
      <c r="R1693" s="8" t="b">
        <v>0</v>
      </c>
      <c r="S1693" s="8" t="b">
        <v>0</v>
      </c>
      <c r="T1693" s="8" t="b">
        <v>1</v>
      </c>
      <c r="U1693" s="8" t="b">
        <v>0</v>
      </c>
      <c r="V1693" s="8" t="b">
        <v>0</v>
      </c>
      <c r="X1693" s="8" t="b">
        <v>0</v>
      </c>
      <c r="Y1693" s="8" t="b">
        <v>0</v>
      </c>
      <c r="Z1693" s="8" t="b">
        <v>0</v>
      </c>
      <c r="AA1693" s="8" t="b">
        <v>0</v>
      </c>
      <c r="AB1693" s="8" t="b">
        <v>0</v>
      </c>
      <c r="AC1693" s="8" t="b">
        <v>0</v>
      </c>
      <c r="AD1693" s="8" t="b">
        <v>0</v>
      </c>
      <c r="AE1693" s="8" t="b">
        <v>0</v>
      </c>
      <c r="AG1693" s="11" t="b" cm="1">
        <f t="array" ref="AG1693">IF(OR(Y1693:AA1693="TRUE", AE1693="true"), "Threatened")</f>
        <v>0</v>
      </c>
      <c r="AH1693" s="11" t="s">
        <v>4395</v>
      </c>
      <c r="AI1693" s="8" t="b">
        <v>1</v>
      </c>
    </row>
    <row r="1694" spans="1:35" ht="31.2">
      <c r="A1694" s="8">
        <v>-73.959378139999998</v>
      </c>
      <c r="B1694" s="8">
        <v>40.784151989999998</v>
      </c>
      <c r="C1694" s="8" t="s">
        <v>4396</v>
      </c>
      <c r="D1694" s="8" t="s">
        <v>848</v>
      </c>
      <c r="E1694" s="8" t="b">
        <f t="shared" si="26"/>
        <v>0</v>
      </c>
      <c r="F1694" s="8" t="str" cm="1">
        <f t="array" ref="F1694">_xlfn._xlws.FILTER(E1694:E4892, C1694:C4892= "6D-PM-1020-01", "No Squirrels Found")</f>
        <v>No Squirrels Found</v>
      </c>
      <c r="G1694" s="8" t="s">
        <v>48</v>
      </c>
      <c r="H1694" s="10">
        <v>10102018</v>
      </c>
      <c r="I1694" s="10">
        <v>2</v>
      </c>
      <c r="J1694" s="8" t="s">
        <v>39</v>
      </c>
      <c r="K1694" s="8" t="s">
        <v>40</v>
      </c>
      <c r="M1694" s="8" t="s">
        <v>55</v>
      </c>
      <c r="O1694" s="8" t="s">
        <v>50</v>
      </c>
      <c r="P1694" s="8">
        <v>40</v>
      </c>
      <c r="R1694" s="8" t="b">
        <v>0</v>
      </c>
      <c r="S1694" s="8" t="b">
        <v>0</v>
      </c>
      <c r="T1694" s="8" t="b">
        <v>0</v>
      </c>
      <c r="U1694" s="8" t="b">
        <v>0</v>
      </c>
      <c r="V1694" s="8" t="b">
        <v>1</v>
      </c>
      <c r="X1694" s="8" t="b">
        <v>0</v>
      </c>
      <c r="Y1694" s="8" t="b">
        <v>0</v>
      </c>
      <c r="Z1694" s="8" t="b">
        <v>0</v>
      </c>
      <c r="AA1694" s="8" t="b">
        <v>0</v>
      </c>
      <c r="AB1694" s="8" t="b">
        <v>0</v>
      </c>
      <c r="AC1694" s="8" t="b">
        <v>0</v>
      </c>
      <c r="AD1694" s="8" t="b">
        <v>0</v>
      </c>
      <c r="AE1694" s="8" t="b">
        <v>0</v>
      </c>
      <c r="AG1694" s="11" t="b" cm="1">
        <f t="array" ref="AG1694">IF(OR(Y1694:AA1694="TRUE", AE1694="true"), "Threatened")</f>
        <v>0</v>
      </c>
      <c r="AH1694" s="11" t="s">
        <v>4397</v>
      </c>
      <c r="AI1694" s="8" t="b">
        <v>1</v>
      </c>
    </row>
    <row r="1695" spans="1:35" ht="31.2">
      <c r="A1695" s="8">
        <v>-73.973019629999996</v>
      </c>
      <c r="B1695" s="8">
        <v>40.76602244</v>
      </c>
      <c r="C1695" s="8" t="s">
        <v>4398</v>
      </c>
      <c r="D1695" s="8" t="s">
        <v>1902</v>
      </c>
      <c r="E1695" s="8" t="b">
        <f t="shared" si="26"/>
        <v>0</v>
      </c>
      <c r="F1695" s="8" t="str" cm="1">
        <f t="array" ref="F1695">_xlfn._xlws.FILTER(E1695:E4893, C1695:C4893= "6D-PM-1020-01", "No Squirrels Found")</f>
        <v>No Squirrels Found</v>
      </c>
      <c r="G1695" s="8" t="s">
        <v>34</v>
      </c>
      <c r="H1695" s="10">
        <v>10142018</v>
      </c>
      <c r="I1695" s="10">
        <v>6</v>
      </c>
      <c r="J1695" s="8" t="s">
        <v>39</v>
      </c>
      <c r="K1695" s="8" t="s">
        <v>40</v>
      </c>
      <c r="M1695" s="8" t="s">
        <v>55</v>
      </c>
      <c r="O1695" s="8" t="s">
        <v>43</v>
      </c>
      <c r="P1695" s="8" t="b">
        <v>0</v>
      </c>
      <c r="R1695" s="8" t="b">
        <v>0</v>
      </c>
      <c r="S1695" s="8" t="b">
        <v>0</v>
      </c>
      <c r="T1695" s="8" t="b">
        <v>0</v>
      </c>
      <c r="U1695" s="8" t="b">
        <v>0</v>
      </c>
      <c r="V1695" s="8" t="b">
        <v>1</v>
      </c>
      <c r="X1695" s="8" t="b">
        <v>0</v>
      </c>
      <c r="Y1695" s="8" t="b">
        <v>0</v>
      </c>
      <c r="Z1695" s="8" t="b">
        <v>0</v>
      </c>
      <c r="AA1695" s="8" t="b">
        <v>0</v>
      </c>
      <c r="AB1695" s="8" t="b">
        <v>0</v>
      </c>
      <c r="AC1695" s="8" t="b">
        <v>0</v>
      </c>
      <c r="AD1695" s="8" t="b">
        <v>1</v>
      </c>
      <c r="AE1695" s="8" t="b">
        <v>0</v>
      </c>
      <c r="AG1695" s="11" t="b" cm="1">
        <f t="array" ref="AG1695">IF(OR(Y1695:AA1695="TRUE", AE1695="true"), "Threatened")</f>
        <v>0</v>
      </c>
      <c r="AH1695" s="11" t="s">
        <v>4399</v>
      </c>
      <c r="AI1695" s="8" t="b">
        <v>1</v>
      </c>
    </row>
    <row r="1696" spans="1:35" ht="31.2">
      <c r="A1696" s="8">
        <v>-73.960408389999998</v>
      </c>
      <c r="B1696" s="8">
        <v>40.791028410000003</v>
      </c>
      <c r="C1696" s="8" t="s">
        <v>4400</v>
      </c>
      <c r="D1696" s="8" t="s">
        <v>309</v>
      </c>
      <c r="E1696" s="8" t="b">
        <f t="shared" si="26"/>
        <v>0</v>
      </c>
      <c r="F1696" s="8" t="str" cm="1">
        <f t="array" ref="F1696">_xlfn._xlws.FILTER(E1696:E4894, C1696:C4894= "6D-PM-1020-01", "No Squirrels Found")</f>
        <v>No Squirrels Found</v>
      </c>
      <c r="G1696" s="8" t="s">
        <v>48</v>
      </c>
      <c r="H1696" s="10">
        <v>10132018</v>
      </c>
      <c r="I1696" s="10">
        <v>5</v>
      </c>
      <c r="J1696" s="8" t="s">
        <v>39</v>
      </c>
      <c r="K1696" s="8" t="s">
        <v>40</v>
      </c>
      <c r="L1696" s="8" t="s">
        <v>41</v>
      </c>
      <c r="M1696" s="8" t="s">
        <v>42</v>
      </c>
      <c r="O1696" s="8" t="s">
        <v>50</v>
      </c>
      <c r="P1696" s="8">
        <v>10</v>
      </c>
      <c r="R1696" s="8" t="b">
        <v>1</v>
      </c>
      <c r="S1696" s="8" t="b">
        <v>0</v>
      </c>
      <c r="T1696" s="8" t="b">
        <v>0</v>
      </c>
      <c r="U1696" s="8" t="b">
        <v>1</v>
      </c>
      <c r="V1696" s="8" t="b">
        <v>0</v>
      </c>
      <c r="X1696" s="8" t="b">
        <v>0</v>
      </c>
      <c r="Y1696" s="8" t="b">
        <v>0</v>
      </c>
      <c r="Z1696" s="8" t="b">
        <v>0</v>
      </c>
      <c r="AA1696" s="8" t="b">
        <v>0</v>
      </c>
      <c r="AB1696" s="8" t="b">
        <v>0</v>
      </c>
      <c r="AC1696" s="8" t="b">
        <v>0</v>
      </c>
      <c r="AD1696" s="8" t="b">
        <v>1</v>
      </c>
      <c r="AE1696" s="8" t="b">
        <v>0</v>
      </c>
      <c r="AG1696" s="11" t="b" cm="1">
        <f t="array" ref="AG1696">IF(OR(Y1696:AA1696="TRUE", AE1696="true"), "Threatened")</f>
        <v>0</v>
      </c>
      <c r="AH1696" s="11" t="s">
        <v>4401</v>
      </c>
      <c r="AI1696" s="8" t="b">
        <v>1</v>
      </c>
    </row>
    <row r="1697" spans="1:35" ht="31.2">
      <c r="A1697" s="8">
        <v>-73.969459169999993</v>
      </c>
      <c r="B1697" s="8">
        <v>40.776651819999998</v>
      </c>
      <c r="C1697" s="8" t="s">
        <v>4402</v>
      </c>
      <c r="D1697" s="8" t="s">
        <v>121</v>
      </c>
      <c r="E1697" s="8" t="b">
        <f t="shared" si="26"/>
        <v>0</v>
      </c>
      <c r="F1697" s="8" t="str" cm="1">
        <f t="array" ref="F1697">_xlfn._xlws.FILTER(E1697:E4895, C1697:C4895= "6D-PM-1020-01", "No Squirrels Found")</f>
        <v>No Squirrels Found</v>
      </c>
      <c r="G1697" s="8" t="s">
        <v>48</v>
      </c>
      <c r="H1697" s="10">
        <v>10082018</v>
      </c>
      <c r="I1697" s="10">
        <v>12</v>
      </c>
      <c r="J1697" s="8" t="s">
        <v>39</v>
      </c>
      <c r="K1697" s="8" t="s">
        <v>40</v>
      </c>
      <c r="M1697" s="8" t="s">
        <v>55</v>
      </c>
      <c r="O1697" s="8" t="s">
        <v>50</v>
      </c>
      <c r="P1697" s="8">
        <v>2</v>
      </c>
      <c r="R1697" s="8" t="b">
        <v>0</v>
      </c>
      <c r="S1697" s="8" t="b">
        <v>0</v>
      </c>
      <c r="T1697" s="8" t="b">
        <v>1</v>
      </c>
      <c r="U1697" s="8" t="b">
        <v>1</v>
      </c>
      <c r="V1697" s="8" t="b">
        <v>1</v>
      </c>
      <c r="X1697" s="8" t="b">
        <v>0</v>
      </c>
      <c r="Y1697" s="8" t="b">
        <v>0</v>
      </c>
      <c r="Z1697" s="8" t="b">
        <v>0</v>
      </c>
      <c r="AA1697" s="8" t="b">
        <v>0</v>
      </c>
      <c r="AB1697" s="8" t="b">
        <v>0</v>
      </c>
      <c r="AC1697" s="8" t="b">
        <v>0</v>
      </c>
      <c r="AD1697" s="8" t="b">
        <v>1</v>
      </c>
      <c r="AE1697" s="8" t="b">
        <v>0</v>
      </c>
      <c r="AG1697" s="11" t="b" cm="1">
        <f t="array" ref="AG1697">IF(OR(Y1697:AA1697="TRUE", AE1697="true"), "Threatened")</f>
        <v>0</v>
      </c>
      <c r="AH1697" s="11" t="s">
        <v>4403</v>
      </c>
      <c r="AI1697" s="8" t="b">
        <v>1</v>
      </c>
    </row>
    <row r="1698" spans="1:35" ht="31.2">
      <c r="A1698" s="8">
        <v>-73.956861090000004</v>
      </c>
      <c r="B1698" s="8">
        <v>40.793595959999998</v>
      </c>
      <c r="C1698" s="8" t="s">
        <v>4404</v>
      </c>
      <c r="D1698" s="8" t="s">
        <v>1045</v>
      </c>
      <c r="E1698" s="8" t="b">
        <f t="shared" si="26"/>
        <v>0</v>
      </c>
      <c r="F1698" s="8" t="str" cm="1">
        <f t="array" ref="F1698">_xlfn._xlws.FILTER(E1698:E4896, C1698:C4896= "6D-PM-1020-01", "No Squirrels Found")</f>
        <v>No Squirrels Found</v>
      </c>
      <c r="G1698" s="8" t="s">
        <v>34</v>
      </c>
      <c r="H1698" s="10">
        <v>10122018</v>
      </c>
      <c r="I1698" s="10">
        <v>2</v>
      </c>
      <c r="J1698" s="8" t="s">
        <v>39</v>
      </c>
      <c r="K1698" s="8" t="s">
        <v>40</v>
      </c>
      <c r="M1698" s="8" t="s">
        <v>55</v>
      </c>
      <c r="O1698" s="8" t="s">
        <v>50</v>
      </c>
      <c r="P1698" s="8">
        <v>28</v>
      </c>
      <c r="Q1698" s="8" t="s">
        <v>4405</v>
      </c>
      <c r="R1698" s="8" t="b">
        <v>0</v>
      </c>
      <c r="S1698" s="8" t="b">
        <v>0</v>
      </c>
      <c r="T1698" s="8" t="b">
        <v>1</v>
      </c>
      <c r="U1698" s="8" t="b">
        <v>0</v>
      </c>
      <c r="V1698" s="8" t="b">
        <v>1</v>
      </c>
      <c r="W1698" s="11" t="s">
        <v>4406</v>
      </c>
      <c r="X1698" s="8" t="b">
        <v>0</v>
      </c>
      <c r="Y1698" s="8" t="b">
        <v>0</v>
      </c>
      <c r="Z1698" s="8" t="b">
        <v>0</v>
      </c>
      <c r="AA1698" s="8" t="b">
        <v>0</v>
      </c>
      <c r="AB1698" s="8" t="b">
        <v>0</v>
      </c>
      <c r="AC1698" s="8" t="b">
        <v>0</v>
      </c>
      <c r="AD1698" s="8" t="b">
        <v>1</v>
      </c>
      <c r="AE1698" s="8" t="b">
        <v>0</v>
      </c>
      <c r="AG1698" s="11" t="b" cm="1">
        <f t="array" ref="AG1698">IF(OR(Y1698:AA1698="TRUE", AE1698="true"), "Threatened")</f>
        <v>0</v>
      </c>
      <c r="AH1698" s="11" t="s">
        <v>4407</v>
      </c>
      <c r="AI1698" s="8" t="b">
        <v>0</v>
      </c>
    </row>
    <row r="1699" spans="1:35" ht="31.2">
      <c r="A1699" s="8">
        <v>-73.963139209999994</v>
      </c>
      <c r="B1699" s="8">
        <v>40.791463559999997</v>
      </c>
      <c r="C1699" s="8" t="s">
        <v>4408</v>
      </c>
      <c r="D1699" s="8" t="s">
        <v>2508</v>
      </c>
      <c r="E1699" s="8" t="b">
        <f t="shared" si="26"/>
        <v>0</v>
      </c>
      <c r="F1699" s="8" t="str" cm="1">
        <f t="array" ref="F1699">_xlfn._xlws.FILTER(E1699:E4897, C1699:C4897= "6D-PM-1020-01", "No Squirrels Found")</f>
        <v>No Squirrels Found</v>
      </c>
      <c r="G1699" s="8" t="s">
        <v>34</v>
      </c>
      <c r="H1699" s="10">
        <v>10072018</v>
      </c>
      <c r="I1699" s="10">
        <v>2</v>
      </c>
      <c r="J1699" s="8" t="s">
        <v>39</v>
      </c>
      <c r="K1699" s="8" t="s">
        <v>40</v>
      </c>
      <c r="L1699" s="8" t="s">
        <v>41</v>
      </c>
      <c r="M1699" s="8" t="s">
        <v>42</v>
      </c>
      <c r="O1699" s="8" t="s">
        <v>50</v>
      </c>
      <c r="P1699" s="8">
        <v>10</v>
      </c>
      <c r="R1699" s="8" t="b">
        <v>0</v>
      </c>
      <c r="S1699" s="8" t="b">
        <v>1</v>
      </c>
      <c r="T1699" s="8" t="b">
        <v>1</v>
      </c>
      <c r="U1699" s="8" t="b">
        <v>0</v>
      </c>
      <c r="V1699" s="8" t="b">
        <v>0</v>
      </c>
      <c r="W1699" s="11" t="s">
        <v>4409</v>
      </c>
      <c r="X1699" s="8" t="b">
        <v>0</v>
      </c>
      <c r="Y1699" s="8" t="b">
        <v>0</v>
      </c>
      <c r="Z1699" s="8" t="b">
        <v>0</v>
      </c>
      <c r="AA1699" s="8" t="b">
        <v>0</v>
      </c>
      <c r="AB1699" s="8" t="b">
        <v>0</v>
      </c>
      <c r="AC1699" s="8" t="b">
        <v>0</v>
      </c>
      <c r="AD1699" s="8" t="b">
        <v>0</v>
      </c>
      <c r="AE1699" s="8" t="b">
        <v>1</v>
      </c>
      <c r="AG1699" s="11" t="b" cm="1">
        <f t="array" ref="AG1699">IF(OR(Y1699:AA1699="TRUE", AE1699="true"), "Threatened")</f>
        <v>0</v>
      </c>
      <c r="AH1699" s="11" t="s">
        <v>4410</v>
      </c>
      <c r="AI1699" s="8" t="b">
        <v>0</v>
      </c>
    </row>
    <row r="1700" spans="1:35" ht="31.2">
      <c r="A1700" s="8">
        <v>-73.970696869999998</v>
      </c>
      <c r="B1700" s="8">
        <v>40.782149910000001</v>
      </c>
      <c r="C1700" s="8" t="s">
        <v>4411</v>
      </c>
      <c r="D1700" s="8" t="s">
        <v>2662</v>
      </c>
      <c r="E1700" s="8" t="b">
        <f t="shared" si="26"/>
        <v>0</v>
      </c>
      <c r="F1700" s="8" t="str" cm="1">
        <f t="array" ref="F1700">_xlfn._xlws.FILTER(E1700:E4898, C1700:C4898= "6D-PM-1020-01", "No Squirrels Found")</f>
        <v>No Squirrels Found</v>
      </c>
      <c r="G1700" s="8" t="s">
        <v>34</v>
      </c>
      <c r="H1700" s="10">
        <v>10132018</v>
      </c>
      <c r="I1700" s="10">
        <v>6</v>
      </c>
      <c r="J1700" s="8" t="s">
        <v>39</v>
      </c>
      <c r="K1700" s="8" t="s">
        <v>40</v>
      </c>
      <c r="L1700" s="8" t="s">
        <v>84</v>
      </c>
      <c r="M1700" s="8" t="s">
        <v>103</v>
      </c>
      <c r="O1700" s="8" t="s">
        <v>43</v>
      </c>
      <c r="P1700" s="8" t="b">
        <v>0</v>
      </c>
      <c r="R1700" s="8" t="b">
        <v>0</v>
      </c>
      <c r="S1700" s="8" t="b">
        <v>0</v>
      </c>
      <c r="T1700" s="8" t="b">
        <v>0</v>
      </c>
      <c r="U1700" s="8" t="b">
        <v>0</v>
      </c>
      <c r="V1700" s="8" t="b">
        <v>1</v>
      </c>
      <c r="X1700" s="8" t="b">
        <v>0</v>
      </c>
      <c r="Y1700" s="8" t="b">
        <v>0</v>
      </c>
      <c r="Z1700" s="8" t="b">
        <v>0</v>
      </c>
      <c r="AA1700" s="8" t="b">
        <v>0</v>
      </c>
      <c r="AB1700" s="8" t="b">
        <v>0</v>
      </c>
      <c r="AC1700" s="8" t="b">
        <v>0</v>
      </c>
      <c r="AD1700" s="8" t="b">
        <v>0</v>
      </c>
      <c r="AE1700" s="8" t="b">
        <v>1</v>
      </c>
      <c r="AG1700" s="11" t="b" cm="1">
        <f t="array" ref="AG1700">IF(OR(Y1700:AA1700="TRUE", AE1700="true"), "Threatened")</f>
        <v>0</v>
      </c>
      <c r="AH1700" s="11" t="s">
        <v>4412</v>
      </c>
      <c r="AI1700" s="8" t="b">
        <v>1</v>
      </c>
    </row>
    <row r="1701" spans="1:35" ht="31.2">
      <c r="A1701" s="8">
        <v>-73.965675790000006</v>
      </c>
      <c r="B1701" s="8">
        <v>40.788731009999999</v>
      </c>
      <c r="C1701" s="8" t="s">
        <v>4413</v>
      </c>
      <c r="D1701" s="8" t="s">
        <v>4414</v>
      </c>
      <c r="E1701" s="8" t="b">
        <f t="shared" si="26"/>
        <v>0</v>
      </c>
      <c r="F1701" s="8" t="str" cm="1">
        <f t="array" ref="F1701">_xlfn._xlws.FILTER(E1701:E4899, C1701:C4899= "6D-PM-1020-01", "No Squirrels Found")</f>
        <v>No Squirrels Found</v>
      </c>
      <c r="G1701" s="8" t="s">
        <v>34</v>
      </c>
      <c r="H1701" s="10">
        <v>10062018</v>
      </c>
      <c r="I1701" s="10">
        <v>2</v>
      </c>
      <c r="J1701" s="8" t="s">
        <v>39</v>
      </c>
      <c r="K1701" s="8" t="s">
        <v>40</v>
      </c>
      <c r="M1701" s="8" t="s">
        <v>55</v>
      </c>
      <c r="O1701" s="8" t="s">
        <v>43</v>
      </c>
      <c r="P1701" s="8" t="b">
        <v>0</v>
      </c>
      <c r="Q1701" s="8" t="s">
        <v>4415</v>
      </c>
      <c r="R1701" s="8" t="b">
        <v>0</v>
      </c>
      <c r="S1701" s="8" t="b">
        <v>1</v>
      </c>
      <c r="T1701" s="8" t="b">
        <v>0</v>
      </c>
      <c r="U1701" s="8" t="b">
        <v>0</v>
      </c>
      <c r="V1701" s="8" t="b">
        <v>1</v>
      </c>
      <c r="X1701" s="8" t="b">
        <v>0</v>
      </c>
      <c r="Y1701" s="8" t="b">
        <v>0</v>
      </c>
      <c r="Z1701" s="8" t="b">
        <v>0</v>
      </c>
      <c r="AA1701" s="8" t="b">
        <v>0</v>
      </c>
      <c r="AB1701" s="8" t="b">
        <v>0</v>
      </c>
      <c r="AC1701" s="8" t="b">
        <v>0</v>
      </c>
      <c r="AD1701" s="8" t="b">
        <v>0</v>
      </c>
      <c r="AE1701" s="8" t="b">
        <v>1</v>
      </c>
      <c r="AG1701" s="11" t="b" cm="1">
        <f t="array" ref="AG1701">IF(OR(Y1701:AA1701="TRUE", AE1701="true"), "Threatened")</f>
        <v>0</v>
      </c>
      <c r="AH1701" s="11" t="s">
        <v>4416</v>
      </c>
      <c r="AI1701" s="8" t="b">
        <v>1</v>
      </c>
    </row>
    <row r="1702" spans="1:35" ht="31.2">
      <c r="A1702" s="8">
        <v>-73.970163479999997</v>
      </c>
      <c r="B1702" s="8">
        <v>40.77786914</v>
      </c>
      <c r="C1702" s="8" t="s">
        <v>4417</v>
      </c>
      <c r="D1702" s="8" t="s">
        <v>554</v>
      </c>
      <c r="E1702" s="8" t="b">
        <f t="shared" si="26"/>
        <v>0</v>
      </c>
      <c r="F1702" s="8" t="str" cm="1">
        <f t="array" ref="F1702">_xlfn._xlws.FILTER(E1702:E4900, C1702:C4900= "6D-PM-1020-01", "No Squirrels Found")</f>
        <v>No Squirrels Found</v>
      </c>
      <c r="G1702" s="8" t="s">
        <v>48</v>
      </c>
      <c r="H1702" s="10">
        <v>10072018</v>
      </c>
      <c r="I1702" s="10">
        <v>3</v>
      </c>
      <c r="J1702" s="8" t="s">
        <v>39</v>
      </c>
      <c r="K1702" s="8" t="s">
        <v>40</v>
      </c>
      <c r="M1702" s="8" t="s">
        <v>55</v>
      </c>
      <c r="O1702" s="8" t="s">
        <v>50</v>
      </c>
      <c r="P1702" s="8">
        <v>10</v>
      </c>
      <c r="R1702" s="8" t="b">
        <v>0</v>
      </c>
      <c r="S1702" s="8" t="b">
        <v>0</v>
      </c>
      <c r="T1702" s="8" t="b">
        <v>1</v>
      </c>
      <c r="U1702" s="8" t="b">
        <v>1</v>
      </c>
      <c r="V1702" s="8" t="b">
        <v>0</v>
      </c>
      <c r="X1702" s="8" t="b">
        <v>0</v>
      </c>
      <c r="Y1702" s="8" t="b">
        <v>0</v>
      </c>
      <c r="Z1702" s="8" t="b">
        <v>0</v>
      </c>
      <c r="AA1702" s="8" t="b">
        <v>0</v>
      </c>
      <c r="AB1702" s="8" t="b">
        <v>0</v>
      </c>
      <c r="AC1702" s="8" t="b">
        <v>0</v>
      </c>
      <c r="AD1702" s="8" t="b">
        <v>1</v>
      </c>
      <c r="AE1702" s="8" t="b">
        <v>0</v>
      </c>
      <c r="AG1702" s="11" t="b" cm="1">
        <f t="array" ref="AG1702">IF(OR(Y1702:AA1702="TRUE", AE1702="true"), "Threatened")</f>
        <v>0</v>
      </c>
      <c r="AH1702" s="11" t="s">
        <v>4418</v>
      </c>
      <c r="AI1702" s="8" t="b">
        <v>1</v>
      </c>
    </row>
    <row r="1703" spans="1:35" ht="31.2">
      <c r="A1703" s="8">
        <v>-73.975269949999998</v>
      </c>
      <c r="B1703" s="8">
        <v>40.768806920000003</v>
      </c>
      <c r="C1703" s="8" t="s">
        <v>4419</v>
      </c>
      <c r="D1703" s="8" t="s">
        <v>794</v>
      </c>
      <c r="E1703" s="8" t="b">
        <f t="shared" si="26"/>
        <v>0</v>
      </c>
      <c r="F1703" s="8" t="str" cm="1">
        <f t="array" ref="F1703">_xlfn._xlws.FILTER(E1703:E4901, C1703:C4901= "6D-PM-1020-01", "No Squirrels Found")</f>
        <v>No Squirrels Found</v>
      </c>
      <c r="G1703" s="8" t="s">
        <v>34</v>
      </c>
      <c r="H1703" s="10">
        <v>10082018</v>
      </c>
      <c r="I1703" s="10">
        <v>2</v>
      </c>
      <c r="J1703" s="8" t="s">
        <v>39</v>
      </c>
      <c r="K1703" s="8" t="s">
        <v>40</v>
      </c>
      <c r="M1703" s="8" t="s">
        <v>55</v>
      </c>
      <c r="O1703" s="8" t="s">
        <v>43</v>
      </c>
      <c r="P1703" s="8" t="b">
        <v>0</v>
      </c>
      <c r="R1703" s="8" t="b">
        <v>0</v>
      </c>
      <c r="S1703" s="8" t="b">
        <v>0</v>
      </c>
      <c r="T1703" s="8" t="b">
        <v>0</v>
      </c>
      <c r="U1703" s="8" t="b">
        <v>0</v>
      </c>
      <c r="V1703" s="8" t="b">
        <v>1</v>
      </c>
      <c r="X1703" s="8" t="b">
        <v>0</v>
      </c>
      <c r="Y1703" s="8" t="b">
        <v>0</v>
      </c>
      <c r="Z1703" s="8" t="b">
        <v>0</v>
      </c>
      <c r="AA1703" s="8" t="b">
        <v>0</v>
      </c>
      <c r="AB1703" s="8" t="b">
        <v>0</v>
      </c>
      <c r="AC1703" s="8" t="b">
        <v>0</v>
      </c>
      <c r="AD1703" s="8" t="b">
        <v>1</v>
      </c>
      <c r="AE1703" s="8" t="b">
        <v>0</v>
      </c>
      <c r="AG1703" s="11" t="b" cm="1">
        <f t="array" ref="AG1703">IF(OR(Y1703:AA1703="TRUE", AE1703="true"), "Threatened")</f>
        <v>0</v>
      </c>
      <c r="AH1703" s="11" t="s">
        <v>4420</v>
      </c>
      <c r="AI1703" s="8" t="b">
        <v>1</v>
      </c>
    </row>
    <row r="1704" spans="1:35" ht="31.2">
      <c r="A1704" s="8">
        <v>-73.956998499999997</v>
      </c>
      <c r="B1704" s="8">
        <v>40.79481174</v>
      </c>
      <c r="C1704" s="8" t="s">
        <v>4421</v>
      </c>
      <c r="D1704" s="8" t="s">
        <v>38</v>
      </c>
      <c r="E1704" s="8" t="b">
        <f t="shared" si="26"/>
        <v>0</v>
      </c>
      <c r="F1704" s="8" t="str" cm="1">
        <f t="array" ref="F1704">_xlfn._xlws.FILTER(E1704:E4902, C1704:C4902= "6D-PM-1020-01", "No Squirrels Found")</f>
        <v>No Squirrels Found</v>
      </c>
      <c r="G1704" s="8" t="s">
        <v>34</v>
      </c>
      <c r="H1704" s="10">
        <v>10062018</v>
      </c>
      <c r="I1704" s="10">
        <v>1</v>
      </c>
      <c r="J1704" s="8" t="s">
        <v>39</v>
      </c>
      <c r="K1704" s="8" t="s">
        <v>40</v>
      </c>
      <c r="L1704" s="8" t="s">
        <v>41</v>
      </c>
      <c r="M1704" s="8" t="s">
        <v>42</v>
      </c>
      <c r="O1704" s="8" t="s">
        <v>43</v>
      </c>
      <c r="P1704" s="8" t="b">
        <v>0</v>
      </c>
      <c r="R1704" s="8" t="b">
        <v>0</v>
      </c>
      <c r="S1704" s="8" t="b">
        <v>0</v>
      </c>
      <c r="T1704" s="8" t="b">
        <v>0</v>
      </c>
      <c r="U1704" s="8" t="b">
        <v>1</v>
      </c>
      <c r="V1704" s="8" t="b">
        <v>1</v>
      </c>
      <c r="X1704" s="8" t="b">
        <v>0</v>
      </c>
      <c r="Y1704" s="8" t="b">
        <v>0</v>
      </c>
      <c r="Z1704" s="8" t="b">
        <v>0</v>
      </c>
      <c r="AA1704" s="8" t="b">
        <v>0</v>
      </c>
      <c r="AB1704" s="8" t="b">
        <v>1</v>
      </c>
      <c r="AC1704" s="8" t="b">
        <v>0</v>
      </c>
      <c r="AD1704" s="8" t="b">
        <v>1</v>
      </c>
      <c r="AE1704" s="8" t="b">
        <v>0</v>
      </c>
      <c r="AG1704" s="11" t="b" cm="1">
        <f t="array" ref="AG1704">IF(OR(Y1704:AA1704="TRUE", AE1704="true"), "Threatened")</f>
        <v>0</v>
      </c>
      <c r="AH1704" s="11" t="s">
        <v>4422</v>
      </c>
      <c r="AI1704" s="8" t="b">
        <v>1</v>
      </c>
    </row>
    <row r="1705" spans="1:35" ht="31.2">
      <c r="A1705" s="8">
        <v>-73.962405279999999</v>
      </c>
      <c r="B1705" s="8">
        <v>40.780965629999997</v>
      </c>
      <c r="C1705" s="8" t="s">
        <v>4423</v>
      </c>
      <c r="D1705" s="8" t="s">
        <v>1662</v>
      </c>
      <c r="E1705" s="8" t="b">
        <f t="shared" si="26"/>
        <v>0</v>
      </c>
      <c r="F1705" s="8" t="str" cm="1">
        <f t="array" ref="F1705">_xlfn._xlws.FILTER(E1705:E4903, C1705:C4903= "6D-PM-1020-01", "No Squirrels Found")</f>
        <v>No Squirrels Found</v>
      </c>
      <c r="G1705" s="8" t="s">
        <v>34</v>
      </c>
      <c r="H1705" s="10">
        <v>10182018</v>
      </c>
      <c r="I1705" s="10">
        <v>4</v>
      </c>
      <c r="J1705" s="8" t="s">
        <v>39</v>
      </c>
      <c r="K1705" s="8" t="s">
        <v>40</v>
      </c>
      <c r="L1705" s="8" t="s">
        <v>41</v>
      </c>
      <c r="M1705" s="8" t="s">
        <v>42</v>
      </c>
      <c r="O1705" s="8" t="s">
        <v>43</v>
      </c>
      <c r="P1705" s="8" t="b">
        <v>0</v>
      </c>
      <c r="R1705" s="8" t="b">
        <v>0</v>
      </c>
      <c r="S1705" s="8" t="b">
        <v>0</v>
      </c>
      <c r="T1705" s="8" t="b">
        <v>0</v>
      </c>
      <c r="U1705" s="8" t="b">
        <v>0</v>
      </c>
      <c r="V1705" s="8" t="b">
        <v>1</v>
      </c>
      <c r="X1705" s="8" t="b">
        <v>0</v>
      </c>
      <c r="Y1705" s="8" t="b">
        <v>0</v>
      </c>
      <c r="Z1705" s="8" t="b">
        <v>0</v>
      </c>
      <c r="AA1705" s="8" t="b">
        <v>0</v>
      </c>
      <c r="AB1705" s="8" t="b">
        <v>1</v>
      </c>
      <c r="AC1705" s="8" t="b">
        <v>1</v>
      </c>
      <c r="AD1705" s="8" t="b">
        <v>0</v>
      </c>
      <c r="AE1705" s="8" t="b">
        <v>0</v>
      </c>
      <c r="AG1705" s="11" t="b" cm="1">
        <f t="array" ref="AG1705">IF(OR(Y1705:AA1705="TRUE", AE1705="true"), "Threatened")</f>
        <v>0</v>
      </c>
      <c r="AH1705" s="11" t="s">
        <v>4424</v>
      </c>
      <c r="AI1705" s="8" t="b">
        <v>1</v>
      </c>
    </row>
    <row r="1706" spans="1:35" ht="31.2">
      <c r="A1706" s="8">
        <v>-73.976541729999994</v>
      </c>
      <c r="B1706" s="8">
        <v>40.774099470000003</v>
      </c>
      <c r="C1706" s="8" t="s">
        <v>4425</v>
      </c>
      <c r="D1706" s="8" t="s">
        <v>859</v>
      </c>
      <c r="E1706" s="8" t="b">
        <f t="shared" si="26"/>
        <v>0</v>
      </c>
      <c r="F1706" s="8" t="str" cm="1">
        <f t="array" ref="F1706">_xlfn._xlws.FILTER(E1706:E4904, C1706:C4904= "6D-PM-1020-01", "No Squirrels Found")</f>
        <v>No Squirrels Found</v>
      </c>
      <c r="G1706" s="8" t="s">
        <v>48</v>
      </c>
      <c r="H1706" s="10">
        <v>10132018</v>
      </c>
      <c r="I1706" s="10">
        <v>5</v>
      </c>
      <c r="J1706" s="8" t="s">
        <v>54</v>
      </c>
      <c r="K1706" s="8" t="s">
        <v>40</v>
      </c>
      <c r="L1706" s="8" t="s">
        <v>41</v>
      </c>
      <c r="M1706" s="8" t="s">
        <v>42</v>
      </c>
      <c r="O1706" s="8" t="s">
        <v>43</v>
      </c>
      <c r="P1706" s="8" t="b">
        <v>0</v>
      </c>
      <c r="R1706" s="8" t="b">
        <v>0</v>
      </c>
      <c r="S1706" s="8" t="b">
        <v>1</v>
      </c>
      <c r="T1706" s="8" t="b">
        <v>0</v>
      </c>
      <c r="U1706" s="8" t="b">
        <v>1</v>
      </c>
      <c r="V1706" s="8" t="b">
        <v>0</v>
      </c>
      <c r="X1706" s="8" t="b">
        <v>0</v>
      </c>
      <c r="Y1706" s="8" t="b">
        <v>0</v>
      </c>
      <c r="Z1706" s="8" t="b">
        <v>0</v>
      </c>
      <c r="AA1706" s="8" t="b">
        <v>0</v>
      </c>
      <c r="AB1706" s="8" t="b">
        <v>0</v>
      </c>
      <c r="AC1706" s="8" t="b">
        <v>0</v>
      </c>
      <c r="AD1706" s="8" t="b">
        <v>1</v>
      </c>
      <c r="AE1706" s="8" t="b">
        <v>0</v>
      </c>
      <c r="AG1706" s="11" t="b" cm="1">
        <f t="array" ref="AG1706">IF(OR(Y1706:AA1706="TRUE", AE1706="true"), "Threatened")</f>
        <v>0</v>
      </c>
      <c r="AH1706" s="11" t="s">
        <v>4426</v>
      </c>
      <c r="AI1706" s="8" t="b">
        <v>1</v>
      </c>
    </row>
    <row r="1707" spans="1:35" ht="31.2">
      <c r="A1707" s="8">
        <v>-73.965215670000006</v>
      </c>
      <c r="B1707" s="8">
        <v>40.776130909999999</v>
      </c>
      <c r="C1707" s="8" t="s">
        <v>4427</v>
      </c>
      <c r="D1707" s="8" t="s">
        <v>419</v>
      </c>
      <c r="E1707" s="8" t="b">
        <f t="shared" si="26"/>
        <v>0</v>
      </c>
      <c r="F1707" s="8" t="str" cm="1">
        <f t="array" ref="F1707">_xlfn._xlws.FILTER(E1707:E4905, C1707:C4905= "6D-PM-1020-01", "No Squirrels Found")</f>
        <v>No Squirrels Found</v>
      </c>
      <c r="G1707" s="8" t="s">
        <v>34</v>
      </c>
      <c r="H1707" s="10">
        <v>10122018</v>
      </c>
      <c r="I1707" s="10">
        <v>2</v>
      </c>
      <c r="J1707" s="8" t="s">
        <v>54</v>
      </c>
      <c r="K1707" s="8" t="s">
        <v>40</v>
      </c>
      <c r="M1707" s="8" t="s">
        <v>55</v>
      </c>
      <c r="O1707" s="8" t="s">
        <v>43</v>
      </c>
      <c r="P1707" s="8" t="b">
        <v>0</v>
      </c>
      <c r="R1707" s="8" t="b">
        <v>1</v>
      </c>
      <c r="S1707" s="8" t="b">
        <v>0</v>
      </c>
      <c r="T1707" s="8" t="b">
        <v>0</v>
      </c>
      <c r="U1707" s="8" t="b">
        <v>0</v>
      </c>
      <c r="V1707" s="8" t="b">
        <v>1</v>
      </c>
      <c r="X1707" s="8" t="b">
        <v>0</v>
      </c>
      <c r="Y1707" s="8" t="b">
        <v>0</v>
      </c>
      <c r="Z1707" s="8" t="b">
        <v>0</v>
      </c>
      <c r="AA1707" s="8" t="b">
        <v>0</v>
      </c>
      <c r="AB1707" s="8" t="b">
        <v>0</v>
      </c>
      <c r="AC1707" s="8" t="b">
        <v>0</v>
      </c>
      <c r="AD1707" s="8" t="b">
        <v>0</v>
      </c>
      <c r="AE1707" s="8" t="b">
        <v>0</v>
      </c>
      <c r="AG1707" s="11" t="b" cm="1">
        <f t="array" ref="AG1707">IF(OR(Y1707:AA1707="TRUE", AE1707="true"), "Threatened")</f>
        <v>0</v>
      </c>
      <c r="AH1707" s="11" t="s">
        <v>4428</v>
      </c>
      <c r="AI1707" s="8" t="b">
        <v>1</v>
      </c>
    </row>
    <row r="1708" spans="1:35" ht="31.2">
      <c r="A1708" s="8">
        <v>-73.960452430000004</v>
      </c>
      <c r="B1708" s="8">
        <v>40.79566243</v>
      </c>
      <c r="C1708" s="8" t="s">
        <v>4429</v>
      </c>
      <c r="D1708" s="8" t="s">
        <v>1406</v>
      </c>
      <c r="E1708" s="8" t="b">
        <f t="shared" si="26"/>
        <v>0</v>
      </c>
      <c r="F1708" s="8" t="str" cm="1">
        <f t="array" ref="F1708">_xlfn._xlws.FILTER(E1708:E4906, C1708:C4906= "6D-PM-1020-01", "No Squirrels Found")</f>
        <v>No Squirrels Found</v>
      </c>
      <c r="G1708" s="8" t="s">
        <v>48</v>
      </c>
      <c r="H1708" s="10">
        <v>10132018</v>
      </c>
      <c r="I1708" s="10">
        <v>1</v>
      </c>
      <c r="J1708" s="8" t="s">
        <v>39</v>
      </c>
      <c r="K1708" s="8" t="s">
        <v>40</v>
      </c>
      <c r="L1708" s="8" t="s">
        <v>84</v>
      </c>
      <c r="M1708" s="8" t="s">
        <v>103</v>
      </c>
      <c r="O1708" s="8" t="s">
        <v>43</v>
      </c>
      <c r="P1708" s="8" t="b">
        <v>0</v>
      </c>
      <c r="R1708" s="8" t="b">
        <v>0</v>
      </c>
      <c r="S1708" s="8" t="b">
        <v>0</v>
      </c>
      <c r="T1708" s="8" t="b">
        <v>0</v>
      </c>
      <c r="U1708" s="8" t="b">
        <v>1</v>
      </c>
      <c r="V1708" s="8" t="b">
        <v>0</v>
      </c>
      <c r="X1708" s="8" t="b">
        <v>0</v>
      </c>
      <c r="Y1708" s="8" t="b">
        <v>0</v>
      </c>
      <c r="Z1708" s="8" t="b">
        <v>0</v>
      </c>
      <c r="AA1708" s="8" t="b">
        <v>0</v>
      </c>
      <c r="AB1708" s="8" t="b">
        <v>0</v>
      </c>
      <c r="AC1708" s="8" t="b">
        <v>0</v>
      </c>
      <c r="AD1708" s="8" t="b">
        <v>0</v>
      </c>
      <c r="AE1708" s="8" t="b">
        <v>1</v>
      </c>
      <c r="AG1708" s="11" t="b" cm="1">
        <f t="array" ref="AG1708">IF(OR(Y1708:AA1708="TRUE", AE1708="true"), "Threatened")</f>
        <v>0</v>
      </c>
      <c r="AH1708" s="11" t="s">
        <v>4430</v>
      </c>
      <c r="AI1708" s="8" t="b">
        <v>1</v>
      </c>
    </row>
    <row r="1709" spans="1:35" ht="31.2">
      <c r="A1709" s="8">
        <v>-73.961848649999993</v>
      </c>
      <c r="B1709" s="8">
        <v>40.794636580000002</v>
      </c>
      <c r="C1709" s="8" t="s">
        <v>4431</v>
      </c>
      <c r="D1709" s="8" t="s">
        <v>301</v>
      </c>
      <c r="E1709" s="8" t="b">
        <f t="shared" si="26"/>
        <v>0</v>
      </c>
      <c r="F1709" s="8" t="str" cm="1">
        <f t="array" ref="F1709">_xlfn._xlws.FILTER(E1709:E4907, C1709:C4907= "6D-PM-1020-01", "No Squirrels Found")</f>
        <v>No Squirrels Found</v>
      </c>
      <c r="G1709" s="8" t="s">
        <v>48</v>
      </c>
      <c r="H1709" s="10">
        <v>10142018</v>
      </c>
      <c r="I1709" s="10">
        <v>2</v>
      </c>
      <c r="J1709" s="8" t="s">
        <v>39</v>
      </c>
      <c r="K1709" s="8" t="s">
        <v>40</v>
      </c>
      <c r="L1709" s="8" t="s">
        <v>117</v>
      </c>
      <c r="M1709" s="8" t="s">
        <v>118</v>
      </c>
      <c r="O1709" s="8" t="s">
        <v>43</v>
      </c>
      <c r="P1709" s="8" t="b">
        <v>0</v>
      </c>
      <c r="R1709" s="8" t="b">
        <v>0</v>
      </c>
      <c r="S1709" s="8" t="b">
        <v>0</v>
      </c>
      <c r="T1709" s="8" t="b">
        <v>0</v>
      </c>
      <c r="U1709" s="8" t="b">
        <v>1</v>
      </c>
      <c r="V1709" s="8" t="b">
        <v>0</v>
      </c>
      <c r="X1709" s="8" t="b">
        <v>0</v>
      </c>
      <c r="Y1709" s="8" t="b">
        <v>0</v>
      </c>
      <c r="Z1709" s="8" t="b">
        <v>0</v>
      </c>
      <c r="AA1709" s="8" t="b">
        <v>0</v>
      </c>
      <c r="AB1709" s="8" t="b">
        <v>0</v>
      </c>
      <c r="AC1709" s="8" t="b">
        <v>0</v>
      </c>
      <c r="AD1709" s="8" t="b">
        <v>1</v>
      </c>
      <c r="AE1709" s="8" t="b">
        <v>0</v>
      </c>
      <c r="AG1709" s="11" t="b" cm="1">
        <f t="array" ref="AG1709">IF(OR(Y1709:AA1709="TRUE", AE1709="true"), "Threatened")</f>
        <v>0</v>
      </c>
      <c r="AH1709" s="11" t="s">
        <v>4432</v>
      </c>
      <c r="AI1709" s="8" t="b">
        <v>1</v>
      </c>
    </row>
    <row r="1710" spans="1:35" ht="31.2">
      <c r="A1710" s="8">
        <v>-73.977169680000003</v>
      </c>
      <c r="B1710" s="8">
        <v>40.76970111</v>
      </c>
      <c r="C1710" s="8" t="s">
        <v>4433</v>
      </c>
      <c r="D1710" s="8" t="s">
        <v>1586</v>
      </c>
      <c r="E1710" s="8" t="b">
        <f t="shared" si="26"/>
        <v>0</v>
      </c>
      <c r="F1710" s="8" t="str" cm="1">
        <f t="array" ref="F1710">_xlfn._xlws.FILTER(E1710:E4908, C1710:C4908= "6D-PM-1020-01", "No Squirrels Found")</f>
        <v>No Squirrels Found</v>
      </c>
      <c r="G1710" s="8" t="s">
        <v>48</v>
      </c>
      <c r="H1710" s="10">
        <v>10062018</v>
      </c>
      <c r="I1710" s="10">
        <v>4</v>
      </c>
      <c r="J1710" s="8" t="s">
        <v>54</v>
      </c>
      <c r="K1710" s="8" t="s">
        <v>40</v>
      </c>
      <c r="L1710" s="8" t="s">
        <v>84</v>
      </c>
      <c r="M1710" s="8" t="s">
        <v>103</v>
      </c>
      <c r="O1710" s="8" t="s">
        <v>43</v>
      </c>
      <c r="P1710" s="8" t="b">
        <v>0</v>
      </c>
      <c r="R1710" s="8" t="b">
        <v>0</v>
      </c>
      <c r="S1710" s="8" t="b">
        <v>0</v>
      </c>
      <c r="T1710" s="8" t="b">
        <v>0</v>
      </c>
      <c r="U1710" s="8" t="b">
        <v>1</v>
      </c>
      <c r="V1710" s="8" t="b">
        <v>1</v>
      </c>
      <c r="X1710" s="8" t="b">
        <v>0</v>
      </c>
      <c r="Y1710" s="8" t="b">
        <v>0</v>
      </c>
      <c r="Z1710" s="8" t="b">
        <v>0</v>
      </c>
      <c r="AA1710" s="8" t="b">
        <v>0</v>
      </c>
      <c r="AB1710" s="8" t="b">
        <v>1</v>
      </c>
      <c r="AC1710" s="8" t="b">
        <v>0</v>
      </c>
      <c r="AD1710" s="8" t="b">
        <v>1</v>
      </c>
      <c r="AE1710" s="8" t="b">
        <v>0</v>
      </c>
      <c r="AG1710" s="11" t="b" cm="1">
        <f t="array" ref="AG1710">IF(OR(Y1710:AA1710="TRUE", AE1710="true"), "Threatened")</f>
        <v>0</v>
      </c>
      <c r="AH1710" s="11" t="s">
        <v>4434</v>
      </c>
      <c r="AI1710" s="8" t="b">
        <v>1</v>
      </c>
    </row>
    <row r="1711" spans="1:35" ht="31.2">
      <c r="A1711" s="8">
        <v>-73.954543869999995</v>
      </c>
      <c r="B1711" s="8">
        <v>40.790216860000001</v>
      </c>
      <c r="C1711" s="8" t="s">
        <v>4435</v>
      </c>
      <c r="D1711" s="8" t="s">
        <v>1028</v>
      </c>
      <c r="E1711" s="8" t="b">
        <f t="shared" si="26"/>
        <v>0</v>
      </c>
      <c r="F1711" s="8" t="str" cm="1">
        <f t="array" ref="F1711">_xlfn._xlws.FILTER(E1711:E4909, C1711:C4909= "6D-PM-1020-01", "No Squirrels Found")</f>
        <v>No Squirrels Found</v>
      </c>
      <c r="G1711" s="8" t="s">
        <v>48</v>
      </c>
      <c r="H1711" s="10">
        <v>10122018</v>
      </c>
      <c r="I1711" s="10">
        <v>4</v>
      </c>
      <c r="J1711" s="8" t="s">
        <v>39</v>
      </c>
      <c r="K1711" s="8" t="s">
        <v>40</v>
      </c>
      <c r="L1711" s="8" t="s">
        <v>117</v>
      </c>
      <c r="M1711" s="8" t="s">
        <v>118</v>
      </c>
      <c r="O1711" s="8" t="s">
        <v>43</v>
      </c>
      <c r="P1711" s="8" t="b">
        <v>0</v>
      </c>
      <c r="R1711" s="8" t="b">
        <v>0</v>
      </c>
      <c r="S1711" s="8" t="b">
        <v>0</v>
      </c>
      <c r="T1711" s="8" t="b">
        <v>0</v>
      </c>
      <c r="U1711" s="8" t="b">
        <v>0</v>
      </c>
      <c r="V1711" s="8" t="b">
        <v>1</v>
      </c>
      <c r="X1711" s="8" t="b">
        <v>0</v>
      </c>
      <c r="Y1711" s="8" t="b">
        <v>0</v>
      </c>
      <c r="Z1711" s="8" t="b">
        <v>0</v>
      </c>
      <c r="AA1711" s="8" t="b">
        <v>0</v>
      </c>
      <c r="AB1711" s="8" t="b">
        <v>0</v>
      </c>
      <c r="AC1711" s="8" t="b">
        <v>0</v>
      </c>
      <c r="AD1711" s="8" t="b">
        <v>1</v>
      </c>
      <c r="AE1711" s="8" t="b">
        <v>0</v>
      </c>
      <c r="AG1711" s="11" t="b" cm="1">
        <f t="array" ref="AG1711">IF(OR(Y1711:AA1711="TRUE", AE1711="true"), "Threatened")</f>
        <v>0</v>
      </c>
      <c r="AH1711" s="11" t="s">
        <v>4436</v>
      </c>
      <c r="AI1711" s="8" t="b">
        <v>1</v>
      </c>
    </row>
    <row r="1712" spans="1:35" ht="31.2">
      <c r="A1712" s="8">
        <v>-73.975836799999996</v>
      </c>
      <c r="B1712" s="8">
        <v>40.769159340000002</v>
      </c>
      <c r="C1712" s="8" t="s">
        <v>4437</v>
      </c>
      <c r="D1712" s="8" t="s">
        <v>794</v>
      </c>
      <c r="E1712" s="8" t="b">
        <f t="shared" si="26"/>
        <v>0</v>
      </c>
      <c r="F1712" s="8" t="str" cm="1">
        <f t="array" ref="F1712">_xlfn._xlws.FILTER(E1712:E4910, C1712:C4910= "6D-PM-1020-01", "No Squirrels Found")</f>
        <v>No Squirrels Found</v>
      </c>
      <c r="G1712" s="8" t="s">
        <v>34</v>
      </c>
      <c r="H1712" s="10">
        <v>10082018</v>
      </c>
      <c r="I1712" s="10">
        <v>5</v>
      </c>
      <c r="J1712" s="8" t="s">
        <v>39</v>
      </c>
      <c r="K1712" s="8" t="s">
        <v>40</v>
      </c>
      <c r="M1712" s="8" t="s">
        <v>55</v>
      </c>
      <c r="O1712" s="8" t="s">
        <v>43</v>
      </c>
      <c r="P1712" s="8" t="b">
        <v>0</v>
      </c>
      <c r="R1712" s="8" t="b">
        <v>0</v>
      </c>
      <c r="S1712" s="8" t="b">
        <v>0</v>
      </c>
      <c r="T1712" s="8" t="b">
        <v>0</v>
      </c>
      <c r="U1712" s="8" t="b">
        <v>0</v>
      </c>
      <c r="V1712" s="8" t="b">
        <v>1</v>
      </c>
      <c r="X1712" s="8" t="b">
        <v>0</v>
      </c>
      <c r="Y1712" s="8" t="b">
        <v>0</v>
      </c>
      <c r="Z1712" s="8" t="b">
        <v>0</v>
      </c>
      <c r="AA1712" s="8" t="b">
        <v>0</v>
      </c>
      <c r="AB1712" s="8" t="b">
        <v>0</v>
      </c>
      <c r="AC1712" s="8" t="b">
        <v>0</v>
      </c>
      <c r="AD1712" s="8" t="b">
        <v>1</v>
      </c>
      <c r="AE1712" s="8" t="b">
        <v>0</v>
      </c>
      <c r="AG1712" s="11" t="b" cm="1">
        <f t="array" ref="AG1712">IF(OR(Y1712:AA1712="TRUE", AE1712="true"), "Threatened")</f>
        <v>0</v>
      </c>
      <c r="AH1712" s="11" t="s">
        <v>4438</v>
      </c>
      <c r="AI1712" s="8" t="b">
        <v>1</v>
      </c>
    </row>
    <row r="1713" spans="1:35" ht="31.2">
      <c r="A1713" s="8">
        <v>-73.980189949999996</v>
      </c>
      <c r="B1713" s="8">
        <v>40.769577699999999</v>
      </c>
      <c r="C1713" s="8" t="s">
        <v>4439</v>
      </c>
      <c r="D1713" s="8" t="s">
        <v>253</v>
      </c>
      <c r="E1713" s="8" t="b">
        <f t="shared" si="26"/>
        <v>0</v>
      </c>
      <c r="F1713" s="8" t="str" cm="1">
        <f t="array" ref="F1713">_xlfn._xlws.FILTER(E1713:E4911, C1713:C4911= "6D-PM-1020-01", "No Squirrels Found")</f>
        <v>No Squirrels Found</v>
      </c>
      <c r="G1713" s="8" t="s">
        <v>34</v>
      </c>
      <c r="H1713" s="10">
        <v>10172018</v>
      </c>
      <c r="I1713" s="10">
        <v>2</v>
      </c>
      <c r="J1713" s="8" t="s">
        <v>39</v>
      </c>
      <c r="K1713" s="8" t="s">
        <v>41</v>
      </c>
      <c r="L1713" s="8" t="s">
        <v>84</v>
      </c>
      <c r="M1713" s="8" t="s">
        <v>85</v>
      </c>
      <c r="O1713" s="8" t="s">
        <v>43</v>
      </c>
      <c r="P1713" s="8" t="b">
        <v>0</v>
      </c>
      <c r="R1713" s="8" t="b">
        <v>0</v>
      </c>
      <c r="S1713" s="8" t="b">
        <v>0</v>
      </c>
      <c r="T1713" s="8" t="b">
        <v>0</v>
      </c>
      <c r="U1713" s="8" t="b">
        <v>0</v>
      </c>
      <c r="V1713" s="8" t="b">
        <v>1</v>
      </c>
      <c r="X1713" s="8" t="b">
        <v>0</v>
      </c>
      <c r="Y1713" s="8" t="b">
        <v>0</v>
      </c>
      <c r="Z1713" s="8" t="b">
        <v>0</v>
      </c>
      <c r="AA1713" s="8" t="b">
        <v>0</v>
      </c>
      <c r="AB1713" s="8" t="b">
        <v>0</v>
      </c>
      <c r="AC1713" s="8" t="b">
        <v>0</v>
      </c>
      <c r="AD1713" s="8" t="b">
        <v>0</v>
      </c>
      <c r="AE1713" s="8" t="b">
        <v>0</v>
      </c>
      <c r="AG1713" s="11" t="b" cm="1">
        <f t="array" ref="AG1713">IF(OR(Y1713:AA1713="TRUE", AE1713="true"), "Threatened")</f>
        <v>0</v>
      </c>
      <c r="AH1713" s="11" t="s">
        <v>4440</v>
      </c>
      <c r="AI1713" s="8" t="b">
        <v>1</v>
      </c>
    </row>
    <row r="1714" spans="1:35" ht="31.2">
      <c r="A1714" s="8">
        <v>-73.979771580000005</v>
      </c>
      <c r="B1714" s="8">
        <v>40.770627320000003</v>
      </c>
      <c r="C1714" s="8" t="s">
        <v>4441</v>
      </c>
      <c r="D1714" s="8" t="s">
        <v>1364</v>
      </c>
      <c r="E1714" s="8" t="b">
        <f t="shared" si="26"/>
        <v>0</v>
      </c>
      <c r="F1714" s="8" t="str" cm="1">
        <f t="array" ref="F1714">_xlfn._xlws.FILTER(E1714:E4912, C1714:C4912= "6D-PM-1020-01", "No Squirrels Found")</f>
        <v>No Squirrels Found</v>
      </c>
      <c r="G1714" s="8" t="s">
        <v>48</v>
      </c>
      <c r="H1714" s="10">
        <v>10072018</v>
      </c>
      <c r="I1714" s="10">
        <v>1</v>
      </c>
      <c r="J1714" s="8" t="s">
        <v>39</v>
      </c>
      <c r="K1714" s="8" t="s">
        <v>40</v>
      </c>
      <c r="M1714" s="8" t="s">
        <v>55</v>
      </c>
      <c r="O1714" s="8" t="s">
        <v>43</v>
      </c>
      <c r="P1714" s="8" t="b">
        <v>0</v>
      </c>
      <c r="R1714" s="8" t="b">
        <v>0</v>
      </c>
      <c r="S1714" s="8" t="b">
        <v>0</v>
      </c>
      <c r="T1714" s="8" t="b">
        <v>0</v>
      </c>
      <c r="U1714" s="8" t="b">
        <v>0</v>
      </c>
      <c r="V1714" s="8" t="b">
        <v>1</v>
      </c>
      <c r="X1714" s="8" t="b">
        <v>0</v>
      </c>
      <c r="Y1714" s="8" t="b">
        <v>0</v>
      </c>
      <c r="Z1714" s="8" t="b">
        <v>0</v>
      </c>
      <c r="AA1714" s="8" t="b">
        <v>0</v>
      </c>
      <c r="AB1714" s="8" t="b">
        <v>1</v>
      </c>
      <c r="AC1714" s="8" t="b">
        <v>0</v>
      </c>
      <c r="AD1714" s="8" t="b">
        <v>1</v>
      </c>
      <c r="AE1714" s="8" t="b">
        <v>0</v>
      </c>
      <c r="AG1714" s="11" t="b" cm="1">
        <f t="array" ref="AG1714">IF(OR(Y1714:AA1714="TRUE", AE1714="true"), "Threatened")</f>
        <v>0</v>
      </c>
      <c r="AH1714" s="11" t="s">
        <v>4442</v>
      </c>
      <c r="AI1714" s="8" t="b">
        <v>1</v>
      </c>
    </row>
    <row r="1715" spans="1:35" ht="31.2">
      <c r="A1715" s="8">
        <v>-73.976354279999995</v>
      </c>
      <c r="B1715" s="8">
        <v>40.77365313</v>
      </c>
      <c r="C1715" s="8" t="s">
        <v>4443</v>
      </c>
      <c r="D1715" s="8" t="s">
        <v>802</v>
      </c>
      <c r="E1715" s="8" t="b">
        <f t="shared" si="26"/>
        <v>0</v>
      </c>
      <c r="F1715" s="8" t="str" cm="1">
        <f t="array" ref="F1715">_xlfn._xlws.FILTER(E1715:E4913, C1715:C4913= "6D-PM-1020-01", "No Squirrels Found")</f>
        <v>No Squirrels Found</v>
      </c>
      <c r="G1715" s="8" t="s">
        <v>48</v>
      </c>
      <c r="H1715" s="10">
        <v>10102018</v>
      </c>
      <c r="I1715" s="10">
        <v>2</v>
      </c>
      <c r="J1715" s="8" t="s">
        <v>54</v>
      </c>
      <c r="K1715" s="8" t="s">
        <v>40</v>
      </c>
      <c r="L1715" s="8" t="s">
        <v>41</v>
      </c>
      <c r="M1715" s="8" t="s">
        <v>42</v>
      </c>
      <c r="O1715" s="8" t="s">
        <v>50</v>
      </c>
      <c r="P1715" s="8">
        <v>1</v>
      </c>
      <c r="Q1715" s="8" t="s">
        <v>4444</v>
      </c>
      <c r="R1715" s="8" t="b">
        <v>0</v>
      </c>
      <c r="S1715" s="8" t="b">
        <v>0</v>
      </c>
      <c r="T1715" s="8" t="b">
        <v>1</v>
      </c>
      <c r="U1715" s="8" t="b">
        <v>0</v>
      </c>
      <c r="V1715" s="8" t="b">
        <v>1</v>
      </c>
      <c r="X1715" s="8" t="b">
        <v>0</v>
      </c>
      <c r="Y1715" s="8" t="b">
        <v>0</v>
      </c>
      <c r="Z1715" s="8" t="b">
        <v>0</v>
      </c>
      <c r="AA1715" s="8" t="b">
        <v>0</v>
      </c>
      <c r="AB1715" s="8" t="b">
        <v>1</v>
      </c>
      <c r="AC1715" s="8" t="b">
        <v>0</v>
      </c>
      <c r="AD1715" s="8" t="b">
        <v>0</v>
      </c>
      <c r="AE1715" s="8" t="b">
        <v>1</v>
      </c>
      <c r="AF1715" s="11" t="s">
        <v>4445</v>
      </c>
      <c r="AG1715" s="11" t="b" cm="1">
        <f t="array" ref="AG1715">IF(OR(Y1715:AA1715="TRUE", AE1715="true"), "Threatened")</f>
        <v>0</v>
      </c>
      <c r="AH1715" s="11" t="s">
        <v>4446</v>
      </c>
      <c r="AI1715" s="8" t="b">
        <v>1</v>
      </c>
    </row>
    <row r="1716" spans="1:35" ht="31.2">
      <c r="A1716" s="8">
        <v>-73.974570909999997</v>
      </c>
      <c r="B1716" s="8">
        <v>40.767222570000001</v>
      </c>
      <c r="C1716" s="8" t="s">
        <v>4447</v>
      </c>
      <c r="D1716" s="8" t="s">
        <v>669</v>
      </c>
      <c r="E1716" s="8" t="b">
        <f t="shared" si="26"/>
        <v>0</v>
      </c>
      <c r="F1716" s="8" t="str" cm="1">
        <f t="array" ref="F1716">_xlfn._xlws.FILTER(E1716:E4914, C1716:C4914= "6D-PM-1020-01", "No Squirrels Found")</f>
        <v>No Squirrels Found</v>
      </c>
      <c r="G1716" s="8" t="s">
        <v>48</v>
      </c>
      <c r="H1716" s="10">
        <v>10082018</v>
      </c>
      <c r="I1716" s="10">
        <v>3</v>
      </c>
      <c r="J1716" s="8" t="s">
        <v>39</v>
      </c>
      <c r="K1716" s="8" t="s">
        <v>40</v>
      </c>
      <c r="M1716" s="8" t="s">
        <v>55</v>
      </c>
      <c r="O1716" s="8" t="s">
        <v>50</v>
      </c>
      <c r="P1716" s="8">
        <v>40</v>
      </c>
      <c r="R1716" s="8" t="b">
        <v>1</v>
      </c>
      <c r="S1716" s="8" t="b">
        <v>0</v>
      </c>
      <c r="T1716" s="8" t="b">
        <v>1</v>
      </c>
      <c r="U1716" s="8" t="b">
        <v>0</v>
      </c>
      <c r="V1716" s="8" t="b">
        <v>0</v>
      </c>
      <c r="W1716" s="11" t="s">
        <v>466</v>
      </c>
      <c r="X1716" s="8" t="b">
        <v>0</v>
      </c>
      <c r="Y1716" s="8" t="b">
        <v>0</v>
      </c>
      <c r="Z1716" s="8" t="b">
        <v>0</v>
      </c>
      <c r="AA1716" s="8" t="b">
        <v>0</v>
      </c>
      <c r="AB1716" s="8" t="b">
        <v>0</v>
      </c>
      <c r="AC1716" s="8" t="b">
        <v>0</v>
      </c>
      <c r="AD1716" s="8" t="b">
        <v>1</v>
      </c>
      <c r="AE1716" s="8" t="b">
        <v>0</v>
      </c>
      <c r="AG1716" s="11" t="b" cm="1">
        <f t="array" ref="AG1716">IF(OR(Y1716:AA1716="TRUE", AE1716="true"), "Threatened")</f>
        <v>0</v>
      </c>
      <c r="AH1716" s="11" t="s">
        <v>4448</v>
      </c>
      <c r="AI1716" s="8" t="b">
        <v>0</v>
      </c>
    </row>
    <row r="1717" spans="1:35" ht="31.2">
      <c r="A1717" s="8">
        <v>-73.979742529999996</v>
      </c>
      <c r="B1717" s="8">
        <v>40.767912019999997</v>
      </c>
      <c r="C1717" s="8" t="s">
        <v>4449</v>
      </c>
      <c r="D1717" s="8" t="s">
        <v>855</v>
      </c>
      <c r="E1717" s="8" t="b">
        <f t="shared" si="26"/>
        <v>0</v>
      </c>
      <c r="F1717" s="8" t="str" cm="1">
        <f t="array" ref="F1717">_xlfn._xlws.FILTER(E1717:E4915, C1717:C4915= "6D-PM-1020-01", "No Squirrels Found")</f>
        <v>No Squirrels Found</v>
      </c>
      <c r="G1717" s="8" t="s">
        <v>48</v>
      </c>
      <c r="H1717" s="10">
        <v>10122018</v>
      </c>
      <c r="I1717" s="10">
        <v>2</v>
      </c>
      <c r="J1717" s="8" t="s">
        <v>39</v>
      </c>
      <c r="K1717" s="8" t="s">
        <v>41</v>
      </c>
      <c r="L1717" s="8" t="s">
        <v>40</v>
      </c>
      <c r="M1717" s="8" t="s">
        <v>110</v>
      </c>
      <c r="O1717" s="8" t="s">
        <v>43</v>
      </c>
      <c r="P1717" s="8" t="b">
        <v>0</v>
      </c>
      <c r="R1717" s="8" t="b">
        <v>1</v>
      </c>
      <c r="S1717" s="8" t="b">
        <v>0</v>
      </c>
      <c r="T1717" s="8" t="b">
        <v>0</v>
      </c>
      <c r="U1717" s="8" t="b">
        <v>0</v>
      </c>
      <c r="V1717" s="8" t="b">
        <v>1</v>
      </c>
      <c r="X1717" s="8" t="b">
        <v>0</v>
      </c>
      <c r="Y1717" s="8" t="b">
        <v>0</v>
      </c>
      <c r="Z1717" s="8" t="b">
        <v>0</v>
      </c>
      <c r="AA1717" s="8" t="b">
        <v>0</v>
      </c>
      <c r="AB1717" s="8" t="b">
        <v>0</v>
      </c>
      <c r="AC1717" s="8" t="b">
        <v>0</v>
      </c>
      <c r="AD1717" s="8" t="b">
        <v>1</v>
      </c>
      <c r="AE1717" s="8" t="b">
        <v>0</v>
      </c>
      <c r="AG1717" s="11" t="b" cm="1">
        <f t="array" ref="AG1717">IF(OR(Y1717:AA1717="TRUE", AE1717="true"), "Threatened")</f>
        <v>0</v>
      </c>
      <c r="AH1717" s="11" t="s">
        <v>4450</v>
      </c>
      <c r="AI1717" s="8" t="b">
        <v>1</v>
      </c>
    </row>
    <row r="1718" spans="1:35" ht="31.2">
      <c r="A1718" s="8">
        <v>-73.97149521</v>
      </c>
      <c r="B1718" s="8">
        <v>40.774806329999997</v>
      </c>
      <c r="C1718" s="8" t="s">
        <v>4451</v>
      </c>
      <c r="D1718" s="8" t="s">
        <v>738</v>
      </c>
      <c r="E1718" s="8" t="b">
        <f t="shared" si="26"/>
        <v>0</v>
      </c>
      <c r="F1718" s="8" t="str" cm="1">
        <f t="array" ref="F1718">_xlfn._xlws.FILTER(E1718:E4916, C1718:C4916= "6D-PM-1020-01", "No Squirrels Found")</f>
        <v>No Squirrels Found</v>
      </c>
      <c r="G1718" s="8" t="s">
        <v>48</v>
      </c>
      <c r="H1718" s="10">
        <v>10172018</v>
      </c>
      <c r="I1718" s="10">
        <v>2</v>
      </c>
      <c r="J1718" s="8" t="s">
        <v>39</v>
      </c>
      <c r="K1718" s="8" t="s">
        <v>40</v>
      </c>
      <c r="L1718" s="8" t="s">
        <v>84</v>
      </c>
      <c r="M1718" s="8" t="s">
        <v>103</v>
      </c>
      <c r="O1718" s="8" t="s">
        <v>43</v>
      </c>
      <c r="P1718" s="8" t="b">
        <v>0</v>
      </c>
      <c r="R1718" s="8" t="b">
        <v>1</v>
      </c>
      <c r="S1718" s="8" t="b">
        <v>0</v>
      </c>
      <c r="T1718" s="8" t="b">
        <v>0</v>
      </c>
      <c r="U1718" s="8" t="b">
        <v>0</v>
      </c>
      <c r="V1718" s="8" t="b">
        <v>1</v>
      </c>
      <c r="X1718" s="8" t="b">
        <v>0</v>
      </c>
      <c r="Y1718" s="8" t="b">
        <v>0</v>
      </c>
      <c r="Z1718" s="8" t="b">
        <v>0</v>
      </c>
      <c r="AA1718" s="8" t="b">
        <v>0</v>
      </c>
      <c r="AB1718" s="8" t="b">
        <v>0</v>
      </c>
      <c r="AC1718" s="8" t="b">
        <v>0</v>
      </c>
      <c r="AD1718" s="8" t="b">
        <v>1</v>
      </c>
      <c r="AE1718" s="8" t="b">
        <v>0</v>
      </c>
      <c r="AG1718" s="11" t="b" cm="1">
        <f t="array" ref="AG1718">IF(OR(Y1718:AA1718="TRUE", AE1718="true"), "Threatened")</f>
        <v>0</v>
      </c>
      <c r="AH1718" s="11" t="s">
        <v>4452</v>
      </c>
      <c r="AI1718" s="8" t="b">
        <v>1</v>
      </c>
    </row>
    <row r="1719" spans="1:35" ht="31.2">
      <c r="A1719" s="8">
        <v>-73.968267620000006</v>
      </c>
      <c r="B1719" s="8">
        <v>40.777265360000001</v>
      </c>
      <c r="C1719" s="8" t="s">
        <v>4453</v>
      </c>
      <c r="D1719" s="8" t="s">
        <v>246</v>
      </c>
      <c r="E1719" s="8" t="b">
        <f t="shared" si="26"/>
        <v>0</v>
      </c>
      <c r="F1719" s="8" t="str" cm="1">
        <f t="array" ref="F1719">_xlfn._xlws.FILTER(E1719:E4917, C1719:C4917= "6D-PM-1020-01", "No Squirrels Found")</f>
        <v>No Squirrels Found</v>
      </c>
      <c r="G1719" s="8" t="s">
        <v>34</v>
      </c>
      <c r="H1719" s="10">
        <v>10102018</v>
      </c>
      <c r="I1719" s="10">
        <v>4</v>
      </c>
      <c r="J1719" s="8" t="s">
        <v>39</v>
      </c>
      <c r="K1719" s="8" t="s">
        <v>40</v>
      </c>
      <c r="M1719" s="8" t="s">
        <v>55</v>
      </c>
      <c r="O1719" s="8" t="s">
        <v>43</v>
      </c>
      <c r="P1719" s="8" t="b">
        <v>0</v>
      </c>
      <c r="Q1719" s="8" t="s">
        <v>4454</v>
      </c>
      <c r="R1719" s="8" t="b">
        <v>0</v>
      </c>
      <c r="S1719" s="8" t="b">
        <v>0</v>
      </c>
      <c r="T1719" s="8" t="b">
        <v>0</v>
      </c>
      <c r="U1719" s="8" t="b">
        <v>0</v>
      </c>
      <c r="V1719" s="8" t="b">
        <v>1</v>
      </c>
      <c r="X1719" s="8" t="b">
        <v>0</v>
      </c>
      <c r="Y1719" s="8" t="b">
        <v>0</v>
      </c>
      <c r="Z1719" s="8" t="b">
        <v>0</v>
      </c>
      <c r="AA1719" s="8" t="b">
        <v>0</v>
      </c>
      <c r="AB1719" s="8" t="b">
        <v>0</v>
      </c>
      <c r="AC1719" s="8" t="b">
        <v>0</v>
      </c>
      <c r="AD1719" s="8" t="b">
        <v>1</v>
      </c>
      <c r="AE1719" s="8" t="b">
        <v>0</v>
      </c>
      <c r="AG1719" s="11" t="b" cm="1">
        <f t="array" ref="AG1719">IF(OR(Y1719:AA1719="TRUE", AE1719="true"), "Threatened")</f>
        <v>0</v>
      </c>
      <c r="AH1719" s="11" t="s">
        <v>4455</v>
      </c>
      <c r="AI1719" s="8" t="b">
        <v>1</v>
      </c>
    </row>
    <row r="1720" spans="1:35" ht="31.2">
      <c r="A1720" s="8">
        <v>-73.955429969999997</v>
      </c>
      <c r="B1720" s="8">
        <v>40.797816859999998</v>
      </c>
      <c r="C1720" s="8" t="s">
        <v>4456</v>
      </c>
      <c r="D1720" s="8" t="s">
        <v>439</v>
      </c>
      <c r="E1720" s="8" t="b">
        <f t="shared" si="26"/>
        <v>0</v>
      </c>
      <c r="F1720" s="8" t="str" cm="1">
        <f t="array" ref="F1720">_xlfn._xlws.FILTER(E1720:E4918, C1720:C4918= "6D-PM-1020-01", "No Squirrels Found")</f>
        <v>No Squirrels Found</v>
      </c>
      <c r="G1720" s="8" t="s">
        <v>48</v>
      </c>
      <c r="H1720" s="10">
        <v>10132018</v>
      </c>
      <c r="I1720" s="10">
        <v>2</v>
      </c>
      <c r="J1720" s="8" t="s">
        <v>39</v>
      </c>
      <c r="K1720" s="8" t="s">
        <v>40</v>
      </c>
      <c r="L1720" s="8" t="s">
        <v>41</v>
      </c>
      <c r="M1720" s="8" t="s">
        <v>42</v>
      </c>
      <c r="O1720" s="8" t="s">
        <v>43</v>
      </c>
      <c r="P1720" s="8" t="b">
        <v>0</v>
      </c>
      <c r="R1720" s="8" t="b">
        <v>1</v>
      </c>
      <c r="S1720" s="8" t="b">
        <v>0</v>
      </c>
      <c r="T1720" s="8" t="b">
        <v>0</v>
      </c>
      <c r="U1720" s="8" t="b">
        <v>0</v>
      </c>
      <c r="V1720" s="8" t="b">
        <v>1</v>
      </c>
      <c r="X1720" s="8" t="b">
        <v>0</v>
      </c>
      <c r="Y1720" s="8" t="b">
        <v>0</v>
      </c>
      <c r="Z1720" s="8" t="b">
        <v>0</v>
      </c>
      <c r="AA1720" s="8" t="b">
        <v>0</v>
      </c>
      <c r="AB1720" s="8" t="b">
        <v>0</v>
      </c>
      <c r="AC1720" s="8" t="b">
        <v>0</v>
      </c>
      <c r="AD1720" s="8" t="b">
        <v>1</v>
      </c>
      <c r="AE1720" s="8" t="b">
        <v>0</v>
      </c>
      <c r="AG1720" s="11" t="b" cm="1">
        <f t="array" ref="AG1720">IF(OR(Y1720:AA1720="TRUE", AE1720="true"), "Threatened")</f>
        <v>0</v>
      </c>
      <c r="AH1720" s="11" t="s">
        <v>4457</v>
      </c>
      <c r="AI1720" s="8" t="b">
        <v>1</v>
      </c>
    </row>
    <row r="1721" spans="1:35" ht="31.2">
      <c r="A1721" s="8">
        <v>-73.972584470000001</v>
      </c>
      <c r="B1721" s="8">
        <v>40.77010928</v>
      </c>
      <c r="C1721" s="8" t="s">
        <v>4458</v>
      </c>
      <c r="D1721" s="8" t="s">
        <v>368</v>
      </c>
      <c r="E1721" s="8" t="b">
        <f t="shared" si="26"/>
        <v>0</v>
      </c>
      <c r="F1721" s="8" t="str" cm="1">
        <f t="array" ref="F1721">_xlfn._xlws.FILTER(E1721:E4919, C1721:C4919= "6D-PM-1020-01", "No Squirrels Found")</f>
        <v>No Squirrels Found</v>
      </c>
      <c r="G1721" s="8" t="s">
        <v>34</v>
      </c>
      <c r="H1721" s="10">
        <v>10122018</v>
      </c>
      <c r="I1721" s="10">
        <v>2</v>
      </c>
      <c r="J1721" s="8" t="s">
        <v>39</v>
      </c>
      <c r="K1721" s="8" t="s">
        <v>40</v>
      </c>
      <c r="L1721" s="8" t="s">
        <v>41</v>
      </c>
      <c r="M1721" s="8" t="s">
        <v>42</v>
      </c>
      <c r="O1721" s="8" t="s">
        <v>43</v>
      </c>
      <c r="P1721" s="8" t="b">
        <v>0</v>
      </c>
      <c r="R1721" s="8" t="b">
        <v>0</v>
      </c>
      <c r="S1721" s="8" t="b">
        <v>0</v>
      </c>
      <c r="T1721" s="8" t="b">
        <v>0</v>
      </c>
      <c r="U1721" s="8" t="b">
        <v>1</v>
      </c>
      <c r="V1721" s="8" t="b">
        <v>1</v>
      </c>
      <c r="X1721" s="8" t="b">
        <v>0</v>
      </c>
      <c r="Y1721" s="8" t="b">
        <v>0</v>
      </c>
      <c r="Z1721" s="8" t="b">
        <v>0</v>
      </c>
      <c r="AA1721" s="8" t="b">
        <v>0</v>
      </c>
      <c r="AB1721" s="8" t="b">
        <v>0</v>
      </c>
      <c r="AC1721" s="8" t="b">
        <v>0</v>
      </c>
      <c r="AD1721" s="8" t="b">
        <v>0</v>
      </c>
      <c r="AE1721" s="8" t="b">
        <v>0</v>
      </c>
      <c r="AF1721" s="11" t="s">
        <v>4459</v>
      </c>
      <c r="AG1721" s="11" t="b" cm="1">
        <f t="array" ref="AG1721">IF(OR(Y1721:AA1721="TRUE", AE1721="true"), "Threatened")</f>
        <v>0</v>
      </c>
      <c r="AH1721" s="11" t="s">
        <v>4460</v>
      </c>
      <c r="AI1721" s="8" t="b">
        <v>1</v>
      </c>
    </row>
    <row r="1722" spans="1:35" ht="31.2">
      <c r="A1722" s="8">
        <v>-73.958733069999994</v>
      </c>
      <c r="B1722" s="8">
        <v>40.790768200000002</v>
      </c>
      <c r="C1722" s="8" t="s">
        <v>4461</v>
      </c>
      <c r="D1722" s="8" t="s">
        <v>144</v>
      </c>
      <c r="E1722" s="8" t="b">
        <f t="shared" si="26"/>
        <v>0</v>
      </c>
      <c r="F1722" s="8" t="str" cm="1">
        <f t="array" ref="F1722">_xlfn._xlws.FILTER(E1722:E4920, C1722:C4920= "6D-PM-1020-01", "No Squirrels Found")</f>
        <v>No Squirrels Found</v>
      </c>
      <c r="G1722" s="8" t="s">
        <v>48</v>
      </c>
      <c r="H1722" s="10">
        <v>10122018</v>
      </c>
      <c r="I1722" s="10">
        <v>2</v>
      </c>
      <c r="J1722" s="8" t="s">
        <v>39</v>
      </c>
      <c r="K1722" s="8" t="s">
        <v>40</v>
      </c>
      <c r="L1722" s="8" t="s">
        <v>117</v>
      </c>
      <c r="M1722" s="8" t="s">
        <v>118</v>
      </c>
      <c r="N1722" s="11" t="s">
        <v>4462</v>
      </c>
      <c r="O1722" s="8" t="s">
        <v>43</v>
      </c>
      <c r="P1722" s="8" t="b">
        <v>0</v>
      </c>
      <c r="R1722" s="8" t="b">
        <v>0</v>
      </c>
      <c r="S1722" s="8" t="b">
        <v>0</v>
      </c>
      <c r="T1722" s="8" t="b">
        <v>0</v>
      </c>
      <c r="U1722" s="8" t="b">
        <v>0</v>
      </c>
      <c r="V1722" s="8" t="b">
        <v>0</v>
      </c>
      <c r="W1722" s="11" t="s">
        <v>4463</v>
      </c>
      <c r="X1722" s="8" t="b">
        <v>0</v>
      </c>
      <c r="Y1722" s="8" t="b">
        <v>0</v>
      </c>
      <c r="Z1722" s="8" t="b">
        <v>0</v>
      </c>
      <c r="AA1722" s="8" t="b">
        <v>0</v>
      </c>
      <c r="AB1722" s="8" t="b">
        <v>0</v>
      </c>
      <c r="AC1722" s="8" t="b">
        <v>1</v>
      </c>
      <c r="AD1722" s="8" t="b">
        <v>0</v>
      </c>
      <c r="AE1722" s="8" t="b">
        <v>1</v>
      </c>
      <c r="AG1722" s="11" t="b" cm="1">
        <f t="array" ref="AG1722">IF(OR(Y1722:AA1722="TRUE", AE1722="true"), "Threatened")</f>
        <v>0</v>
      </c>
      <c r="AH1722" s="11" t="s">
        <v>4464</v>
      </c>
      <c r="AI1722" s="8" t="b">
        <v>0</v>
      </c>
    </row>
    <row r="1723" spans="1:35" ht="31.2">
      <c r="A1723" s="8">
        <v>-73.98025647</v>
      </c>
      <c r="B1723" s="8">
        <v>40.768175909999997</v>
      </c>
      <c r="C1723" s="8" t="s">
        <v>4465</v>
      </c>
      <c r="D1723" s="8" t="s">
        <v>219</v>
      </c>
      <c r="E1723" s="8" t="b">
        <f t="shared" si="26"/>
        <v>0</v>
      </c>
      <c r="F1723" s="8" t="str" cm="1">
        <f t="array" ref="F1723">_xlfn._xlws.FILTER(E1723:E4921, C1723:C4921= "6D-PM-1020-01", "No Squirrels Found")</f>
        <v>No Squirrels Found</v>
      </c>
      <c r="G1723" s="8" t="s">
        <v>48</v>
      </c>
      <c r="H1723" s="10">
        <v>10102018</v>
      </c>
      <c r="I1723" s="10">
        <v>5</v>
      </c>
      <c r="J1723" s="8" t="s">
        <v>39</v>
      </c>
      <c r="K1723" s="8" t="s">
        <v>40</v>
      </c>
      <c r="L1723" s="8" t="s">
        <v>41</v>
      </c>
      <c r="M1723" s="8" t="s">
        <v>42</v>
      </c>
      <c r="O1723" s="8" t="s">
        <v>43</v>
      </c>
      <c r="P1723" s="8" t="b">
        <v>0</v>
      </c>
      <c r="R1723" s="8" t="b">
        <v>0</v>
      </c>
      <c r="S1723" s="8" t="b">
        <v>0</v>
      </c>
      <c r="T1723" s="8" t="b">
        <v>0</v>
      </c>
      <c r="U1723" s="8" t="b">
        <v>0</v>
      </c>
      <c r="V1723" s="8" t="b">
        <v>1</v>
      </c>
      <c r="X1723" s="8" t="b">
        <v>0</v>
      </c>
      <c r="Y1723" s="8" t="b">
        <v>0</v>
      </c>
      <c r="Z1723" s="8" t="b">
        <v>0</v>
      </c>
      <c r="AA1723" s="8" t="b">
        <v>1</v>
      </c>
      <c r="AB1723" s="8" t="b">
        <v>0</v>
      </c>
      <c r="AC1723" s="8" t="b">
        <v>0</v>
      </c>
      <c r="AD1723" s="8" t="b">
        <v>1</v>
      </c>
      <c r="AE1723" s="8" t="b">
        <v>0</v>
      </c>
      <c r="AG1723" s="11" t="b" cm="1">
        <f t="array" ref="AG1723">IF(OR(Y1723:AA1723="TRUE", AE1723="true"), "Threatened")</f>
        <v>0</v>
      </c>
      <c r="AH1723" s="11" t="s">
        <v>4466</v>
      </c>
      <c r="AI1723" s="8" t="b">
        <v>1</v>
      </c>
    </row>
    <row r="1724" spans="1:35" ht="31.2">
      <c r="A1724" s="8">
        <v>-73.974795909999997</v>
      </c>
      <c r="B1724" s="8">
        <v>40.776807820000002</v>
      </c>
      <c r="C1724" s="8" t="s">
        <v>4467</v>
      </c>
      <c r="D1724" s="8" t="s">
        <v>1031</v>
      </c>
      <c r="E1724" s="8" t="b">
        <f t="shared" si="26"/>
        <v>0</v>
      </c>
      <c r="F1724" s="8" t="str" cm="1">
        <f t="array" ref="F1724">_xlfn._xlws.FILTER(E1724:E4922, C1724:C4922= "6D-PM-1020-01", "No Squirrels Found")</f>
        <v>No Squirrels Found</v>
      </c>
      <c r="G1724" s="8" t="s">
        <v>48</v>
      </c>
      <c r="H1724" s="10">
        <v>10082018</v>
      </c>
      <c r="I1724" s="10">
        <v>1</v>
      </c>
      <c r="J1724" s="8" t="s">
        <v>39</v>
      </c>
      <c r="K1724" s="8" t="s">
        <v>40</v>
      </c>
      <c r="M1724" s="8" t="s">
        <v>55</v>
      </c>
      <c r="O1724" s="8" t="s">
        <v>50</v>
      </c>
      <c r="P1724" s="8">
        <v>1</v>
      </c>
      <c r="R1724" s="8" t="b">
        <v>0</v>
      </c>
      <c r="S1724" s="8" t="b">
        <v>0</v>
      </c>
      <c r="T1724" s="8" t="b">
        <v>1</v>
      </c>
      <c r="U1724" s="8" t="b">
        <v>0</v>
      </c>
      <c r="V1724" s="8" t="b">
        <v>0</v>
      </c>
      <c r="X1724" s="8" t="b">
        <v>0</v>
      </c>
      <c r="Y1724" s="8" t="b">
        <v>0</v>
      </c>
      <c r="Z1724" s="8" t="b">
        <v>0</v>
      </c>
      <c r="AA1724" s="8" t="b">
        <v>0</v>
      </c>
      <c r="AB1724" s="8" t="b">
        <v>0</v>
      </c>
      <c r="AC1724" s="8" t="b">
        <v>0</v>
      </c>
      <c r="AD1724" s="8" t="b">
        <v>1</v>
      </c>
      <c r="AE1724" s="8" t="b">
        <v>0</v>
      </c>
      <c r="AG1724" s="11" t="b" cm="1">
        <f t="array" ref="AG1724">IF(OR(Y1724:AA1724="TRUE", AE1724="true"), "Threatened")</f>
        <v>0</v>
      </c>
      <c r="AH1724" s="11" t="s">
        <v>4468</v>
      </c>
      <c r="AI1724" s="8" t="b">
        <v>1</v>
      </c>
    </row>
    <row r="1725" spans="1:35" ht="31.2">
      <c r="A1725" s="8">
        <v>-73.979549270000007</v>
      </c>
      <c r="B1725" s="8">
        <v>40.77094975</v>
      </c>
      <c r="C1725" s="8" t="s">
        <v>4469</v>
      </c>
      <c r="D1725" s="8" t="s">
        <v>1364</v>
      </c>
      <c r="E1725" s="8" t="b">
        <f t="shared" si="26"/>
        <v>0</v>
      </c>
      <c r="F1725" s="8" t="str" cm="1">
        <f t="array" ref="F1725">_xlfn._xlws.FILTER(E1725:E4923, C1725:C4923= "6D-PM-1020-01", "No Squirrels Found")</f>
        <v>No Squirrels Found</v>
      </c>
      <c r="G1725" s="8" t="s">
        <v>48</v>
      </c>
      <c r="H1725" s="10">
        <v>10072018</v>
      </c>
      <c r="I1725" s="10">
        <v>2</v>
      </c>
      <c r="J1725" s="8" t="s">
        <v>39</v>
      </c>
      <c r="K1725" s="8" t="s">
        <v>40</v>
      </c>
      <c r="M1725" s="8" t="s">
        <v>55</v>
      </c>
      <c r="O1725" s="8" t="s">
        <v>43</v>
      </c>
      <c r="P1725" s="8" t="b">
        <v>0</v>
      </c>
      <c r="R1725" s="8" t="b">
        <v>0</v>
      </c>
      <c r="S1725" s="8" t="b">
        <v>0</v>
      </c>
      <c r="T1725" s="8" t="b">
        <v>0</v>
      </c>
      <c r="U1725" s="8" t="b">
        <v>0</v>
      </c>
      <c r="V1725" s="8" t="b">
        <v>1</v>
      </c>
      <c r="X1725" s="8" t="b">
        <v>0</v>
      </c>
      <c r="Y1725" s="8" t="b">
        <v>0</v>
      </c>
      <c r="Z1725" s="8" t="b">
        <v>0</v>
      </c>
      <c r="AA1725" s="8" t="b">
        <v>0</v>
      </c>
      <c r="AB1725" s="8" t="b">
        <v>0</v>
      </c>
      <c r="AC1725" s="8" t="b">
        <v>0</v>
      </c>
      <c r="AD1725" s="8" t="b">
        <v>1</v>
      </c>
      <c r="AE1725" s="8" t="b">
        <v>0</v>
      </c>
      <c r="AG1725" s="11" t="b" cm="1">
        <f t="array" ref="AG1725">IF(OR(Y1725:AA1725="TRUE", AE1725="true"), "Threatened")</f>
        <v>0</v>
      </c>
      <c r="AH1725" s="11" t="s">
        <v>4470</v>
      </c>
      <c r="AI1725" s="8" t="b">
        <v>1</v>
      </c>
    </row>
    <row r="1726" spans="1:35" ht="31.2">
      <c r="A1726" s="8">
        <v>-73.965748009999999</v>
      </c>
      <c r="B1726" s="8">
        <v>40.775346550000002</v>
      </c>
      <c r="C1726" s="8" t="s">
        <v>4471</v>
      </c>
      <c r="D1726" s="8" t="s">
        <v>1093</v>
      </c>
      <c r="E1726" s="8" t="b">
        <f t="shared" si="26"/>
        <v>0</v>
      </c>
      <c r="F1726" s="8" t="str" cm="1">
        <f t="array" ref="F1726">_xlfn._xlws.FILTER(E1726:E4924, C1726:C4924= "6D-PM-1020-01", "No Squirrels Found")</f>
        <v>No Squirrels Found</v>
      </c>
      <c r="G1726" s="8" t="s">
        <v>34</v>
      </c>
      <c r="H1726" s="10">
        <v>10182018</v>
      </c>
      <c r="I1726" s="10">
        <v>4</v>
      </c>
      <c r="J1726" s="8" t="s">
        <v>39</v>
      </c>
      <c r="K1726" s="8" t="s">
        <v>41</v>
      </c>
      <c r="L1726" s="8" t="s">
        <v>40</v>
      </c>
      <c r="M1726" s="8" t="s">
        <v>110</v>
      </c>
      <c r="O1726" s="8" t="s">
        <v>43</v>
      </c>
      <c r="P1726" s="8" t="b">
        <v>0</v>
      </c>
      <c r="R1726" s="8" t="b">
        <v>0</v>
      </c>
      <c r="S1726" s="8" t="b">
        <v>0</v>
      </c>
      <c r="T1726" s="8" t="b">
        <v>0</v>
      </c>
      <c r="U1726" s="8" t="b">
        <v>1</v>
      </c>
      <c r="V1726" s="8" t="b">
        <v>1</v>
      </c>
      <c r="X1726" s="8" t="b">
        <v>0</v>
      </c>
      <c r="Y1726" s="8" t="b">
        <v>0</v>
      </c>
      <c r="Z1726" s="8" t="b">
        <v>0</v>
      </c>
      <c r="AA1726" s="8" t="b">
        <v>0</v>
      </c>
      <c r="AB1726" s="8" t="b">
        <v>1</v>
      </c>
      <c r="AC1726" s="8" t="b">
        <v>1</v>
      </c>
      <c r="AD1726" s="8" t="b">
        <v>0</v>
      </c>
      <c r="AE1726" s="8" t="b">
        <v>0</v>
      </c>
      <c r="AG1726" s="11" t="b" cm="1">
        <f t="array" ref="AG1726">IF(OR(Y1726:AA1726="TRUE", AE1726="true"), "Threatened")</f>
        <v>0</v>
      </c>
      <c r="AH1726" s="11" t="s">
        <v>4472</v>
      </c>
      <c r="AI1726" s="8" t="b">
        <v>1</v>
      </c>
    </row>
    <row r="1727" spans="1:35" ht="31.2">
      <c r="A1727" s="8">
        <v>-73.968647930000003</v>
      </c>
      <c r="B1727" s="8">
        <v>40.770581540000002</v>
      </c>
      <c r="C1727" s="8" t="s">
        <v>4473</v>
      </c>
      <c r="D1727" s="8" t="s">
        <v>1785</v>
      </c>
      <c r="E1727" s="8" t="b">
        <f t="shared" si="26"/>
        <v>0</v>
      </c>
      <c r="F1727" s="8" t="str" cm="1">
        <f t="array" ref="F1727">_xlfn._xlws.FILTER(E1727:E4925, C1727:C4925= "6D-PM-1020-01", "No Squirrels Found")</f>
        <v>No Squirrels Found</v>
      </c>
      <c r="G1727" s="8" t="s">
        <v>48</v>
      </c>
      <c r="H1727" s="10">
        <v>10142018</v>
      </c>
      <c r="I1727" s="10">
        <v>8</v>
      </c>
      <c r="J1727" s="8" t="s">
        <v>39</v>
      </c>
      <c r="K1727" s="8" t="s">
        <v>40</v>
      </c>
      <c r="L1727" s="8" t="s">
        <v>41</v>
      </c>
      <c r="M1727" s="8" t="s">
        <v>42</v>
      </c>
      <c r="O1727" s="8" t="s">
        <v>43</v>
      </c>
      <c r="P1727" s="8" t="b">
        <v>0</v>
      </c>
      <c r="R1727" s="8" t="b">
        <v>0</v>
      </c>
      <c r="S1727" s="8" t="b">
        <v>0</v>
      </c>
      <c r="T1727" s="8" t="b">
        <v>0</v>
      </c>
      <c r="U1727" s="8" t="b">
        <v>0</v>
      </c>
      <c r="V1727" s="8" t="b">
        <v>1</v>
      </c>
      <c r="X1727" s="8" t="b">
        <v>0</v>
      </c>
      <c r="Y1727" s="8" t="b">
        <v>0</v>
      </c>
      <c r="Z1727" s="8" t="b">
        <v>0</v>
      </c>
      <c r="AA1727" s="8" t="b">
        <v>0</v>
      </c>
      <c r="AB1727" s="8" t="b">
        <v>0</v>
      </c>
      <c r="AC1727" s="8" t="b">
        <v>0</v>
      </c>
      <c r="AD1727" s="8" t="b">
        <v>0</v>
      </c>
      <c r="AE1727" s="8" t="b">
        <v>0</v>
      </c>
      <c r="AG1727" s="11" t="b" cm="1">
        <f t="array" ref="AG1727">IF(OR(Y1727:AA1727="TRUE", AE1727="true"), "Threatened")</f>
        <v>0</v>
      </c>
      <c r="AH1727" s="11" t="s">
        <v>4474</v>
      </c>
      <c r="AI1727" s="8" t="b">
        <v>1</v>
      </c>
    </row>
    <row r="1728" spans="1:35" ht="31.2">
      <c r="A1728" s="8">
        <v>-73.969247229999993</v>
      </c>
      <c r="B1728" s="8">
        <v>40.772259220000002</v>
      </c>
      <c r="C1728" s="8" t="s">
        <v>4475</v>
      </c>
      <c r="D1728" s="8" t="s">
        <v>1254</v>
      </c>
      <c r="E1728" s="8" t="b">
        <f t="shared" si="26"/>
        <v>0</v>
      </c>
      <c r="F1728" s="8" t="str" cm="1">
        <f t="array" ref="F1728">_xlfn._xlws.FILTER(E1728:E4926, C1728:C4926= "6D-PM-1020-01", "No Squirrels Found")</f>
        <v>No Squirrels Found</v>
      </c>
      <c r="G1728" s="8" t="s">
        <v>34</v>
      </c>
      <c r="H1728" s="10">
        <v>10072018</v>
      </c>
      <c r="I1728" s="10">
        <v>1</v>
      </c>
      <c r="J1728" s="8" t="s">
        <v>39</v>
      </c>
      <c r="K1728" s="8" t="s">
        <v>40</v>
      </c>
      <c r="L1728" s="8" t="s">
        <v>84</v>
      </c>
      <c r="M1728" s="8" t="s">
        <v>103</v>
      </c>
      <c r="N1728" s="11" t="s">
        <v>4476</v>
      </c>
      <c r="O1728" s="8" t="s">
        <v>50</v>
      </c>
      <c r="P1728" s="8">
        <v>15</v>
      </c>
      <c r="Q1728" s="8" t="s">
        <v>466</v>
      </c>
      <c r="R1728" s="8" t="b">
        <v>0</v>
      </c>
      <c r="S1728" s="8" t="b">
        <v>0</v>
      </c>
      <c r="T1728" s="8" t="b">
        <v>1</v>
      </c>
      <c r="U1728" s="8" t="b">
        <v>0</v>
      </c>
      <c r="V1728" s="8" t="b">
        <v>0</v>
      </c>
      <c r="X1728" s="8" t="b">
        <v>0</v>
      </c>
      <c r="Y1728" s="8" t="b">
        <v>0</v>
      </c>
      <c r="Z1728" s="8" t="b">
        <v>0</v>
      </c>
      <c r="AA1728" s="8" t="b">
        <v>0</v>
      </c>
      <c r="AB1728" s="8" t="b">
        <v>0</v>
      </c>
      <c r="AC1728" s="8" t="b">
        <v>0</v>
      </c>
      <c r="AD1728" s="8" t="b">
        <v>1</v>
      </c>
      <c r="AE1728" s="8" t="b">
        <v>0</v>
      </c>
      <c r="AG1728" s="11" t="b" cm="1">
        <f t="array" ref="AG1728">IF(OR(Y1728:AA1728="TRUE", AE1728="true"), "Threatened")</f>
        <v>0</v>
      </c>
      <c r="AH1728" s="11" t="s">
        <v>4477</v>
      </c>
      <c r="AI1728" s="8" t="b">
        <v>1</v>
      </c>
    </row>
    <row r="1729" spans="1:35" ht="31.2">
      <c r="A1729" s="8">
        <v>-73.978784689999998</v>
      </c>
      <c r="B1729" s="8">
        <v>40.768254589999998</v>
      </c>
      <c r="C1729" s="8" t="s">
        <v>4478</v>
      </c>
      <c r="D1729" s="8" t="s">
        <v>1235</v>
      </c>
      <c r="E1729" s="8" t="b">
        <f t="shared" si="26"/>
        <v>0</v>
      </c>
      <c r="F1729" s="8" t="str" cm="1">
        <f t="array" ref="F1729">_xlfn._xlws.FILTER(E1729:E4927, C1729:C4927= "6D-PM-1020-01", "No Squirrels Found")</f>
        <v>No Squirrels Found</v>
      </c>
      <c r="G1729" s="8" t="s">
        <v>34</v>
      </c>
      <c r="H1729" s="10">
        <v>10132018</v>
      </c>
      <c r="I1729" s="10">
        <v>5</v>
      </c>
      <c r="J1729" s="8" t="s">
        <v>39</v>
      </c>
      <c r="K1729" s="8" t="s">
        <v>40</v>
      </c>
      <c r="L1729" s="8" t="s">
        <v>84</v>
      </c>
      <c r="M1729" s="8" t="s">
        <v>103</v>
      </c>
      <c r="O1729" s="8" t="s">
        <v>43</v>
      </c>
      <c r="P1729" s="8" t="b">
        <v>0</v>
      </c>
      <c r="R1729" s="8" t="b">
        <v>0</v>
      </c>
      <c r="S1729" s="8" t="b">
        <v>0</v>
      </c>
      <c r="T1729" s="8" t="b">
        <v>0</v>
      </c>
      <c r="U1729" s="8" t="b">
        <v>0</v>
      </c>
      <c r="V1729" s="8" t="b">
        <v>1</v>
      </c>
      <c r="X1729" s="8" t="b">
        <v>0</v>
      </c>
      <c r="Y1729" s="8" t="b">
        <v>0</v>
      </c>
      <c r="Z1729" s="8" t="b">
        <v>0</v>
      </c>
      <c r="AA1729" s="8" t="b">
        <v>0</v>
      </c>
      <c r="AB1729" s="8" t="b">
        <v>0</v>
      </c>
      <c r="AC1729" s="8" t="b">
        <v>0</v>
      </c>
      <c r="AD1729" s="8" t="b">
        <v>0</v>
      </c>
      <c r="AE1729" s="8" t="b">
        <v>0</v>
      </c>
      <c r="AG1729" s="11" t="b" cm="1">
        <f t="array" ref="AG1729">IF(OR(Y1729:AA1729="TRUE", AE1729="true"), "Threatened")</f>
        <v>0</v>
      </c>
      <c r="AH1729" s="11" t="s">
        <v>4479</v>
      </c>
      <c r="AI1729" s="8" t="b">
        <v>1</v>
      </c>
    </row>
    <row r="1730" spans="1:35" ht="31.2">
      <c r="A1730" s="8">
        <v>-73.976504610000006</v>
      </c>
      <c r="B1730" s="8">
        <v>40.773667410000002</v>
      </c>
      <c r="C1730" s="8" t="s">
        <v>4480</v>
      </c>
      <c r="D1730" s="8" t="s">
        <v>249</v>
      </c>
      <c r="E1730" s="8" t="b">
        <f t="shared" si="26"/>
        <v>0</v>
      </c>
      <c r="F1730" s="8" t="str" cm="1">
        <f t="array" ref="F1730">_xlfn._xlws.FILTER(E1730:E4928, C1730:C4928= "6D-PM-1020-01", "No Squirrels Found")</f>
        <v>No Squirrels Found</v>
      </c>
      <c r="G1730" s="8" t="s">
        <v>48</v>
      </c>
      <c r="H1730" s="10">
        <v>10072018</v>
      </c>
      <c r="I1730" s="10">
        <v>4</v>
      </c>
      <c r="J1730" s="8" t="s">
        <v>39</v>
      </c>
      <c r="K1730" s="8" t="s">
        <v>40</v>
      </c>
      <c r="M1730" s="8" t="s">
        <v>55</v>
      </c>
      <c r="O1730" s="8" t="s">
        <v>50</v>
      </c>
      <c r="P1730" s="8">
        <v>2</v>
      </c>
      <c r="R1730" s="8" t="b">
        <v>0</v>
      </c>
      <c r="S1730" s="8" t="b">
        <v>0</v>
      </c>
      <c r="T1730" s="8" t="b">
        <v>1</v>
      </c>
      <c r="U1730" s="8" t="b">
        <v>0</v>
      </c>
      <c r="V1730" s="8" t="b">
        <v>1</v>
      </c>
      <c r="X1730" s="8" t="b">
        <v>0</v>
      </c>
      <c r="Y1730" s="8" t="b">
        <v>0</v>
      </c>
      <c r="Z1730" s="8" t="b">
        <v>0</v>
      </c>
      <c r="AA1730" s="8" t="b">
        <v>0</v>
      </c>
      <c r="AB1730" s="8" t="b">
        <v>0</v>
      </c>
      <c r="AC1730" s="8" t="b">
        <v>0</v>
      </c>
      <c r="AD1730" s="8" t="b">
        <v>1</v>
      </c>
      <c r="AE1730" s="8" t="b">
        <v>0</v>
      </c>
      <c r="AG1730" s="11" t="b" cm="1">
        <f t="array" ref="AG1730">IF(OR(Y1730:AA1730="TRUE", AE1730="true"), "Threatened")</f>
        <v>0</v>
      </c>
      <c r="AH1730" s="11" t="s">
        <v>4481</v>
      </c>
      <c r="AI1730" s="8" t="b">
        <v>1</v>
      </c>
    </row>
    <row r="1731" spans="1:35" ht="31.2">
      <c r="A1731" s="8">
        <v>-73.979614280000007</v>
      </c>
      <c r="B1731" s="8">
        <v>40.770211789999998</v>
      </c>
      <c r="C1731" s="8" t="s">
        <v>4482</v>
      </c>
      <c r="D1731" s="8" t="s">
        <v>1364</v>
      </c>
      <c r="E1731" s="8" t="b">
        <f t="shared" ref="E1731:E1794" si="27">OR(D1731 = "05D", D1731 = "07D", D1731 = "06C", D1731 = "06E")</f>
        <v>0</v>
      </c>
      <c r="F1731" s="8" t="str" cm="1">
        <f t="array" ref="F1731">_xlfn._xlws.FILTER(E1731:E4929, C1731:C4929= "6D-PM-1020-01", "No Squirrels Found")</f>
        <v>No Squirrels Found</v>
      </c>
      <c r="G1731" s="8" t="s">
        <v>34</v>
      </c>
      <c r="H1731" s="10">
        <v>10072018</v>
      </c>
      <c r="I1731" s="10">
        <v>4</v>
      </c>
      <c r="J1731" s="8" t="s">
        <v>39</v>
      </c>
      <c r="K1731" s="8" t="s">
        <v>40</v>
      </c>
      <c r="L1731" s="8" t="s">
        <v>84</v>
      </c>
      <c r="M1731" s="8" t="s">
        <v>103</v>
      </c>
      <c r="O1731" s="8" t="s">
        <v>43</v>
      </c>
      <c r="P1731" s="8" t="b">
        <v>0</v>
      </c>
      <c r="R1731" s="8" t="b">
        <v>0</v>
      </c>
      <c r="S1731" s="8" t="b">
        <v>0</v>
      </c>
      <c r="T1731" s="8" t="b">
        <v>0</v>
      </c>
      <c r="U1731" s="8" t="b">
        <v>0</v>
      </c>
      <c r="V1731" s="8" t="b">
        <v>1</v>
      </c>
      <c r="X1731" s="8" t="b">
        <v>0</v>
      </c>
      <c r="Y1731" s="8" t="b">
        <v>0</v>
      </c>
      <c r="Z1731" s="8" t="b">
        <v>0</v>
      </c>
      <c r="AA1731" s="8" t="b">
        <v>0</v>
      </c>
      <c r="AB1731" s="8" t="b">
        <v>1</v>
      </c>
      <c r="AC1731" s="8" t="b">
        <v>0</v>
      </c>
      <c r="AD1731" s="8" t="b">
        <v>1</v>
      </c>
      <c r="AE1731" s="8" t="b">
        <v>0</v>
      </c>
      <c r="AG1731" s="11" t="b" cm="1">
        <f t="array" ref="AG1731">IF(OR(Y1731:AA1731="TRUE", AE1731="true"), "Threatened")</f>
        <v>0</v>
      </c>
      <c r="AH1731" s="11" t="s">
        <v>4483</v>
      </c>
      <c r="AI1731" s="8" t="b">
        <v>1</v>
      </c>
    </row>
    <row r="1732" spans="1:35" ht="31.2">
      <c r="A1732" s="8">
        <v>-73.969284630000004</v>
      </c>
      <c r="B1732" s="8">
        <v>40.784104900000003</v>
      </c>
      <c r="C1732" s="8" t="s">
        <v>4484</v>
      </c>
      <c r="D1732" s="8" t="s">
        <v>313</v>
      </c>
      <c r="E1732" s="8" t="b">
        <f t="shared" si="27"/>
        <v>0</v>
      </c>
      <c r="F1732" s="8" t="str" cm="1">
        <f t="array" ref="F1732">_xlfn._xlws.FILTER(E1732:E4930, C1732:C4930= "6D-PM-1020-01", "No Squirrels Found")</f>
        <v>No Squirrels Found</v>
      </c>
      <c r="G1732" s="8" t="s">
        <v>34</v>
      </c>
      <c r="H1732" s="10">
        <v>10172018</v>
      </c>
      <c r="I1732" s="10">
        <v>2</v>
      </c>
      <c r="J1732" s="8" t="s">
        <v>54</v>
      </c>
      <c r="K1732" s="8" t="s">
        <v>40</v>
      </c>
      <c r="M1732" s="8" t="s">
        <v>55</v>
      </c>
      <c r="O1732" s="8" t="s">
        <v>43</v>
      </c>
      <c r="P1732" s="8" t="b">
        <v>0</v>
      </c>
      <c r="R1732" s="8" t="b">
        <v>1</v>
      </c>
      <c r="S1732" s="8" t="b">
        <v>0</v>
      </c>
      <c r="T1732" s="8" t="b">
        <v>0</v>
      </c>
      <c r="U1732" s="8" t="b">
        <v>0</v>
      </c>
      <c r="V1732" s="8" t="b">
        <v>0</v>
      </c>
      <c r="X1732" s="8" t="b">
        <v>0</v>
      </c>
      <c r="Y1732" s="8" t="b">
        <v>0</v>
      </c>
      <c r="Z1732" s="8" t="b">
        <v>0</v>
      </c>
      <c r="AA1732" s="8" t="b">
        <v>0</v>
      </c>
      <c r="AB1732" s="8" t="b">
        <v>0</v>
      </c>
      <c r="AC1732" s="8" t="b">
        <v>0</v>
      </c>
      <c r="AD1732" s="8" t="b">
        <v>0</v>
      </c>
      <c r="AE1732" s="8" t="b">
        <v>0</v>
      </c>
      <c r="AG1732" s="11" t="b" cm="1">
        <f t="array" ref="AG1732">IF(OR(Y1732:AA1732="TRUE", AE1732="true"), "Threatened")</f>
        <v>0</v>
      </c>
      <c r="AH1732" s="11" t="s">
        <v>4485</v>
      </c>
      <c r="AI1732" s="8" t="b">
        <v>1</v>
      </c>
    </row>
    <row r="1733" spans="1:35" ht="31.2">
      <c r="A1733" s="8">
        <v>-73.976714139999999</v>
      </c>
      <c r="B1733" s="8">
        <v>40.773731329999997</v>
      </c>
      <c r="C1733" s="8" t="s">
        <v>4486</v>
      </c>
      <c r="D1733" s="8" t="s">
        <v>753</v>
      </c>
      <c r="E1733" s="8" t="b">
        <f t="shared" si="27"/>
        <v>0</v>
      </c>
      <c r="F1733" s="8" t="str" cm="1">
        <f t="array" ref="F1733">_xlfn._xlws.FILTER(E1733:E4931, C1733:C4931= "6D-PM-1020-01", "No Squirrels Found")</f>
        <v>No Squirrels Found</v>
      </c>
      <c r="G1733" s="8" t="s">
        <v>34</v>
      </c>
      <c r="H1733" s="10">
        <v>10142018</v>
      </c>
      <c r="I1733" s="10">
        <v>2</v>
      </c>
      <c r="J1733" s="8" t="s">
        <v>54</v>
      </c>
      <c r="K1733" s="8" t="s">
        <v>40</v>
      </c>
      <c r="M1733" s="8" t="s">
        <v>55</v>
      </c>
      <c r="O1733" s="8" t="s">
        <v>43</v>
      </c>
      <c r="P1733" s="8" t="b">
        <v>0</v>
      </c>
      <c r="R1733" s="8" t="b">
        <v>0</v>
      </c>
      <c r="S1733" s="8" t="b">
        <v>0</v>
      </c>
      <c r="T1733" s="8" t="b">
        <v>1</v>
      </c>
      <c r="U1733" s="8" t="b">
        <v>1</v>
      </c>
      <c r="V1733" s="8" t="b">
        <v>0</v>
      </c>
      <c r="X1733" s="8" t="b">
        <v>0</v>
      </c>
      <c r="Y1733" s="8" t="b">
        <v>0</v>
      </c>
      <c r="Z1733" s="8" t="b">
        <v>0</v>
      </c>
      <c r="AA1733" s="8" t="b">
        <v>0</v>
      </c>
      <c r="AB1733" s="8" t="b">
        <v>0</v>
      </c>
      <c r="AC1733" s="8" t="b">
        <v>0</v>
      </c>
      <c r="AD1733" s="8" t="b">
        <v>0</v>
      </c>
      <c r="AE1733" s="8" t="b">
        <v>1</v>
      </c>
      <c r="AF1733" s="11" t="s">
        <v>1891</v>
      </c>
      <c r="AG1733" s="11" t="b" cm="1">
        <f t="array" ref="AG1733">IF(OR(Y1733:AA1733="TRUE", AE1733="true"), "Threatened")</f>
        <v>0</v>
      </c>
      <c r="AH1733" s="11" t="s">
        <v>4487</v>
      </c>
      <c r="AI1733" s="8" t="b">
        <v>1</v>
      </c>
    </row>
    <row r="1734" spans="1:35" ht="31.2">
      <c r="A1734" s="8">
        <v>-73.975634589999999</v>
      </c>
      <c r="B1734" s="8">
        <v>40.767554050000001</v>
      </c>
      <c r="C1734" s="8" t="s">
        <v>4488</v>
      </c>
      <c r="D1734" s="8" t="s">
        <v>230</v>
      </c>
      <c r="E1734" s="8" t="b">
        <f t="shared" si="27"/>
        <v>0</v>
      </c>
      <c r="F1734" s="8" t="str" cm="1">
        <f t="array" ref="F1734">_xlfn._xlws.FILTER(E1734:E4932, C1734:C4932= "6D-PM-1020-01", "No Squirrels Found")</f>
        <v>No Squirrels Found</v>
      </c>
      <c r="G1734" s="8" t="s">
        <v>34</v>
      </c>
      <c r="H1734" s="10">
        <v>10082018</v>
      </c>
      <c r="I1734" s="10">
        <v>9</v>
      </c>
      <c r="J1734" s="8" t="s">
        <v>39</v>
      </c>
      <c r="K1734" s="8" t="s">
        <v>40</v>
      </c>
      <c r="M1734" s="8" t="s">
        <v>55</v>
      </c>
      <c r="O1734" s="8" t="s">
        <v>50</v>
      </c>
      <c r="P1734" s="8">
        <v>5</v>
      </c>
      <c r="R1734" s="8" t="b">
        <v>1</v>
      </c>
      <c r="S1734" s="8" t="b">
        <v>0</v>
      </c>
      <c r="T1734" s="8" t="b">
        <v>1</v>
      </c>
      <c r="U1734" s="8" t="b">
        <v>0</v>
      </c>
      <c r="V1734" s="8" t="b">
        <v>0</v>
      </c>
      <c r="X1734" s="8" t="b">
        <v>0</v>
      </c>
      <c r="Y1734" s="8" t="b">
        <v>0</v>
      </c>
      <c r="Z1734" s="8" t="b">
        <v>0</v>
      </c>
      <c r="AA1734" s="8" t="b">
        <v>0</v>
      </c>
      <c r="AB1734" s="8" t="b">
        <v>0</v>
      </c>
      <c r="AC1734" s="8" t="b">
        <v>0</v>
      </c>
      <c r="AD1734" s="8" t="b">
        <v>0</v>
      </c>
      <c r="AE1734" s="8" t="b">
        <v>1</v>
      </c>
      <c r="AG1734" s="11" t="b" cm="1">
        <f t="array" ref="AG1734">IF(OR(Y1734:AA1734="TRUE", AE1734="true"), "Threatened")</f>
        <v>0</v>
      </c>
      <c r="AH1734" s="11" t="s">
        <v>4489</v>
      </c>
      <c r="AI1734" s="8" t="b">
        <v>1</v>
      </c>
    </row>
    <row r="1735" spans="1:35" ht="31.2">
      <c r="A1735" s="8">
        <v>-73.952413230000005</v>
      </c>
      <c r="B1735" s="8">
        <v>40.793377759999998</v>
      </c>
      <c r="C1735" s="8" t="s">
        <v>4490</v>
      </c>
      <c r="D1735" s="8" t="s">
        <v>936</v>
      </c>
      <c r="E1735" s="8" t="b">
        <f t="shared" si="27"/>
        <v>0</v>
      </c>
      <c r="F1735" s="8" t="str" cm="1">
        <f t="array" ref="F1735">_xlfn._xlws.FILTER(E1735:E4933, C1735:C4933= "6D-PM-1020-01", "No Squirrels Found")</f>
        <v>No Squirrels Found</v>
      </c>
      <c r="G1735" s="8" t="s">
        <v>48</v>
      </c>
      <c r="H1735" s="10">
        <v>10102018</v>
      </c>
      <c r="I1735" s="10">
        <v>5</v>
      </c>
      <c r="J1735" s="8" t="s">
        <v>39</v>
      </c>
      <c r="K1735" s="8" t="s">
        <v>40</v>
      </c>
      <c r="L1735" s="8" t="s">
        <v>41</v>
      </c>
      <c r="M1735" s="8" t="s">
        <v>42</v>
      </c>
      <c r="O1735" s="8" t="s">
        <v>43</v>
      </c>
      <c r="P1735" s="8" t="b">
        <v>0</v>
      </c>
      <c r="R1735" s="8" t="b">
        <v>0</v>
      </c>
      <c r="S1735" s="8" t="b">
        <v>0</v>
      </c>
      <c r="T1735" s="8" t="b">
        <v>0</v>
      </c>
      <c r="U1735" s="8" t="b">
        <v>1</v>
      </c>
      <c r="V1735" s="8" t="b">
        <v>0</v>
      </c>
      <c r="X1735" s="8" t="b">
        <v>0</v>
      </c>
      <c r="Y1735" s="8" t="b">
        <v>0</v>
      </c>
      <c r="Z1735" s="8" t="b">
        <v>0</v>
      </c>
      <c r="AA1735" s="8" t="b">
        <v>0</v>
      </c>
      <c r="AB1735" s="8" t="b">
        <v>0</v>
      </c>
      <c r="AC1735" s="8" t="b">
        <v>0</v>
      </c>
      <c r="AD1735" s="8" t="b">
        <v>0</v>
      </c>
      <c r="AE1735" s="8" t="b">
        <v>1</v>
      </c>
      <c r="AG1735" s="11" t="b" cm="1">
        <f t="array" ref="AG1735">IF(OR(Y1735:AA1735="TRUE", AE1735="true"), "Threatened")</f>
        <v>0</v>
      </c>
      <c r="AH1735" s="11" t="s">
        <v>4491</v>
      </c>
      <c r="AI1735" s="8" t="b">
        <v>1</v>
      </c>
    </row>
    <row r="1736" spans="1:35" ht="31.2">
      <c r="A1736" s="8">
        <v>-73.956365230000003</v>
      </c>
      <c r="B1736" s="8">
        <v>40.795512789999997</v>
      </c>
      <c r="C1736" s="8" t="s">
        <v>4492</v>
      </c>
      <c r="D1736" s="8" t="s">
        <v>530</v>
      </c>
      <c r="E1736" s="8" t="b">
        <f t="shared" si="27"/>
        <v>0</v>
      </c>
      <c r="F1736" s="8" t="str" cm="1">
        <f t="array" ref="F1736">_xlfn._xlws.FILTER(E1736:E4934, C1736:C4934= "6D-PM-1020-01", "No Squirrels Found")</f>
        <v>No Squirrels Found</v>
      </c>
      <c r="G1736" s="8" t="s">
        <v>34</v>
      </c>
      <c r="H1736" s="10">
        <v>10142018</v>
      </c>
      <c r="I1736" s="10">
        <v>5</v>
      </c>
      <c r="J1736" s="8" t="s">
        <v>39</v>
      </c>
      <c r="K1736" s="8" t="s">
        <v>40</v>
      </c>
      <c r="L1736" s="8" t="s">
        <v>41</v>
      </c>
      <c r="M1736" s="8" t="s">
        <v>42</v>
      </c>
      <c r="O1736" s="8" t="s">
        <v>43</v>
      </c>
      <c r="P1736" s="8" t="b">
        <v>0</v>
      </c>
      <c r="Q1736" s="8" t="s">
        <v>4493</v>
      </c>
      <c r="R1736" s="8" t="b">
        <v>0</v>
      </c>
      <c r="S1736" s="8" t="b">
        <v>0</v>
      </c>
      <c r="T1736" s="8" t="b">
        <v>0</v>
      </c>
      <c r="U1736" s="8" t="b">
        <v>0</v>
      </c>
      <c r="V1736" s="8" t="b">
        <v>0</v>
      </c>
      <c r="W1736" s="11" t="s">
        <v>4494</v>
      </c>
      <c r="X1736" s="8" t="b">
        <v>0</v>
      </c>
      <c r="Y1736" s="8" t="b">
        <v>0</v>
      </c>
      <c r="Z1736" s="8" t="b">
        <v>0</v>
      </c>
      <c r="AA1736" s="8" t="b">
        <v>0</v>
      </c>
      <c r="AB1736" s="8" t="b">
        <v>0</v>
      </c>
      <c r="AC1736" s="8" t="b">
        <v>0</v>
      </c>
      <c r="AD1736" s="8" t="b">
        <v>1</v>
      </c>
      <c r="AE1736" s="8" t="b">
        <v>0</v>
      </c>
      <c r="AG1736" s="11" t="b" cm="1">
        <f t="array" ref="AG1736">IF(OR(Y1736:AA1736="TRUE", AE1736="true"), "Threatened")</f>
        <v>0</v>
      </c>
      <c r="AH1736" s="11" t="s">
        <v>4495</v>
      </c>
      <c r="AI1736" s="8" t="b">
        <v>0</v>
      </c>
    </row>
    <row r="1737" spans="1:35" ht="31.2">
      <c r="A1737" s="8">
        <v>-73.974387350000001</v>
      </c>
      <c r="B1737" s="8">
        <v>40.774542609999997</v>
      </c>
      <c r="C1737" s="8" t="s">
        <v>4496</v>
      </c>
      <c r="D1737" s="8" t="s">
        <v>845</v>
      </c>
      <c r="E1737" s="8" t="b">
        <f t="shared" si="27"/>
        <v>0</v>
      </c>
      <c r="F1737" s="8" t="str" cm="1">
        <f t="array" ref="F1737">_xlfn._xlws.FILTER(E1737:E4935, C1737:C4935= "6D-PM-1020-01", "No Squirrels Found")</f>
        <v>No Squirrels Found</v>
      </c>
      <c r="G1737" s="8" t="s">
        <v>48</v>
      </c>
      <c r="H1737" s="10">
        <v>10182018</v>
      </c>
      <c r="I1737" s="10">
        <v>4</v>
      </c>
      <c r="J1737" s="8" t="s">
        <v>39</v>
      </c>
      <c r="K1737" s="8" t="s">
        <v>40</v>
      </c>
      <c r="M1737" s="8" t="s">
        <v>55</v>
      </c>
      <c r="O1737" s="8" t="s">
        <v>43</v>
      </c>
      <c r="P1737" s="8" t="b">
        <v>0</v>
      </c>
      <c r="R1737" s="8" t="b">
        <v>1</v>
      </c>
      <c r="S1737" s="8" t="b">
        <v>0</v>
      </c>
      <c r="T1737" s="8" t="b">
        <v>0</v>
      </c>
      <c r="U1737" s="8" t="b">
        <v>0</v>
      </c>
      <c r="V1737" s="8" t="b">
        <v>0</v>
      </c>
      <c r="X1737" s="8" t="b">
        <v>0</v>
      </c>
      <c r="Y1737" s="8" t="b">
        <v>0</v>
      </c>
      <c r="Z1737" s="8" t="b">
        <v>0</v>
      </c>
      <c r="AA1737" s="8" t="b">
        <v>0</v>
      </c>
      <c r="AB1737" s="8" t="b">
        <v>0</v>
      </c>
      <c r="AC1737" s="8" t="b">
        <v>0</v>
      </c>
      <c r="AD1737" s="8" t="b">
        <v>1</v>
      </c>
      <c r="AE1737" s="8" t="b">
        <v>0</v>
      </c>
      <c r="AG1737" s="11" t="b" cm="1">
        <f t="array" ref="AG1737">IF(OR(Y1737:AA1737="TRUE", AE1737="true"), "Threatened")</f>
        <v>0</v>
      </c>
      <c r="AH1737" s="11" t="s">
        <v>4497</v>
      </c>
      <c r="AI1737" s="8" t="b">
        <v>1</v>
      </c>
    </row>
    <row r="1738" spans="1:35" ht="31.2">
      <c r="A1738" s="8">
        <v>-73.964074159999996</v>
      </c>
      <c r="B1738" s="8">
        <v>40.780727460000001</v>
      </c>
      <c r="C1738" s="8" t="s">
        <v>4498</v>
      </c>
      <c r="D1738" s="8" t="s">
        <v>2206</v>
      </c>
      <c r="E1738" s="8" t="b">
        <f t="shared" si="27"/>
        <v>0</v>
      </c>
      <c r="F1738" s="8" t="str" cm="1">
        <f t="array" ref="F1738">_xlfn._xlws.FILTER(E1738:E4936, C1738:C4936= "6D-PM-1020-01", "No Squirrels Found")</f>
        <v>No Squirrels Found</v>
      </c>
      <c r="G1738" s="8" t="s">
        <v>48</v>
      </c>
      <c r="H1738" s="10">
        <v>10182018</v>
      </c>
      <c r="I1738" s="10">
        <v>1</v>
      </c>
      <c r="J1738" s="8" t="s">
        <v>54</v>
      </c>
      <c r="K1738" s="8" t="s">
        <v>40</v>
      </c>
      <c r="M1738" s="8" t="s">
        <v>55</v>
      </c>
      <c r="O1738" s="8" t="s">
        <v>50</v>
      </c>
      <c r="P1738" s="8">
        <v>7</v>
      </c>
      <c r="Q1738" s="8" t="s">
        <v>4499</v>
      </c>
      <c r="R1738" s="8" t="b">
        <v>0</v>
      </c>
      <c r="S1738" s="8" t="b">
        <v>0</v>
      </c>
      <c r="T1738" s="8" t="b">
        <v>0</v>
      </c>
      <c r="U1738" s="8" t="b">
        <v>0</v>
      </c>
      <c r="V1738" s="8" t="b">
        <v>0</v>
      </c>
      <c r="W1738" s="11" t="s">
        <v>4500</v>
      </c>
      <c r="X1738" s="8" t="b">
        <v>0</v>
      </c>
      <c r="Y1738" s="8" t="b">
        <v>0</v>
      </c>
      <c r="Z1738" s="8" t="b">
        <v>0</v>
      </c>
      <c r="AA1738" s="8" t="b">
        <v>0</v>
      </c>
      <c r="AB1738" s="8" t="b">
        <v>0</v>
      </c>
      <c r="AC1738" s="8" t="b">
        <v>0</v>
      </c>
      <c r="AD1738" s="8" t="b">
        <v>1</v>
      </c>
      <c r="AE1738" s="8" t="b">
        <v>0</v>
      </c>
      <c r="AG1738" s="11" t="b" cm="1">
        <f t="array" ref="AG1738">IF(OR(Y1738:AA1738="TRUE", AE1738="true"), "Threatened")</f>
        <v>0</v>
      </c>
      <c r="AH1738" s="11" t="s">
        <v>4501</v>
      </c>
      <c r="AI1738" s="8" t="b">
        <v>0</v>
      </c>
    </row>
    <row r="1739" spans="1:35" ht="31.2">
      <c r="A1739" s="8">
        <v>-73.967975589999995</v>
      </c>
      <c r="B1739" s="8">
        <v>40.773568300000001</v>
      </c>
      <c r="C1739" s="8" t="s">
        <v>4502</v>
      </c>
      <c r="D1739" s="8" t="s">
        <v>1391</v>
      </c>
      <c r="E1739" s="8" t="b">
        <f t="shared" si="27"/>
        <v>0</v>
      </c>
      <c r="F1739" s="8" t="str" cm="1">
        <f t="array" ref="F1739">_xlfn._xlws.FILTER(E1739:E4937, C1739:C4937= "6D-PM-1020-01", "No Squirrels Found")</f>
        <v>No Squirrels Found</v>
      </c>
      <c r="G1739" s="8" t="s">
        <v>34</v>
      </c>
      <c r="H1739" s="10">
        <v>10072018</v>
      </c>
      <c r="I1739" s="10">
        <v>7</v>
      </c>
      <c r="K1739" s="8" t="s">
        <v>40</v>
      </c>
      <c r="L1739" s="8" t="s">
        <v>41</v>
      </c>
      <c r="M1739" s="8" t="s">
        <v>42</v>
      </c>
      <c r="O1739" s="8" t="s">
        <v>43</v>
      </c>
      <c r="P1739" s="8" t="b">
        <v>0</v>
      </c>
      <c r="Q1739" s="8" t="s">
        <v>4503</v>
      </c>
      <c r="R1739" s="8" t="b">
        <v>0</v>
      </c>
      <c r="S1739" s="8" t="b">
        <v>0</v>
      </c>
      <c r="T1739" s="8" t="b">
        <v>0</v>
      </c>
      <c r="U1739" s="8" t="b">
        <v>0</v>
      </c>
      <c r="V1739" s="8" t="b">
        <v>1</v>
      </c>
      <c r="X1739" s="8" t="b">
        <v>0</v>
      </c>
      <c r="Y1739" s="8" t="b">
        <v>0</v>
      </c>
      <c r="Z1739" s="8" t="b">
        <v>0</v>
      </c>
      <c r="AA1739" s="8" t="b">
        <v>0</v>
      </c>
      <c r="AB1739" s="8" t="b">
        <v>0</v>
      </c>
      <c r="AC1739" s="8" t="b">
        <v>0</v>
      </c>
      <c r="AD1739" s="8" t="b">
        <v>0</v>
      </c>
      <c r="AE1739" s="8" t="b">
        <v>1</v>
      </c>
      <c r="AF1739" s="11" t="s">
        <v>4504</v>
      </c>
      <c r="AG1739" s="11" t="b" cm="1">
        <f t="array" ref="AG1739">IF(OR(Y1739:AA1739="TRUE", AE1739="true"), "Threatened")</f>
        <v>0</v>
      </c>
      <c r="AH1739" s="11" t="s">
        <v>4505</v>
      </c>
      <c r="AI1739" s="8" t="b">
        <v>1</v>
      </c>
    </row>
    <row r="1740" spans="1:35" ht="31.2">
      <c r="A1740" s="8">
        <v>-73.963970040000007</v>
      </c>
      <c r="B1740" s="8">
        <v>40.777500310000001</v>
      </c>
      <c r="C1740" s="8" t="s">
        <v>4506</v>
      </c>
      <c r="D1740" s="8" t="s">
        <v>2373</v>
      </c>
      <c r="E1740" s="8" t="b">
        <f t="shared" si="27"/>
        <v>0</v>
      </c>
      <c r="F1740" s="8" t="str" cm="1">
        <f t="array" ref="F1740">_xlfn._xlws.FILTER(E1740:E4938, C1740:C4938= "6D-PM-1020-01", "No Squirrels Found")</f>
        <v>No Squirrels Found</v>
      </c>
      <c r="G1740" s="8" t="s">
        <v>48</v>
      </c>
      <c r="H1740" s="10">
        <v>10142018</v>
      </c>
      <c r="I1740" s="10">
        <v>1</v>
      </c>
      <c r="J1740" s="8" t="s">
        <v>39</v>
      </c>
      <c r="K1740" s="8" t="s">
        <v>41</v>
      </c>
      <c r="L1740" s="8" t="s">
        <v>135</v>
      </c>
      <c r="M1740" s="8" t="s">
        <v>136</v>
      </c>
      <c r="O1740" s="8" t="s">
        <v>43</v>
      </c>
      <c r="P1740" s="8" t="b">
        <v>0</v>
      </c>
      <c r="Q1740" s="8" t="s">
        <v>4507</v>
      </c>
      <c r="R1740" s="8" t="b">
        <v>1</v>
      </c>
      <c r="S1740" s="8" t="b">
        <v>0</v>
      </c>
      <c r="T1740" s="8" t="b">
        <v>1</v>
      </c>
      <c r="U1740" s="8" t="b">
        <v>1</v>
      </c>
      <c r="V1740" s="8" t="b">
        <v>0</v>
      </c>
      <c r="X1740" s="8" t="b">
        <v>0</v>
      </c>
      <c r="Y1740" s="8" t="b">
        <v>0</v>
      </c>
      <c r="Z1740" s="8" t="b">
        <v>0</v>
      </c>
      <c r="AA1740" s="8" t="b">
        <v>0</v>
      </c>
      <c r="AB1740" s="8" t="b">
        <v>0</v>
      </c>
      <c r="AC1740" s="8" t="b">
        <v>0</v>
      </c>
      <c r="AD1740" s="8" t="b">
        <v>1</v>
      </c>
      <c r="AE1740" s="8" t="b">
        <v>0</v>
      </c>
      <c r="AG1740" s="11" t="b" cm="1">
        <f t="array" ref="AG1740">IF(OR(Y1740:AA1740="TRUE", AE1740="true"), "Threatened")</f>
        <v>0</v>
      </c>
      <c r="AH1740" s="11" t="s">
        <v>4508</v>
      </c>
      <c r="AI1740" s="8" t="b">
        <v>1</v>
      </c>
    </row>
    <row r="1741" spans="1:35" ht="31.2">
      <c r="A1741" s="8">
        <v>-73.957775810000001</v>
      </c>
      <c r="B1741" s="8">
        <v>40.799384719999999</v>
      </c>
      <c r="C1741" s="8" t="s">
        <v>4509</v>
      </c>
      <c r="D1741" s="8" t="s">
        <v>382</v>
      </c>
      <c r="E1741" s="8" t="b">
        <f t="shared" si="27"/>
        <v>0</v>
      </c>
      <c r="F1741" s="8" t="str" cm="1">
        <f t="array" ref="F1741">_xlfn._xlws.FILTER(E1741:E4939, C1741:C4939= "6D-PM-1020-01", "No Squirrels Found")</f>
        <v>No Squirrels Found</v>
      </c>
      <c r="G1741" s="8" t="s">
        <v>48</v>
      </c>
      <c r="H1741" s="10">
        <v>10102018</v>
      </c>
      <c r="I1741" s="10">
        <v>10</v>
      </c>
      <c r="J1741" s="8" t="s">
        <v>39</v>
      </c>
      <c r="K1741" s="8" t="s">
        <v>41</v>
      </c>
      <c r="L1741" s="8" t="s">
        <v>84</v>
      </c>
      <c r="M1741" s="8" t="s">
        <v>85</v>
      </c>
      <c r="O1741" s="8" t="s">
        <v>43</v>
      </c>
      <c r="P1741" s="8" t="b">
        <v>0</v>
      </c>
      <c r="R1741" s="8" t="b">
        <v>1</v>
      </c>
      <c r="S1741" s="8" t="b">
        <v>0</v>
      </c>
      <c r="T1741" s="8" t="b">
        <v>0</v>
      </c>
      <c r="U1741" s="8" t="b">
        <v>0</v>
      </c>
      <c r="V1741" s="8" t="b">
        <v>0</v>
      </c>
      <c r="X1741" s="8" t="b">
        <v>0</v>
      </c>
      <c r="Y1741" s="8" t="b">
        <v>0</v>
      </c>
      <c r="Z1741" s="8" t="b">
        <v>0</v>
      </c>
      <c r="AA1741" s="8" t="b">
        <v>0</v>
      </c>
      <c r="AB1741" s="8" t="b">
        <v>0</v>
      </c>
      <c r="AC1741" s="8" t="b">
        <v>0</v>
      </c>
      <c r="AD1741" s="8" t="b">
        <v>0</v>
      </c>
      <c r="AE1741" s="8" t="b">
        <v>0</v>
      </c>
      <c r="AG1741" s="11" t="b" cm="1">
        <f t="array" ref="AG1741">IF(OR(Y1741:AA1741="TRUE", AE1741="true"), "Threatened")</f>
        <v>0</v>
      </c>
      <c r="AH1741" s="11" t="s">
        <v>4510</v>
      </c>
      <c r="AI1741" s="8" t="b">
        <v>1</v>
      </c>
    </row>
    <row r="1742" spans="1:35" ht="31.2">
      <c r="A1742" s="8">
        <v>-73.97369956</v>
      </c>
      <c r="B1742" s="8">
        <v>40.772271250000003</v>
      </c>
      <c r="C1742" s="8" t="s">
        <v>4511</v>
      </c>
      <c r="D1742" s="8" t="s">
        <v>1209</v>
      </c>
      <c r="E1742" s="8" t="b">
        <f t="shared" si="27"/>
        <v>0</v>
      </c>
      <c r="F1742" s="8" t="str" cm="1">
        <f t="array" ref="F1742">_xlfn._xlws.FILTER(E1742:E4940, C1742:C4940= "6D-PM-1020-01", "No Squirrels Found")</f>
        <v>No Squirrels Found</v>
      </c>
      <c r="G1742" s="8" t="s">
        <v>34</v>
      </c>
      <c r="H1742" s="10">
        <v>10082018</v>
      </c>
      <c r="I1742" s="10">
        <v>2</v>
      </c>
      <c r="J1742" s="8" t="s">
        <v>39</v>
      </c>
      <c r="K1742" s="8" t="s">
        <v>192</v>
      </c>
      <c r="L1742" s="8" t="s">
        <v>41</v>
      </c>
      <c r="M1742" s="8" t="s">
        <v>717</v>
      </c>
      <c r="O1742" s="8" t="s">
        <v>50</v>
      </c>
      <c r="P1742" s="8">
        <v>10</v>
      </c>
      <c r="Q1742" s="8" t="s">
        <v>466</v>
      </c>
      <c r="R1742" s="8" t="b">
        <v>1</v>
      </c>
      <c r="S1742" s="8" t="b">
        <v>0</v>
      </c>
      <c r="T1742" s="8" t="b">
        <v>1</v>
      </c>
      <c r="U1742" s="8" t="b">
        <v>0</v>
      </c>
      <c r="V1742" s="8" t="b">
        <v>0</v>
      </c>
      <c r="X1742" s="8" t="b">
        <v>0</v>
      </c>
      <c r="Y1742" s="8" t="b">
        <v>0</v>
      </c>
      <c r="Z1742" s="8" t="b">
        <v>0</v>
      </c>
      <c r="AA1742" s="8" t="b">
        <v>0</v>
      </c>
      <c r="AB1742" s="8" t="b">
        <v>0</v>
      </c>
      <c r="AC1742" s="8" t="b">
        <v>0</v>
      </c>
      <c r="AD1742" s="8" t="b">
        <v>0</v>
      </c>
      <c r="AE1742" s="8" t="b">
        <v>0</v>
      </c>
      <c r="AG1742" s="11" t="b" cm="1">
        <f t="array" ref="AG1742">IF(OR(Y1742:AA1742="TRUE", AE1742="true"), "Threatened")</f>
        <v>0</v>
      </c>
      <c r="AH1742" s="11" t="s">
        <v>4512</v>
      </c>
      <c r="AI1742" s="8" t="b">
        <v>1</v>
      </c>
    </row>
    <row r="1743" spans="1:35" ht="31.2">
      <c r="A1743" s="8">
        <v>-73.970102350000005</v>
      </c>
      <c r="B1743" s="8">
        <v>40.780352710000003</v>
      </c>
      <c r="C1743" s="8" t="s">
        <v>4513</v>
      </c>
      <c r="D1743" s="8" t="s">
        <v>163</v>
      </c>
      <c r="E1743" s="8" t="b">
        <f t="shared" si="27"/>
        <v>0</v>
      </c>
      <c r="F1743" s="8" t="str" cm="1">
        <f t="array" ref="F1743">_xlfn._xlws.FILTER(E1743:E4941, C1743:C4941= "6D-PM-1020-01", "No Squirrels Found")</f>
        <v>No Squirrels Found</v>
      </c>
      <c r="G1743" s="8" t="s">
        <v>34</v>
      </c>
      <c r="H1743" s="10">
        <v>10132018</v>
      </c>
      <c r="I1743" s="10">
        <v>4</v>
      </c>
      <c r="J1743" s="8" t="s">
        <v>39</v>
      </c>
      <c r="K1743" s="8" t="s">
        <v>40</v>
      </c>
      <c r="M1743" s="8" t="s">
        <v>55</v>
      </c>
      <c r="O1743" s="8" t="s">
        <v>43</v>
      </c>
      <c r="P1743" s="8" t="b">
        <v>0</v>
      </c>
      <c r="R1743" s="8" t="b">
        <v>0</v>
      </c>
      <c r="S1743" s="8" t="b">
        <v>0</v>
      </c>
      <c r="T1743" s="8" t="b">
        <v>0</v>
      </c>
      <c r="U1743" s="8" t="b">
        <v>1</v>
      </c>
      <c r="V1743" s="8" t="b">
        <v>0</v>
      </c>
      <c r="X1743" s="8" t="b">
        <v>0</v>
      </c>
      <c r="Y1743" s="8" t="b">
        <v>0</v>
      </c>
      <c r="Z1743" s="8" t="b">
        <v>0</v>
      </c>
      <c r="AA1743" s="8" t="b">
        <v>0</v>
      </c>
      <c r="AB1743" s="8" t="b">
        <v>0</v>
      </c>
      <c r="AC1743" s="8" t="b">
        <v>0</v>
      </c>
      <c r="AD1743" s="8" t="b">
        <v>1</v>
      </c>
      <c r="AE1743" s="8" t="b">
        <v>0</v>
      </c>
      <c r="AG1743" s="11" t="b" cm="1">
        <f t="array" ref="AG1743">IF(OR(Y1743:AA1743="TRUE", AE1743="true"), "Threatened")</f>
        <v>0</v>
      </c>
      <c r="AH1743" s="11" t="s">
        <v>4514</v>
      </c>
      <c r="AI1743" s="8" t="b">
        <v>1</v>
      </c>
    </row>
    <row r="1744" spans="1:35" ht="31.2">
      <c r="A1744" s="8">
        <v>-73.96354126</v>
      </c>
      <c r="B1744" s="8">
        <v>40.790252940000002</v>
      </c>
      <c r="C1744" s="8" t="s">
        <v>4515</v>
      </c>
      <c r="D1744" s="8" t="s">
        <v>911</v>
      </c>
      <c r="E1744" s="8" t="b">
        <f t="shared" si="27"/>
        <v>0</v>
      </c>
      <c r="F1744" s="8" t="str" cm="1">
        <f t="array" ref="F1744">_xlfn._xlws.FILTER(E1744:E4942, C1744:C4942= "6D-PM-1020-01", "No Squirrels Found")</f>
        <v>No Squirrels Found</v>
      </c>
      <c r="G1744" s="8" t="s">
        <v>48</v>
      </c>
      <c r="H1744" s="10">
        <v>10072018</v>
      </c>
      <c r="I1744" s="10">
        <v>11</v>
      </c>
      <c r="J1744" s="8" t="s">
        <v>39</v>
      </c>
      <c r="K1744" s="8" t="s">
        <v>40</v>
      </c>
      <c r="M1744" s="8" t="s">
        <v>55</v>
      </c>
      <c r="O1744" s="8" t="s">
        <v>43</v>
      </c>
      <c r="P1744" s="8" t="b">
        <v>0</v>
      </c>
      <c r="R1744" s="8" t="b">
        <v>0</v>
      </c>
      <c r="S1744" s="8" t="b">
        <v>0</v>
      </c>
      <c r="T1744" s="8" t="b">
        <v>0</v>
      </c>
      <c r="U1744" s="8" t="b">
        <v>1</v>
      </c>
      <c r="V1744" s="8" t="b">
        <v>0</v>
      </c>
      <c r="X1744" s="8" t="b">
        <v>0</v>
      </c>
      <c r="Y1744" s="8" t="b">
        <v>0</v>
      </c>
      <c r="Z1744" s="8" t="b">
        <v>0</v>
      </c>
      <c r="AA1744" s="8" t="b">
        <v>0</v>
      </c>
      <c r="AB1744" s="8" t="b">
        <v>0</v>
      </c>
      <c r="AC1744" s="8" t="b">
        <v>0</v>
      </c>
      <c r="AD1744" s="8" t="b">
        <v>1</v>
      </c>
      <c r="AE1744" s="8" t="b">
        <v>0</v>
      </c>
      <c r="AG1744" s="11" t="b" cm="1">
        <f t="array" ref="AG1744">IF(OR(Y1744:AA1744="TRUE", AE1744="true"), "Threatened")</f>
        <v>0</v>
      </c>
      <c r="AH1744" s="11" t="s">
        <v>4516</v>
      </c>
      <c r="AI1744" s="8" t="b">
        <v>1</v>
      </c>
    </row>
    <row r="1745" spans="1:35" ht="31.2">
      <c r="A1745" s="8">
        <v>-73.95846616</v>
      </c>
      <c r="B1745" s="8">
        <v>40.791206840000001</v>
      </c>
      <c r="C1745" s="8" t="s">
        <v>4517</v>
      </c>
      <c r="D1745" s="8" t="s">
        <v>92</v>
      </c>
      <c r="E1745" s="8" t="b">
        <f t="shared" si="27"/>
        <v>0</v>
      </c>
      <c r="F1745" s="8" t="str" cm="1">
        <f t="array" ref="F1745">_xlfn._xlws.FILTER(E1745:E4943, C1745:C4943= "6D-PM-1020-01", "No Squirrels Found")</f>
        <v>No Squirrels Found</v>
      </c>
      <c r="G1745" s="8" t="s">
        <v>34</v>
      </c>
      <c r="H1745" s="10">
        <v>10122018</v>
      </c>
      <c r="I1745" s="10">
        <v>1</v>
      </c>
      <c r="J1745" s="8" t="s">
        <v>39</v>
      </c>
      <c r="K1745" s="8" t="s">
        <v>40</v>
      </c>
      <c r="L1745" s="8" t="s">
        <v>117</v>
      </c>
      <c r="M1745" s="8" t="s">
        <v>118</v>
      </c>
      <c r="O1745" s="8" t="s">
        <v>43</v>
      </c>
      <c r="P1745" s="8" t="b">
        <v>0</v>
      </c>
      <c r="R1745" s="8" t="b">
        <v>0</v>
      </c>
      <c r="S1745" s="8" t="b">
        <v>0</v>
      </c>
      <c r="T1745" s="8" t="b">
        <v>0</v>
      </c>
      <c r="U1745" s="8" t="b">
        <v>1</v>
      </c>
      <c r="V1745" s="8" t="b">
        <v>1</v>
      </c>
      <c r="X1745" s="8" t="b">
        <v>0</v>
      </c>
      <c r="Y1745" s="8" t="b">
        <v>0</v>
      </c>
      <c r="Z1745" s="8" t="b">
        <v>0</v>
      </c>
      <c r="AA1745" s="8" t="b">
        <v>0</v>
      </c>
      <c r="AB1745" s="8" t="b">
        <v>1</v>
      </c>
      <c r="AC1745" s="8" t="b">
        <v>0</v>
      </c>
      <c r="AD1745" s="8" t="b">
        <v>1</v>
      </c>
      <c r="AE1745" s="8" t="b">
        <v>0</v>
      </c>
      <c r="AG1745" s="11" t="b" cm="1">
        <f t="array" ref="AG1745">IF(OR(Y1745:AA1745="TRUE", AE1745="true"), "Threatened")</f>
        <v>0</v>
      </c>
      <c r="AH1745" s="11" t="s">
        <v>4518</v>
      </c>
      <c r="AI1745" s="8" t="b">
        <v>1</v>
      </c>
    </row>
    <row r="1746" spans="1:35" ht="31.2">
      <c r="A1746" s="8">
        <v>-73.968843809999996</v>
      </c>
      <c r="B1746" s="8">
        <v>40.770301430000004</v>
      </c>
      <c r="C1746" s="8" t="s">
        <v>4519</v>
      </c>
      <c r="D1746" s="8" t="s">
        <v>1326</v>
      </c>
      <c r="E1746" s="8" t="b">
        <f t="shared" si="27"/>
        <v>0</v>
      </c>
      <c r="F1746" s="8" t="str" cm="1">
        <f t="array" ref="F1746">_xlfn._xlws.FILTER(E1746:E4944, C1746:C4944= "6D-PM-1020-01", "No Squirrels Found")</f>
        <v>No Squirrels Found</v>
      </c>
      <c r="G1746" s="8" t="s">
        <v>48</v>
      </c>
      <c r="H1746" s="10">
        <v>10062018</v>
      </c>
      <c r="I1746" s="10">
        <v>5</v>
      </c>
      <c r="J1746" s="8" t="s">
        <v>39</v>
      </c>
      <c r="K1746" s="8" t="s">
        <v>40</v>
      </c>
      <c r="L1746" s="8" t="s">
        <v>84</v>
      </c>
      <c r="M1746" s="8" t="s">
        <v>103</v>
      </c>
      <c r="O1746" s="8" t="s">
        <v>50</v>
      </c>
      <c r="P1746" s="8">
        <v>20</v>
      </c>
      <c r="Q1746" s="8" t="s">
        <v>206</v>
      </c>
      <c r="R1746" s="8" t="b">
        <v>0</v>
      </c>
      <c r="S1746" s="8" t="b">
        <v>0</v>
      </c>
      <c r="T1746" s="8" t="b">
        <v>1</v>
      </c>
      <c r="U1746" s="8" t="b">
        <v>0</v>
      </c>
      <c r="V1746" s="8" t="b">
        <v>0</v>
      </c>
      <c r="X1746" s="8" t="b">
        <v>0</v>
      </c>
      <c r="Y1746" s="8" t="b">
        <v>0</v>
      </c>
      <c r="Z1746" s="8" t="b">
        <v>0</v>
      </c>
      <c r="AA1746" s="8" t="b">
        <v>0</v>
      </c>
      <c r="AB1746" s="8" t="b">
        <v>0</v>
      </c>
      <c r="AC1746" s="8" t="b">
        <v>0</v>
      </c>
      <c r="AD1746" s="8" t="b">
        <v>1</v>
      </c>
      <c r="AE1746" s="8" t="b">
        <v>0</v>
      </c>
      <c r="AG1746" s="11" t="b" cm="1">
        <f t="array" ref="AG1746">IF(OR(Y1746:AA1746="TRUE", AE1746="true"), "Threatened")</f>
        <v>0</v>
      </c>
      <c r="AH1746" s="11" t="s">
        <v>4520</v>
      </c>
      <c r="AI1746" s="8" t="b">
        <v>1</v>
      </c>
    </row>
    <row r="1747" spans="1:35" ht="31.2">
      <c r="A1747" s="8">
        <v>-73.960347119999994</v>
      </c>
      <c r="B1747" s="8">
        <v>40.790600329999997</v>
      </c>
      <c r="C1747" s="8" t="s">
        <v>4521</v>
      </c>
      <c r="D1747" s="8" t="s">
        <v>75</v>
      </c>
      <c r="E1747" s="8" t="b">
        <f t="shared" si="27"/>
        <v>0</v>
      </c>
      <c r="F1747" s="8" t="str" cm="1">
        <f t="array" ref="F1747">_xlfn._xlws.FILTER(E1747:E4945, C1747:C4945= "6D-PM-1020-01", "No Squirrels Found")</f>
        <v>No Squirrels Found</v>
      </c>
      <c r="G1747" s="8" t="s">
        <v>34</v>
      </c>
      <c r="H1747" s="10">
        <v>10172018</v>
      </c>
      <c r="I1747" s="10">
        <v>15</v>
      </c>
      <c r="J1747" s="8" t="s">
        <v>39</v>
      </c>
      <c r="K1747" s="8" t="s">
        <v>40</v>
      </c>
      <c r="M1747" s="8" t="s">
        <v>55</v>
      </c>
      <c r="O1747" s="8" t="s">
        <v>43</v>
      </c>
      <c r="P1747" s="8" t="b">
        <v>0</v>
      </c>
      <c r="R1747" s="8" t="b">
        <v>0</v>
      </c>
      <c r="S1747" s="8" t="b">
        <v>0</v>
      </c>
      <c r="T1747" s="8" t="b">
        <v>0</v>
      </c>
      <c r="U1747" s="8" t="b">
        <v>0</v>
      </c>
      <c r="V1747" s="8" t="b">
        <v>1</v>
      </c>
      <c r="X1747" s="8" t="b">
        <v>0</v>
      </c>
      <c r="Y1747" s="8" t="b">
        <v>0</v>
      </c>
      <c r="Z1747" s="8" t="b">
        <v>0</v>
      </c>
      <c r="AA1747" s="8" t="b">
        <v>0</v>
      </c>
      <c r="AB1747" s="8" t="b">
        <v>0</v>
      </c>
      <c r="AC1747" s="8" t="b">
        <v>0</v>
      </c>
      <c r="AD1747" s="8" t="b">
        <v>0</v>
      </c>
      <c r="AE1747" s="8" t="b">
        <v>1</v>
      </c>
      <c r="AG1747" s="11" t="b" cm="1">
        <f t="array" ref="AG1747">IF(OR(Y1747:AA1747="TRUE", AE1747="true"), "Threatened")</f>
        <v>0</v>
      </c>
      <c r="AH1747" s="11" t="s">
        <v>4522</v>
      </c>
      <c r="AI1747" s="8" t="b">
        <v>1</v>
      </c>
    </row>
    <row r="1748" spans="1:35" ht="31.2">
      <c r="A1748" s="8">
        <v>-73.966576380000006</v>
      </c>
      <c r="B1748" s="8">
        <v>40.776131640000003</v>
      </c>
      <c r="C1748" s="8" t="s">
        <v>4523</v>
      </c>
      <c r="D1748" s="8" t="s">
        <v>672</v>
      </c>
      <c r="E1748" s="8" t="b">
        <f t="shared" si="27"/>
        <v>0</v>
      </c>
      <c r="F1748" s="8" t="str" cm="1">
        <f t="array" ref="F1748">_xlfn._xlws.FILTER(E1748:E4946, C1748:C4946= "6D-PM-1020-01", "No Squirrels Found")</f>
        <v>No Squirrels Found</v>
      </c>
      <c r="G1748" s="8" t="s">
        <v>48</v>
      </c>
      <c r="H1748" s="10">
        <v>10132018</v>
      </c>
      <c r="I1748" s="10">
        <v>3</v>
      </c>
      <c r="J1748" s="8" t="s">
        <v>39</v>
      </c>
      <c r="K1748" s="8" t="s">
        <v>40</v>
      </c>
      <c r="L1748" s="8" t="s">
        <v>84</v>
      </c>
      <c r="M1748" s="8" t="s">
        <v>103</v>
      </c>
      <c r="O1748" s="8" t="s">
        <v>50</v>
      </c>
      <c r="P1748" s="8">
        <v>10</v>
      </c>
      <c r="R1748" s="8" t="b">
        <v>0</v>
      </c>
      <c r="S1748" s="8" t="b">
        <v>0</v>
      </c>
      <c r="T1748" s="8" t="b">
        <v>1</v>
      </c>
      <c r="U1748" s="8" t="b">
        <v>0</v>
      </c>
      <c r="V1748" s="8" t="b">
        <v>0</v>
      </c>
      <c r="X1748" s="8" t="b">
        <v>0</v>
      </c>
      <c r="Y1748" s="8" t="b">
        <v>0</v>
      </c>
      <c r="Z1748" s="8" t="b">
        <v>0</v>
      </c>
      <c r="AA1748" s="8" t="b">
        <v>0</v>
      </c>
      <c r="AB1748" s="8" t="b">
        <v>0</v>
      </c>
      <c r="AC1748" s="8" t="b">
        <v>0</v>
      </c>
      <c r="AD1748" s="8" t="b">
        <v>1</v>
      </c>
      <c r="AE1748" s="8" t="b">
        <v>0</v>
      </c>
      <c r="AG1748" s="11" t="b" cm="1">
        <f t="array" ref="AG1748">IF(OR(Y1748:AA1748="TRUE", AE1748="true"), "Threatened")</f>
        <v>0</v>
      </c>
      <c r="AH1748" s="11" t="s">
        <v>4524</v>
      </c>
      <c r="AI1748" s="8" t="b">
        <v>1</v>
      </c>
    </row>
    <row r="1749" spans="1:35" ht="31.2">
      <c r="A1749" s="8">
        <v>-73.955710330000002</v>
      </c>
      <c r="B1749" s="8">
        <v>40.797451080000002</v>
      </c>
      <c r="C1749" s="8" t="s">
        <v>4525</v>
      </c>
      <c r="D1749" s="8" t="s">
        <v>439</v>
      </c>
      <c r="E1749" s="8" t="b">
        <f t="shared" si="27"/>
        <v>0</v>
      </c>
      <c r="F1749" s="8" t="str" cm="1">
        <f t="array" ref="F1749">_xlfn._xlws.FILTER(E1749:E4947, C1749:C4947= "6D-PM-1020-01", "No Squirrels Found")</f>
        <v>No Squirrels Found</v>
      </c>
      <c r="G1749" s="8" t="s">
        <v>48</v>
      </c>
      <c r="H1749" s="10">
        <v>10132018</v>
      </c>
      <c r="I1749" s="10">
        <v>3</v>
      </c>
      <c r="J1749" s="8" t="s">
        <v>39</v>
      </c>
      <c r="K1749" s="8" t="s">
        <v>40</v>
      </c>
      <c r="L1749" s="8" t="s">
        <v>41</v>
      </c>
      <c r="M1749" s="8" t="s">
        <v>42</v>
      </c>
      <c r="O1749" s="8" t="s">
        <v>43</v>
      </c>
      <c r="P1749" s="8" t="b">
        <v>0</v>
      </c>
      <c r="R1749" s="8" t="b">
        <v>1</v>
      </c>
      <c r="S1749" s="8" t="b">
        <v>0</v>
      </c>
      <c r="T1749" s="8" t="b">
        <v>0</v>
      </c>
      <c r="U1749" s="8" t="b">
        <v>0</v>
      </c>
      <c r="V1749" s="8" t="b">
        <v>1</v>
      </c>
      <c r="X1749" s="8" t="b">
        <v>0</v>
      </c>
      <c r="Y1749" s="8" t="b">
        <v>0</v>
      </c>
      <c r="Z1749" s="8" t="b">
        <v>0</v>
      </c>
      <c r="AA1749" s="8" t="b">
        <v>0</v>
      </c>
      <c r="AB1749" s="8" t="b">
        <v>0</v>
      </c>
      <c r="AC1749" s="8" t="b">
        <v>0</v>
      </c>
      <c r="AD1749" s="8" t="b">
        <v>1</v>
      </c>
      <c r="AE1749" s="8" t="b">
        <v>0</v>
      </c>
      <c r="AG1749" s="11" t="b" cm="1">
        <f t="array" ref="AG1749">IF(OR(Y1749:AA1749="TRUE", AE1749="true"), "Threatened")</f>
        <v>0</v>
      </c>
      <c r="AH1749" s="11" t="s">
        <v>4526</v>
      </c>
      <c r="AI1749" s="8" t="b">
        <v>1</v>
      </c>
    </row>
    <row r="1750" spans="1:35" ht="31.2">
      <c r="A1750" s="8">
        <v>-73.97568253</v>
      </c>
      <c r="B1750" s="8">
        <v>40.775554249999999</v>
      </c>
      <c r="C1750" s="8" t="s">
        <v>4527</v>
      </c>
      <c r="D1750" s="8" t="s">
        <v>1640</v>
      </c>
      <c r="E1750" s="8" t="b">
        <f t="shared" si="27"/>
        <v>0</v>
      </c>
      <c r="F1750" s="8" t="str" cm="1">
        <f t="array" ref="F1750">_xlfn._xlws.FILTER(E1750:E4948, C1750:C4948= "6D-PM-1020-01", "No Squirrels Found")</f>
        <v>No Squirrels Found</v>
      </c>
      <c r="G1750" s="8" t="s">
        <v>34</v>
      </c>
      <c r="H1750" s="10">
        <v>10132018</v>
      </c>
      <c r="I1750" s="10">
        <v>2</v>
      </c>
      <c r="J1750" s="8" t="s">
        <v>39</v>
      </c>
      <c r="K1750" s="8" t="s">
        <v>41</v>
      </c>
      <c r="L1750" s="8" t="s">
        <v>40</v>
      </c>
      <c r="M1750" s="8" t="s">
        <v>110</v>
      </c>
      <c r="O1750" s="8" t="s">
        <v>43</v>
      </c>
      <c r="P1750" s="8" t="b">
        <v>0</v>
      </c>
      <c r="R1750" s="8" t="b">
        <v>1</v>
      </c>
      <c r="S1750" s="8" t="b">
        <v>0</v>
      </c>
      <c r="T1750" s="8" t="b">
        <v>0</v>
      </c>
      <c r="U1750" s="8" t="b">
        <v>0</v>
      </c>
      <c r="V1750" s="8" t="b">
        <v>1</v>
      </c>
      <c r="X1750" s="8" t="b">
        <v>0</v>
      </c>
      <c r="Y1750" s="8" t="b">
        <v>0</v>
      </c>
      <c r="Z1750" s="8" t="b">
        <v>0</v>
      </c>
      <c r="AA1750" s="8" t="b">
        <v>0</v>
      </c>
      <c r="AB1750" s="8" t="b">
        <v>0</v>
      </c>
      <c r="AC1750" s="8" t="b">
        <v>0</v>
      </c>
      <c r="AD1750" s="8" t="b">
        <v>1</v>
      </c>
      <c r="AE1750" s="8" t="b">
        <v>0</v>
      </c>
      <c r="AG1750" s="11" t="b" cm="1">
        <f t="array" ref="AG1750">IF(OR(Y1750:AA1750="TRUE", AE1750="true"), "Threatened")</f>
        <v>0</v>
      </c>
      <c r="AH1750" s="11" t="s">
        <v>4528</v>
      </c>
      <c r="AI1750" s="8" t="b">
        <v>1</v>
      </c>
    </row>
    <row r="1751" spans="1:35" ht="31.2">
      <c r="A1751" s="8">
        <v>-73.968480630000002</v>
      </c>
      <c r="B1751" s="8">
        <v>40.785877620000001</v>
      </c>
      <c r="C1751" s="8" t="s">
        <v>4529</v>
      </c>
      <c r="D1751" s="8" t="s">
        <v>1444</v>
      </c>
      <c r="E1751" s="8" t="b">
        <f t="shared" si="27"/>
        <v>0</v>
      </c>
      <c r="F1751" s="8" t="str" cm="1">
        <f t="array" ref="F1751">_xlfn._xlws.FILTER(E1751:E4949, C1751:C4949= "6D-PM-1020-01", "No Squirrels Found")</f>
        <v>No Squirrels Found</v>
      </c>
      <c r="G1751" s="8" t="s">
        <v>34</v>
      </c>
      <c r="H1751" s="10">
        <v>10072018</v>
      </c>
      <c r="I1751" s="10">
        <v>3</v>
      </c>
      <c r="J1751" s="8" t="s">
        <v>39</v>
      </c>
      <c r="K1751" s="8" t="s">
        <v>40</v>
      </c>
      <c r="M1751" s="8" t="s">
        <v>55</v>
      </c>
      <c r="O1751" s="8" t="s">
        <v>43</v>
      </c>
      <c r="P1751" s="8" t="b">
        <v>0</v>
      </c>
      <c r="R1751" s="8" t="b">
        <v>1</v>
      </c>
      <c r="S1751" s="8" t="b">
        <v>0</v>
      </c>
      <c r="T1751" s="8" t="b">
        <v>0</v>
      </c>
      <c r="U1751" s="8" t="b">
        <v>0</v>
      </c>
      <c r="V1751" s="8" t="b">
        <v>0</v>
      </c>
      <c r="X1751" s="8" t="b">
        <v>0</v>
      </c>
      <c r="Y1751" s="8" t="b">
        <v>0</v>
      </c>
      <c r="Z1751" s="8" t="b">
        <v>0</v>
      </c>
      <c r="AA1751" s="8" t="b">
        <v>0</v>
      </c>
      <c r="AB1751" s="8" t="b">
        <v>0</v>
      </c>
      <c r="AC1751" s="8" t="b">
        <v>0</v>
      </c>
      <c r="AD1751" s="8" t="b">
        <v>1</v>
      </c>
      <c r="AE1751" s="8" t="b">
        <v>0</v>
      </c>
      <c r="AG1751" s="11" t="b" cm="1">
        <f t="array" ref="AG1751">IF(OR(Y1751:AA1751="TRUE", AE1751="true"), "Threatened")</f>
        <v>0</v>
      </c>
      <c r="AH1751" s="11" t="s">
        <v>4530</v>
      </c>
      <c r="AI1751" s="8" t="b">
        <v>1</v>
      </c>
    </row>
    <row r="1752" spans="1:35" ht="31.2">
      <c r="A1752" s="8">
        <v>-73.959404590000005</v>
      </c>
      <c r="B1752" s="8">
        <v>40.784088689999997</v>
      </c>
      <c r="C1752" s="8" t="s">
        <v>4531</v>
      </c>
      <c r="D1752" s="8" t="s">
        <v>848</v>
      </c>
      <c r="E1752" s="8" t="b">
        <f t="shared" si="27"/>
        <v>0</v>
      </c>
      <c r="F1752" s="8" t="str" cm="1">
        <f t="array" ref="F1752">_xlfn._xlws.FILTER(E1752:E4950, C1752:C4950= "6D-PM-1020-01", "No Squirrels Found")</f>
        <v>No Squirrels Found</v>
      </c>
      <c r="G1752" s="8" t="s">
        <v>48</v>
      </c>
      <c r="H1752" s="10">
        <v>10102018</v>
      </c>
      <c r="I1752" s="10">
        <v>1</v>
      </c>
      <c r="J1752" s="8" t="s">
        <v>39</v>
      </c>
      <c r="K1752" s="8" t="s">
        <v>40</v>
      </c>
      <c r="M1752" s="8" t="s">
        <v>55</v>
      </c>
      <c r="O1752" s="8" t="s">
        <v>50</v>
      </c>
      <c r="P1752" s="8">
        <v>40</v>
      </c>
      <c r="R1752" s="8" t="b">
        <v>0</v>
      </c>
      <c r="S1752" s="8" t="b">
        <v>0</v>
      </c>
      <c r="T1752" s="8" t="b">
        <v>0</v>
      </c>
      <c r="U1752" s="8" t="b">
        <v>0</v>
      </c>
      <c r="V1752" s="8" t="b">
        <v>1</v>
      </c>
      <c r="X1752" s="8" t="b">
        <v>0</v>
      </c>
      <c r="Y1752" s="8" t="b">
        <v>0</v>
      </c>
      <c r="Z1752" s="8" t="b">
        <v>0</v>
      </c>
      <c r="AA1752" s="8" t="b">
        <v>0</v>
      </c>
      <c r="AB1752" s="8" t="b">
        <v>0</v>
      </c>
      <c r="AC1752" s="8" t="b">
        <v>0</v>
      </c>
      <c r="AD1752" s="8" t="b">
        <v>0</v>
      </c>
      <c r="AE1752" s="8" t="b">
        <v>0</v>
      </c>
      <c r="AG1752" s="11" t="b" cm="1">
        <f t="array" ref="AG1752">IF(OR(Y1752:AA1752="TRUE", AE1752="true"), "Threatened")</f>
        <v>0</v>
      </c>
      <c r="AH1752" s="11" t="s">
        <v>4532</v>
      </c>
      <c r="AI1752" s="8" t="b">
        <v>1</v>
      </c>
    </row>
    <row r="1753" spans="1:35" ht="31.2">
      <c r="A1753" s="8">
        <v>-73.956109170000005</v>
      </c>
      <c r="B1753" s="8">
        <v>40.798146299999999</v>
      </c>
      <c r="C1753" s="8" t="s">
        <v>4533</v>
      </c>
      <c r="D1753" s="8" t="s">
        <v>353</v>
      </c>
      <c r="E1753" s="8" t="b">
        <f t="shared" si="27"/>
        <v>0</v>
      </c>
      <c r="F1753" s="8" t="str" cm="1">
        <f t="array" ref="F1753">_xlfn._xlws.FILTER(E1753:E4951, C1753:C4951= "6D-PM-1020-01", "No Squirrels Found")</f>
        <v>No Squirrels Found</v>
      </c>
      <c r="G1753" s="8" t="s">
        <v>48</v>
      </c>
      <c r="H1753" s="10">
        <v>10142018</v>
      </c>
      <c r="I1753" s="10">
        <v>4</v>
      </c>
      <c r="J1753" s="8" t="s">
        <v>39</v>
      </c>
      <c r="K1753" s="8" t="s">
        <v>40</v>
      </c>
      <c r="M1753" s="8" t="s">
        <v>55</v>
      </c>
      <c r="O1753" s="8" t="s">
        <v>43</v>
      </c>
      <c r="P1753" s="8" t="b">
        <v>0</v>
      </c>
      <c r="R1753" s="8" t="b">
        <v>1</v>
      </c>
      <c r="S1753" s="8" t="b">
        <v>0</v>
      </c>
      <c r="T1753" s="8" t="b">
        <v>0</v>
      </c>
      <c r="U1753" s="8" t="b">
        <v>0</v>
      </c>
      <c r="V1753" s="8" t="b">
        <v>0</v>
      </c>
      <c r="X1753" s="8" t="b">
        <v>0</v>
      </c>
      <c r="Y1753" s="8" t="b">
        <v>0</v>
      </c>
      <c r="Z1753" s="8" t="b">
        <v>0</v>
      </c>
      <c r="AA1753" s="8" t="b">
        <v>0</v>
      </c>
      <c r="AB1753" s="8" t="b">
        <v>0</v>
      </c>
      <c r="AC1753" s="8" t="b">
        <v>0</v>
      </c>
      <c r="AD1753" s="8" t="b">
        <v>1</v>
      </c>
      <c r="AE1753" s="8" t="b">
        <v>0</v>
      </c>
      <c r="AG1753" s="11" t="b" cm="1">
        <f t="array" ref="AG1753">IF(OR(Y1753:AA1753="TRUE", AE1753="true"), "Threatened")</f>
        <v>0</v>
      </c>
      <c r="AH1753" s="11" t="s">
        <v>4534</v>
      </c>
      <c r="AI1753" s="8" t="b">
        <v>1</v>
      </c>
    </row>
    <row r="1754" spans="1:35" ht="31.2">
      <c r="A1754" s="8">
        <v>-73.973343740000004</v>
      </c>
      <c r="B1754" s="8">
        <v>40.778240150000002</v>
      </c>
      <c r="C1754" s="8" t="s">
        <v>4535</v>
      </c>
      <c r="D1754" s="8" t="s">
        <v>1764</v>
      </c>
      <c r="E1754" s="8" t="b">
        <f t="shared" si="27"/>
        <v>0</v>
      </c>
      <c r="F1754" s="8" t="str" cm="1">
        <f t="array" ref="F1754">_xlfn._xlws.FILTER(E1754:E4952, C1754:C4952= "6D-PM-1020-01", "No Squirrels Found")</f>
        <v>No Squirrels Found</v>
      </c>
      <c r="G1754" s="8" t="s">
        <v>34</v>
      </c>
      <c r="H1754" s="10">
        <v>10142018</v>
      </c>
      <c r="I1754" s="10">
        <v>7</v>
      </c>
      <c r="J1754" s="8" t="s">
        <v>39</v>
      </c>
      <c r="K1754" s="8" t="s">
        <v>40</v>
      </c>
      <c r="L1754" s="8" t="s">
        <v>41</v>
      </c>
      <c r="M1754" s="8" t="s">
        <v>42</v>
      </c>
      <c r="O1754" s="8" t="s">
        <v>43</v>
      </c>
      <c r="P1754" s="8" t="b">
        <v>0</v>
      </c>
      <c r="R1754" s="8" t="b">
        <v>0</v>
      </c>
      <c r="S1754" s="8" t="b">
        <v>0</v>
      </c>
      <c r="T1754" s="8" t="b">
        <v>0</v>
      </c>
      <c r="U1754" s="8" t="b">
        <v>0</v>
      </c>
      <c r="V1754" s="8" t="b">
        <v>1</v>
      </c>
      <c r="X1754" s="8" t="b">
        <v>0</v>
      </c>
      <c r="Y1754" s="8" t="b">
        <v>0</v>
      </c>
      <c r="Z1754" s="8" t="b">
        <v>0</v>
      </c>
      <c r="AA1754" s="8" t="b">
        <v>0</v>
      </c>
      <c r="AB1754" s="8" t="b">
        <v>0</v>
      </c>
      <c r="AC1754" s="8" t="b">
        <v>0</v>
      </c>
      <c r="AD1754" s="8" t="b">
        <v>0</v>
      </c>
      <c r="AE1754" s="8" t="b">
        <v>0</v>
      </c>
      <c r="AG1754" s="11" t="b" cm="1">
        <f t="array" ref="AG1754">IF(OR(Y1754:AA1754="TRUE", AE1754="true"), "Threatened")</f>
        <v>0</v>
      </c>
      <c r="AH1754" s="11" t="s">
        <v>4536</v>
      </c>
      <c r="AI1754" s="8" t="b">
        <v>1</v>
      </c>
    </row>
    <row r="1755" spans="1:35" ht="31.2">
      <c r="A1755" s="8">
        <v>-73.965213449999993</v>
      </c>
      <c r="B1755" s="8">
        <v>40.78034383</v>
      </c>
      <c r="C1755" s="8" t="s">
        <v>4537</v>
      </c>
      <c r="D1755" s="8" t="s">
        <v>1035</v>
      </c>
      <c r="E1755" s="8" t="b">
        <f t="shared" si="27"/>
        <v>0</v>
      </c>
      <c r="F1755" s="8" t="str" cm="1">
        <f t="array" ref="F1755">_xlfn._xlws.FILTER(E1755:E4953, C1755:C4953= "6D-PM-1020-01", "No Squirrels Found")</f>
        <v>No Squirrels Found</v>
      </c>
      <c r="G1755" s="8" t="s">
        <v>34</v>
      </c>
      <c r="H1755" s="10">
        <v>10172018</v>
      </c>
      <c r="I1755" s="10">
        <v>5</v>
      </c>
      <c r="J1755" s="8" t="s">
        <v>39</v>
      </c>
      <c r="K1755" s="8" t="s">
        <v>40</v>
      </c>
      <c r="L1755" s="8" t="s">
        <v>41</v>
      </c>
      <c r="M1755" s="8" t="s">
        <v>42</v>
      </c>
      <c r="O1755" s="8" t="s">
        <v>43</v>
      </c>
      <c r="P1755" s="8" t="b">
        <v>0</v>
      </c>
      <c r="R1755" s="8" t="b">
        <v>1</v>
      </c>
      <c r="S1755" s="8" t="b">
        <v>1</v>
      </c>
      <c r="T1755" s="8" t="b">
        <v>1</v>
      </c>
      <c r="U1755" s="8" t="b">
        <v>0</v>
      </c>
      <c r="V1755" s="8" t="b">
        <v>0</v>
      </c>
      <c r="X1755" s="8" t="b">
        <v>0</v>
      </c>
      <c r="Y1755" s="8" t="b">
        <v>0</v>
      </c>
      <c r="Z1755" s="8" t="b">
        <v>0</v>
      </c>
      <c r="AA1755" s="8" t="b">
        <v>0</v>
      </c>
      <c r="AB1755" s="8" t="b">
        <v>1</v>
      </c>
      <c r="AC1755" s="8" t="b">
        <v>0</v>
      </c>
      <c r="AD1755" s="8" t="b">
        <v>0</v>
      </c>
      <c r="AE1755" s="8" t="b">
        <v>1</v>
      </c>
      <c r="AG1755" s="11" t="b" cm="1">
        <f t="array" ref="AG1755">IF(OR(Y1755:AA1755="TRUE", AE1755="true"), "Threatened")</f>
        <v>0</v>
      </c>
      <c r="AH1755" s="11" t="s">
        <v>4538</v>
      </c>
      <c r="AI1755" s="8" t="b">
        <v>1</v>
      </c>
    </row>
    <row r="1756" spans="1:35" ht="31.2">
      <c r="A1756" s="8">
        <v>-73.971479819999999</v>
      </c>
      <c r="B1756" s="8">
        <v>40.769523190000001</v>
      </c>
      <c r="C1756" s="8" t="s">
        <v>4539</v>
      </c>
      <c r="D1756" s="8" t="s">
        <v>549</v>
      </c>
      <c r="E1756" s="8" t="b">
        <f t="shared" si="27"/>
        <v>0</v>
      </c>
      <c r="F1756" s="8" t="str" cm="1">
        <f t="array" ref="F1756">_xlfn._xlws.FILTER(E1756:E4954, C1756:C4954= "6D-PM-1020-01", "No Squirrels Found")</f>
        <v>No Squirrels Found</v>
      </c>
      <c r="G1756" s="8" t="s">
        <v>34</v>
      </c>
      <c r="H1756" s="10">
        <v>10202018</v>
      </c>
      <c r="I1756" s="10">
        <v>2</v>
      </c>
      <c r="J1756" s="8" t="s">
        <v>39</v>
      </c>
      <c r="M1756" s="8" t="s">
        <v>35</v>
      </c>
      <c r="O1756" s="8" t="s">
        <v>50</v>
      </c>
      <c r="Q1756" s="8" t="s">
        <v>4540</v>
      </c>
      <c r="R1756" s="8" t="b">
        <v>0</v>
      </c>
      <c r="S1756" s="8" t="b">
        <v>0</v>
      </c>
      <c r="T1756" s="8" t="b">
        <v>1</v>
      </c>
      <c r="U1756" s="8" t="b">
        <v>0</v>
      </c>
      <c r="V1756" s="8" t="b">
        <v>0</v>
      </c>
      <c r="X1756" s="8" t="b">
        <v>0</v>
      </c>
      <c r="Y1756" s="8" t="b">
        <v>0</v>
      </c>
      <c r="Z1756" s="8" t="b">
        <v>0</v>
      </c>
      <c r="AA1756" s="8" t="b">
        <v>0</v>
      </c>
      <c r="AB1756" s="8" t="b">
        <v>0</v>
      </c>
      <c r="AC1756" s="8" t="b">
        <v>0</v>
      </c>
      <c r="AD1756" s="8" t="b">
        <v>0</v>
      </c>
      <c r="AE1756" s="8" t="b">
        <v>1</v>
      </c>
      <c r="AF1756" s="11" t="s">
        <v>782</v>
      </c>
      <c r="AG1756" s="11" t="b" cm="1">
        <f t="array" ref="AG1756">IF(OR(Y1756:AA1756="TRUE", AE1756="true"), "Threatened")</f>
        <v>0</v>
      </c>
      <c r="AH1756" s="11" t="s">
        <v>4541</v>
      </c>
      <c r="AI1756" s="8" t="b">
        <v>1</v>
      </c>
    </row>
    <row r="1757" spans="1:35" ht="31.2">
      <c r="A1757" s="8">
        <v>-73.975504130000004</v>
      </c>
      <c r="B1757" s="8">
        <v>40.767821390000002</v>
      </c>
      <c r="C1757" s="8" t="s">
        <v>4542</v>
      </c>
      <c r="D1757" s="8" t="s">
        <v>1706</v>
      </c>
      <c r="E1757" s="8" t="b">
        <f t="shared" si="27"/>
        <v>0</v>
      </c>
      <c r="F1757" s="8" t="str" cm="1">
        <f t="array" ref="F1757">_xlfn._xlws.FILTER(E1757:E4955, C1757:C4955= "6D-PM-1020-01", "No Squirrels Found")</f>
        <v>No Squirrels Found</v>
      </c>
      <c r="G1757" s="8" t="s">
        <v>48</v>
      </c>
      <c r="H1757" s="10">
        <v>10062018</v>
      </c>
      <c r="I1757" s="10">
        <v>13</v>
      </c>
      <c r="J1757" s="8" t="s">
        <v>54</v>
      </c>
      <c r="K1757" s="8" t="s">
        <v>40</v>
      </c>
      <c r="L1757" s="8" t="s">
        <v>84</v>
      </c>
      <c r="M1757" s="8" t="s">
        <v>103</v>
      </c>
      <c r="O1757" s="8" t="s">
        <v>43</v>
      </c>
      <c r="P1757" s="8" t="b">
        <v>0</v>
      </c>
      <c r="R1757" s="8" t="b">
        <v>1</v>
      </c>
      <c r="S1757" s="8" t="b">
        <v>0</v>
      </c>
      <c r="T1757" s="8" t="b">
        <v>0</v>
      </c>
      <c r="U1757" s="8" t="b">
        <v>0</v>
      </c>
      <c r="V1757" s="8" t="b">
        <v>1</v>
      </c>
      <c r="X1757" s="8" t="b">
        <v>0</v>
      </c>
      <c r="Y1757" s="8" t="b">
        <v>0</v>
      </c>
      <c r="Z1757" s="8" t="b">
        <v>0</v>
      </c>
      <c r="AA1757" s="8" t="b">
        <v>0</v>
      </c>
      <c r="AB1757" s="8" t="b">
        <v>0</v>
      </c>
      <c r="AC1757" s="8" t="b">
        <v>1</v>
      </c>
      <c r="AD1757" s="8" t="b">
        <v>0</v>
      </c>
      <c r="AE1757" s="8" t="b">
        <v>0</v>
      </c>
      <c r="AG1757" s="11" t="b" cm="1">
        <f t="array" ref="AG1757">IF(OR(Y1757:AA1757="TRUE", AE1757="true"), "Threatened")</f>
        <v>0</v>
      </c>
      <c r="AH1757" s="11" t="s">
        <v>4543</v>
      </c>
      <c r="AI1757" s="8" t="b">
        <v>1</v>
      </c>
    </row>
    <row r="1758" spans="1:35" ht="31.2">
      <c r="A1758" s="8">
        <v>-73.96015611</v>
      </c>
      <c r="B1758" s="8">
        <v>40.790051390000002</v>
      </c>
      <c r="C1758" s="8" t="s">
        <v>4544</v>
      </c>
      <c r="D1758" s="8" t="s">
        <v>1409</v>
      </c>
      <c r="E1758" s="8" t="b">
        <f t="shared" si="27"/>
        <v>0</v>
      </c>
      <c r="F1758" s="8" t="str" cm="1">
        <f t="array" ref="F1758">_xlfn._xlws.FILTER(E1758:E4956, C1758:C4956= "6D-PM-1020-01", "No Squirrels Found")</f>
        <v>No Squirrels Found</v>
      </c>
      <c r="G1758" s="8" t="s">
        <v>34</v>
      </c>
      <c r="H1758" s="10">
        <v>10062018</v>
      </c>
      <c r="I1758" s="10">
        <v>8</v>
      </c>
      <c r="J1758" s="8" t="s">
        <v>39</v>
      </c>
      <c r="K1758" s="8" t="s">
        <v>40</v>
      </c>
      <c r="L1758" s="8" t="s">
        <v>41</v>
      </c>
      <c r="M1758" s="8" t="s">
        <v>42</v>
      </c>
      <c r="O1758" s="8" t="s">
        <v>43</v>
      </c>
      <c r="P1758" s="8" t="b">
        <v>0</v>
      </c>
      <c r="R1758" s="8" t="b">
        <v>0</v>
      </c>
      <c r="S1758" s="8" t="b">
        <v>0</v>
      </c>
      <c r="T1758" s="8" t="b">
        <v>0</v>
      </c>
      <c r="U1758" s="8" t="b">
        <v>0</v>
      </c>
      <c r="V1758" s="8" t="b">
        <v>1</v>
      </c>
      <c r="X1758" s="8" t="b">
        <v>0</v>
      </c>
      <c r="Y1758" s="8" t="b">
        <v>0</v>
      </c>
      <c r="Z1758" s="8" t="b">
        <v>0</v>
      </c>
      <c r="AA1758" s="8" t="b">
        <v>0</v>
      </c>
      <c r="AB1758" s="8" t="b">
        <v>0</v>
      </c>
      <c r="AC1758" s="8" t="b">
        <v>0</v>
      </c>
      <c r="AD1758" s="8" t="b">
        <v>1</v>
      </c>
      <c r="AE1758" s="8" t="b">
        <v>0</v>
      </c>
      <c r="AG1758" s="11" t="b" cm="1">
        <f t="array" ref="AG1758">IF(OR(Y1758:AA1758="TRUE", AE1758="true"), "Threatened")</f>
        <v>0</v>
      </c>
      <c r="AH1758" s="11" t="s">
        <v>4545</v>
      </c>
      <c r="AI1758" s="8" t="b">
        <v>1</v>
      </c>
    </row>
    <row r="1759" spans="1:35" ht="31.2">
      <c r="A1759" s="8">
        <v>-73.958124190000007</v>
      </c>
      <c r="B1759" s="8">
        <v>40.796105750000002</v>
      </c>
      <c r="C1759" s="8" t="s">
        <v>4546</v>
      </c>
      <c r="D1759" s="8" t="s">
        <v>191</v>
      </c>
      <c r="E1759" s="8" t="b">
        <f t="shared" si="27"/>
        <v>0</v>
      </c>
      <c r="F1759" s="8" t="str" cm="1">
        <f t="array" ref="F1759">_xlfn._xlws.FILTER(E1759:E4957, C1759:C4957= "6D-PM-1020-01", "No Squirrels Found")</f>
        <v>No Squirrels Found</v>
      </c>
      <c r="G1759" s="8" t="s">
        <v>48</v>
      </c>
      <c r="H1759" s="10">
        <v>10192018</v>
      </c>
      <c r="I1759" s="10">
        <v>5</v>
      </c>
      <c r="J1759" s="8" t="s">
        <v>39</v>
      </c>
      <c r="K1759" s="8" t="s">
        <v>40</v>
      </c>
      <c r="L1759" s="8" t="s">
        <v>84</v>
      </c>
      <c r="M1759" s="8" t="s">
        <v>103</v>
      </c>
      <c r="O1759" s="8" t="s">
        <v>43</v>
      </c>
      <c r="P1759" s="8" t="b">
        <v>0</v>
      </c>
      <c r="R1759" s="8" t="b">
        <v>1</v>
      </c>
      <c r="S1759" s="8" t="b">
        <v>0</v>
      </c>
      <c r="T1759" s="8" t="b">
        <v>0</v>
      </c>
      <c r="U1759" s="8" t="b">
        <v>0</v>
      </c>
      <c r="V1759" s="8" t="b">
        <v>0</v>
      </c>
      <c r="X1759" s="8" t="b">
        <v>0</v>
      </c>
      <c r="Y1759" s="8" t="b">
        <v>0</v>
      </c>
      <c r="Z1759" s="8" t="b">
        <v>0</v>
      </c>
      <c r="AA1759" s="8" t="b">
        <v>0</v>
      </c>
      <c r="AB1759" s="8" t="b">
        <v>0</v>
      </c>
      <c r="AC1759" s="8" t="b">
        <v>0</v>
      </c>
      <c r="AD1759" s="8" t="b">
        <v>0</v>
      </c>
      <c r="AE1759" s="8" t="b">
        <v>1</v>
      </c>
      <c r="AG1759" s="11" t="b" cm="1">
        <f t="array" ref="AG1759">IF(OR(Y1759:AA1759="TRUE", AE1759="true"), "Threatened")</f>
        <v>0</v>
      </c>
      <c r="AH1759" s="11" t="s">
        <v>4547</v>
      </c>
      <c r="AI1759" s="8" t="b">
        <v>1</v>
      </c>
    </row>
    <row r="1760" spans="1:35" ht="31.2">
      <c r="A1760" s="8">
        <v>-73.957621959999997</v>
      </c>
      <c r="B1760" s="8">
        <v>40.796335120000002</v>
      </c>
      <c r="C1760" s="8" t="s">
        <v>4548</v>
      </c>
      <c r="D1760" s="8" t="s">
        <v>191</v>
      </c>
      <c r="E1760" s="8" t="b">
        <f t="shared" si="27"/>
        <v>0</v>
      </c>
      <c r="F1760" s="8" t="str" cm="1">
        <f t="array" ref="F1760">_xlfn._xlws.FILTER(E1760:E4958, C1760:C4958= "6D-PM-1020-01", "No Squirrels Found")</f>
        <v>No Squirrels Found</v>
      </c>
      <c r="G1760" s="8" t="s">
        <v>48</v>
      </c>
      <c r="H1760" s="10">
        <v>10192018</v>
      </c>
      <c r="I1760" s="10">
        <v>3</v>
      </c>
      <c r="J1760" s="8" t="s">
        <v>54</v>
      </c>
      <c r="K1760" s="8" t="s">
        <v>40</v>
      </c>
      <c r="L1760" s="8" t="s">
        <v>84</v>
      </c>
      <c r="M1760" s="8" t="s">
        <v>103</v>
      </c>
      <c r="O1760" s="8" t="s">
        <v>43</v>
      </c>
      <c r="P1760" s="8" t="b">
        <v>0</v>
      </c>
      <c r="R1760" s="8" t="b">
        <v>0</v>
      </c>
      <c r="S1760" s="8" t="b">
        <v>0</v>
      </c>
      <c r="T1760" s="8" t="b">
        <v>0</v>
      </c>
      <c r="U1760" s="8" t="b">
        <v>0</v>
      </c>
      <c r="V1760" s="8" t="b">
        <v>1</v>
      </c>
      <c r="X1760" s="8" t="b">
        <v>0</v>
      </c>
      <c r="Y1760" s="8" t="b">
        <v>0</v>
      </c>
      <c r="Z1760" s="8" t="b">
        <v>0</v>
      </c>
      <c r="AA1760" s="8" t="b">
        <v>0</v>
      </c>
      <c r="AB1760" s="8" t="b">
        <v>0</v>
      </c>
      <c r="AC1760" s="8" t="b">
        <v>0</v>
      </c>
      <c r="AD1760" s="8" t="b">
        <v>0</v>
      </c>
      <c r="AE1760" s="8" t="b">
        <v>1</v>
      </c>
      <c r="AG1760" s="11" t="b" cm="1">
        <f t="array" ref="AG1760">IF(OR(Y1760:AA1760="TRUE", AE1760="true"), "Threatened")</f>
        <v>0</v>
      </c>
      <c r="AH1760" s="11" t="s">
        <v>4549</v>
      </c>
      <c r="AI1760" s="8" t="b">
        <v>1</v>
      </c>
    </row>
    <row r="1761" spans="1:35" ht="31.2">
      <c r="A1761" s="8">
        <v>-73.959707249999994</v>
      </c>
      <c r="B1761" s="8">
        <v>40.790558189999999</v>
      </c>
      <c r="C1761" s="8" t="s">
        <v>4550</v>
      </c>
      <c r="D1761" s="8" t="s">
        <v>75</v>
      </c>
      <c r="E1761" s="8" t="b">
        <f t="shared" si="27"/>
        <v>0</v>
      </c>
      <c r="F1761" s="8" t="str" cm="1">
        <f t="array" ref="F1761">_xlfn._xlws.FILTER(E1761:E4959, C1761:C4959= "6D-PM-1020-01", "No Squirrels Found")</f>
        <v>No Squirrels Found</v>
      </c>
      <c r="G1761" s="8" t="s">
        <v>48</v>
      </c>
      <c r="H1761" s="10">
        <v>10072018</v>
      </c>
      <c r="I1761" s="10">
        <v>12</v>
      </c>
      <c r="J1761" s="8" t="s">
        <v>39</v>
      </c>
      <c r="K1761" s="8" t="s">
        <v>40</v>
      </c>
      <c r="M1761" s="8" t="s">
        <v>55</v>
      </c>
      <c r="O1761" s="8" t="s">
        <v>43</v>
      </c>
      <c r="P1761" s="8" t="b">
        <v>0</v>
      </c>
      <c r="R1761" s="8" t="b">
        <v>0</v>
      </c>
      <c r="S1761" s="8" t="b">
        <v>1</v>
      </c>
      <c r="T1761" s="8" t="b">
        <v>0</v>
      </c>
      <c r="U1761" s="8" t="b">
        <v>0</v>
      </c>
      <c r="V1761" s="8" t="b">
        <v>0</v>
      </c>
      <c r="X1761" s="8" t="b">
        <v>0</v>
      </c>
      <c r="Y1761" s="8" t="b">
        <v>0</v>
      </c>
      <c r="Z1761" s="8" t="b">
        <v>0</v>
      </c>
      <c r="AA1761" s="8" t="b">
        <v>0</v>
      </c>
      <c r="AB1761" s="8" t="b">
        <v>0</v>
      </c>
      <c r="AC1761" s="8" t="b">
        <v>0</v>
      </c>
      <c r="AD1761" s="8" t="b">
        <v>0</v>
      </c>
      <c r="AE1761" s="8" t="b">
        <v>0</v>
      </c>
      <c r="AG1761" s="11" t="b" cm="1">
        <f t="array" ref="AG1761">IF(OR(Y1761:AA1761="TRUE", AE1761="true"), "Threatened")</f>
        <v>0</v>
      </c>
      <c r="AH1761" s="11" t="s">
        <v>4551</v>
      </c>
      <c r="AI1761" s="8" t="b">
        <v>1</v>
      </c>
    </row>
    <row r="1762" spans="1:35" ht="31.2">
      <c r="A1762" s="8">
        <v>-73.957530800000001</v>
      </c>
      <c r="B1762" s="8">
        <v>40.79831764</v>
      </c>
      <c r="C1762" s="8" t="s">
        <v>4552</v>
      </c>
      <c r="D1762" s="8" t="s">
        <v>227</v>
      </c>
      <c r="E1762" s="8" t="b">
        <f t="shared" si="27"/>
        <v>0</v>
      </c>
      <c r="F1762" s="8" t="str" cm="1">
        <f t="array" ref="F1762">_xlfn._xlws.FILTER(E1762:E4960, C1762:C4960= "6D-PM-1020-01", "No Squirrels Found")</f>
        <v>No Squirrels Found</v>
      </c>
      <c r="G1762" s="8" t="s">
        <v>34</v>
      </c>
      <c r="H1762" s="10">
        <v>10142018</v>
      </c>
      <c r="I1762" s="10">
        <v>8</v>
      </c>
      <c r="J1762" s="8" t="s">
        <v>39</v>
      </c>
      <c r="K1762" s="8" t="s">
        <v>40</v>
      </c>
      <c r="L1762" s="8" t="s">
        <v>41</v>
      </c>
      <c r="M1762" s="8" t="s">
        <v>42</v>
      </c>
      <c r="O1762" s="8" t="s">
        <v>43</v>
      </c>
      <c r="P1762" s="8" t="b">
        <v>0</v>
      </c>
      <c r="R1762" s="8" t="b">
        <v>0</v>
      </c>
      <c r="S1762" s="8" t="b">
        <v>0</v>
      </c>
      <c r="T1762" s="8" t="b">
        <v>0</v>
      </c>
      <c r="U1762" s="8" t="b">
        <v>0</v>
      </c>
      <c r="V1762" s="8" t="b">
        <v>1</v>
      </c>
      <c r="X1762" s="8" t="b">
        <v>0</v>
      </c>
      <c r="Y1762" s="8" t="b">
        <v>0</v>
      </c>
      <c r="Z1762" s="8" t="b">
        <v>0</v>
      </c>
      <c r="AA1762" s="8" t="b">
        <v>0</v>
      </c>
      <c r="AB1762" s="8" t="b">
        <v>0</v>
      </c>
      <c r="AC1762" s="8" t="b">
        <v>0</v>
      </c>
      <c r="AD1762" s="8" t="b">
        <v>1</v>
      </c>
      <c r="AE1762" s="8" t="b">
        <v>0</v>
      </c>
      <c r="AG1762" s="11" t="b" cm="1">
        <f t="array" ref="AG1762">IF(OR(Y1762:AA1762="TRUE", AE1762="true"), "Threatened")</f>
        <v>0</v>
      </c>
      <c r="AH1762" s="11" t="s">
        <v>4553</v>
      </c>
      <c r="AI1762" s="8" t="b">
        <v>1</v>
      </c>
    </row>
    <row r="1763" spans="1:35" ht="31.2">
      <c r="A1763" s="8">
        <v>-73.976910680000003</v>
      </c>
      <c r="B1763" s="8">
        <v>40.767441490000003</v>
      </c>
      <c r="C1763" s="8" t="s">
        <v>4554</v>
      </c>
      <c r="D1763" s="8" t="s">
        <v>47</v>
      </c>
      <c r="E1763" s="8" t="b">
        <f t="shared" si="27"/>
        <v>0</v>
      </c>
      <c r="F1763" s="8" t="str" cm="1">
        <f t="array" ref="F1763">_xlfn._xlws.FILTER(E1763:E4961, C1763:C4961= "6D-PM-1020-01", "No Squirrels Found")</f>
        <v>No Squirrels Found</v>
      </c>
      <c r="G1763" s="8" t="s">
        <v>48</v>
      </c>
      <c r="H1763" s="10">
        <v>10102018</v>
      </c>
      <c r="I1763" s="10">
        <v>5</v>
      </c>
      <c r="J1763" s="8" t="s">
        <v>54</v>
      </c>
      <c r="K1763" s="8" t="s">
        <v>40</v>
      </c>
      <c r="L1763" s="8" t="s">
        <v>41</v>
      </c>
      <c r="M1763" s="8" t="s">
        <v>42</v>
      </c>
      <c r="O1763" s="8" t="s">
        <v>50</v>
      </c>
      <c r="P1763" s="8">
        <v>33</v>
      </c>
      <c r="R1763" s="8" t="b">
        <v>0</v>
      </c>
      <c r="S1763" s="8" t="b">
        <v>0</v>
      </c>
      <c r="T1763" s="8" t="b">
        <v>1</v>
      </c>
      <c r="U1763" s="8" t="b">
        <v>0</v>
      </c>
      <c r="V1763" s="8" t="b">
        <v>0</v>
      </c>
      <c r="X1763" s="8" t="b">
        <v>0</v>
      </c>
      <c r="Y1763" s="8" t="b">
        <v>0</v>
      </c>
      <c r="Z1763" s="8" t="b">
        <v>0</v>
      </c>
      <c r="AA1763" s="8" t="b">
        <v>0</v>
      </c>
      <c r="AB1763" s="8" t="b">
        <v>0</v>
      </c>
      <c r="AC1763" s="8" t="b">
        <v>0</v>
      </c>
      <c r="AD1763" s="8" t="b">
        <v>1</v>
      </c>
      <c r="AE1763" s="8" t="b">
        <v>0</v>
      </c>
      <c r="AG1763" s="11" t="b" cm="1">
        <f t="array" ref="AG1763">IF(OR(Y1763:AA1763="TRUE", AE1763="true"), "Threatened")</f>
        <v>0</v>
      </c>
      <c r="AH1763" s="11" t="s">
        <v>4555</v>
      </c>
      <c r="AI1763" s="8" t="b">
        <v>1</v>
      </c>
    </row>
    <row r="1764" spans="1:35" ht="31.2">
      <c r="A1764" s="8">
        <v>-73.97682863</v>
      </c>
      <c r="B1764" s="8">
        <v>40.768701280000002</v>
      </c>
      <c r="C1764" s="8" t="s">
        <v>4556</v>
      </c>
      <c r="D1764" s="8" t="s">
        <v>512</v>
      </c>
      <c r="E1764" s="8" t="b">
        <f t="shared" si="27"/>
        <v>0</v>
      </c>
      <c r="F1764" s="8" t="str" cm="1">
        <f t="array" ref="F1764">_xlfn._xlws.FILTER(E1764:E4962, C1764:C4962= "6D-PM-1020-01", "No Squirrels Found")</f>
        <v>No Squirrels Found</v>
      </c>
      <c r="G1764" s="8" t="s">
        <v>34</v>
      </c>
      <c r="H1764" s="10">
        <v>10102018</v>
      </c>
      <c r="I1764" s="10">
        <v>5</v>
      </c>
      <c r="J1764" s="8" t="s">
        <v>39</v>
      </c>
      <c r="K1764" s="8" t="s">
        <v>41</v>
      </c>
      <c r="M1764" s="8" t="s">
        <v>49</v>
      </c>
      <c r="O1764" s="8" t="s">
        <v>43</v>
      </c>
      <c r="P1764" s="8" t="b">
        <v>0</v>
      </c>
      <c r="R1764" s="8" t="b">
        <v>1</v>
      </c>
      <c r="S1764" s="8" t="b">
        <v>0</v>
      </c>
      <c r="T1764" s="8" t="b">
        <v>0</v>
      </c>
      <c r="U1764" s="8" t="b">
        <v>0</v>
      </c>
      <c r="V1764" s="8" t="b">
        <v>1</v>
      </c>
      <c r="X1764" s="8" t="b">
        <v>0</v>
      </c>
      <c r="Y1764" s="8" t="b">
        <v>0</v>
      </c>
      <c r="Z1764" s="8" t="b">
        <v>0</v>
      </c>
      <c r="AA1764" s="8" t="b">
        <v>0</v>
      </c>
      <c r="AB1764" s="8" t="b">
        <v>0</v>
      </c>
      <c r="AC1764" s="8" t="b">
        <v>0</v>
      </c>
      <c r="AD1764" s="8" t="b">
        <v>0</v>
      </c>
      <c r="AE1764" s="8" t="b">
        <v>0</v>
      </c>
      <c r="AG1764" s="11" t="b" cm="1">
        <f t="array" ref="AG1764">IF(OR(Y1764:AA1764="TRUE", AE1764="true"), "Threatened")</f>
        <v>0</v>
      </c>
      <c r="AH1764" s="11" t="s">
        <v>4557</v>
      </c>
      <c r="AI1764" s="8" t="b">
        <v>1</v>
      </c>
    </row>
    <row r="1765" spans="1:35" ht="31.2">
      <c r="A1765" s="8">
        <v>-73.95348783</v>
      </c>
      <c r="B1765" s="8">
        <v>40.797895199999999</v>
      </c>
      <c r="C1765" s="8" t="s">
        <v>4558</v>
      </c>
      <c r="D1765" s="8" t="s">
        <v>3638</v>
      </c>
      <c r="E1765" s="8" t="b">
        <f t="shared" si="27"/>
        <v>0</v>
      </c>
      <c r="F1765" s="8" t="str" cm="1">
        <f t="array" ref="F1765">_xlfn._xlws.FILTER(E1765:E4963, C1765:C4963= "6D-PM-1020-01", "No Squirrels Found")</f>
        <v>No Squirrels Found</v>
      </c>
      <c r="G1765" s="8" t="s">
        <v>34</v>
      </c>
      <c r="H1765" s="10">
        <v>10192018</v>
      </c>
      <c r="I1765" s="10">
        <v>1</v>
      </c>
      <c r="M1765" s="8" t="s">
        <v>35</v>
      </c>
      <c r="R1765" s="8" t="b">
        <v>0</v>
      </c>
      <c r="S1765" s="8" t="b">
        <v>0</v>
      </c>
      <c r="T1765" s="8" t="b">
        <v>0</v>
      </c>
      <c r="U1765" s="8" t="b">
        <v>0</v>
      </c>
      <c r="V1765" s="8" t="b">
        <v>0</v>
      </c>
      <c r="X1765" s="8" t="b">
        <v>0</v>
      </c>
      <c r="Y1765" s="8" t="b">
        <v>0</v>
      </c>
      <c r="Z1765" s="8" t="b">
        <v>0</v>
      </c>
      <c r="AA1765" s="8" t="b">
        <v>0</v>
      </c>
      <c r="AB1765" s="8" t="b">
        <v>0</v>
      </c>
      <c r="AC1765" s="8" t="b">
        <v>0</v>
      </c>
      <c r="AD1765" s="8" t="b">
        <v>0</v>
      </c>
      <c r="AE1765" s="8" t="b">
        <v>0</v>
      </c>
      <c r="AG1765" s="11" t="b" cm="1">
        <f t="array" ref="AG1765">IF(OR(Y1765:AA1765="TRUE", AE1765="true"), "Threatened")</f>
        <v>0</v>
      </c>
      <c r="AH1765" s="11" t="s">
        <v>4559</v>
      </c>
      <c r="AI1765" s="8" t="b">
        <v>1</v>
      </c>
    </row>
    <row r="1766" spans="1:35" ht="31.2">
      <c r="A1766" s="8">
        <v>-73.968904159999994</v>
      </c>
      <c r="B1766" s="8">
        <v>40.7781789</v>
      </c>
      <c r="C1766" s="8" t="s">
        <v>4560</v>
      </c>
      <c r="D1766" s="8" t="s">
        <v>271</v>
      </c>
      <c r="E1766" s="8" t="b">
        <f t="shared" si="27"/>
        <v>0</v>
      </c>
      <c r="F1766" s="8" t="str" cm="1">
        <f t="array" ref="F1766">_xlfn._xlws.FILTER(E1766:E4964, C1766:C4964= "6D-PM-1020-01", "No Squirrels Found")</f>
        <v>No Squirrels Found</v>
      </c>
      <c r="G1766" s="8" t="s">
        <v>48</v>
      </c>
      <c r="H1766" s="10">
        <v>10142018</v>
      </c>
      <c r="I1766" s="10">
        <v>7</v>
      </c>
      <c r="J1766" s="8" t="s">
        <v>39</v>
      </c>
      <c r="K1766" s="8" t="s">
        <v>40</v>
      </c>
      <c r="M1766" s="8" t="s">
        <v>55</v>
      </c>
      <c r="O1766" s="8" t="s">
        <v>50</v>
      </c>
      <c r="R1766" s="8" t="b">
        <v>1</v>
      </c>
      <c r="S1766" s="8" t="b">
        <v>0</v>
      </c>
      <c r="T1766" s="8" t="b">
        <v>0</v>
      </c>
      <c r="U1766" s="8" t="b">
        <v>0</v>
      </c>
      <c r="V1766" s="8" t="b">
        <v>0</v>
      </c>
      <c r="X1766" s="8" t="b">
        <v>0</v>
      </c>
      <c r="Y1766" s="8" t="b">
        <v>0</v>
      </c>
      <c r="Z1766" s="8" t="b">
        <v>0</v>
      </c>
      <c r="AA1766" s="8" t="b">
        <v>0</v>
      </c>
      <c r="AB1766" s="8" t="b">
        <v>0</v>
      </c>
      <c r="AC1766" s="8" t="b">
        <v>0</v>
      </c>
      <c r="AD1766" s="8" t="b">
        <v>0</v>
      </c>
      <c r="AE1766" s="8" t="b">
        <v>1</v>
      </c>
      <c r="AF1766" s="11" t="s">
        <v>1294</v>
      </c>
      <c r="AG1766" s="11" t="b" cm="1">
        <f t="array" ref="AG1766">IF(OR(Y1766:AA1766="TRUE", AE1766="true"), "Threatened")</f>
        <v>0</v>
      </c>
      <c r="AH1766" s="11" t="s">
        <v>4561</v>
      </c>
      <c r="AI1766" s="8" t="b">
        <v>1</v>
      </c>
    </row>
    <row r="1767" spans="1:35" ht="31.2">
      <c r="A1767" s="8">
        <v>-73.972757770000001</v>
      </c>
      <c r="B1767" s="8">
        <v>40.765428550000003</v>
      </c>
      <c r="C1767" s="8" t="s">
        <v>4562</v>
      </c>
      <c r="D1767" s="8" t="s">
        <v>2245</v>
      </c>
      <c r="E1767" s="8" t="b">
        <f t="shared" si="27"/>
        <v>0</v>
      </c>
      <c r="F1767" s="8" t="str" cm="1">
        <f t="array" ref="F1767">_xlfn._xlws.FILTER(E1767:E4965, C1767:C4965= "6D-PM-1020-01", "No Squirrels Found")</f>
        <v>No Squirrels Found</v>
      </c>
      <c r="G1767" s="8" t="s">
        <v>48</v>
      </c>
      <c r="H1767" s="10">
        <v>10062018</v>
      </c>
      <c r="I1767" s="10">
        <v>1</v>
      </c>
      <c r="J1767" s="8" t="s">
        <v>39</v>
      </c>
      <c r="K1767" s="8" t="s">
        <v>40</v>
      </c>
      <c r="M1767" s="8" t="s">
        <v>55</v>
      </c>
      <c r="O1767" s="8" t="s">
        <v>43</v>
      </c>
      <c r="P1767" s="8" t="b">
        <v>0</v>
      </c>
      <c r="R1767" s="8" t="b">
        <v>1</v>
      </c>
      <c r="S1767" s="8" t="b">
        <v>0</v>
      </c>
      <c r="T1767" s="8" t="b">
        <v>0</v>
      </c>
      <c r="U1767" s="8" t="b">
        <v>1</v>
      </c>
      <c r="V1767" s="8" t="b">
        <v>0</v>
      </c>
      <c r="X1767" s="8" t="b">
        <v>0</v>
      </c>
      <c r="Y1767" s="8" t="b">
        <v>0</v>
      </c>
      <c r="Z1767" s="8" t="b">
        <v>0</v>
      </c>
      <c r="AA1767" s="8" t="b">
        <v>0</v>
      </c>
      <c r="AB1767" s="8" t="b">
        <v>0</v>
      </c>
      <c r="AC1767" s="8" t="b">
        <v>0</v>
      </c>
      <c r="AD1767" s="8" t="b">
        <v>1</v>
      </c>
      <c r="AE1767" s="8" t="b">
        <v>0</v>
      </c>
      <c r="AG1767" s="11" t="b" cm="1">
        <f t="array" ref="AG1767">IF(OR(Y1767:AA1767="TRUE", AE1767="true"), "Threatened")</f>
        <v>0</v>
      </c>
      <c r="AH1767" s="11" t="s">
        <v>4563</v>
      </c>
      <c r="AI1767" s="8" t="b">
        <v>1</v>
      </c>
    </row>
    <row r="1768" spans="1:35" ht="31.2">
      <c r="A1768" s="8">
        <v>-73.958719099999996</v>
      </c>
      <c r="B1768" s="8">
        <v>40.794758770000001</v>
      </c>
      <c r="C1768" s="8" t="s">
        <v>4564</v>
      </c>
      <c r="D1768" s="8" t="s">
        <v>1262</v>
      </c>
      <c r="E1768" s="8" t="b">
        <f t="shared" si="27"/>
        <v>0</v>
      </c>
      <c r="F1768" s="8" t="str" cm="1">
        <f t="array" ref="F1768">_xlfn._xlws.FILTER(E1768:E4966, C1768:C4966= "6D-PM-1020-01", "No Squirrels Found")</f>
        <v>No Squirrels Found</v>
      </c>
      <c r="G1768" s="8" t="s">
        <v>48</v>
      </c>
      <c r="H1768" s="10">
        <v>10142018</v>
      </c>
      <c r="I1768" s="10">
        <v>4</v>
      </c>
      <c r="K1768" s="8" t="s">
        <v>40</v>
      </c>
      <c r="L1768" s="8" t="s">
        <v>84</v>
      </c>
      <c r="M1768" s="8" t="s">
        <v>103</v>
      </c>
      <c r="O1768" s="8" t="s">
        <v>50</v>
      </c>
      <c r="P1768" s="8">
        <v>15</v>
      </c>
      <c r="Q1768" s="8" t="s">
        <v>4565</v>
      </c>
      <c r="R1768" s="8" t="b">
        <v>1</v>
      </c>
      <c r="S1768" s="8" t="b">
        <v>0</v>
      </c>
      <c r="T1768" s="8" t="b">
        <v>1</v>
      </c>
      <c r="U1768" s="8" t="b">
        <v>1</v>
      </c>
      <c r="V1768" s="8" t="b">
        <v>0</v>
      </c>
      <c r="X1768" s="8" t="b">
        <v>0</v>
      </c>
      <c r="Y1768" s="8" t="b">
        <v>0</v>
      </c>
      <c r="Z1768" s="8" t="b">
        <v>0</v>
      </c>
      <c r="AA1768" s="8" t="b">
        <v>0</v>
      </c>
      <c r="AB1768" s="8" t="b">
        <v>0</v>
      </c>
      <c r="AC1768" s="8" t="b">
        <v>0</v>
      </c>
      <c r="AD1768" s="8" t="b">
        <v>0</v>
      </c>
      <c r="AE1768" s="8" t="b">
        <v>1</v>
      </c>
      <c r="AG1768" s="11" t="b" cm="1">
        <f t="array" ref="AG1768">IF(OR(Y1768:AA1768="TRUE", AE1768="true"), "Threatened")</f>
        <v>0</v>
      </c>
      <c r="AH1768" s="11" t="s">
        <v>4566</v>
      </c>
      <c r="AI1768" s="8" t="b">
        <v>1</v>
      </c>
    </row>
    <row r="1769" spans="1:35" ht="31.2">
      <c r="A1769" s="8">
        <v>-73.97736965</v>
      </c>
      <c r="B1769" s="8">
        <v>40.76872419</v>
      </c>
      <c r="C1769" s="8" t="s">
        <v>4567</v>
      </c>
      <c r="D1769" s="8" t="s">
        <v>512</v>
      </c>
      <c r="E1769" s="8" t="b">
        <f t="shared" si="27"/>
        <v>0</v>
      </c>
      <c r="F1769" s="8" t="str" cm="1">
        <f t="array" ref="F1769">_xlfn._xlws.FILTER(E1769:E4967, C1769:C4967= "6D-PM-1020-01", "No Squirrels Found")</f>
        <v>No Squirrels Found</v>
      </c>
      <c r="G1769" s="8" t="s">
        <v>34</v>
      </c>
      <c r="H1769" s="10">
        <v>10102018</v>
      </c>
      <c r="I1769" s="10">
        <v>14</v>
      </c>
      <c r="J1769" s="8" t="s">
        <v>54</v>
      </c>
      <c r="K1769" s="8" t="s">
        <v>40</v>
      </c>
      <c r="L1769" s="8" t="s">
        <v>41</v>
      </c>
      <c r="M1769" s="8" t="s">
        <v>42</v>
      </c>
      <c r="O1769" s="8" t="s">
        <v>50</v>
      </c>
      <c r="P1769" s="8">
        <v>10</v>
      </c>
      <c r="R1769" s="8" t="b">
        <v>0</v>
      </c>
      <c r="S1769" s="8" t="b">
        <v>0</v>
      </c>
      <c r="T1769" s="8" t="b">
        <v>0</v>
      </c>
      <c r="U1769" s="8" t="b">
        <v>0</v>
      </c>
      <c r="V1769" s="8" t="b">
        <v>0</v>
      </c>
      <c r="W1769" s="11" t="s">
        <v>4568</v>
      </c>
      <c r="X1769" s="8" t="b">
        <v>1</v>
      </c>
      <c r="Y1769" s="8" t="b">
        <v>1</v>
      </c>
      <c r="Z1769" s="8" t="b">
        <v>0</v>
      </c>
      <c r="AA1769" s="8" t="b">
        <v>0</v>
      </c>
      <c r="AB1769" s="8" t="b">
        <v>0</v>
      </c>
      <c r="AC1769" s="8" t="b">
        <v>0</v>
      </c>
      <c r="AD1769" s="8" t="b">
        <v>0</v>
      </c>
      <c r="AE1769" s="8" t="b">
        <v>0</v>
      </c>
      <c r="AG1769" s="11" t="b" cm="1">
        <f t="array" ref="AG1769">IF(OR(Y1769:AA1769="TRUE", AE1769="true"), "Threatened")</f>
        <v>0</v>
      </c>
      <c r="AH1769" s="11" t="s">
        <v>4569</v>
      </c>
      <c r="AI1769" s="8" t="b">
        <v>0</v>
      </c>
    </row>
    <row r="1770" spans="1:35" ht="31.2">
      <c r="A1770" s="8">
        <v>-73.972108610000006</v>
      </c>
      <c r="B1770" s="8">
        <v>40.76981722</v>
      </c>
      <c r="C1770" s="8" t="s">
        <v>4570</v>
      </c>
      <c r="D1770" s="8" t="s">
        <v>66</v>
      </c>
      <c r="E1770" s="8" t="b">
        <f t="shared" si="27"/>
        <v>0</v>
      </c>
      <c r="F1770" s="8" t="str" cm="1">
        <f t="array" ref="F1770">_xlfn._xlws.FILTER(E1770:E4968, C1770:C4968= "6D-PM-1020-01", "No Squirrels Found")</f>
        <v>No Squirrels Found</v>
      </c>
      <c r="G1770" s="8" t="s">
        <v>48</v>
      </c>
      <c r="H1770" s="10">
        <v>10082018</v>
      </c>
      <c r="I1770" s="10">
        <v>6</v>
      </c>
      <c r="J1770" s="8" t="s">
        <v>39</v>
      </c>
      <c r="K1770" s="8" t="s">
        <v>40</v>
      </c>
      <c r="L1770" s="8" t="s">
        <v>117</v>
      </c>
      <c r="M1770" s="8" t="s">
        <v>118</v>
      </c>
      <c r="N1770" s="11" t="s">
        <v>4571</v>
      </c>
      <c r="O1770" s="8" t="s">
        <v>43</v>
      </c>
      <c r="P1770" s="8" t="b">
        <v>0</v>
      </c>
      <c r="Q1770" s="8" t="s">
        <v>4572</v>
      </c>
      <c r="R1770" s="8" t="b">
        <v>0</v>
      </c>
      <c r="S1770" s="8" t="b">
        <v>0</v>
      </c>
      <c r="T1770" s="8" t="b">
        <v>0</v>
      </c>
      <c r="U1770" s="8" t="b">
        <v>0</v>
      </c>
      <c r="V1770" s="8" t="b">
        <v>1</v>
      </c>
      <c r="X1770" s="8" t="b">
        <v>0</v>
      </c>
      <c r="Y1770" s="8" t="b">
        <v>0</v>
      </c>
      <c r="Z1770" s="8" t="b">
        <v>0</v>
      </c>
      <c r="AA1770" s="8" t="b">
        <v>0</v>
      </c>
      <c r="AB1770" s="8" t="b">
        <v>1</v>
      </c>
      <c r="AC1770" s="8" t="b">
        <v>0</v>
      </c>
      <c r="AD1770" s="8" t="b">
        <v>1</v>
      </c>
      <c r="AE1770" s="8" t="b">
        <v>0</v>
      </c>
      <c r="AG1770" s="11" t="b" cm="1">
        <f t="array" ref="AG1770">IF(OR(Y1770:AA1770="TRUE", AE1770="true"), "Threatened")</f>
        <v>0</v>
      </c>
      <c r="AH1770" s="11" t="s">
        <v>4573</v>
      </c>
      <c r="AI1770" s="8" t="b">
        <v>1</v>
      </c>
    </row>
    <row r="1771" spans="1:35" ht="31.2">
      <c r="A1771" s="8">
        <v>-73.9728171</v>
      </c>
      <c r="B1771" s="8">
        <v>40.770355780000003</v>
      </c>
      <c r="C1771" s="8" t="s">
        <v>4574</v>
      </c>
      <c r="D1771" s="8" t="s">
        <v>368</v>
      </c>
      <c r="E1771" s="8" t="b">
        <f t="shared" si="27"/>
        <v>0</v>
      </c>
      <c r="F1771" s="8" t="str" cm="1">
        <f t="array" ref="F1771">_xlfn._xlws.FILTER(E1771:E4969, C1771:C4969= "6D-PM-1020-01", "No Squirrels Found")</f>
        <v>No Squirrels Found</v>
      </c>
      <c r="G1771" s="8" t="s">
        <v>48</v>
      </c>
      <c r="H1771" s="10">
        <v>10082018</v>
      </c>
      <c r="I1771" s="10">
        <v>6</v>
      </c>
      <c r="J1771" s="8" t="s">
        <v>39</v>
      </c>
      <c r="K1771" s="8" t="s">
        <v>40</v>
      </c>
      <c r="M1771" s="8" t="s">
        <v>55</v>
      </c>
      <c r="O1771" s="8" t="s">
        <v>50</v>
      </c>
      <c r="P1771" s="8">
        <v>28</v>
      </c>
      <c r="Q1771" s="8" t="s">
        <v>4575</v>
      </c>
      <c r="R1771" s="8" t="b">
        <v>0</v>
      </c>
      <c r="S1771" s="8" t="b">
        <v>0</v>
      </c>
      <c r="T1771" s="8" t="b">
        <v>0</v>
      </c>
      <c r="U1771" s="8" t="b">
        <v>0</v>
      </c>
      <c r="V1771" s="8" t="b">
        <v>0</v>
      </c>
      <c r="W1771" s="11" t="s">
        <v>141</v>
      </c>
      <c r="X1771" s="8" t="b">
        <v>0</v>
      </c>
      <c r="Y1771" s="8" t="b">
        <v>0</v>
      </c>
      <c r="Z1771" s="8" t="b">
        <v>0</v>
      </c>
      <c r="AA1771" s="8" t="b">
        <v>0</v>
      </c>
      <c r="AB1771" s="8" t="b">
        <v>0</v>
      </c>
      <c r="AC1771" s="8" t="b">
        <v>0</v>
      </c>
      <c r="AD1771" s="8" t="b">
        <v>1</v>
      </c>
      <c r="AE1771" s="8" t="b">
        <v>0</v>
      </c>
      <c r="AG1771" s="11" t="b" cm="1">
        <f t="array" ref="AG1771">IF(OR(Y1771:AA1771="TRUE", AE1771="true"), "Threatened")</f>
        <v>0</v>
      </c>
      <c r="AH1771" s="11" t="s">
        <v>4576</v>
      </c>
      <c r="AI1771" s="8" t="b">
        <v>0</v>
      </c>
    </row>
    <row r="1772" spans="1:35" ht="31.2">
      <c r="A1772" s="8">
        <v>-73.975068809999996</v>
      </c>
      <c r="B1772" s="8">
        <v>40.76655847</v>
      </c>
      <c r="C1772" s="8" t="s">
        <v>4577</v>
      </c>
      <c r="D1772" s="8" t="s">
        <v>481</v>
      </c>
      <c r="E1772" s="8" t="b">
        <f t="shared" si="27"/>
        <v>0</v>
      </c>
      <c r="F1772" s="8" t="str" cm="1">
        <f t="array" ref="F1772">_xlfn._xlws.FILTER(E1772:E4970, C1772:C4970= "6D-PM-1020-01", "No Squirrels Found")</f>
        <v>No Squirrels Found</v>
      </c>
      <c r="G1772" s="8" t="s">
        <v>34</v>
      </c>
      <c r="H1772" s="10">
        <v>10142018</v>
      </c>
      <c r="I1772" s="10">
        <v>7</v>
      </c>
      <c r="J1772" s="8" t="s">
        <v>39</v>
      </c>
      <c r="K1772" s="8" t="s">
        <v>40</v>
      </c>
      <c r="M1772" s="8" t="s">
        <v>55</v>
      </c>
      <c r="O1772" s="8" t="s">
        <v>43</v>
      </c>
      <c r="P1772" s="8" t="b">
        <v>0</v>
      </c>
      <c r="R1772" s="8" t="b">
        <v>0</v>
      </c>
      <c r="S1772" s="8" t="b">
        <v>0</v>
      </c>
      <c r="T1772" s="8" t="b">
        <v>0</v>
      </c>
      <c r="U1772" s="8" t="b">
        <v>1</v>
      </c>
      <c r="V1772" s="8" t="b">
        <v>0</v>
      </c>
      <c r="X1772" s="8" t="b">
        <v>0</v>
      </c>
      <c r="Y1772" s="8" t="b">
        <v>0</v>
      </c>
      <c r="Z1772" s="8" t="b">
        <v>0</v>
      </c>
      <c r="AA1772" s="8" t="b">
        <v>0</v>
      </c>
      <c r="AB1772" s="8" t="b">
        <v>0</v>
      </c>
      <c r="AC1772" s="8" t="b">
        <v>0</v>
      </c>
      <c r="AD1772" s="8" t="b">
        <v>1</v>
      </c>
      <c r="AE1772" s="8" t="b">
        <v>0</v>
      </c>
      <c r="AG1772" s="11" t="b" cm="1">
        <f t="array" ref="AG1772">IF(OR(Y1772:AA1772="TRUE", AE1772="true"), "Threatened")</f>
        <v>0</v>
      </c>
      <c r="AH1772" s="11" t="s">
        <v>4578</v>
      </c>
      <c r="AI1772" s="8" t="b">
        <v>1</v>
      </c>
    </row>
    <row r="1773" spans="1:35" ht="31.2">
      <c r="A1773" s="8">
        <v>-73.969054069999999</v>
      </c>
      <c r="B1773" s="8">
        <v>40.776601409999998</v>
      </c>
      <c r="C1773" s="8" t="s">
        <v>4579</v>
      </c>
      <c r="D1773" s="8" t="s">
        <v>239</v>
      </c>
      <c r="E1773" s="8" t="b">
        <f t="shared" si="27"/>
        <v>0</v>
      </c>
      <c r="F1773" s="8" t="str" cm="1">
        <f t="array" ref="F1773">_xlfn._xlws.FILTER(E1773:E4971, C1773:C4971= "6D-PM-1020-01", "No Squirrels Found")</f>
        <v>No Squirrels Found</v>
      </c>
      <c r="G1773" s="8" t="s">
        <v>34</v>
      </c>
      <c r="H1773" s="10">
        <v>10122018</v>
      </c>
      <c r="I1773" s="10">
        <v>8</v>
      </c>
      <c r="J1773" s="8" t="s">
        <v>39</v>
      </c>
      <c r="K1773" s="8" t="s">
        <v>41</v>
      </c>
      <c r="L1773" s="8" t="s">
        <v>135</v>
      </c>
      <c r="M1773" s="8" t="s">
        <v>136</v>
      </c>
      <c r="O1773" s="8" t="s">
        <v>43</v>
      </c>
      <c r="P1773" s="8" t="b">
        <v>0</v>
      </c>
      <c r="R1773" s="8" t="b">
        <v>1</v>
      </c>
      <c r="S1773" s="8" t="b">
        <v>1</v>
      </c>
      <c r="T1773" s="8" t="b">
        <v>0</v>
      </c>
      <c r="U1773" s="8" t="b">
        <v>1</v>
      </c>
      <c r="V1773" s="8" t="b">
        <v>1</v>
      </c>
      <c r="X1773" s="8" t="b">
        <v>0</v>
      </c>
      <c r="Y1773" s="8" t="b">
        <v>0</v>
      </c>
      <c r="Z1773" s="8" t="b">
        <v>0</v>
      </c>
      <c r="AA1773" s="8" t="b">
        <v>0</v>
      </c>
      <c r="AB1773" s="8" t="b">
        <v>0</v>
      </c>
      <c r="AC1773" s="8" t="b">
        <v>0</v>
      </c>
      <c r="AD1773" s="8" t="b">
        <v>1</v>
      </c>
      <c r="AE1773" s="8" t="b">
        <v>0</v>
      </c>
      <c r="AG1773" s="11" t="b" cm="1">
        <f t="array" ref="AG1773">IF(OR(Y1773:AA1773="TRUE", AE1773="true"), "Threatened")</f>
        <v>0</v>
      </c>
      <c r="AH1773" s="11" t="s">
        <v>4580</v>
      </c>
      <c r="AI1773" s="8" t="b">
        <v>1</v>
      </c>
    </row>
    <row r="1774" spans="1:35" ht="31.2">
      <c r="A1774" s="8">
        <v>-73.961112679999999</v>
      </c>
      <c r="B1774" s="8">
        <v>40.794311299999997</v>
      </c>
      <c r="C1774" s="8" t="s">
        <v>4581</v>
      </c>
      <c r="D1774" s="8" t="s">
        <v>434</v>
      </c>
      <c r="E1774" s="8" t="b">
        <f t="shared" si="27"/>
        <v>0</v>
      </c>
      <c r="F1774" s="8" t="str" cm="1">
        <f t="array" ref="F1774">_xlfn._xlws.FILTER(E1774:E4972, C1774:C4972= "6D-PM-1020-01", "No Squirrels Found")</f>
        <v>No Squirrels Found</v>
      </c>
      <c r="G1774" s="8" t="s">
        <v>48</v>
      </c>
      <c r="H1774" s="10">
        <v>10102018</v>
      </c>
      <c r="I1774" s="10">
        <v>3</v>
      </c>
      <c r="J1774" s="8" t="s">
        <v>39</v>
      </c>
      <c r="K1774" s="8" t="s">
        <v>40</v>
      </c>
      <c r="L1774" s="8" t="s">
        <v>41</v>
      </c>
      <c r="M1774" s="8" t="s">
        <v>42</v>
      </c>
      <c r="O1774" s="8" t="s">
        <v>43</v>
      </c>
      <c r="P1774" s="8" t="b">
        <v>0</v>
      </c>
      <c r="R1774" s="8" t="b">
        <v>1</v>
      </c>
      <c r="S1774" s="8" t="b">
        <v>0</v>
      </c>
      <c r="T1774" s="8" t="b">
        <v>0</v>
      </c>
      <c r="U1774" s="8" t="b">
        <v>0</v>
      </c>
      <c r="V1774" s="8" t="b">
        <v>0</v>
      </c>
      <c r="X1774" s="8" t="b">
        <v>0</v>
      </c>
      <c r="Y1774" s="8" t="b">
        <v>0</v>
      </c>
      <c r="Z1774" s="8" t="b">
        <v>0</v>
      </c>
      <c r="AA1774" s="8" t="b">
        <v>0</v>
      </c>
      <c r="AB1774" s="8" t="b">
        <v>0</v>
      </c>
      <c r="AC1774" s="8" t="b">
        <v>0</v>
      </c>
      <c r="AD1774" s="8" t="b">
        <v>1</v>
      </c>
      <c r="AE1774" s="8" t="b">
        <v>0</v>
      </c>
      <c r="AG1774" s="11" t="b" cm="1">
        <f t="array" ref="AG1774">IF(OR(Y1774:AA1774="TRUE", AE1774="true"), "Threatened")</f>
        <v>0</v>
      </c>
      <c r="AH1774" s="11" t="s">
        <v>4582</v>
      </c>
      <c r="AI1774" s="8" t="b">
        <v>1</v>
      </c>
    </row>
    <row r="1775" spans="1:35" ht="31.2">
      <c r="A1775" s="8">
        <v>-73.966890950000007</v>
      </c>
      <c r="B1775" s="8">
        <v>40.78412986</v>
      </c>
      <c r="C1775" s="8" t="s">
        <v>4583</v>
      </c>
      <c r="D1775" s="8" t="s">
        <v>698</v>
      </c>
      <c r="E1775" s="8" t="b">
        <f t="shared" si="27"/>
        <v>0</v>
      </c>
      <c r="F1775" s="8" t="str" cm="1">
        <f t="array" ref="F1775">_xlfn._xlws.FILTER(E1775:E4973, C1775:C4973= "6D-PM-1020-01", "No Squirrels Found")</f>
        <v>No Squirrels Found</v>
      </c>
      <c r="G1775" s="8" t="s">
        <v>34</v>
      </c>
      <c r="H1775" s="10">
        <v>10062018</v>
      </c>
      <c r="I1775" s="10">
        <v>12</v>
      </c>
      <c r="J1775" s="8" t="s">
        <v>39</v>
      </c>
      <c r="K1775" s="8" t="s">
        <v>40</v>
      </c>
      <c r="M1775" s="8" t="s">
        <v>55</v>
      </c>
      <c r="O1775" s="8" t="s">
        <v>43</v>
      </c>
      <c r="P1775" s="8" t="b">
        <v>0</v>
      </c>
      <c r="R1775" s="8" t="b">
        <v>0</v>
      </c>
      <c r="S1775" s="8" t="b">
        <v>0</v>
      </c>
      <c r="T1775" s="8" t="b">
        <v>0</v>
      </c>
      <c r="U1775" s="8" t="b">
        <v>1</v>
      </c>
      <c r="V1775" s="8" t="b">
        <v>0</v>
      </c>
      <c r="X1775" s="8" t="b">
        <v>1</v>
      </c>
      <c r="Y1775" s="8" t="b">
        <v>0</v>
      </c>
      <c r="Z1775" s="8" t="b">
        <v>0</v>
      </c>
      <c r="AA1775" s="8" t="b">
        <v>0</v>
      </c>
      <c r="AB1775" s="8" t="b">
        <v>0</v>
      </c>
      <c r="AC1775" s="8" t="b">
        <v>0</v>
      </c>
      <c r="AD1775" s="8" t="b">
        <v>0</v>
      </c>
      <c r="AE1775" s="8" t="b">
        <v>0</v>
      </c>
      <c r="AF1775" s="11" t="s">
        <v>4584</v>
      </c>
      <c r="AG1775" s="11" t="b" cm="1">
        <f t="array" ref="AG1775">IF(OR(Y1775:AA1775="TRUE", AE1775="true"), "Threatened")</f>
        <v>0</v>
      </c>
      <c r="AH1775" s="11" t="s">
        <v>4585</v>
      </c>
      <c r="AI1775" s="8" t="b">
        <v>1</v>
      </c>
    </row>
    <row r="1776" spans="1:35" ht="31.2">
      <c r="A1776" s="8">
        <v>-73.951965250000001</v>
      </c>
      <c r="B1776" s="8">
        <v>40.793816759999999</v>
      </c>
      <c r="C1776" s="8" t="s">
        <v>4586</v>
      </c>
      <c r="D1776" s="8" t="s">
        <v>2056</v>
      </c>
      <c r="E1776" s="8" t="b">
        <f t="shared" si="27"/>
        <v>0</v>
      </c>
      <c r="F1776" s="8" t="str" cm="1">
        <f t="array" ref="F1776">_xlfn._xlws.FILTER(E1776:E4974, C1776:C4974= "6D-PM-1020-01", "No Squirrels Found")</f>
        <v>No Squirrels Found</v>
      </c>
      <c r="G1776" s="8" t="s">
        <v>34</v>
      </c>
      <c r="H1776" s="10">
        <v>10142018</v>
      </c>
      <c r="I1776" s="10">
        <v>3</v>
      </c>
      <c r="J1776" s="8" t="s">
        <v>39</v>
      </c>
      <c r="K1776" s="8" t="s">
        <v>41</v>
      </c>
      <c r="L1776" s="8" t="s">
        <v>135</v>
      </c>
      <c r="M1776" s="8" t="s">
        <v>136</v>
      </c>
      <c r="O1776" s="8" t="s">
        <v>43</v>
      </c>
      <c r="P1776" s="8" t="b">
        <v>0</v>
      </c>
      <c r="R1776" s="8" t="b">
        <v>0</v>
      </c>
      <c r="S1776" s="8" t="b">
        <v>0</v>
      </c>
      <c r="T1776" s="8" t="b">
        <v>0</v>
      </c>
      <c r="U1776" s="8" t="b">
        <v>1</v>
      </c>
      <c r="V1776" s="8" t="b">
        <v>0</v>
      </c>
      <c r="X1776" s="8" t="b">
        <v>0</v>
      </c>
      <c r="Y1776" s="8" t="b">
        <v>0</v>
      </c>
      <c r="Z1776" s="8" t="b">
        <v>0</v>
      </c>
      <c r="AA1776" s="8" t="b">
        <v>0</v>
      </c>
      <c r="AB1776" s="8" t="b">
        <v>0</v>
      </c>
      <c r="AC1776" s="8" t="b">
        <v>0</v>
      </c>
      <c r="AD1776" s="8" t="b">
        <v>1</v>
      </c>
      <c r="AE1776" s="8" t="b">
        <v>1</v>
      </c>
      <c r="AG1776" s="11" t="b" cm="1">
        <f t="array" ref="AG1776">IF(OR(Y1776:AA1776="TRUE", AE1776="true"), "Threatened")</f>
        <v>0</v>
      </c>
      <c r="AH1776" s="11" t="s">
        <v>4587</v>
      </c>
      <c r="AI1776" s="8" t="b">
        <v>1</v>
      </c>
    </row>
    <row r="1777" spans="1:35" ht="31.2">
      <c r="A1777" s="8">
        <v>-73.956235079999999</v>
      </c>
      <c r="B1777" s="8">
        <v>40.791346410000003</v>
      </c>
      <c r="C1777" s="8" t="s">
        <v>4588</v>
      </c>
      <c r="D1777" s="8" t="s">
        <v>4589</v>
      </c>
      <c r="E1777" s="8" t="b">
        <f t="shared" si="27"/>
        <v>0</v>
      </c>
      <c r="F1777" s="8" t="str" cm="1">
        <f t="array" ref="F1777">_xlfn._xlws.FILTER(E1777:E4975, C1777:C4975= "6D-PM-1020-01", "No Squirrels Found")</f>
        <v>No Squirrels Found</v>
      </c>
      <c r="G1777" s="8" t="s">
        <v>34</v>
      </c>
      <c r="H1777" s="10">
        <v>10062018</v>
      </c>
      <c r="I1777" s="10">
        <v>2</v>
      </c>
      <c r="J1777" s="8" t="s">
        <v>39</v>
      </c>
      <c r="K1777" s="8" t="s">
        <v>40</v>
      </c>
      <c r="M1777" s="8" t="s">
        <v>55</v>
      </c>
      <c r="O1777" s="8" t="s">
        <v>50</v>
      </c>
      <c r="P1777" s="8">
        <v>6</v>
      </c>
      <c r="R1777" s="8" t="b">
        <v>0</v>
      </c>
      <c r="S1777" s="8" t="b">
        <v>0</v>
      </c>
      <c r="T1777" s="8" t="b">
        <v>1</v>
      </c>
      <c r="U1777" s="8" t="b">
        <v>1</v>
      </c>
      <c r="V1777" s="8" t="b">
        <v>1</v>
      </c>
      <c r="W1777" s="11" t="s">
        <v>4590</v>
      </c>
      <c r="X1777" s="8" t="b">
        <v>0</v>
      </c>
      <c r="Y1777" s="8" t="b">
        <v>0</v>
      </c>
      <c r="Z1777" s="8" t="b">
        <v>0</v>
      </c>
      <c r="AA1777" s="8" t="b">
        <v>0</v>
      </c>
      <c r="AB1777" s="8" t="b">
        <v>0</v>
      </c>
      <c r="AC1777" s="8" t="b">
        <v>0</v>
      </c>
      <c r="AD1777" s="8" t="b">
        <v>0</v>
      </c>
      <c r="AE1777" s="8" t="b">
        <v>1</v>
      </c>
      <c r="AG1777" s="11" t="b" cm="1">
        <f t="array" ref="AG1777">IF(OR(Y1777:AA1777="TRUE", AE1777="true"), "Threatened")</f>
        <v>0</v>
      </c>
      <c r="AH1777" s="11" t="s">
        <v>4591</v>
      </c>
      <c r="AI1777" s="8" t="b">
        <v>0</v>
      </c>
    </row>
    <row r="1778" spans="1:35" ht="31.2">
      <c r="A1778" s="8">
        <v>-73.97117514</v>
      </c>
      <c r="B1778" s="8">
        <v>40.775242280000001</v>
      </c>
      <c r="C1778" s="8" t="s">
        <v>4592</v>
      </c>
      <c r="D1778" s="8" t="s">
        <v>738</v>
      </c>
      <c r="E1778" s="8" t="b">
        <f t="shared" si="27"/>
        <v>0</v>
      </c>
      <c r="F1778" s="8" t="str" cm="1">
        <f t="array" ref="F1778">_xlfn._xlws.FILTER(E1778:E4976, C1778:C4976= "6D-PM-1020-01", "No Squirrels Found")</f>
        <v>No Squirrels Found</v>
      </c>
      <c r="G1778" s="8" t="s">
        <v>48</v>
      </c>
      <c r="H1778" s="10">
        <v>10172018</v>
      </c>
      <c r="I1778" s="10">
        <v>6</v>
      </c>
      <c r="J1778" s="8" t="s">
        <v>54</v>
      </c>
      <c r="K1778" s="8" t="s">
        <v>40</v>
      </c>
      <c r="L1778" s="8" t="s">
        <v>41</v>
      </c>
      <c r="M1778" s="8" t="s">
        <v>42</v>
      </c>
      <c r="O1778" s="8" t="s">
        <v>50</v>
      </c>
      <c r="P1778" s="8">
        <v>2</v>
      </c>
      <c r="R1778" s="8" t="b">
        <v>0</v>
      </c>
      <c r="S1778" s="8" t="b">
        <v>0</v>
      </c>
      <c r="T1778" s="8" t="b">
        <v>0</v>
      </c>
      <c r="U1778" s="8" t="b">
        <v>1</v>
      </c>
      <c r="V1778" s="8" t="b">
        <v>1</v>
      </c>
      <c r="X1778" s="8" t="b">
        <v>0</v>
      </c>
      <c r="Y1778" s="8" t="b">
        <v>0</v>
      </c>
      <c r="Z1778" s="8" t="b">
        <v>0</v>
      </c>
      <c r="AA1778" s="8" t="b">
        <v>0</v>
      </c>
      <c r="AB1778" s="8" t="b">
        <v>0</v>
      </c>
      <c r="AC1778" s="8" t="b">
        <v>0</v>
      </c>
      <c r="AD1778" s="8" t="b">
        <v>1</v>
      </c>
      <c r="AE1778" s="8" t="b">
        <v>0</v>
      </c>
      <c r="AG1778" s="11" t="b" cm="1">
        <f t="array" ref="AG1778">IF(OR(Y1778:AA1778="TRUE", AE1778="true"), "Threatened")</f>
        <v>0</v>
      </c>
      <c r="AH1778" s="11" t="s">
        <v>4593</v>
      </c>
      <c r="AI1778" s="8" t="b">
        <v>1</v>
      </c>
    </row>
    <row r="1779" spans="1:35" ht="31.2">
      <c r="A1779" s="8">
        <v>-73.968559810000002</v>
      </c>
      <c r="B1779" s="8">
        <v>40.780705490000003</v>
      </c>
      <c r="C1779" s="8" t="s">
        <v>4594</v>
      </c>
      <c r="D1779" s="8" t="s">
        <v>223</v>
      </c>
      <c r="E1779" s="8" t="b">
        <f t="shared" si="27"/>
        <v>0</v>
      </c>
      <c r="F1779" s="8" t="str" cm="1">
        <f t="array" ref="F1779">_xlfn._xlws.FILTER(E1779:E4977, C1779:C4977= "6D-PM-1020-01", "No Squirrels Found")</f>
        <v>No Squirrels Found</v>
      </c>
      <c r="G1779" s="8" t="s">
        <v>34</v>
      </c>
      <c r="H1779" s="10">
        <v>10082018</v>
      </c>
      <c r="I1779" s="10">
        <v>2</v>
      </c>
      <c r="M1779" s="8" t="s">
        <v>35</v>
      </c>
      <c r="N1779" s="11" t="s">
        <v>4595</v>
      </c>
      <c r="O1779" s="8" t="s">
        <v>50</v>
      </c>
      <c r="R1779" s="8" t="b">
        <v>0</v>
      </c>
      <c r="S1779" s="8" t="b">
        <v>0</v>
      </c>
      <c r="T1779" s="8" t="b">
        <v>0</v>
      </c>
      <c r="U1779" s="8" t="b">
        <v>0</v>
      </c>
      <c r="V1779" s="8" t="b">
        <v>0</v>
      </c>
      <c r="X1779" s="8" t="b">
        <v>1</v>
      </c>
      <c r="Y1779" s="8" t="b">
        <v>0</v>
      </c>
      <c r="Z1779" s="8" t="b">
        <v>0</v>
      </c>
      <c r="AA1779" s="8" t="b">
        <v>0</v>
      </c>
      <c r="AB1779" s="8" t="b">
        <v>0</v>
      </c>
      <c r="AC1779" s="8" t="b">
        <v>0</v>
      </c>
      <c r="AD1779" s="8" t="b">
        <v>0</v>
      </c>
      <c r="AE1779" s="8" t="b">
        <v>0</v>
      </c>
      <c r="AG1779" s="11" t="b" cm="1">
        <f t="array" ref="AG1779">IF(OR(Y1779:AA1779="TRUE", AE1779="true"), "Threatened")</f>
        <v>0</v>
      </c>
      <c r="AH1779" s="11" t="s">
        <v>4596</v>
      </c>
      <c r="AI1779" s="8" t="b">
        <v>1</v>
      </c>
    </row>
    <row r="1780" spans="1:35" ht="31.2">
      <c r="A1780" s="8">
        <v>-73.969556040000001</v>
      </c>
      <c r="B1780" s="8">
        <v>40.770883509999997</v>
      </c>
      <c r="C1780" s="8" t="s">
        <v>4597</v>
      </c>
      <c r="D1780" s="8" t="s">
        <v>2059</v>
      </c>
      <c r="E1780" s="8" t="b">
        <f t="shared" si="27"/>
        <v>0</v>
      </c>
      <c r="F1780" s="8" t="str" cm="1">
        <f t="array" ref="F1780">_xlfn._xlws.FILTER(E1780:E4978, C1780:C4978= "6D-PM-1020-01", "No Squirrels Found")</f>
        <v>No Squirrels Found</v>
      </c>
      <c r="G1780" s="8" t="s">
        <v>48</v>
      </c>
      <c r="H1780" s="10">
        <v>10062018</v>
      </c>
      <c r="I1780" s="10">
        <v>3</v>
      </c>
      <c r="J1780" s="8" t="s">
        <v>39</v>
      </c>
      <c r="K1780" s="8" t="s">
        <v>40</v>
      </c>
      <c r="L1780" s="8" t="s">
        <v>84</v>
      </c>
      <c r="M1780" s="8" t="s">
        <v>103</v>
      </c>
      <c r="O1780" s="8" t="s">
        <v>43</v>
      </c>
      <c r="P1780" s="8" t="b">
        <v>0</v>
      </c>
      <c r="R1780" s="8" t="b">
        <v>0</v>
      </c>
      <c r="S1780" s="8" t="b">
        <v>0</v>
      </c>
      <c r="T1780" s="8" t="b">
        <v>0</v>
      </c>
      <c r="U1780" s="8" t="b">
        <v>0</v>
      </c>
      <c r="V1780" s="8" t="b">
        <v>1</v>
      </c>
      <c r="X1780" s="8" t="b">
        <v>0</v>
      </c>
      <c r="Y1780" s="8" t="b">
        <v>0</v>
      </c>
      <c r="Z1780" s="8" t="b">
        <v>0</v>
      </c>
      <c r="AA1780" s="8" t="b">
        <v>0</v>
      </c>
      <c r="AB1780" s="8" t="b">
        <v>0</v>
      </c>
      <c r="AC1780" s="8" t="b">
        <v>0</v>
      </c>
      <c r="AD1780" s="8" t="b">
        <v>1</v>
      </c>
      <c r="AE1780" s="8" t="b">
        <v>0</v>
      </c>
      <c r="AG1780" s="11" t="b" cm="1">
        <f t="array" ref="AG1780">IF(OR(Y1780:AA1780="TRUE", AE1780="true"), "Threatened")</f>
        <v>0</v>
      </c>
      <c r="AH1780" s="11" t="s">
        <v>4598</v>
      </c>
      <c r="AI1780" s="8" t="b">
        <v>1</v>
      </c>
    </row>
    <row r="1781" spans="1:35" ht="31.2">
      <c r="A1781" s="8">
        <v>-73.964094560000007</v>
      </c>
      <c r="B1781" s="8">
        <v>40.791051299999999</v>
      </c>
      <c r="C1781" s="8" t="s">
        <v>4599</v>
      </c>
      <c r="D1781" s="8" t="s">
        <v>1613</v>
      </c>
      <c r="E1781" s="8" t="b">
        <f t="shared" si="27"/>
        <v>0</v>
      </c>
      <c r="F1781" s="8" t="str" cm="1">
        <f t="array" ref="F1781">_xlfn._xlws.FILTER(E1781:E4979, C1781:C4979= "6D-PM-1020-01", "No Squirrels Found")</f>
        <v>No Squirrels Found</v>
      </c>
      <c r="G1781" s="8" t="s">
        <v>34</v>
      </c>
      <c r="H1781" s="10">
        <v>10202018</v>
      </c>
      <c r="I1781" s="10">
        <v>4</v>
      </c>
      <c r="J1781" s="8" t="s">
        <v>39</v>
      </c>
      <c r="K1781" s="8" t="s">
        <v>40</v>
      </c>
      <c r="L1781" s="8" t="s">
        <v>117</v>
      </c>
      <c r="M1781" s="8" t="s">
        <v>118</v>
      </c>
      <c r="N1781" s="11" t="s">
        <v>3155</v>
      </c>
      <c r="O1781" s="8" t="s">
        <v>43</v>
      </c>
      <c r="P1781" s="8" t="b">
        <v>0</v>
      </c>
      <c r="Q1781" s="8" t="s">
        <v>1311</v>
      </c>
      <c r="R1781" s="8" t="b">
        <v>1</v>
      </c>
      <c r="S1781" s="8" t="b">
        <v>0</v>
      </c>
      <c r="T1781" s="8" t="b">
        <v>0</v>
      </c>
      <c r="U1781" s="8" t="b">
        <v>1</v>
      </c>
      <c r="V1781" s="8" t="b">
        <v>0</v>
      </c>
      <c r="X1781" s="8" t="b">
        <v>0</v>
      </c>
      <c r="Y1781" s="8" t="b">
        <v>0</v>
      </c>
      <c r="Z1781" s="8" t="b">
        <v>0</v>
      </c>
      <c r="AA1781" s="8" t="b">
        <v>0</v>
      </c>
      <c r="AB1781" s="8" t="b">
        <v>0</v>
      </c>
      <c r="AC1781" s="8" t="b">
        <v>0</v>
      </c>
      <c r="AD1781" s="8" t="b">
        <v>0</v>
      </c>
      <c r="AE1781" s="8" t="b">
        <v>1</v>
      </c>
      <c r="AG1781" s="11" t="b" cm="1">
        <f t="array" ref="AG1781">IF(OR(Y1781:AA1781="TRUE", AE1781="true"), "Threatened")</f>
        <v>0</v>
      </c>
      <c r="AH1781" s="11" t="s">
        <v>4600</v>
      </c>
      <c r="AI1781" s="8" t="b">
        <v>1</v>
      </c>
    </row>
    <row r="1782" spans="1:35" ht="31.2">
      <c r="A1782" s="8">
        <v>-73.960056499999993</v>
      </c>
      <c r="B1782" s="8">
        <v>40.793404850000002</v>
      </c>
      <c r="C1782" s="8" t="s">
        <v>4601</v>
      </c>
      <c r="D1782" s="8" t="s">
        <v>3812</v>
      </c>
      <c r="E1782" s="8" t="b">
        <f t="shared" si="27"/>
        <v>0</v>
      </c>
      <c r="F1782" s="8" t="str" cm="1">
        <f t="array" ref="F1782">_xlfn._xlws.FILTER(E1782:E4980, C1782:C4980= "6D-PM-1020-01", "No Squirrels Found")</f>
        <v>No Squirrels Found</v>
      </c>
      <c r="G1782" s="8" t="s">
        <v>34</v>
      </c>
      <c r="H1782" s="10">
        <v>10122018</v>
      </c>
      <c r="I1782" s="10">
        <v>2</v>
      </c>
      <c r="J1782" s="8" t="s">
        <v>39</v>
      </c>
      <c r="K1782" s="8" t="s">
        <v>40</v>
      </c>
      <c r="L1782" s="8" t="s">
        <v>41</v>
      </c>
      <c r="M1782" s="8" t="s">
        <v>42</v>
      </c>
      <c r="O1782" s="8" t="s">
        <v>43</v>
      </c>
      <c r="P1782" s="8" t="b">
        <v>0</v>
      </c>
      <c r="R1782" s="8" t="b">
        <v>1</v>
      </c>
      <c r="S1782" s="8" t="b">
        <v>0</v>
      </c>
      <c r="T1782" s="8" t="b">
        <v>0</v>
      </c>
      <c r="U1782" s="8" t="b">
        <v>0</v>
      </c>
      <c r="V1782" s="8" t="b">
        <v>1</v>
      </c>
      <c r="X1782" s="8" t="b">
        <v>0</v>
      </c>
      <c r="Y1782" s="8" t="b">
        <v>0</v>
      </c>
      <c r="Z1782" s="8" t="b">
        <v>0</v>
      </c>
      <c r="AA1782" s="8" t="b">
        <v>0</v>
      </c>
      <c r="AB1782" s="8" t="b">
        <v>0</v>
      </c>
      <c r="AC1782" s="8" t="b">
        <v>0</v>
      </c>
      <c r="AD1782" s="8" t="b">
        <v>1</v>
      </c>
      <c r="AE1782" s="8" t="b">
        <v>0</v>
      </c>
      <c r="AG1782" s="11" t="b" cm="1">
        <f t="array" ref="AG1782">IF(OR(Y1782:AA1782="TRUE", AE1782="true"), "Threatened")</f>
        <v>0</v>
      </c>
      <c r="AH1782" s="11" t="s">
        <v>4602</v>
      </c>
      <c r="AI1782" s="8" t="b">
        <v>1</v>
      </c>
    </row>
    <row r="1783" spans="1:35" ht="31.2">
      <c r="A1783" s="8">
        <v>-73.954913390000002</v>
      </c>
      <c r="B1783" s="8">
        <v>40.794687099999997</v>
      </c>
      <c r="C1783" s="8" t="s">
        <v>4603</v>
      </c>
      <c r="D1783" s="8" t="s">
        <v>378</v>
      </c>
      <c r="E1783" s="8" t="b">
        <f t="shared" si="27"/>
        <v>0</v>
      </c>
      <c r="F1783" s="8" t="str" cm="1">
        <f t="array" ref="F1783">_xlfn._xlws.FILTER(E1783:E4981, C1783:C4981= "6D-PM-1020-01", "No Squirrels Found")</f>
        <v>No Squirrels Found</v>
      </c>
      <c r="G1783" s="8" t="s">
        <v>34</v>
      </c>
      <c r="H1783" s="10">
        <v>10132018</v>
      </c>
      <c r="I1783" s="10">
        <v>2</v>
      </c>
      <c r="J1783" s="8" t="s">
        <v>54</v>
      </c>
      <c r="K1783" s="8" t="s">
        <v>40</v>
      </c>
      <c r="L1783" s="8" t="s">
        <v>41</v>
      </c>
      <c r="M1783" s="8" t="s">
        <v>42</v>
      </c>
      <c r="O1783" s="8" t="s">
        <v>43</v>
      </c>
      <c r="P1783" s="8" t="b">
        <v>0</v>
      </c>
      <c r="R1783" s="8" t="b">
        <v>0</v>
      </c>
      <c r="S1783" s="8" t="b">
        <v>0</v>
      </c>
      <c r="T1783" s="8" t="b">
        <v>0</v>
      </c>
      <c r="U1783" s="8" t="b">
        <v>0</v>
      </c>
      <c r="V1783" s="8" t="b">
        <v>1</v>
      </c>
      <c r="X1783" s="8" t="b">
        <v>0</v>
      </c>
      <c r="Y1783" s="8" t="b">
        <v>0</v>
      </c>
      <c r="Z1783" s="8" t="b">
        <v>0</v>
      </c>
      <c r="AA1783" s="8" t="b">
        <v>0</v>
      </c>
      <c r="AB1783" s="8" t="b">
        <v>0</v>
      </c>
      <c r="AC1783" s="8" t="b">
        <v>0</v>
      </c>
      <c r="AD1783" s="8" t="b">
        <v>0</v>
      </c>
      <c r="AE1783" s="8" t="b">
        <v>0</v>
      </c>
      <c r="AG1783" s="11" t="b" cm="1">
        <f t="array" ref="AG1783">IF(OR(Y1783:AA1783="TRUE", AE1783="true"), "Threatened")</f>
        <v>0</v>
      </c>
      <c r="AH1783" s="11" t="s">
        <v>4604</v>
      </c>
      <c r="AI1783" s="8" t="b">
        <v>1</v>
      </c>
    </row>
    <row r="1784" spans="1:35" ht="62.4">
      <c r="A1784" s="8">
        <v>-73.973000110000001</v>
      </c>
      <c r="B1784" s="8">
        <v>40.767871919999997</v>
      </c>
      <c r="C1784" s="8" t="s">
        <v>4605</v>
      </c>
      <c r="D1784" s="8" t="s">
        <v>651</v>
      </c>
      <c r="E1784" s="8" t="b">
        <f t="shared" si="27"/>
        <v>0</v>
      </c>
      <c r="F1784" s="8" t="str" cm="1">
        <f t="array" ref="F1784">_xlfn._xlws.FILTER(E1784:E4982, C1784:C4982= "6D-PM-1020-01", "No Squirrels Found")</f>
        <v>No Squirrels Found</v>
      </c>
      <c r="G1784" s="8" t="s">
        <v>48</v>
      </c>
      <c r="H1784" s="10">
        <v>10062018</v>
      </c>
      <c r="I1784" s="10">
        <v>5</v>
      </c>
      <c r="J1784" s="8" t="s">
        <v>54</v>
      </c>
      <c r="K1784" s="8" t="s">
        <v>40</v>
      </c>
      <c r="L1784" s="8" t="s">
        <v>84</v>
      </c>
      <c r="M1784" s="8" t="s">
        <v>103</v>
      </c>
      <c r="O1784" s="8" t="s">
        <v>50</v>
      </c>
      <c r="P1784" s="8">
        <v>20</v>
      </c>
      <c r="R1784" s="8" t="b">
        <v>0</v>
      </c>
      <c r="S1784" s="8" t="b">
        <v>0</v>
      </c>
      <c r="T1784" s="8" t="b">
        <v>1</v>
      </c>
      <c r="U1784" s="8" t="b">
        <v>0</v>
      </c>
      <c r="V1784" s="8" t="b">
        <v>0</v>
      </c>
      <c r="W1784" s="11" t="s">
        <v>384</v>
      </c>
      <c r="X1784" s="8" t="b">
        <v>0</v>
      </c>
      <c r="Y1784" s="8" t="b">
        <v>0</v>
      </c>
      <c r="Z1784" s="8" t="b">
        <v>0</v>
      </c>
      <c r="AA1784" s="8" t="b">
        <v>0</v>
      </c>
      <c r="AB1784" s="8" t="b">
        <v>0</v>
      </c>
      <c r="AC1784" s="8" t="b">
        <v>0</v>
      </c>
      <c r="AD1784" s="8" t="b">
        <v>1</v>
      </c>
      <c r="AE1784" s="8" t="b">
        <v>0</v>
      </c>
      <c r="AF1784" s="11" t="s">
        <v>4606</v>
      </c>
      <c r="AG1784" s="11" t="b" cm="1">
        <f t="array" ref="AG1784">IF(OR(Y1784:AA1784="TRUE", AE1784="true"), "Threatened")</f>
        <v>0</v>
      </c>
      <c r="AH1784" s="11" t="s">
        <v>4607</v>
      </c>
      <c r="AI1784" s="8" t="b">
        <v>0</v>
      </c>
    </row>
    <row r="1785" spans="1:35" ht="31.2">
      <c r="A1785" s="8">
        <v>-73.974831879999996</v>
      </c>
      <c r="B1785" s="8">
        <v>40.777182140000001</v>
      </c>
      <c r="C1785" s="8" t="s">
        <v>4608</v>
      </c>
      <c r="D1785" s="8" t="s">
        <v>594</v>
      </c>
      <c r="E1785" s="8" t="b">
        <f t="shared" si="27"/>
        <v>0</v>
      </c>
      <c r="F1785" s="8" t="str" cm="1">
        <f t="array" ref="F1785">_xlfn._xlws.FILTER(E1785:E4983, C1785:C4983= "6D-PM-1020-01", "No Squirrels Found")</f>
        <v>No Squirrels Found</v>
      </c>
      <c r="G1785" s="8" t="s">
        <v>48</v>
      </c>
      <c r="H1785" s="10">
        <v>10172018</v>
      </c>
      <c r="I1785" s="10">
        <v>5</v>
      </c>
      <c r="J1785" s="8" t="s">
        <v>39</v>
      </c>
      <c r="K1785" s="8" t="s">
        <v>40</v>
      </c>
      <c r="L1785" s="8" t="s">
        <v>84</v>
      </c>
      <c r="M1785" s="8" t="s">
        <v>103</v>
      </c>
      <c r="O1785" s="8" t="s">
        <v>43</v>
      </c>
      <c r="P1785" s="8" t="b">
        <v>0</v>
      </c>
      <c r="R1785" s="8" t="b">
        <v>0</v>
      </c>
      <c r="S1785" s="8" t="b">
        <v>0</v>
      </c>
      <c r="T1785" s="8" t="b">
        <v>0</v>
      </c>
      <c r="U1785" s="8" t="b">
        <v>0</v>
      </c>
      <c r="V1785" s="8" t="b">
        <v>1</v>
      </c>
      <c r="X1785" s="8" t="b">
        <v>0</v>
      </c>
      <c r="Y1785" s="8" t="b">
        <v>0</v>
      </c>
      <c r="Z1785" s="8" t="b">
        <v>0</v>
      </c>
      <c r="AA1785" s="8" t="b">
        <v>0</v>
      </c>
      <c r="AB1785" s="8" t="b">
        <v>0</v>
      </c>
      <c r="AC1785" s="8" t="b">
        <v>0</v>
      </c>
      <c r="AD1785" s="8" t="b">
        <v>1</v>
      </c>
      <c r="AE1785" s="8" t="b">
        <v>0</v>
      </c>
      <c r="AG1785" s="11" t="b" cm="1">
        <f t="array" ref="AG1785">IF(OR(Y1785:AA1785="TRUE", AE1785="true"), "Threatened")</f>
        <v>0</v>
      </c>
      <c r="AH1785" s="11" t="s">
        <v>4609</v>
      </c>
      <c r="AI1785" s="8" t="b">
        <v>1</v>
      </c>
    </row>
    <row r="1786" spans="1:35" ht="31.2">
      <c r="A1786" s="8">
        <v>-73.955062740000002</v>
      </c>
      <c r="B1786" s="8">
        <v>40.791010470000003</v>
      </c>
      <c r="C1786" s="8" t="s">
        <v>4610</v>
      </c>
      <c r="D1786" s="8" t="s">
        <v>1354</v>
      </c>
      <c r="E1786" s="8" t="b">
        <f t="shared" si="27"/>
        <v>0</v>
      </c>
      <c r="F1786" s="8" t="str" cm="1">
        <f t="array" ref="F1786">_xlfn._xlws.FILTER(E1786:E4984, C1786:C4984= "6D-PM-1020-01", "No Squirrels Found")</f>
        <v>No Squirrels Found</v>
      </c>
      <c r="G1786" s="8" t="s">
        <v>34</v>
      </c>
      <c r="H1786" s="10">
        <v>10062018</v>
      </c>
      <c r="I1786" s="10">
        <v>2</v>
      </c>
      <c r="K1786" s="8" t="s">
        <v>40</v>
      </c>
      <c r="M1786" s="8" t="s">
        <v>55</v>
      </c>
      <c r="O1786" s="8" t="s">
        <v>43</v>
      </c>
      <c r="P1786" s="8" t="b">
        <v>0</v>
      </c>
      <c r="R1786" s="8" t="b">
        <v>0</v>
      </c>
      <c r="S1786" s="8" t="b">
        <v>0</v>
      </c>
      <c r="T1786" s="8" t="b">
        <v>0</v>
      </c>
      <c r="U1786" s="8" t="b">
        <v>0</v>
      </c>
      <c r="V1786" s="8" t="b">
        <v>1</v>
      </c>
      <c r="X1786" s="8" t="b">
        <v>0</v>
      </c>
      <c r="Y1786" s="8" t="b">
        <v>0</v>
      </c>
      <c r="Z1786" s="8" t="b">
        <v>0</v>
      </c>
      <c r="AA1786" s="8" t="b">
        <v>0</v>
      </c>
      <c r="AB1786" s="8" t="b">
        <v>0</v>
      </c>
      <c r="AC1786" s="8" t="b">
        <v>0</v>
      </c>
      <c r="AD1786" s="8" t="b">
        <v>0</v>
      </c>
      <c r="AE1786" s="8" t="b">
        <v>0</v>
      </c>
      <c r="AG1786" s="11" t="b" cm="1">
        <f t="array" ref="AG1786">IF(OR(Y1786:AA1786="TRUE", AE1786="true"), "Threatened")</f>
        <v>0</v>
      </c>
      <c r="AH1786" s="11" t="s">
        <v>4611</v>
      </c>
      <c r="AI1786" s="8" t="b">
        <v>1</v>
      </c>
    </row>
    <row r="1787" spans="1:35" ht="31.2">
      <c r="A1787" s="8">
        <v>-73.970940749999997</v>
      </c>
      <c r="B1787" s="8">
        <v>40.776423520000002</v>
      </c>
      <c r="C1787" s="8" t="s">
        <v>4612</v>
      </c>
      <c r="D1787" s="8" t="s">
        <v>741</v>
      </c>
      <c r="E1787" s="8" t="b">
        <f t="shared" si="27"/>
        <v>0</v>
      </c>
      <c r="F1787" s="8" t="str" cm="1">
        <f t="array" ref="F1787">_xlfn._xlws.FILTER(E1787:E4985, C1787:C4985= "6D-PM-1020-01", "No Squirrels Found")</f>
        <v>No Squirrels Found</v>
      </c>
      <c r="G1787" s="8" t="s">
        <v>48</v>
      </c>
      <c r="H1787" s="10">
        <v>10142018</v>
      </c>
      <c r="I1787" s="10">
        <v>13</v>
      </c>
      <c r="J1787" s="8" t="s">
        <v>39</v>
      </c>
      <c r="K1787" s="8" t="s">
        <v>40</v>
      </c>
      <c r="L1787" s="8" t="s">
        <v>117</v>
      </c>
      <c r="M1787" s="8" t="s">
        <v>118</v>
      </c>
      <c r="R1787" s="8" t="b">
        <v>0</v>
      </c>
      <c r="S1787" s="8" t="b">
        <v>0</v>
      </c>
      <c r="T1787" s="8" t="b">
        <v>0</v>
      </c>
      <c r="U1787" s="8" t="b">
        <v>0</v>
      </c>
      <c r="V1787" s="8" t="b">
        <v>1</v>
      </c>
      <c r="X1787" s="8" t="b">
        <v>0</v>
      </c>
      <c r="Y1787" s="8" t="b">
        <v>0</v>
      </c>
      <c r="Z1787" s="8" t="b">
        <v>0</v>
      </c>
      <c r="AA1787" s="8" t="b">
        <v>0</v>
      </c>
      <c r="AB1787" s="8" t="b">
        <v>0</v>
      </c>
      <c r="AC1787" s="8" t="b">
        <v>0</v>
      </c>
      <c r="AD1787" s="8" t="b">
        <v>1</v>
      </c>
      <c r="AE1787" s="8" t="b">
        <v>0</v>
      </c>
      <c r="AG1787" s="11" t="b" cm="1">
        <f t="array" ref="AG1787">IF(OR(Y1787:AA1787="TRUE", AE1787="true"), "Threatened")</f>
        <v>0</v>
      </c>
      <c r="AH1787" s="11" t="s">
        <v>4613</v>
      </c>
      <c r="AI1787" s="8" t="b">
        <v>1</v>
      </c>
    </row>
    <row r="1788" spans="1:35" ht="31.2">
      <c r="A1788" s="8">
        <v>-73.972036529999997</v>
      </c>
      <c r="B1788" s="8">
        <v>40.776232970000002</v>
      </c>
      <c r="C1788" s="8" t="s">
        <v>4614</v>
      </c>
      <c r="D1788" s="8" t="s">
        <v>426</v>
      </c>
      <c r="E1788" s="8" t="b">
        <f t="shared" si="27"/>
        <v>0</v>
      </c>
      <c r="F1788" s="8" t="str" cm="1">
        <f t="array" ref="F1788">_xlfn._xlws.FILTER(E1788:E4986, C1788:C4986= "6D-PM-1020-01", "No Squirrels Found")</f>
        <v>No Squirrels Found</v>
      </c>
      <c r="G1788" s="8" t="s">
        <v>34</v>
      </c>
      <c r="H1788" s="10">
        <v>10182018</v>
      </c>
      <c r="I1788" s="10">
        <v>11</v>
      </c>
      <c r="J1788" s="8" t="s">
        <v>39</v>
      </c>
      <c r="K1788" s="8" t="s">
        <v>40</v>
      </c>
      <c r="L1788" s="8" t="s">
        <v>84</v>
      </c>
      <c r="M1788" s="8" t="s">
        <v>103</v>
      </c>
      <c r="O1788" s="8" t="s">
        <v>50</v>
      </c>
      <c r="P1788" s="8">
        <v>15</v>
      </c>
      <c r="R1788" s="8" t="b">
        <v>0</v>
      </c>
      <c r="S1788" s="8" t="b">
        <v>0</v>
      </c>
      <c r="T1788" s="8" t="b">
        <v>1</v>
      </c>
      <c r="U1788" s="8" t="b">
        <v>1</v>
      </c>
      <c r="V1788" s="8" t="b">
        <v>0</v>
      </c>
      <c r="X1788" s="8" t="b">
        <v>0</v>
      </c>
      <c r="Y1788" s="8" t="b">
        <v>0</v>
      </c>
      <c r="Z1788" s="8" t="b">
        <v>0</v>
      </c>
      <c r="AA1788" s="8" t="b">
        <v>0</v>
      </c>
      <c r="AB1788" s="8" t="b">
        <v>1</v>
      </c>
      <c r="AC1788" s="8" t="b">
        <v>0</v>
      </c>
      <c r="AD1788" s="8" t="b">
        <v>1</v>
      </c>
      <c r="AE1788" s="8" t="b">
        <v>0</v>
      </c>
      <c r="AG1788" s="11" t="b" cm="1">
        <f t="array" ref="AG1788">IF(OR(Y1788:AA1788="TRUE", AE1788="true"), "Threatened")</f>
        <v>0</v>
      </c>
      <c r="AH1788" s="11" t="s">
        <v>4615</v>
      </c>
      <c r="AI1788" s="8" t="b">
        <v>1</v>
      </c>
    </row>
    <row r="1789" spans="1:35" ht="31.2">
      <c r="A1789" s="8">
        <v>-73.968556710000001</v>
      </c>
      <c r="B1789" s="8">
        <v>40.770379769999998</v>
      </c>
      <c r="C1789" s="8" t="s">
        <v>4616</v>
      </c>
      <c r="D1789" s="8" t="s">
        <v>1326</v>
      </c>
      <c r="E1789" s="8" t="b">
        <f t="shared" si="27"/>
        <v>0</v>
      </c>
      <c r="F1789" s="8" t="str" cm="1">
        <f t="array" ref="F1789">_xlfn._xlws.FILTER(E1789:E4987, C1789:C4987= "6D-PM-1020-01", "No Squirrels Found")</f>
        <v>No Squirrels Found</v>
      </c>
      <c r="G1789" s="8" t="s">
        <v>48</v>
      </c>
      <c r="H1789" s="10">
        <v>10062018</v>
      </c>
      <c r="I1789" s="10">
        <v>10</v>
      </c>
      <c r="J1789" s="8" t="s">
        <v>39</v>
      </c>
      <c r="K1789" s="8" t="s">
        <v>40</v>
      </c>
      <c r="L1789" s="8" t="s">
        <v>117</v>
      </c>
      <c r="M1789" s="8" t="s">
        <v>118</v>
      </c>
      <c r="O1789" s="8" t="s">
        <v>50</v>
      </c>
      <c r="P1789" s="8">
        <v>3</v>
      </c>
      <c r="Q1789" s="8" t="s">
        <v>236</v>
      </c>
      <c r="R1789" s="8" t="b">
        <v>0</v>
      </c>
      <c r="S1789" s="8" t="b">
        <v>0</v>
      </c>
      <c r="T1789" s="8" t="b">
        <v>1</v>
      </c>
      <c r="U1789" s="8" t="b">
        <v>0</v>
      </c>
      <c r="V1789" s="8" t="b">
        <v>0</v>
      </c>
      <c r="X1789" s="8" t="b">
        <v>0</v>
      </c>
      <c r="Y1789" s="8" t="b">
        <v>0</v>
      </c>
      <c r="Z1789" s="8" t="b">
        <v>0</v>
      </c>
      <c r="AA1789" s="8" t="b">
        <v>0</v>
      </c>
      <c r="AB1789" s="8" t="b">
        <v>0</v>
      </c>
      <c r="AC1789" s="8" t="b">
        <v>0</v>
      </c>
      <c r="AD1789" s="8" t="b">
        <v>0</v>
      </c>
      <c r="AE1789" s="8" t="b">
        <v>1</v>
      </c>
      <c r="AG1789" s="11" t="b" cm="1">
        <f t="array" ref="AG1789">IF(OR(Y1789:AA1789="TRUE", AE1789="true"), "Threatened")</f>
        <v>0</v>
      </c>
      <c r="AH1789" s="11" t="s">
        <v>4617</v>
      </c>
      <c r="AI1789" s="8" t="b">
        <v>1</v>
      </c>
    </row>
    <row r="1790" spans="1:35" ht="31.2">
      <c r="A1790" s="8">
        <v>-73.95962711</v>
      </c>
      <c r="B1790" s="8">
        <v>40.790661229999998</v>
      </c>
      <c r="C1790" s="8" t="s">
        <v>4618</v>
      </c>
      <c r="D1790" s="8" t="s">
        <v>75</v>
      </c>
      <c r="E1790" s="8" t="b">
        <f t="shared" si="27"/>
        <v>0</v>
      </c>
      <c r="F1790" s="8" t="str" cm="1">
        <f t="array" ref="F1790">_xlfn._xlws.FILTER(E1790:E4988, C1790:C4988= "6D-PM-1020-01", "No Squirrels Found")</f>
        <v>No Squirrels Found</v>
      </c>
      <c r="G1790" s="8" t="s">
        <v>34</v>
      </c>
      <c r="H1790" s="10">
        <v>10172018</v>
      </c>
      <c r="I1790" s="10">
        <v>12</v>
      </c>
      <c r="J1790" s="8" t="s">
        <v>39</v>
      </c>
      <c r="K1790" s="8" t="s">
        <v>40</v>
      </c>
      <c r="M1790" s="8" t="s">
        <v>55</v>
      </c>
      <c r="O1790" s="8" t="s">
        <v>43</v>
      </c>
      <c r="P1790" s="8" t="b">
        <v>0</v>
      </c>
      <c r="R1790" s="8" t="b">
        <v>0</v>
      </c>
      <c r="S1790" s="8" t="b">
        <v>0</v>
      </c>
      <c r="T1790" s="8" t="b">
        <v>0</v>
      </c>
      <c r="U1790" s="8" t="b">
        <v>1</v>
      </c>
      <c r="V1790" s="8" t="b">
        <v>1</v>
      </c>
      <c r="X1790" s="8" t="b">
        <v>0</v>
      </c>
      <c r="Y1790" s="8" t="b">
        <v>1</v>
      </c>
      <c r="Z1790" s="8" t="b">
        <v>0</v>
      </c>
      <c r="AA1790" s="8" t="b">
        <v>0</v>
      </c>
      <c r="AB1790" s="8" t="b">
        <v>0</v>
      </c>
      <c r="AC1790" s="8" t="b">
        <v>0</v>
      </c>
      <c r="AD1790" s="8" t="b">
        <v>0</v>
      </c>
      <c r="AE1790" s="8" t="b">
        <v>0</v>
      </c>
      <c r="AG1790" s="11" t="b" cm="1">
        <f t="array" ref="AG1790">IF(OR(Y1790:AA1790="TRUE", AE1790="true"), "Threatened")</f>
        <v>0</v>
      </c>
      <c r="AH1790" s="11" t="s">
        <v>4619</v>
      </c>
      <c r="AI1790" s="8" t="b">
        <v>1</v>
      </c>
    </row>
    <row r="1791" spans="1:35" ht="31.2">
      <c r="A1791" s="8">
        <v>-73.973059250000006</v>
      </c>
      <c r="B1791" s="8">
        <v>40.77408793</v>
      </c>
      <c r="C1791" s="8" t="s">
        <v>4620</v>
      </c>
      <c r="D1791" s="8" t="s">
        <v>2256</v>
      </c>
      <c r="E1791" s="8" t="b">
        <f t="shared" si="27"/>
        <v>0</v>
      </c>
      <c r="F1791" s="8" t="str" cm="1">
        <f t="array" ref="F1791">_xlfn._xlws.FILTER(E1791:E4989, C1791:C4989= "6D-PM-1020-01", "No Squirrels Found")</f>
        <v>No Squirrels Found</v>
      </c>
      <c r="G1791" s="8" t="s">
        <v>48</v>
      </c>
      <c r="H1791" s="10">
        <v>10082018</v>
      </c>
      <c r="I1791" s="10">
        <v>4</v>
      </c>
      <c r="J1791" s="8" t="s">
        <v>54</v>
      </c>
      <c r="K1791" s="8" t="s">
        <v>40</v>
      </c>
      <c r="M1791" s="8" t="s">
        <v>55</v>
      </c>
      <c r="O1791" s="8" t="s">
        <v>50</v>
      </c>
      <c r="P1791" s="8">
        <v>25</v>
      </c>
      <c r="R1791" s="8" t="b">
        <v>0</v>
      </c>
      <c r="S1791" s="8" t="b">
        <v>1</v>
      </c>
      <c r="T1791" s="8" t="b">
        <v>1</v>
      </c>
      <c r="U1791" s="8" t="b">
        <v>0</v>
      </c>
      <c r="V1791" s="8" t="b">
        <v>0</v>
      </c>
      <c r="X1791" s="8" t="b">
        <v>0</v>
      </c>
      <c r="Y1791" s="8" t="b">
        <v>0</v>
      </c>
      <c r="Z1791" s="8" t="b">
        <v>0</v>
      </c>
      <c r="AA1791" s="8" t="b">
        <v>0</v>
      </c>
      <c r="AB1791" s="8" t="b">
        <v>0</v>
      </c>
      <c r="AC1791" s="8" t="b">
        <v>0</v>
      </c>
      <c r="AD1791" s="8" t="b">
        <v>0</v>
      </c>
      <c r="AE1791" s="8" t="b">
        <v>0</v>
      </c>
      <c r="AG1791" s="11" t="b" cm="1">
        <f t="array" ref="AG1791">IF(OR(Y1791:AA1791="TRUE", AE1791="true"), "Threatened")</f>
        <v>0</v>
      </c>
      <c r="AH1791" s="11" t="s">
        <v>4621</v>
      </c>
      <c r="AI1791" s="8" t="b">
        <v>1</v>
      </c>
    </row>
    <row r="1792" spans="1:35" ht="31.2">
      <c r="A1792" s="8">
        <v>-73.971090720000007</v>
      </c>
      <c r="B1792" s="8">
        <v>40.776373909999997</v>
      </c>
      <c r="C1792" s="8" t="s">
        <v>4622</v>
      </c>
      <c r="D1792" s="8" t="s">
        <v>426</v>
      </c>
      <c r="E1792" s="8" t="b">
        <f t="shared" si="27"/>
        <v>0</v>
      </c>
      <c r="F1792" s="8" t="str" cm="1">
        <f t="array" ref="F1792">_xlfn._xlws.FILTER(E1792:E4990, C1792:C4990= "6D-PM-1020-01", "No Squirrels Found")</f>
        <v>No Squirrels Found</v>
      </c>
      <c r="G1792" s="8" t="s">
        <v>48</v>
      </c>
      <c r="H1792" s="10">
        <v>10142018</v>
      </c>
      <c r="I1792" s="10">
        <v>7</v>
      </c>
      <c r="J1792" s="8" t="s">
        <v>39</v>
      </c>
      <c r="K1792" s="8" t="s">
        <v>40</v>
      </c>
      <c r="L1792" s="8" t="s">
        <v>117</v>
      </c>
      <c r="M1792" s="8" t="s">
        <v>118</v>
      </c>
      <c r="O1792" s="8" t="s">
        <v>43</v>
      </c>
      <c r="P1792" s="8" t="b">
        <v>0</v>
      </c>
      <c r="R1792" s="8" t="b">
        <v>0</v>
      </c>
      <c r="S1792" s="8" t="b">
        <v>0</v>
      </c>
      <c r="T1792" s="8" t="b">
        <v>0</v>
      </c>
      <c r="U1792" s="8" t="b">
        <v>0</v>
      </c>
      <c r="V1792" s="8" t="b">
        <v>1</v>
      </c>
      <c r="X1792" s="8" t="b">
        <v>0</v>
      </c>
      <c r="Y1792" s="8" t="b">
        <v>0</v>
      </c>
      <c r="Z1792" s="8" t="b">
        <v>0</v>
      </c>
      <c r="AA1792" s="8" t="b">
        <v>0</v>
      </c>
      <c r="AB1792" s="8" t="b">
        <v>0</v>
      </c>
      <c r="AC1792" s="8" t="b">
        <v>0</v>
      </c>
      <c r="AD1792" s="8" t="b">
        <v>1</v>
      </c>
      <c r="AE1792" s="8" t="b">
        <v>0</v>
      </c>
      <c r="AG1792" s="11" t="b" cm="1">
        <f t="array" ref="AG1792">IF(OR(Y1792:AA1792="TRUE", AE1792="true"), "Threatened")</f>
        <v>0</v>
      </c>
      <c r="AH1792" s="11" t="s">
        <v>4623</v>
      </c>
      <c r="AI1792" s="8" t="b">
        <v>1</v>
      </c>
    </row>
    <row r="1793" spans="1:35" ht="31.2">
      <c r="A1793" s="8">
        <v>-73.970570449999997</v>
      </c>
      <c r="B1793" s="8">
        <v>40.776285299999998</v>
      </c>
      <c r="C1793" s="8" t="s">
        <v>4624</v>
      </c>
      <c r="D1793" s="8" t="s">
        <v>79</v>
      </c>
      <c r="E1793" s="8" t="b">
        <f t="shared" si="27"/>
        <v>0</v>
      </c>
      <c r="F1793" s="8" t="str" cm="1">
        <f t="array" ref="F1793">_xlfn._xlws.FILTER(E1793:E4991, C1793:C4991= "6D-PM-1020-01", "No Squirrels Found")</f>
        <v>No Squirrels Found</v>
      </c>
      <c r="G1793" s="8" t="s">
        <v>48</v>
      </c>
      <c r="H1793" s="10">
        <v>10172018</v>
      </c>
      <c r="I1793" s="10">
        <v>6</v>
      </c>
      <c r="J1793" s="8" t="s">
        <v>39</v>
      </c>
      <c r="K1793" s="8" t="s">
        <v>40</v>
      </c>
      <c r="M1793" s="8" t="s">
        <v>55</v>
      </c>
      <c r="O1793" s="8" t="s">
        <v>43</v>
      </c>
      <c r="P1793" s="8" t="b">
        <v>0</v>
      </c>
      <c r="R1793" s="8" t="b">
        <v>1</v>
      </c>
      <c r="S1793" s="8" t="b">
        <v>0</v>
      </c>
      <c r="T1793" s="8" t="b">
        <v>0</v>
      </c>
      <c r="U1793" s="8" t="b">
        <v>0</v>
      </c>
      <c r="V1793" s="8" t="b">
        <v>0</v>
      </c>
      <c r="X1793" s="8" t="b">
        <v>0</v>
      </c>
      <c r="Y1793" s="8" t="b">
        <v>0</v>
      </c>
      <c r="Z1793" s="8" t="b">
        <v>0</v>
      </c>
      <c r="AA1793" s="8" t="b">
        <v>0</v>
      </c>
      <c r="AB1793" s="8" t="b">
        <v>0</v>
      </c>
      <c r="AC1793" s="8" t="b">
        <v>0</v>
      </c>
      <c r="AD1793" s="8" t="b">
        <v>0</v>
      </c>
      <c r="AE1793" s="8" t="b">
        <v>0</v>
      </c>
      <c r="AG1793" s="11" t="b" cm="1">
        <f t="array" ref="AG1793">IF(OR(Y1793:AA1793="TRUE", AE1793="true"), "Threatened")</f>
        <v>0</v>
      </c>
      <c r="AH1793" s="11" t="s">
        <v>4625</v>
      </c>
      <c r="AI1793" s="8" t="b">
        <v>1</v>
      </c>
    </row>
    <row r="1794" spans="1:35" ht="31.2">
      <c r="A1794" s="8">
        <v>-73.977157520000006</v>
      </c>
      <c r="B1794" s="8">
        <v>40.767387370000002</v>
      </c>
      <c r="C1794" s="8" t="s">
        <v>4626</v>
      </c>
      <c r="D1794" s="8" t="s">
        <v>47</v>
      </c>
      <c r="E1794" s="8" t="b">
        <f t="shared" si="27"/>
        <v>0</v>
      </c>
      <c r="F1794" s="8" t="str" cm="1">
        <f t="array" ref="F1794">_xlfn._xlws.FILTER(E1794:E4992, C1794:C4992= "6D-PM-1020-01", "No Squirrels Found")</f>
        <v>No Squirrels Found</v>
      </c>
      <c r="G1794" s="8" t="s">
        <v>48</v>
      </c>
      <c r="H1794" s="10">
        <v>10102018</v>
      </c>
      <c r="I1794" s="10">
        <v>7</v>
      </c>
      <c r="J1794" s="8" t="s">
        <v>39</v>
      </c>
      <c r="K1794" s="8" t="s">
        <v>40</v>
      </c>
      <c r="L1794" s="8" t="s">
        <v>117</v>
      </c>
      <c r="M1794" s="8" t="s">
        <v>118</v>
      </c>
      <c r="O1794" s="8" t="s">
        <v>43</v>
      </c>
      <c r="P1794" s="8" t="b">
        <v>0</v>
      </c>
      <c r="R1794" s="8" t="b">
        <v>0</v>
      </c>
      <c r="S1794" s="8" t="b">
        <v>0</v>
      </c>
      <c r="T1794" s="8" t="b">
        <v>0</v>
      </c>
      <c r="U1794" s="8" t="b">
        <v>0</v>
      </c>
      <c r="V1794" s="8" t="b">
        <v>1</v>
      </c>
      <c r="X1794" s="8" t="b">
        <v>0</v>
      </c>
      <c r="Y1794" s="8" t="b">
        <v>0</v>
      </c>
      <c r="Z1794" s="8" t="b">
        <v>0</v>
      </c>
      <c r="AA1794" s="8" t="b">
        <v>0</v>
      </c>
      <c r="AB1794" s="8" t="b">
        <v>1</v>
      </c>
      <c r="AC1794" s="8" t="b">
        <v>0</v>
      </c>
      <c r="AD1794" s="8" t="b">
        <v>1</v>
      </c>
      <c r="AE1794" s="8" t="b">
        <v>0</v>
      </c>
      <c r="AG1794" s="11" t="b" cm="1">
        <f t="array" ref="AG1794">IF(OR(Y1794:AA1794="TRUE", AE1794="true"), "Threatened")</f>
        <v>0</v>
      </c>
      <c r="AH1794" s="11" t="s">
        <v>4627</v>
      </c>
      <c r="AI1794" s="8" t="b">
        <v>1</v>
      </c>
    </row>
    <row r="1795" spans="1:35" ht="31.2">
      <c r="A1795" s="8">
        <v>-73.975791240000007</v>
      </c>
      <c r="B1795" s="8">
        <v>40.774759860000003</v>
      </c>
      <c r="C1795" s="8" t="s">
        <v>4628</v>
      </c>
      <c r="D1795" s="8" t="s">
        <v>472</v>
      </c>
      <c r="E1795" s="8" t="b">
        <f t="shared" ref="E1795:E1858" si="28">OR(D1795 = "05D", D1795 = "07D", D1795 = "06C", D1795 = "06E")</f>
        <v>0</v>
      </c>
      <c r="F1795" s="8" t="str" cm="1">
        <f t="array" ref="F1795">_xlfn._xlws.FILTER(E1795:E4993, C1795:C4993= "6D-PM-1020-01", "No Squirrels Found")</f>
        <v>No Squirrels Found</v>
      </c>
      <c r="G1795" s="8" t="s">
        <v>48</v>
      </c>
      <c r="H1795" s="10">
        <v>10062018</v>
      </c>
      <c r="I1795" s="10">
        <v>4</v>
      </c>
      <c r="J1795" s="8" t="s">
        <v>39</v>
      </c>
      <c r="K1795" s="8" t="s">
        <v>40</v>
      </c>
      <c r="M1795" s="8" t="s">
        <v>55</v>
      </c>
      <c r="O1795" s="8" t="s">
        <v>43</v>
      </c>
      <c r="P1795" s="8" t="b">
        <v>0</v>
      </c>
      <c r="R1795" s="8" t="b">
        <v>1</v>
      </c>
      <c r="S1795" s="8" t="b">
        <v>0</v>
      </c>
      <c r="T1795" s="8" t="b">
        <v>0</v>
      </c>
      <c r="U1795" s="8" t="b">
        <v>0</v>
      </c>
      <c r="V1795" s="8" t="b">
        <v>0</v>
      </c>
      <c r="X1795" s="8" t="b">
        <v>0</v>
      </c>
      <c r="Y1795" s="8" t="b">
        <v>0</v>
      </c>
      <c r="Z1795" s="8" t="b">
        <v>0</v>
      </c>
      <c r="AA1795" s="8" t="b">
        <v>0</v>
      </c>
      <c r="AB1795" s="8" t="b">
        <v>0</v>
      </c>
      <c r="AC1795" s="8" t="b">
        <v>0</v>
      </c>
      <c r="AD1795" s="8" t="b">
        <v>0</v>
      </c>
      <c r="AE1795" s="8" t="b">
        <v>1</v>
      </c>
      <c r="AG1795" s="11" t="b" cm="1">
        <f t="array" ref="AG1795">IF(OR(Y1795:AA1795="TRUE", AE1795="true"), "Threatened")</f>
        <v>0</v>
      </c>
      <c r="AH1795" s="11" t="s">
        <v>4629</v>
      </c>
      <c r="AI1795" s="8" t="b">
        <v>1</v>
      </c>
    </row>
    <row r="1796" spans="1:35" ht="31.2">
      <c r="A1796" s="8">
        <v>-73.968004350000001</v>
      </c>
      <c r="B1796" s="8">
        <v>40.77266693</v>
      </c>
      <c r="C1796" s="8" t="s">
        <v>4630</v>
      </c>
      <c r="D1796" s="8" t="s">
        <v>1270</v>
      </c>
      <c r="E1796" s="8" t="b">
        <f t="shared" si="28"/>
        <v>0</v>
      </c>
      <c r="F1796" s="8" t="str" cm="1">
        <f t="array" ref="F1796">_xlfn._xlws.FILTER(E1796:E4994, C1796:C4994= "6D-PM-1020-01", "No Squirrels Found")</f>
        <v>No Squirrels Found</v>
      </c>
      <c r="G1796" s="8" t="s">
        <v>34</v>
      </c>
      <c r="H1796" s="10">
        <v>10122018</v>
      </c>
      <c r="I1796" s="10">
        <v>1</v>
      </c>
      <c r="J1796" s="8" t="s">
        <v>39</v>
      </c>
      <c r="K1796" s="8" t="s">
        <v>40</v>
      </c>
      <c r="M1796" s="8" t="s">
        <v>55</v>
      </c>
      <c r="O1796" s="8" t="s">
        <v>43</v>
      </c>
      <c r="P1796" s="8" t="b">
        <v>0</v>
      </c>
      <c r="R1796" s="8" t="b">
        <v>1</v>
      </c>
      <c r="S1796" s="8" t="b">
        <v>0</v>
      </c>
      <c r="T1796" s="8" t="b">
        <v>0</v>
      </c>
      <c r="U1796" s="8" t="b">
        <v>1</v>
      </c>
      <c r="V1796" s="8" t="b">
        <v>1</v>
      </c>
      <c r="X1796" s="8" t="b">
        <v>0</v>
      </c>
      <c r="Y1796" s="8" t="b">
        <v>0</v>
      </c>
      <c r="Z1796" s="8" t="b">
        <v>0</v>
      </c>
      <c r="AA1796" s="8" t="b">
        <v>1</v>
      </c>
      <c r="AB1796" s="8" t="b">
        <v>1</v>
      </c>
      <c r="AC1796" s="8" t="b">
        <v>0</v>
      </c>
      <c r="AD1796" s="8" t="b">
        <v>0</v>
      </c>
      <c r="AE1796" s="8" t="b">
        <v>0</v>
      </c>
      <c r="AF1796" s="11" t="s">
        <v>4631</v>
      </c>
      <c r="AG1796" s="11" t="b" cm="1">
        <f t="array" ref="AG1796">IF(OR(Y1796:AA1796="TRUE", AE1796="true"), "Threatened")</f>
        <v>0</v>
      </c>
      <c r="AH1796" s="11" t="s">
        <v>4632</v>
      </c>
      <c r="AI1796" s="8" t="b">
        <v>1</v>
      </c>
    </row>
    <row r="1797" spans="1:35" ht="31.2">
      <c r="A1797" s="8">
        <v>-73.97653554</v>
      </c>
      <c r="B1797" s="8">
        <v>40.773565320000003</v>
      </c>
      <c r="C1797" s="8" t="s">
        <v>4633</v>
      </c>
      <c r="D1797" s="8" t="s">
        <v>249</v>
      </c>
      <c r="E1797" s="8" t="b">
        <f t="shared" si="28"/>
        <v>0</v>
      </c>
      <c r="F1797" s="8" t="str" cm="1">
        <f t="array" ref="F1797">_xlfn._xlws.FILTER(E1797:E4995, C1797:C4995= "6D-PM-1020-01", "No Squirrels Found")</f>
        <v>No Squirrels Found</v>
      </c>
      <c r="G1797" s="8" t="s">
        <v>48</v>
      </c>
      <c r="H1797" s="10">
        <v>10072018</v>
      </c>
      <c r="I1797" s="10">
        <v>3</v>
      </c>
      <c r="J1797" s="8" t="s">
        <v>39</v>
      </c>
      <c r="K1797" s="8" t="s">
        <v>40</v>
      </c>
      <c r="M1797" s="8" t="s">
        <v>55</v>
      </c>
      <c r="O1797" s="8" t="s">
        <v>50</v>
      </c>
      <c r="P1797" s="8">
        <v>15</v>
      </c>
      <c r="R1797" s="8" t="b">
        <v>0</v>
      </c>
      <c r="S1797" s="8" t="b">
        <v>0</v>
      </c>
      <c r="T1797" s="8" t="b">
        <v>1</v>
      </c>
      <c r="U1797" s="8" t="b">
        <v>0</v>
      </c>
      <c r="V1797" s="8" t="b">
        <v>0</v>
      </c>
      <c r="X1797" s="8" t="b">
        <v>0</v>
      </c>
      <c r="Y1797" s="8" t="b">
        <v>0</v>
      </c>
      <c r="Z1797" s="8" t="b">
        <v>0</v>
      </c>
      <c r="AA1797" s="8" t="b">
        <v>0</v>
      </c>
      <c r="AB1797" s="8" t="b">
        <v>0</v>
      </c>
      <c r="AC1797" s="8" t="b">
        <v>0</v>
      </c>
      <c r="AD1797" s="8" t="b">
        <v>1</v>
      </c>
      <c r="AE1797" s="8" t="b">
        <v>0</v>
      </c>
      <c r="AG1797" s="11" t="b" cm="1">
        <f t="array" ref="AG1797">IF(OR(Y1797:AA1797="TRUE", AE1797="true"), "Threatened")</f>
        <v>0</v>
      </c>
      <c r="AH1797" s="11" t="s">
        <v>4634</v>
      </c>
      <c r="AI1797" s="8" t="b">
        <v>1</v>
      </c>
    </row>
    <row r="1798" spans="1:35" ht="31.2">
      <c r="A1798" s="8">
        <v>-73.969717810000006</v>
      </c>
      <c r="B1798" s="8">
        <v>40.769703669999998</v>
      </c>
      <c r="C1798" s="8" t="s">
        <v>4635</v>
      </c>
      <c r="D1798" s="8" t="s">
        <v>1310</v>
      </c>
      <c r="E1798" s="8" t="b">
        <f t="shared" si="28"/>
        <v>0</v>
      </c>
      <c r="F1798" s="8" t="str" cm="1">
        <f t="array" ref="F1798">_xlfn._xlws.FILTER(E1798:E4996, C1798:C4996= "6D-PM-1020-01", "No Squirrels Found")</f>
        <v>No Squirrels Found</v>
      </c>
      <c r="G1798" s="8" t="s">
        <v>34</v>
      </c>
      <c r="H1798" s="10">
        <v>10132018</v>
      </c>
      <c r="I1798" s="10">
        <v>7</v>
      </c>
      <c r="J1798" s="8" t="s">
        <v>39</v>
      </c>
      <c r="K1798" s="8" t="s">
        <v>40</v>
      </c>
      <c r="L1798" s="8" t="s">
        <v>117</v>
      </c>
      <c r="M1798" s="8" t="s">
        <v>118</v>
      </c>
      <c r="O1798" s="8" t="s">
        <v>43</v>
      </c>
      <c r="P1798" s="8" t="b">
        <v>0</v>
      </c>
      <c r="Q1798" s="8" t="s">
        <v>4636</v>
      </c>
      <c r="R1798" s="8" t="b">
        <v>0</v>
      </c>
      <c r="S1798" s="8" t="b">
        <v>1</v>
      </c>
      <c r="T1798" s="8" t="b">
        <v>0</v>
      </c>
      <c r="U1798" s="8" t="b">
        <v>0</v>
      </c>
      <c r="V1798" s="8" t="b">
        <v>0</v>
      </c>
      <c r="W1798" s="11" t="s">
        <v>4637</v>
      </c>
      <c r="X1798" s="8" t="b">
        <v>0</v>
      </c>
      <c r="Y1798" s="8" t="b">
        <v>0</v>
      </c>
      <c r="Z1798" s="8" t="b">
        <v>0</v>
      </c>
      <c r="AA1798" s="8" t="b">
        <v>0</v>
      </c>
      <c r="AB1798" s="8" t="b">
        <v>1</v>
      </c>
      <c r="AC1798" s="8" t="b">
        <v>0</v>
      </c>
      <c r="AD1798" s="8" t="b">
        <v>0</v>
      </c>
      <c r="AE1798" s="8" t="b">
        <v>0</v>
      </c>
      <c r="AG1798" s="11" t="b" cm="1">
        <f t="array" ref="AG1798">IF(OR(Y1798:AA1798="TRUE", AE1798="true"), "Threatened")</f>
        <v>0</v>
      </c>
      <c r="AH1798" s="11" t="s">
        <v>4638</v>
      </c>
      <c r="AI1798" s="8" t="b">
        <v>0</v>
      </c>
    </row>
    <row r="1799" spans="1:35" ht="31.2">
      <c r="A1799" s="8">
        <v>-73.955818100000002</v>
      </c>
      <c r="B1799" s="8">
        <v>40.788681050000001</v>
      </c>
      <c r="C1799" s="8" t="s">
        <v>4639</v>
      </c>
      <c r="D1799" s="8" t="s">
        <v>1877</v>
      </c>
      <c r="E1799" s="8" t="b">
        <f t="shared" si="28"/>
        <v>0</v>
      </c>
      <c r="F1799" s="8" t="str" cm="1">
        <f t="array" ref="F1799">_xlfn._xlws.FILTER(E1799:E4997, C1799:C4997= "6D-PM-1020-01", "No Squirrels Found")</f>
        <v>No Squirrels Found</v>
      </c>
      <c r="G1799" s="8" t="s">
        <v>34</v>
      </c>
      <c r="H1799" s="10">
        <v>10192018</v>
      </c>
      <c r="I1799" s="10">
        <v>3</v>
      </c>
      <c r="J1799" s="8" t="s">
        <v>39</v>
      </c>
      <c r="K1799" s="8" t="s">
        <v>40</v>
      </c>
      <c r="L1799" s="8" t="s">
        <v>41</v>
      </c>
      <c r="M1799" s="8" t="s">
        <v>42</v>
      </c>
      <c r="O1799" s="8" t="s">
        <v>43</v>
      </c>
      <c r="P1799" s="8" t="b">
        <v>0</v>
      </c>
      <c r="R1799" s="8" t="b">
        <v>0</v>
      </c>
      <c r="S1799" s="8" t="b">
        <v>0</v>
      </c>
      <c r="T1799" s="8" t="b">
        <v>0</v>
      </c>
      <c r="U1799" s="8" t="b">
        <v>0</v>
      </c>
      <c r="V1799" s="8" t="b">
        <v>1</v>
      </c>
      <c r="X1799" s="8" t="b">
        <v>0</v>
      </c>
      <c r="Y1799" s="8" t="b">
        <v>0</v>
      </c>
      <c r="Z1799" s="8" t="b">
        <v>0</v>
      </c>
      <c r="AA1799" s="8" t="b">
        <v>0</v>
      </c>
      <c r="AB1799" s="8" t="b">
        <v>0</v>
      </c>
      <c r="AC1799" s="8" t="b">
        <v>0</v>
      </c>
      <c r="AD1799" s="8" t="b">
        <v>0</v>
      </c>
      <c r="AE1799" s="8" t="b">
        <v>1</v>
      </c>
      <c r="AG1799" s="11" t="b" cm="1">
        <f t="array" ref="AG1799">IF(OR(Y1799:AA1799="TRUE", AE1799="true"), "Threatened")</f>
        <v>0</v>
      </c>
      <c r="AH1799" s="11" t="s">
        <v>4640</v>
      </c>
      <c r="AI1799" s="8" t="b">
        <v>1</v>
      </c>
    </row>
    <row r="1800" spans="1:35" ht="31.2">
      <c r="A1800" s="8">
        <v>-73.978844140000007</v>
      </c>
      <c r="B1800" s="8">
        <v>40.769604610000002</v>
      </c>
      <c r="C1800" s="8" t="s">
        <v>4641</v>
      </c>
      <c r="D1800" s="8" t="s">
        <v>889</v>
      </c>
      <c r="E1800" s="8" t="b">
        <f t="shared" si="28"/>
        <v>0</v>
      </c>
      <c r="F1800" s="8" t="str" cm="1">
        <f t="array" ref="F1800">_xlfn._xlws.FILTER(E1800:E4998, C1800:C4998= "6D-PM-1020-01", "No Squirrels Found")</f>
        <v>No Squirrels Found</v>
      </c>
      <c r="G1800" s="8" t="s">
        <v>48</v>
      </c>
      <c r="H1800" s="10">
        <v>10102018</v>
      </c>
      <c r="I1800" s="10">
        <v>5</v>
      </c>
      <c r="J1800" s="8" t="s">
        <v>39</v>
      </c>
      <c r="K1800" s="8" t="s">
        <v>41</v>
      </c>
      <c r="L1800" s="8" t="s">
        <v>40</v>
      </c>
      <c r="M1800" s="8" t="s">
        <v>110</v>
      </c>
      <c r="O1800" s="8" t="s">
        <v>50</v>
      </c>
      <c r="P1800" s="8">
        <v>10</v>
      </c>
      <c r="R1800" s="8" t="b">
        <v>0</v>
      </c>
      <c r="S1800" s="8" t="b">
        <v>1</v>
      </c>
      <c r="T1800" s="8" t="b">
        <v>0</v>
      </c>
      <c r="U1800" s="8" t="b">
        <v>0</v>
      </c>
      <c r="V1800" s="8" t="b">
        <v>0</v>
      </c>
      <c r="W1800" s="11" t="s">
        <v>4642</v>
      </c>
      <c r="X1800" s="8" t="b">
        <v>1</v>
      </c>
      <c r="Y1800" s="8" t="b">
        <v>1</v>
      </c>
      <c r="Z1800" s="8" t="b">
        <v>0</v>
      </c>
      <c r="AA1800" s="8" t="b">
        <v>0</v>
      </c>
      <c r="AB1800" s="8" t="b">
        <v>1</v>
      </c>
      <c r="AC1800" s="8" t="b">
        <v>0</v>
      </c>
      <c r="AD1800" s="8" t="b">
        <v>0</v>
      </c>
      <c r="AE1800" s="8" t="b">
        <v>0</v>
      </c>
      <c r="AG1800" s="11" t="b" cm="1">
        <f t="array" ref="AG1800">IF(OR(Y1800:AA1800="TRUE", AE1800="true"), "Threatened")</f>
        <v>0</v>
      </c>
      <c r="AH1800" s="11" t="s">
        <v>4643</v>
      </c>
      <c r="AI1800" s="8" t="b">
        <v>0</v>
      </c>
    </row>
    <row r="1801" spans="1:35" ht="31.2">
      <c r="A1801" s="8">
        <v>-73.970962499999999</v>
      </c>
      <c r="B1801" s="8">
        <v>40.776689900000001</v>
      </c>
      <c r="C1801" s="8" t="s">
        <v>4644</v>
      </c>
      <c r="D1801" s="8" t="s">
        <v>741</v>
      </c>
      <c r="E1801" s="8" t="b">
        <f t="shared" si="28"/>
        <v>0</v>
      </c>
      <c r="F1801" s="8" t="str" cm="1">
        <f t="array" ref="F1801">_xlfn._xlws.FILTER(E1801:E4999, C1801:C4999= "6D-PM-1020-01", "No Squirrels Found")</f>
        <v>No Squirrels Found</v>
      </c>
      <c r="G1801" s="8" t="s">
        <v>48</v>
      </c>
      <c r="H1801" s="10">
        <v>10142018</v>
      </c>
      <c r="I1801" s="10">
        <v>5</v>
      </c>
      <c r="J1801" s="8" t="s">
        <v>39</v>
      </c>
      <c r="K1801" s="8" t="s">
        <v>40</v>
      </c>
      <c r="L1801" s="8" t="s">
        <v>117</v>
      </c>
      <c r="M1801" s="8" t="s">
        <v>118</v>
      </c>
      <c r="O1801" s="8" t="s">
        <v>43</v>
      </c>
      <c r="P1801" s="8" t="b">
        <v>0</v>
      </c>
      <c r="R1801" s="8" t="b">
        <v>0</v>
      </c>
      <c r="S1801" s="8" t="b">
        <v>0</v>
      </c>
      <c r="T1801" s="8" t="b">
        <v>0</v>
      </c>
      <c r="U1801" s="8" t="b">
        <v>0</v>
      </c>
      <c r="V1801" s="8" t="b">
        <v>1</v>
      </c>
      <c r="X1801" s="8" t="b">
        <v>0</v>
      </c>
      <c r="Y1801" s="8" t="b">
        <v>0</v>
      </c>
      <c r="Z1801" s="8" t="b">
        <v>0</v>
      </c>
      <c r="AA1801" s="8" t="b">
        <v>0</v>
      </c>
      <c r="AB1801" s="8" t="b">
        <v>0</v>
      </c>
      <c r="AC1801" s="8" t="b">
        <v>0</v>
      </c>
      <c r="AD1801" s="8" t="b">
        <v>1</v>
      </c>
      <c r="AE1801" s="8" t="b">
        <v>0</v>
      </c>
      <c r="AG1801" s="11" t="b" cm="1">
        <f t="array" ref="AG1801">IF(OR(Y1801:AA1801="TRUE", AE1801="true"), "Threatened")</f>
        <v>0</v>
      </c>
      <c r="AH1801" s="11" t="s">
        <v>4645</v>
      </c>
      <c r="AI1801" s="8" t="b">
        <v>1</v>
      </c>
    </row>
    <row r="1802" spans="1:35" ht="31.2">
      <c r="A1802" s="8">
        <v>-73.958707239999995</v>
      </c>
      <c r="B1802" s="8">
        <v>40.798520959999998</v>
      </c>
      <c r="C1802" s="8" t="s">
        <v>4646</v>
      </c>
      <c r="D1802" s="8" t="s">
        <v>227</v>
      </c>
      <c r="E1802" s="8" t="b">
        <f t="shared" si="28"/>
        <v>0</v>
      </c>
      <c r="F1802" s="8" t="str" cm="1">
        <f t="array" ref="F1802">_xlfn._xlws.FILTER(E1802:E5000, C1802:C5000= "6D-PM-1020-01", "No Squirrels Found")</f>
        <v>No Squirrels Found</v>
      </c>
      <c r="G1802" s="8" t="s">
        <v>48</v>
      </c>
      <c r="H1802" s="10">
        <v>10192018</v>
      </c>
      <c r="I1802" s="10">
        <v>1</v>
      </c>
      <c r="J1802" s="8" t="s">
        <v>39</v>
      </c>
      <c r="K1802" s="8" t="s">
        <v>40</v>
      </c>
      <c r="L1802" s="8" t="s">
        <v>84</v>
      </c>
      <c r="M1802" s="8" t="s">
        <v>103</v>
      </c>
      <c r="O1802" s="8" t="s">
        <v>43</v>
      </c>
      <c r="P1802" s="8" t="b">
        <v>0</v>
      </c>
      <c r="R1802" s="8" t="b">
        <v>0</v>
      </c>
      <c r="S1802" s="8" t="b">
        <v>0</v>
      </c>
      <c r="T1802" s="8" t="b">
        <v>0</v>
      </c>
      <c r="U1802" s="8" t="b">
        <v>0</v>
      </c>
      <c r="V1802" s="8" t="b">
        <v>1</v>
      </c>
      <c r="X1802" s="8" t="b">
        <v>0</v>
      </c>
      <c r="Y1802" s="8" t="b">
        <v>0</v>
      </c>
      <c r="Z1802" s="8" t="b">
        <v>0</v>
      </c>
      <c r="AA1802" s="8" t="b">
        <v>0</v>
      </c>
      <c r="AB1802" s="8" t="b">
        <v>1</v>
      </c>
      <c r="AC1802" s="8" t="b">
        <v>0</v>
      </c>
      <c r="AD1802" s="8" t="b">
        <v>1</v>
      </c>
      <c r="AE1802" s="8" t="b">
        <v>0</v>
      </c>
      <c r="AG1802" s="11" t="b" cm="1">
        <f t="array" ref="AG1802">IF(OR(Y1802:AA1802="TRUE", AE1802="true"), "Threatened")</f>
        <v>0</v>
      </c>
      <c r="AH1802" s="11" t="s">
        <v>4647</v>
      </c>
      <c r="AI1802" s="8" t="b">
        <v>1</v>
      </c>
    </row>
    <row r="1803" spans="1:35" ht="31.2">
      <c r="A1803" s="8">
        <v>-73.973641810000004</v>
      </c>
      <c r="B1803" s="8">
        <v>40.771693110000001</v>
      </c>
      <c r="C1803" s="8" t="s">
        <v>4648</v>
      </c>
      <c r="D1803" s="8" t="s">
        <v>1209</v>
      </c>
      <c r="E1803" s="8" t="b">
        <f t="shared" si="28"/>
        <v>0</v>
      </c>
      <c r="F1803" s="8" t="str" cm="1">
        <f t="array" ref="F1803">_xlfn._xlws.FILTER(E1803:E5001, C1803:C5001= "6D-PM-1020-01", "No Squirrels Found")</f>
        <v>No Squirrels Found</v>
      </c>
      <c r="G1803" s="8" t="s">
        <v>34</v>
      </c>
      <c r="H1803" s="10">
        <v>10082018</v>
      </c>
      <c r="I1803" s="10">
        <v>4</v>
      </c>
      <c r="J1803" s="8" t="s">
        <v>39</v>
      </c>
      <c r="K1803" s="8" t="s">
        <v>40</v>
      </c>
      <c r="L1803" s="8" t="s">
        <v>84</v>
      </c>
      <c r="M1803" s="8" t="s">
        <v>103</v>
      </c>
      <c r="O1803" s="8" t="s">
        <v>43</v>
      </c>
      <c r="P1803" s="8" t="b">
        <v>0</v>
      </c>
      <c r="Q1803" s="8" t="s">
        <v>4649</v>
      </c>
      <c r="R1803" s="8" t="b">
        <v>0</v>
      </c>
      <c r="S1803" s="8" t="b">
        <v>0</v>
      </c>
      <c r="T1803" s="8" t="b">
        <v>0</v>
      </c>
      <c r="U1803" s="8" t="b">
        <v>1</v>
      </c>
      <c r="V1803" s="8" t="b">
        <v>1</v>
      </c>
      <c r="X1803" s="8" t="b">
        <v>0</v>
      </c>
      <c r="Y1803" s="8" t="b">
        <v>0</v>
      </c>
      <c r="Z1803" s="8" t="b">
        <v>0</v>
      </c>
      <c r="AA1803" s="8" t="b">
        <v>0</v>
      </c>
      <c r="AB1803" s="8" t="b">
        <v>0</v>
      </c>
      <c r="AC1803" s="8" t="b">
        <v>0</v>
      </c>
      <c r="AD1803" s="8" t="b">
        <v>1</v>
      </c>
      <c r="AE1803" s="8" t="b">
        <v>0</v>
      </c>
      <c r="AF1803" s="11" t="s">
        <v>4650</v>
      </c>
      <c r="AG1803" s="11" t="b" cm="1">
        <f t="array" ref="AG1803">IF(OR(Y1803:AA1803="TRUE", AE1803="true"), "Threatened")</f>
        <v>0</v>
      </c>
      <c r="AH1803" s="11" t="s">
        <v>4651</v>
      </c>
      <c r="AI1803" s="8" t="b">
        <v>1</v>
      </c>
    </row>
    <row r="1804" spans="1:35" ht="31.2">
      <c r="A1804" s="8">
        <v>-73.958807680000007</v>
      </c>
      <c r="B1804" s="8">
        <v>40.791294260000001</v>
      </c>
      <c r="C1804" s="8" t="s">
        <v>4652</v>
      </c>
      <c r="D1804" s="8" t="s">
        <v>1214</v>
      </c>
      <c r="E1804" s="8" t="b">
        <f t="shared" si="28"/>
        <v>0</v>
      </c>
      <c r="F1804" s="8" t="str" cm="1">
        <f t="array" ref="F1804">_xlfn._xlws.FILTER(E1804:E5002, C1804:C5002= "6D-PM-1020-01", "No Squirrels Found")</f>
        <v>No Squirrels Found</v>
      </c>
      <c r="G1804" s="8" t="s">
        <v>48</v>
      </c>
      <c r="H1804" s="10">
        <v>10142018</v>
      </c>
      <c r="I1804" s="10">
        <v>6</v>
      </c>
      <c r="J1804" s="8" t="s">
        <v>39</v>
      </c>
      <c r="K1804" s="8" t="s">
        <v>40</v>
      </c>
      <c r="L1804" s="8" t="s">
        <v>84</v>
      </c>
      <c r="M1804" s="8" t="s">
        <v>103</v>
      </c>
      <c r="O1804" s="8" t="s">
        <v>43</v>
      </c>
      <c r="P1804" s="8" t="b">
        <v>0</v>
      </c>
      <c r="R1804" s="8" t="b">
        <v>0</v>
      </c>
      <c r="S1804" s="8" t="b">
        <v>0</v>
      </c>
      <c r="T1804" s="8" t="b">
        <v>1</v>
      </c>
      <c r="U1804" s="8" t="b">
        <v>0</v>
      </c>
      <c r="V1804" s="8" t="b">
        <v>0</v>
      </c>
      <c r="X1804" s="8" t="b">
        <v>0</v>
      </c>
      <c r="Y1804" s="8" t="b">
        <v>0</v>
      </c>
      <c r="Z1804" s="8" t="b">
        <v>0</v>
      </c>
      <c r="AA1804" s="8" t="b">
        <v>0</v>
      </c>
      <c r="AB1804" s="8" t="b">
        <v>0</v>
      </c>
      <c r="AC1804" s="8" t="b">
        <v>0</v>
      </c>
      <c r="AD1804" s="8" t="b">
        <v>0</v>
      </c>
      <c r="AE1804" s="8" t="b">
        <v>1</v>
      </c>
      <c r="AG1804" s="11" t="b" cm="1">
        <f t="array" ref="AG1804">IF(OR(Y1804:AA1804="TRUE", AE1804="true"), "Threatened")</f>
        <v>0</v>
      </c>
      <c r="AH1804" s="11" t="s">
        <v>4653</v>
      </c>
      <c r="AI1804" s="8" t="b">
        <v>1</v>
      </c>
    </row>
    <row r="1805" spans="1:35" ht="31.2">
      <c r="A1805" s="8">
        <v>-73.980777110000005</v>
      </c>
      <c r="B1805" s="8">
        <v>40.768163569999999</v>
      </c>
      <c r="C1805" s="8" t="s">
        <v>4654</v>
      </c>
      <c r="D1805" s="8" t="s">
        <v>1780</v>
      </c>
      <c r="E1805" s="8" t="b">
        <f t="shared" si="28"/>
        <v>0</v>
      </c>
      <c r="F1805" s="8" t="str" cm="1">
        <f t="array" ref="F1805">_xlfn._xlws.FILTER(E1805:E5003, C1805:C5003= "6D-PM-1020-01", "No Squirrels Found")</f>
        <v>No Squirrels Found</v>
      </c>
      <c r="G1805" s="8" t="s">
        <v>48</v>
      </c>
      <c r="H1805" s="10">
        <v>10072018</v>
      </c>
      <c r="I1805" s="10">
        <v>2</v>
      </c>
      <c r="J1805" s="8" t="s">
        <v>39</v>
      </c>
      <c r="K1805" s="8" t="s">
        <v>40</v>
      </c>
      <c r="L1805" s="8" t="s">
        <v>84</v>
      </c>
      <c r="M1805" s="8" t="s">
        <v>103</v>
      </c>
      <c r="O1805" s="8" t="s">
        <v>50</v>
      </c>
      <c r="P1805" s="8">
        <v>11</v>
      </c>
      <c r="R1805" s="8" t="b">
        <v>0</v>
      </c>
      <c r="S1805" s="8" t="b">
        <v>0</v>
      </c>
      <c r="T1805" s="8" t="b">
        <v>1</v>
      </c>
      <c r="U1805" s="8" t="b">
        <v>0</v>
      </c>
      <c r="V1805" s="8" t="b">
        <v>0</v>
      </c>
      <c r="X1805" s="8" t="b">
        <v>0</v>
      </c>
      <c r="Y1805" s="8" t="b">
        <v>0</v>
      </c>
      <c r="Z1805" s="8" t="b">
        <v>0</v>
      </c>
      <c r="AA1805" s="8" t="b">
        <v>0</v>
      </c>
      <c r="AB1805" s="8" t="b">
        <v>1</v>
      </c>
      <c r="AC1805" s="8" t="b">
        <v>0</v>
      </c>
      <c r="AD1805" s="8" t="b">
        <v>1</v>
      </c>
      <c r="AE1805" s="8" t="b">
        <v>0</v>
      </c>
      <c r="AG1805" s="11" t="b" cm="1">
        <f t="array" ref="AG1805">IF(OR(Y1805:AA1805="TRUE", AE1805="true"), "Threatened")</f>
        <v>0</v>
      </c>
      <c r="AH1805" s="11" t="s">
        <v>4655</v>
      </c>
      <c r="AI1805" s="8" t="b">
        <v>1</v>
      </c>
    </row>
    <row r="1806" spans="1:35" ht="31.2">
      <c r="A1806" s="8">
        <v>-73.95903285</v>
      </c>
      <c r="B1806" s="8">
        <v>40.791221440000001</v>
      </c>
      <c r="C1806" s="8" t="s">
        <v>4656</v>
      </c>
      <c r="D1806" s="8" t="s">
        <v>1214</v>
      </c>
      <c r="E1806" s="8" t="b">
        <f t="shared" si="28"/>
        <v>0</v>
      </c>
      <c r="F1806" s="8" t="str" cm="1">
        <f t="array" ref="F1806">_xlfn._xlws.FILTER(E1806:E5004, C1806:C5004= "6D-PM-1020-01", "No Squirrels Found")</f>
        <v>No Squirrels Found</v>
      </c>
      <c r="G1806" s="8" t="s">
        <v>34</v>
      </c>
      <c r="H1806" s="10">
        <v>10122018</v>
      </c>
      <c r="I1806" s="10">
        <v>6</v>
      </c>
      <c r="J1806" s="8" t="s">
        <v>39</v>
      </c>
      <c r="K1806" s="8" t="s">
        <v>40</v>
      </c>
      <c r="L1806" s="8" t="s">
        <v>84</v>
      </c>
      <c r="M1806" s="8" t="s">
        <v>103</v>
      </c>
      <c r="O1806" s="8" t="s">
        <v>43</v>
      </c>
      <c r="P1806" s="8" t="b">
        <v>0</v>
      </c>
      <c r="R1806" s="8" t="b">
        <v>0</v>
      </c>
      <c r="S1806" s="8" t="b">
        <v>0</v>
      </c>
      <c r="T1806" s="8" t="b">
        <v>0</v>
      </c>
      <c r="U1806" s="8" t="b">
        <v>0</v>
      </c>
      <c r="V1806" s="8" t="b">
        <v>0</v>
      </c>
      <c r="W1806" s="11" t="s">
        <v>1369</v>
      </c>
      <c r="X1806" s="8" t="b">
        <v>0</v>
      </c>
      <c r="Y1806" s="8" t="b">
        <v>0</v>
      </c>
      <c r="Z1806" s="8" t="b">
        <v>0</v>
      </c>
      <c r="AA1806" s="8" t="b">
        <v>0</v>
      </c>
      <c r="AB1806" s="8" t="b">
        <v>0</v>
      </c>
      <c r="AC1806" s="8" t="b">
        <v>0</v>
      </c>
      <c r="AD1806" s="8" t="b">
        <v>0</v>
      </c>
      <c r="AE1806" s="8" t="b">
        <v>0</v>
      </c>
      <c r="AG1806" s="11" t="b" cm="1">
        <f t="array" ref="AG1806">IF(OR(Y1806:AA1806="TRUE", AE1806="true"), "Threatened")</f>
        <v>0</v>
      </c>
      <c r="AH1806" s="11" t="s">
        <v>4657</v>
      </c>
      <c r="AI1806" s="8" t="b">
        <v>0</v>
      </c>
    </row>
    <row r="1807" spans="1:35" ht="31.2">
      <c r="A1807" s="8">
        <v>-73.965750459999995</v>
      </c>
      <c r="B1807" s="8">
        <v>40.783121080000001</v>
      </c>
      <c r="C1807" s="8" t="s">
        <v>4658</v>
      </c>
      <c r="D1807" s="8" t="s">
        <v>748</v>
      </c>
      <c r="E1807" s="8" t="b">
        <f t="shared" si="28"/>
        <v>0</v>
      </c>
      <c r="F1807" s="8" t="str" cm="1">
        <f t="array" ref="F1807">_xlfn._xlws.FILTER(E1807:E5005, C1807:C5005= "6D-PM-1020-01", "No Squirrels Found")</f>
        <v>No Squirrels Found</v>
      </c>
      <c r="G1807" s="8" t="s">
        <v>34</v>
      </c>
      <c r="H1807" s="10">
        <v>10122018</v>
      </c>
      <c r="I1807" s="10">
        <v>2</v>
      </c>
      <c r="J1807" s="8" t="s">
        <v>39</v>
      </c>
      <c r="K1807" s="8" t="s">
        <v>40</v>
      </c>
      <c r="L1807" s="8" t="s">
        <v>749</v>
      </c>
      <c r="M1807" s="8" t="s">
        <v>750</v>
      </c>
      <c r="N1807" s="11" t="s">
        <v>4659</v>
      </c>
      <c r="O1807" s="8" t="s">
        <v>43</v>
      </c>
      <c r="P1807" s="8" t="b">
        <v>0</v>
      </c>
      <c r="R1807" s="8" t="b">
        <v>0</v>
      </c>
      <c r="S1807" s="8" t="b">
        <v>0</v>
      </c>
      <c r="T1807" s="8" t="b">
        <v>0</v>
      </c>
      <c r="U1807" s="8" t="b">
        <v>0</v>
      </c>
      <c r="V1807" s="8" t="b">
        <v>1</v>
      </c>
      <c r="X1807" s="8" t="b">
        <v>0</v>
      </c>
      <c r="Y1807" s="8" t="b">
        <v>0</v>
      </c>
      <c r="Z1807" s="8" t="b">
        <v>0</v>
      </c>
      <c r="AA1807" s="8" t="b">
        <v>0</v>
      </c>
      <c r="AB1807" s="8" t="b">
        <v>0</v>
      </c>
      <c r="AC1807" s="8" t="b">
        <v>0</v>
      </c>
      <c r="AD1807" s="8" t="b">
        <v>1</v>
      </c>
      <c r="AE1807" s="8" t="b">
        <v>0</v>
      </c>
      <c r="AG1807" s="11" t="b" cm="1">
        <f t="array" ref="AG1807">IF(OR(Y1807:AA1807="TRUE", AE1807="true"), "Threatened")</f>
        <v>0</v>
      </c>
      <c r="AH1807" s="11" t="s">
        <v>4660</v>
      </c>
      <c r="AI1807" s="8" t="b">
        <v>1</v>
      </c>
    </row>
    <row r="1808" spans="1:35" ht="31.2">
      <c r="A1808" s="8">
        <v>-73.958136620000005</v>
      </c>
      <c r="B1808" s="8">
        <v>40.798896409999998</v>
      </c>
      <c r="C1808" s="8" t="s">
        <v>4661</v>
      </c>
      <c r="D1808" s="8" t="s">
        <v>227</v>
      </c>
      <c r="E1808" s="8" t="b">
        <f t="shared" si="28"/>
        <v>0</v>
      </c>
      <c r="F1808" s="8" t="str" cm="1">
        <f t="array" ref="F1808">_xlfn._xlws.FILTER(E1808:E5006, C1808:C5006= "6D-PM-1020-01", "No Squirrels Found")</f>
        <v>No Squirrels Found</v>
      </c>
      <c r="G1808" s="8" t="s">
        <v>34</v>
      </c>
      <c r="H1808" s="10">
        <v>10142018</v>
      </c>
      <c r="I1808" s="10">
        <v>2</v>
      </c>
      <c r="J1808" s="8" t="s">
        <v>39</v>
      </c>
      <c r="K1808" s="8" t="s">
        <v>40</v>
      </c>
      <c r="M1808" s="8" t="s">
        <v>55</v>
      </c>
      <c r="O1808" s="8" t="s">
        <v>50</v>
      </c>
      <c r="P1808" s="8">
        <v>20</v>
      </c>
      <c r="R1808" s="8" t="b">
        <v>0</v>
      </c>
      <c r="S1808" s="8" t="b">
        <v>0</v>
      </c>
      <c r="T1808" s="8" t="b">
        <v>1</v>
      </c>
      <c r="U1808" s="8" t="b">
        <v>0</v>
      </c>
      <c r="V1808" s="8" t="b">
        <v>0</v>
      </c>
      <c r="X1808" s="8" t="b">
        <v>1</v>
      </c>
      <c r="Y1808" s="8" t="b">
        <v>1</v>
      </c>
      <c r="Z1808" s="8" t="b">
        <v>0</v>
      </c>
      <c r="AA1808" s="8" t="b">
        <v>0</v>
      </c>
      <c r="AB1808" s="8" t="b">
        <v>0</v>
      </c>
      <c r="AC1808" s="8" t="b">
        <v>0</v>
      </c>
      <c r="AD1808" s="8" t="b">
        <v>0</v>
      </c>
      <c r="AE1808" s="8" t="b">
        <v>1</v>
      </c>
      <c r="AG1808" s="11" t="b" cm="1">
        <f t="array" ref="AG1808">IF(OR(Y1808:AA1808="TRUE", AE1808="true"), "Threatened")</f>
        <v>0</v>
      </c>
      <c r="AH1808" s="11" t="s">
        <v>4662</v>
      </c>
      <c r="AI1808" s="8" t="b">
        <v>1</v>
      </c>
    </row>
    <row r="1809" spans="1:35" ht="31.2">
      <c r="A1809" s="8">
        <v>-73.969887060000005</v>
      </c>
      <c r="B1809" s="8">
        <v>40.782651100000002</v>
      </c>
      <c r="C1809" s="8" t="s">
        <v>4663</v>
      </c>
      <c r="D1809" s="8" t="s">
        <v>102</v>
      </c>
      <c r="E1809" s="8" t="b">
        <f t="shared" si="28"/>
        <v>0</v>
      </c>
      <c r="F1809" s="8" t="str" cm="1">
        <f t="array" ref="F1809">_xlfn._xlws.FILTER(E1809:E5007, C1809:C5007= "6D-PM-1020-01", "No Squirrels Found")</f>
        <v>No Squirrels Found</v>
      </c>
      <c r="G1809" s="8" t="s">
        <v>48</v>
      </c>
      <c r="H1809" s="10">
        <v>10072018</v>
      </c>
      <c r="I1809" s="10">
        <v>2</v>
      </c>
      <c r="J1809" s="8" t="s">
        <v>39</v>
      </c>
      <c r="K1809" s="8" t="s">
        <v>41</v>
      </c>
      <c r="L1809" s="8" t="s">
        <v>40</v>
      </c>
      <c r="M1809" s="8" t="s">
        <v>110</v>
      </c>
      <c r="O1809" s="8" t="s">
        <v>43</v>
      </c>
      <c r="P1809" s="8" t="b">
        <v>0</v>
      </c>
      <c r="R1809" s="8" t="b">
        <v>0</v>
      </c>
      <c r="S1809" s="8" t="b">
        <v>0</v>
      </c>
      <c r="T1809" s="8" t="b">
        <v>0</v>
      </c>
      <c r="U1809" s="8" t="b">
        <v>0</v>
      </c>
      <c r="V1809" s="8" t="b">
        <v>1</v>
      </c>
      <c r="X1809" s="8" t="b">
        <v>0</v>
      </c>
      <c r="Y1809" s="8" t="b">
        <v>0</v>
      </c>
      <c r="Z1809" s="8" t="b">
        <v>0</v>
      </c>
      <c r="AA1809" s="8" t="b">
        <v>1</v>
      </c>
      <c r="AB1809" s="8" t="b">
        <v>1</v>
      </c>
      <c r="AC1809" s="8" t="b">
        <v>1</v>
      </c>
      <c r="AD1809" s="8" t="b">
        <v>0</v>
      </c>
      <c r="AE1809" s="8" t="b">
        <v>0</v>
      </c>
      <c r="AG1809" s="11" t="b" cm="1">
        <f t="array" ref="AG1809">IF(OR(Y1809:AA1809="TRUE", AE1809="true"), "Threatened")</f>
        <v>0</v>
      </c>
      <c r="AH1809" s="11" t="s">
        <v>4664</v>
      </c>
      <c r="AI1809" s="8" t="b">
        <v>1</v>
      </c>
    </row>
    <row r="1810" spans="1:35" ht="31.2">
      <c r="A1810" s="8">
        <v>-73.969016870000004</v>
      </c>
      <c r="B1810" s="8">
        <v>40.7777612</v>
      </c>
      <c r="C1810" s="8" t="s">
        <v>4665</v>
      </c>
      <c r="D1810" s="8" t="s">
        <v>150</v>
      </c>
      <c r="E1810" s="8" t="b">
        <f t="shared" si="28"/>
        <v>0</v>
      </c>
      <c r="F1810" s="8" t="str" cm="1">
        <f t="array" ref="F1810">_xlfn._xlws.FILTER(E1810:E5008, C1810:C5008= "6D-PM-1020-01", "No Squirrels Found")</f>
        <v>No Squirrels Found</v>
      </c>
      <c r="G1810" s="8" t="s">
        <v>48</v>
      </c>
      <c r="H1810" s="10">
        <v>10132018</v>
      </c>
      <c r="I1810" s="10">
        <v>4</v>
      </c>
      <c r="J1810" s="8" t="s">
        <v>39</v>
      </c>
      <c r="K1810" s="8" t="s">
        <v>40</v>
      </c>
      <c r="L1810" s="8" t="s">
        <v>41</v>
      </c>
      <c r="M1810" s="8" t="s">
        <v>42</v>
      </c>
      <c r="O1810" s="8" t="s">
        <v>43</v>
      </c>
      <c r="P1810" s="8" t="b">
        <v>0</v>
      </c>
      <c r="R1810" s="8" t="b">
        <v>0</v>
      </c>
      <c r="S1810" s="8" t="b">
        <v>0</v>
      </c>
      <c r="T1810" s="8" t="b">
        <v>0</v>
      </c>
      <c r="U1810" s="8" t="b">
        <v>0</v>
      </c>
      <c r="V1810" s="8" t="b">
        <v>1</v>
      </c>
      <c r="X1810" s="8" t="b">
        <v>0</v>
      </c>
      <c r="Y1810" s="8" t="b">
        <v>0</v>
      </c>
      <c r="Z1810" s="8" t="b">
        <v>0</v>
      </c>
      <c r="AA1810" s="8" t="b">
        <v>0</v>
      </c>
      <c r="AB1810" s="8" t="b">
        <v>0</v>
      </c>
      <c r="AC1810" s="8" t="b">
        <v>0</v>
      </c>
      <c r="AD1810" s="8" t="b">
        <v>0</v>
      </c>
      <c r="AE1810" s="8" t="b">
        <v>1</v>
      </c>
      <c r="AG1810" s="11" t="b" cm="1">
        <f t="array" ref="AG1810">IF(OR(Y1810:AA1810="TRUE", AE1810="true"), "Threatened")</f>
        <v>0</v>
      </c>
      <c r="AH1810" s="11" t="s">
        <v>4666</v>
      </c>
      <c r="AI1810" s="8" t="b">
        <v>1</v>
      </c>
    </row>
    <row r="1811" spans="1:35" ht="31.2">
      <c r="A1811" s="8">
        <v>-73.957950629999999</v>
      </c>
      <c r="B1811" s="8">
        <v>40.793697360000003</v>
      </c>
      <c r="C1811" s="8" t="s">
        <v>4667</v>
      </c>
      <c r="D1811" s="8" t="s">
        <v>493</v>
      </c>
      <c r="E1811" s="8" t="b">
        <f t="shared" si="28"/>
        <v>0</v>
      </c>
      <c r="F1811" s="8" t="str" cm="1">
        <f t="array" ref="F1811">_xlfn._xlws.FILTER(E1811:E5009, C1811:C5009= "6D-PM-1020-01", "No Squirrels Found")</f>
        <v>No Squirrels Found</v>
      </c>
      <c r="G1811" s="8" t="s">
        <v>48</v>
      </c>
      <c r="H1811" s="10">
        <v>10202018</v>
      </c>
      <c r="I1811" s="10">
        <v>1</v>
      </c>
      <c r="J1811" s="8" t="s">
        <v>39</v>
      </c>
      <c r="K1811" s="8" t="s">
        <v>40</v>
      </c>
      <c r="L1811" s="8" t="s">
        <v>117</v>
      </c>
      <c r="M1811" s="8" t="s">
        <v>118</v>
      </c>
      <c r="O1811" s="8" t="s">
        <v>43</v>
      </c>
      <c r="P1811" s="8" t="b">
        <v>0</v>
      </c>
      <c r="R1811" s="8" t="b">
        <v>0</v>
      </c>
      <c r="S1811" s="8" t="b">
        <v>0</v>
      </c>
      <c r="T1811" s="8" t="b">
        <v>0</v>
      </c>
      <c r="U1811" s="8" t="b">
        <v>0</v>
      </c>
      <c r="V1811" s="8" t="b">
        <v>1</v>
      </c>
      <c r="X1811" s="8" t="b">
        <v>0</v>
      </c>
      <c r="Y1811" s="8" t="b">
        <v>0</v>
      </c>
      <c r="Z1811" s="8" t="b">
        <v>0</v>
      </c>
      <c r="AA1811" s="8" t="b">
        <v>0</v>
      </c>
      <c r="AB1811" s="8" t="b">
        <v>0</v>
      </c>
      <c r="AC1811" s="8" t="b">
        <v>0</v>
      </c>
      <c r="AD1811" s="8" t="b">
        <v>1</v>
      </c>
      <c r="AE1811" s="8" t="b">
        <v>0</v>
      </c>
      <c r="AG1811" s="11" t="b" cm="1">
        <f t="array" ref="AG1811">IF(OR(Y1811:AA1811="TRUE", AE1811="true"), "Threatened")</f>
        <v>0</v>
      </c>
      <c r="AH1811" s="11" t="s">
        <v>4668</v>
      </c>
      <c r="AI1811" s="8" t="b">
        <v>1</v>
      </c>
    </row>
    <row r="1812" spans="1:35" ht="31.2">
      <c r="A1812" s="8">
        <v>-73.978808819999998</v>
      </c>
      <c r="B1812" s="8">
        <v>40.7690153</v>
      </c>
      <c r="C1812" s="8" t="s">
        <v>4669</v>
      </c>
      <c r="D1812" s="8" t="s">
        <v>465</v>
      </c>
      <c r="E1812" s="8" t="b">
        <f t="shared" si="28"/>
        <v>0</v>
      </c>
      <c r="F1812" s="8" t="str" cm="1">
        <f t="array" ref="F1812">_xlfn._xlws.FILTER(E1812:E5010, C1812:C5010= "6D-PM-1020-01", "No Squirrels Found")</f>
        <v>No Squirrels Found</v>
      </c>
      <c r="G1812" s="8" t="s">
        <v>48</v>
      </c>
      <c r="H1812" s="10">
        <v>10102018</v>
      </c>
      <c r="I1812" s="10">
        <v>4</v>
      </c>
      <c r="J1812" s="8" t="s">
        <v>54</v>
      </c>
      <c r="K1812" s="8" t="s">
        <v>40</v>
      </c>
      <c r="M1812" s="8" t="s">
        <v>55</v>
      </c>
      <c r="O1812" s="8" t="s">
        <v>43</v>
      </c>
      <c r="P1812" s="8" t="b">
        <v>0</v>
      </c>
      <c r="R1812" s="8" t="b">
        <v>0</v>
      </c>
      <c r="S1812" s="8" t="b">
        <v>0</v>
      </c>
      <c r="T1812" s="8" t="b">
        <v>0</v>
      </c>
      <c r="U1812" s="8" t="b">
        <v>0</v>
      </c>
      <c r="V1812" s="8" t="b">
        <v>1</v>
      </c>
      <c r="X1812" s="8" t="b">
        <v>0</v>
      </c>
      <c r="Y1812" s="8" t="b">
        <v>0</v>
      </c>
      <c r="Z1812" s="8" t="b">
        <v>0</v>
      </c>
      <c r="AA1812" s="8" t="b">
        <v>0</v>
      </c>
      <c r="AB1812" s="8" t="b">
        <v>0</v>
      </c>
      <c r="AC1812" s="8" t="b">
        <v>0</v>
      </c>
      <c r="AD1812" s="8" t="b">
        <v>1</v>
      </c>
      <c r="AE1812" s="8" t="b">
        <v>0</v>
      </c>
      <c r="AG1812" s="11" t="b" cm="1">
        <f t="array" ref="AG1812">IF(OR(Y1812:AA1812="TRUE", AE1812="true"), "Threatened")</f>
        <v>0</v>
      </c>
      <c r="AH1812" s="11" t="s">
        <v>4670</v>
      </c>
      <c r="AI1812" s="8" t="b">
        <v>1</v>
      </c>
    </row>
    <row r="1813" spans="1:35" ht="31.2">
      <c r="A1813" s="8">
        <v>-73.959007400000004</v>
      </c>
      <c r="B1813" s="8">
        <v>40.790705940000002</v>
      </c>
      <c r="C1813" s="8" t="s">
        <v>4671</v>
      </c>
      <c r="D1813" s="8" t="s">
        <v>75</v>
      </c>
      <c r="E1813" s="8" t="b">
        <f t="shared" si="28"/>
        <v>0</v>
      </c>
      <c r="F1813" s="8" t="str" cm="1">
        <f t="array" ref="F1813">_xlfn._xlws.FILTER(E1813:E5011, C1813:C5011= "6D-PM-1020-01", "No Squirrels Found")</f>
        <v>No Squirrels Found</v>
      </c>
      <c r="G1813" s="8" t="s">
        <v>34</v>
      </c>
      <c r="H1813" s="10">
        <v>10172018</v>
      </c>
      <c r="I1813" s="10">
        <v>5</v>
      </c>
      <c r="J1813" s="8" t="s">
        <v>39</v>
      </c>
      <c r="K1813" s="8" t="s">
        <v>40</v>
      </c>
      <c r="M1813" s="8" t="s">
        <v>55</v>
      </c>
      <c r="O1813" s="8" t="s">
        <v>43</v>
      </c>
      <c r="P1813" s="8" t="b">
        <v>0</v>
      </c>
      <c r="Q1813" s="8" t="s">
        <v>823</v>
      </c>
      <c r="R1813" s="8" t="b">
        <v>0</v>
      </c>
      <c r="S1813" s="8" t="b">
        <v>0</v>
      </c>
      <c r="T1813" s="8" t="b">
        <v>0</v>
      </c>
      <c r="U1813" s="8" t="b">
        <v>1</v>
      </c>
      <c r="V1813" s="8" t="b">
        <v>1</v>
      </c>
      <c r="X1813" s="8" t="b">
        <v>0</v>
      </c>
      <c r="Y1813" s="8" t="b">
        <v>0</v>
      </c>
      <c r="Z1813" s="8" t="b">
        <v>0</v>
      </c>
      <c r="AA1813" s="8" t="b">
        <v>0</v>
      </c>
      <c r="AB1813" s="8" t="b">
        <v>0</v>
      </c>
      <c r="AC1813" s="8" t="b">
        <v>0</v>
      </c>
      <c r="AD1813" s="8" t="b">
        <v>0</v>
      </c>
      <c r="AE1813" s="8" t="b">
        <v>1</v>
      </c>
      <c r="AG1813" s="11" t="b" cm="1">
        <f t="array" ref="AG1813">IF(OR(Y1813:AA1813="TRUE", AE1813="true"), "Threatened")</f>
        <v>0</v>
      </c>
      <c r="AH1813" s="11" t="s">
        <v>4672</v>
      </c>
      <c r="AI1813" s="8" t="b">
        <v>1</v>
      </c>
    </row>
    <row r="1814" spans="1:35" ht="31.2">
      <c r="A1814" s="8">
        <v>-73.970698819999996</v>
      </c>
      <c r="B1814" s="8">
        <v>40.769668459999998</v>
      </c>
      <c r="C1814" s="8" t="s">
        <v>4673</v>
      </c>
      <c r="D1814" s="8" t="s">
        <v>113</v>
      </c>
      <c r="E1814" s="8" t="b">
        <f t="shared" si="28"/>
        <v>0</v>
      </c>
      <c r="F1814" s="8" t="str" cm="1">
        <f t="array" ref="F1814">_xlfn._xlws.FILTER(E1814:E5012, C1814:C5012= "6D-PM-1020-01", "No Squirrels Found")</f>
        <v>No Squirrels Found</v>
      </c>
      <c r="G1814" s="8" t="s">
        <v>48</v>
      </c>
      <c r="H1814" s="10">
        <v>10062018</v>
      </c>
      <c r="I1814" s="10">
        <v>16</v>
      </c>
      <c r="J1814" s="8" t="s">
        <v>39</v>
      </c>
      <c r="K1814" s="8" t="s">
        <v>40</v>
      </c>
      <c r="L1814" s="8" t="s">
        <v>41</v>
      </c>
      <c r="M1814" s="8" t="s">
        <v>42</v>
      </c>
      <c r="O1814" s="8" t="s">
        <v>43</v>
      </c>
      <c r="P1814" s="8" t="b">
        <v>0</v>
      </c>
      <c r="R1814" s="8" t="b">
        <v>0</v>
      </c>
      <c r="S1814" s="8" t="b">
        <v>0</v>
      </c>
      <c r="T1814" s="8" t="b">
        <v>0</v>
      </c>
      <c r="U1814" s="8" t="b">
        <v>0</v>
      </c>
      <c r="V1814" s="8" t="b">
        <v>1</v>
      </c>
      <c r="X1814" s="8" t="b">
        <v>0</v>
      </c>
      <c r="Y1814" s="8" t="b">
        <v>0</v>
      </c>
      <c r="Z1814" s="8" t="b">
        <v>0</v>
      </c>
      <c r="AA1814" s="8" t="b">
        <v>0</v>
      </c>
      <c r="AB1814" s="8" t="b">
        <v>0</v>
      </c>
      <c r="AC1814" s="8" t="b">
        <v>0</v>
      </c>
      <c r="AD1814" s="8" t="b">
        <v>1</v>
      </c>
      <c r="AE1814" s="8" t="b">
        <v>0</v>
      </c>
      <c r="AG1814" s="11" t="b" cm="1">
        <f t="array" ref="AG1814">IF(OR(Y1814:AA1814="TRUE", AE1814="true"), "Threatened")</f>
        <v>0</v>
      </c>
      <c r="AH1814" s="11" t="s">
        <v>4674</v>
      </c>
      <c r="AI1814" s="8" t="b">
        <v>1</v>
      </c>
    </row>
    <row r="1815" spans="1:35" ht="31.2">
      <c r="A1815" s="8">
        <v>-73.972235940000004</v>
      </c>
      <c r="B1815" s="8">
        <v>40.770289150000004</v>
      </c>
      <c r="C1815" s="8" t="s">
        <v>4675</v>
      </c>
      <c r="D1815" s="8" t="s">
        <v>413</v>
      </c>
      <c r="E1815" s="8" t="b">
        <f t="shared" si="28"/>
        <v>0</v>
      </c>
      <c r="F1815" s="8" t="str" cm="1">
        <f t="array" ref="F1815">_xlfn._xlws.FILTER(E1815:E5013, C1815:C5013= "6D-PM-1020-01", "No Squirrels Found")</f>
        <v>No Squirrels Found</v>
      </c>
      <c r="G1815" s="8" t="s">
        <v>48</v>
      </c>
      <c r="H1815" s="10">
        <v>10102018</v>
      </c>
      <c r="I1815" s="10">
        <v>7</v>
      </c>
      <c r="J1815" s="8" t="s">
        <v>39</v>
      </c>
      <c r="K1815" s="8" t="s">
        <v>40</v>
      </c>
      <c r="L1815" s="8" t="s">
        <v>84</v>
      </c>
      <c r="M1815" s="8" t="s">
        <v>103</v>
      </c>
      <c r="O1815" s="8" t="s">
        <v>43</v>
      </c>
      <c r="P1815" s="8" t="b">
        <v>0</v>
      </c>
      <c r="R1815" s="8" t="b">
        <v>0</v>
      </c>
      <c r="S1815" s="8" t="b">
        <v>0</v>
      </c>
      <c r="T1815" s="8" t="b">
        <v>0</v>
      </c>
      <c r="U1815" s="8" t="b">
        <v>1</v>
      </c>
      <c r="V1815" s="8" t="b">
        <v>0</v>
      </c>
      <c r="X1815" s="8" t="b">
        <v>0</v>
      </c>
      <c r="Y1815" s="8" t="b">
        <v>0</v>
      </c>
      <c r="Z1815" s="8" t="b">
        <v>0</v>
      </c>
      <c r="AA1815" s="8" t="b">
        <v>0</v>
      </c>
      <c r="AB1815" s="8" t="b">
        <v>0</v>
      </c>
      <c r="AC1815" s="8" t="b">
        <v>0</v>
      </c>
      <c r="AD1815" s="8" t="b">
        <v>0</v>
      </c>
      <c r="AE1815" s="8" t="b">
        <v>1</v>
      </c>
      <c r="AG1815" s="11" t="b" cm="1">
        <f t="array" ref="AG1815">IF(OR(Y1815:AA1815="TRUE", AE1815="true"), "Threatened")</f>
        <v>0</v>
      </c>
      <c r="AH1815" s="11" t="s">
        <v>4676</v>
      </c>
      <c r="AI1815" s="8" t="b">
        <v>1</v>
      </c>
    </row>
    <row r="1816" spans="1:35" ht="31.2">
      <c r="A1816" s="8">
        <v>-73.96032683</v>
      </c>
      <c r="B1816" s="8">
        <v>40.790015449999999</v>
      </c>
      <c r="C1816" s="8" t="s">
        <v>4677</v>
      </c>
      <c r="D1816" s="8" t="s">
        <v>1409</v>
      </c>
      <c r="E1816" s="8" t="b">
        <f t="shared" si="28"/>
        <v>0</v>
      </c>
      <c r="F1816" s="8" t="str" cm="1">
        <f t="array" ref="F1816">_xlfn._xlws.FILTER(E1816:E5014, C1816:C5014= "6D-PM-1020-01", "No Squirrels Found")</f>
        <v>No Squirrels Found</v>
      </c>
      <c r="G1816" s="8" t="s">
        <v>34</v>
      </c>
      <c r="H1816" s="10">
        <v>10062018</v>
      </c>
      <c r="I1816" s="10">
        <v>6</v>
      </c>
      <c r="J1816" s="8" t="s">
        <v>39</v>
      </c>
      <c r="K1816" s="8" t="s">
        <v>40</v>
      </c>
      <c r="L1816" s="8" t="s">
        <v>41</v>
      </c>
      <c r="M1816" s="8" t="s">
        <v>42</v>
      </c>
      <c r="O1816" s="8" t="s">
        <v>43</v>
      </c>
      <c r="P1816" s="8" t="b">
        <v>0</v>
      </c>
      <c r="R1816" s="8" t="b">
        <v>0</v>
      </c>
      <c r="S1816" s="8" t="b">
        <v>1</v>
      </c>
      <c r="T1816" s="8" t="b">
        <v>0</v>
      </c>
      <c r="U1816" s="8" t="b">
        <v>0</v>
      </c>
      <c r="V1816" s="8" t="b">
        <v>0</v>
      </c>
      <c r="X1816" s="8" t="b">
        <v>0</v>
      </c>
      <c r="Y1816" s="8" t="b">
        <v>0</v>
      </c>
      <c r="Z1816" s="8" t="b">
        <v>0</v>
      </c>
      <c r="AA1816" s="8" t="b">
        <v>1</v>
      </c>
      <c r="AB1816" s="8" t="b">
        <v>0</v>
      </c>
      <c r="AC1816" s="8" t="b">
        <v>0</v>
      </c>
      <c r="AD1816" s="8" t="b">
        <v>1</v>
      </c>
      <c r="AE1816" s="8" t="b">
        <v>0</v>
      </c>
      <c r="AG1816" s="11" t="b" cm="1">
        <f t="array" ref="AG1816">IF(OR(Y1816:AA1816="TRUE", AE1816="true"), "Threatened")</f>
        <v>0</v>
      </c>
      <c r="AH1816" s="11" t="s">
        <v>4678</v>
      </c>
      <c r="AI1816" s="8" t="b">
        <v>1</v>
      </c>
    </row>
    <row r="1817" spans="1:35" ht="31.2">
      <c r="A1817" s="8">
        <v>-73.971018749999999</v>
      </c>
      <c r="B1817" s="8">
        <v>40.779726570000001</v>
      </c>
      <c r="C1817" s="8" t="s">
        <v>4679</v>
      </c>
      <c r="D1817" s="8" t="s">
        <v>2417</v>
      </c>
      <c r="E1817" s="8" t="b">
        <f t="shared" si="28"/>
        <v>0</v>
      </c>
      <c r="F1817" s="8" t="str" cm="1">
        <f t="array" ref="F1817">_xlfn._xlws.FILTER(E1817:E5015, C1817:C5015= "6D-PM-1020-01", "No Squirrels Found")</f>
        <v>No Squirrels Found</v>
      </c>
      <c r="G1817" s="8" t="s">
        <v>48</v>
      </c>
      <c r="H1817" s="10">
        <v>10102018</v>
      </c>
      <c r="I1817" s="10">
        <v>2</v>
      </c>
      <c r="J1817" s="8" t="s">
        <v>39</v>
      </c>
      <c r="K1817" s="8" t="s">
        <v>41</v>
      </c>
      <c r="L1817" s="8" t="s">
        <v>40</v>
      </c>
      <c r="M1817" s="8" t="s">
        <v>110</v>
      </c>
      <c r="O1817" s="8" t="s">
        <v>43</v>
      </c>
      <c r="P1817" s="8" t="b">
        <v>0</v>
      </c>
      <c r="R1817" s="8" t="b">
        <v>0</v>
      </c>
      <c r="S1817" s="8" t="b">
        <v>0</v>
      </c>
      <c r="T1817" s="8" t="b">
        <v>0</v>
      </c>
      <c r="U1817" s="8" t="b">
        <v>0</v>
      </c>
      <c r="V1817" s="8" t="b">
        <v>1</v>
      </c>
      <c r="X1817" s="8" t="b">
        <v>0</v>
      </c>
      <c r="Y1817" s="8" t="b">
        <v>0</v>
      </c>
      <c r="Z1817" s="8" t="b">
        <v>0</v>
      </c>
      <c r="AA1817" s="8" t="b">
        <v>0</v>
      </c>
      <c r="AB1817" s="8" t="b">
        <v>1</v>
      </c>
      <c r="AC1817" s="8" t="b">
        <v>0</v>
      </c>
      <c r="AD1817" s="8" t="b">
        <v>1</v>
      </c>
      <c r="AE1817" s="8" t="b">
        <v>0</v>
      </c>
      <c r="AG1817" s="11" t="b" cm="1">
        <f t="array" ref="AG1817">IF(OR(Y1817:AA1817="TRUE", AE1817="true"), "Threatened")</f>
        <v>0</v>
      </c>
      <c r="AH1817" s="11" t="s">
        <v>4680</v>
      </c>
      <c r="AI1817" s="8" t="b">
        <v>1</v>
      </c>
    </row>
    <row r="1818" spans="1:35" ht="31.2">
      <c r="A1818" s="8">
        <v>-73.970307649999995</v>
      </c>
      <c r="B1818" s="8">
        <v>40.770158420000001</v>
      </c>
      <c r="C1818" s="8" t="s">
        <v>4681</v>
      </c>
      <c r="D1818" s="8" t="s">
        <v>199</v>
      </c>
      <c r="E1818" s="8" t="b">
        <f t="shared" si="28"/>
        <v>0</v>
      </c>
      <c r="F1818" s="8" t="str" cm="1">
        <f t="array" ref="F1818">_xlfn._xlws.FILTER(E1818:E5016, C1818:C5016= "6D-PM-1020-01", "No Squirrels Found")</f>
        <v>No Squirrels Found</v>
      </c>
      <c r="G1818" s="8" t="s">
        <v>34</v>
      </c>
      <c r="H1818" s="10">
        <v>10142018</v>
      </c>
      <c r="I1818" s="10">
        <v>7</v>
      </c>
      <c r="J1818" s="8" t="s">
        <v>39</v>
      </c>
      <c r="K1818" s="8" t="s">
        <v>40</v>
      </c>
      <c r="M1818" s="8" t="s">
        <v>55</v>
      </c>
      <c r="O1818" s="8" t="s">
        <v>50</v>
      </c>
      <c r="P1818" s="8">
        <v>5</v>
      </c>
      <c r="R1818" s="8" t="b">
        <v>0</v>
      </c>
      <c r="S1818" s="8" t="b">
        <v>1</v>
      </c>
      <c r="T1818" s="8" t="b">
        <v>0</v>
      </c>
      <c r="U1818" s="8" t="b">
        <v>0</v>
      </c>
      <c r="V1818" s="8" t="b">
        <v>0</v>
      </c>
      <c r="W1818" s="11" t="s">
        <v>4682</v>
      </c>
      <c r="X1818" s="8" t="b">
        <v>0</v>
      </c>
      <c r="Y1818" s="8" t="b">
        <v>0</v>
      </c>
      <c r="Z1818" s="8" t="b">
        <v>0</v>
      </c>
      <c r="AA1818" s="8" t="b">
        <v>0</v>
      </c>
      <c r="AB1818" s="8" t="b">
        <v>0</v>
      </c>
      <c r="AC1818" s="8" t="b">
        <v>0</v>
      </c>
      <c r="AD1818" s="8" t="b">
        <v>1</v>
      </c>
      <c r="AE1818" s="8" t="b">
        <v>0</v>
      </c>
      <c r="AG1818" s="11" t="b" cm="1">
        <f t="array" ref="AG1818">IF(OR(Y1818:AA1818="TRUE", AE1818="true"), "Threatened")</f>
        <v>0</v>
      </c>
      <c r="AH1818" s="11" t="s">
        <v>4683</v>
      </c>
      <c r="AI1818" s="8" t="b">
        <v>0</v>
      </c>
    </row>
    <row r="1819" spans="1:35" ht="31.2">
      <c r="A1819" s="8">
        <v>-73.956863560000002</v>
      </c>
      <c r="B1819" s="8">
        <v>40.798641889999999</v>
      </c>
      <c r="C1819" s="8" t="s">
        <v>4684</v>
      </c>
      <c r="D1819" s="8" t="s">
        <v>1133</v>
      </c>
      <c r="E1819" s="8" t="b">
        <f t="shared" si="28"/>
        <v>0</v>
      </c>
      <c r="F1819" s="8" t="str" cm="1">
        <f t="array" ref="F1819">_xlfn._xlws.FILTER(E1819:E5017, C1819:C5017= "6D-PM-1020-01", "No Squirrels Found")</f>
        <v>No Squirrels Found</v>
      </c>
      <c r="G1819" s="8" t="s">
        <v>48</v>
      </c>
      <c r="H1819" s="10">
        <v>10172018</v>
      </c>
      <c r="I1819" s="10">
        <v>1</v>
      </c>
      <c r="J1819" s="8" t="s">
        <v>39</v>
      </c>
      <c r="K1819" s="8" t="s">
        <v>40</v>
      </c>
      <c r="M1819" s="8" t="s">
        <v>55</v>
      </c>
      <c r="O1819" s="8" t="s">
        <v>43</v>
      </c>
      <c r="P1819" s="8" t="b">
        <v>0</v>
      </c>
      <c r="R1819" s="8" t="b">
        <v>0</v>
      </c>
      <c r="S1819" s="8" t="b">
        <v>0</v>
      </c>
      <c r="T1819" s="8" t="b">
        <v>0</v>
      </c>
      <c r="U1819" s="8" t="b">
        <v>0</v>
      </c>
      <c r="V1819" s="8" t="b">
        <v>1</v>
      </c>
      <c r="X1819" s="8" t="b">
        <v>0</v>
      </c>
      <c r="Y1819" s="8" t="b">
        <v>0</v>
      </c>
      <c r="Z1819" s="8" t="b">
        <v>0</v>
      </c>
      <c r="AA1819" s="8" t="b">
        <v>1</v>
      </c>
      <c r="AB1819" s="8" t="b">
        <v>0</v>
      </c>
      <c r="AC1819" s="8" t="b">
        <v>0</v>
      </c>
      <c r="AD1819" s="8" t="b">
        <v>1</v>
      </c>
      <c r="AE1819" s="8" t="b">
        <v>0</v>
      </c>
      <c r="AG1819" s="11" t="b" cm="1">
        <f t="array" ref="AG1819">IF(OR(Y1819:AA1819="TRUE", AE1819="true"), "Threatened")</f>
        <v>0</v>
      </c>
      <c r="AH1819" s="11" t="s">
        <v>4685</v>
      </c>
      <c r="AI1819" s="8" t="b">
        <v>1</v>
      </c>
    </row>
    <row r="1820" spans="1:35" ht="31.2">
      <c r="A1820" s="8">
        <v>-73.971137889999994</v>
      </c>
      <c r="B1820" s="8">
        <v>40.769621829999998</v>
      </c>
      <c r="C1820" s="8" t="s">
        <v>4686</v>
      </c>
      <c r="D1820" s="8" t="s">
        <v>113</v>
      </c>
      <c r="E1820" s="8" t="b">
        <f t="shared" si="28"/>
        <v>0</v>
      </c>
      <c r="F1820" s="8" t="str" cm="1">
        <f t="array" ref="F1820">_xlfn._xlws.FILTER(E1820:E5018, C1820:C5018= "6D-PM-1020-01", "No Squirrels Found")</f>
        <v>No Squirrels Found</v>
      </c>
      <c r="G1820" s="8" t="s">
        <v>48</v>
      </c>
      <c r="H1820" s="10">
        <v>10062018</v>
      </c>
      <c r="I1820" s="10">
        <v>3</v>
      </c>
      <c r="J1820" s="8" t="s">
        <v>39</v>
      </c>
      <c r="K1820" s="8" t="s">
        <v>40</v>
      </c>
      <c r="M1820" s="8" t="s">
        <v>55</v>
      </c>
      <c r="O1820" s="8" t="s">
        <v>43</v>
      </c>
      <c r="P1820" s="8" t="b">
        <v>0</v>
      </c>
      <c r="Q1820" s="8" t="s">
        <v>4687</v>
      </c>
      <c r="R1820" s="8" t="b">
        <v>0</v>
      </c>
      <c r="S1820" s="8" t="b">
        <v>0</v>
      </c>
      <c r="T1820" s="8" t="b">
        <v>0</v>
      </c>
      <c r="U1820" s="8" t="b">
        <v>0</v>
      </c>
      <c r="V1820" s="8" t="b">
        <v>1</v>
      </c>
      <c r="X1820" s="8" t="b">
        <v>0</v>
      </c>
      <c r="Y1820" s="8" t="b">
        <v>0</v>
      </c>
      <c r="Z1820" s="8" t="b">
        <v>0</v>
      </c>
      <c r="AA1820" s="8" t="b">
        <v>0</v>
      </c>
      <c r="AB1820" s="8" t="b">
        <v>1</v>
      </c>
      <c r="AC1820" s="8" t="b">
        <v>0</v>
      </c>
      <c r="AD1820" s="8" t="b">
        <v>1</v>
      </c>
      <c r="AE1820" s="8" t="b">
        <v>0</v>
      </c>
      <c r="AG1820" s="11" t="b" cm="1">
        <f t="array" ref="AG1820">IF(OR(Y1820:AA1820="TRUE", AE1820="true"), "Threatened")</f>
        <v>0</v>
      </c>
      <c r="AH1820" s="11" t="s">
        <v>4688</v>
      </c>
      <c r="AI1820" s="8" t="b">
        <v>1</v>
      </c>
    </row>
    <row r="1821" spans="1:35" ht="31.2">
      <c r="A1821" s="8">
        <v>-73.954633740000006</v>
      </c>
      <c r="B1821" s="8">
        <v>40.789877259999997</v>
      </c>
      <c r="C1821" s="8" t="s">
        <v>4689</v>
      </c>
      <c r="D1821" s="8" t="s">
        <v>924</v>
      </c>
      <c r="E1821" s="8" t="b">
        <f t="shared" si="28"/>
        <v>0</v>
      </c>
      <c r="F1821" s="8" t="str" cm="1">
        <f t="array" ref="F1821">_xlfn._xlws.FILTER(E1821:E5019, C1821:C5019= "6D-PM-1020-01", "No Squirrels Found")</f>
        <v>No Squirrels Found</v>
      </c>
      <c r="G1821" s="8" t="s">
        <v>34</v>
      </c>
      <c r="H1821" s="10">
        <v>10062018</v>
      </c>
      <c r="I1821" s="10">
        <v>8</v>
      </c>
      <c r="J1821" s="8" t="s">
        <v>39</v>
      </c>
      <c r="K1821" s="8" t="s">
        <v>40</v>
      </c>
      <c r="M1821" s="8" t="s">
        <v>55</v>
      </c>
      <c r="O1821" s="8" t="s">
        <v>50</v>
      </c>
      <c r="P1821" s="8">
        <v>6</v>
      </c>
      <c r="R1821" s="8" t="b">
        <v>0</v>
      </c>
      <c r="S1821" s="8" t="b">
        <v>0</v>
      </c>
      <c r="T1821" s="8" t="b">
        <v>1</v>
      </c>
      <c r="U1821" s="8" t="b">
        <v>0</v>
      </c>
      <c r="V1821" s="8" t="b">
        <v>0</v>
      </c>
      <c r="X1821" s="8" t="b">
        <v>0</v>
      </c>
      <c r="Y1821" s="8" t="b">
        <v>0</v>
      </c>
      <c r="Z1821" s="8" t="b">
        <v>0</v>
      </c>
      <c r="AA1821" s="8" t="b">
        <v>0</v>
      </c>
      <c r="AB1821" s="8" t="b">
        <v>1</v>
      </c>
      <c r="AC1821" s="8" t="b">
        <v>0</v>
      </c>
      <c r="AD1821" s="8" t="b">
        <v>1</v>
      </c>
      <c r="AE1821" s="8" t="b">
        <v>0</v>
      </c>
      <c r="AG1821" s="11" t="b" cm="1">
        <f t="array" ref="AG1821">IF(OR(Y1821:AA1821="TRUE", AE1821="true"), "Threatened")</f>
        <v>0</v>
      </c>
      <c r="AH1821" s="11" t="s">
        <v>4690</v>
      </c>
      <c r="AI1821" s="8" t="b">
        <v>1</v>
      </c>
    </row>
    <row r="1822" spans="1:35" ht="31.2">
      <c r="A1822" s="8">
        <v>-73.967631409999996</v>
      </c>
      <c r="B1822" s="8">
        <v>40.77880304</v>
      </c>
      <c r="C1822" s="8" t="s">
        <v>4691</v>
      </c>
      <c r="D1822" s="8" t="s">
        <v>215</v>
      </c>
      <c r="E1822" s="8" t="b">
        <f t="shared" si="28"/>
        <v>0</v>
      </c>
      <c r="F1822" s="8" t="str" cm="1">
        <f t="array" ref="F1822">_xlfn._xlws.FILTER(E1822:E5020, C1822:C5020= "6D-PM-1020-01", "No Squirrels Found")</f>
        <v>No Squirrels Found</v>
      </c>
      <c r="G1822" s="8" t="s">
        <v>48</v>
      </c>
      <c r="H1822" s="10">
        <v>10172018</v>
      </c>
      <c r="I1822" s="10">
        <v>8</v>
      </c>
      <c r="J1822" s="8" t="s">
        <v>39</v>
      </c>
      <c r="K1822" s="8" t="s">
        <v>40</v>
      </c>
      <c r="M1822" s="8" t="s">
        <v>55</v>
      </c>
      <c r="O1822" s="8" t="s">
        <v>43</v>
      </c>
      <c r="P1822" s="8" t="b">
        <v>0</v>
      </c>
      <c r="R1822" s="8" t="b">
        <v>0</v>
      </c>
      <c r="S1822" s="8" t="b">
        <v>1</v>
      </c>
      <c r="T1822" s="8" t="b">
        <v>0</v>
      </c>
      <c r="U1822" s="8" t="b">
        <v>0</v>
      </c>
      <c r="V1822" s="8" t="b">
        <v>0</v>
      </c>
      <c r="X1822" s="8" t="b">
        <v>0</v>
      </c>
      <c r="Y1822" s="8" t="b">
        <v>0</v>
      </c>
      <c r="Z1822" s="8" t="b">
        <v>0</v>
      </c>
      <c r="AA1822" s="8" t="b">
        <v>0</v>
      </c>
      <c r="AB1822" s="8" t="b">
        <v>0</v>
      </c>
      <c r="AC1822" s="8" t="b">
        <v>0</v>
      </c>
      <c r="AD1822" s="8" t="b">
        <v>1</v>
      </c>
      <c r="AE1822" s="8" t="b">
        <v>0</v>
      </c>
      <c r="AG1822" s="11" t="b" cm="1">
        <f t="array" ref="AG1822">IF(OR(Y1822:AA1822="TRUE", AE1822="true"), "Threatened")</f>
        <v>0</v>
      </c>
      <c r="AH1822" s="11" t="s">
        <v>4692</v>
      </c>
      <c r="AI1822" s="8" t="b">
        <v>1</v>
      </c>
    </row>
    <row r="1823" spans="1:35" ht="31.2">
      <c r="A1823" s="8">
        <v>-73.977509929999997</v>
      </c>
      <c r="B1823" s="8">
        <v>40.769760910000002</v>
      </c>
      <c r="C1823" s="8" t="s">
        <v>4693</v>
      </c>
      <c r="D1823" s="8" t="s">
        <v>1586</v>
      </c>
      <c r="E1823" s="8" t="b">
        <f t="shared" si="28"/>
        <v>0</v>
      </c>
      <c r="F1823" s="8" t="str" cm="1">
        <f t="array" ref="F1823">_xlfn._xlws.FILTER(E1823:E5021, C1823:C5021= "6D-PM-1020-01", "No Squirrels Found")</f>
        <v>No Squirrels Found</v>
      </c>
      <c r="G1823" s="8" t="s">
        <v>34</v>
      </c>
      <c r="H1823" s="10">
        <v>10102018</v>
      </c>
      <c r="I1823" s="10">
        <v>14</v>
      </c>
      <c r="J1823" s="8" t="s">
        <v>54</v>
      </c>
      <c r="K1823" s="8" t="s">
        <v>41</v>
      </c>
      <c r="L1823" s="8" t="s">
        <v>40</v>
      </c>
      <c r="M1823" s="8" t="s">
        <v>110</v>
      </c>
      <c r="O1823" s="8" t="s">
        <v>43</v>
      </c>
      <c r="P1823" s="8" t="b">
        <v>0</v>
      </c>
      <c r="R1823" s="8" t="b">
        <v>1</v>
      </c>
      <c r="S1823" s="8" t="b">
        <v>1</v>
      </c>
      <c r="T1823" s="8" t="b">
        <v>0</v>
      </c>
      <c r="U1823" s="8" t="b">
        <v>0</v>
      </c>
      <c r="V1823" s="8" t="b">
        <v>0</v>
      </c>
      <c r="W1823" s="11" t="s">
        <v>4694</v>
      </c>
      <c r="X1823" s="8" t="b">
        <v>0</v>
      </c>
      <c r="Y1823" s="8" t="b">
        <v>0</v>
      </c>
      <c r="Z1823" s="8" t="b">
        <v>0</v>
      </c>
      <c r="AA1823" s="8" t="b">
        <v>0</v>
      </c>
      <c r="AB1823" s="8" t="b">
        <v>0</v>
      </c>
      <c r="AC1823" s="8" t="b">
        <v>0</v>
      </c>
      <c r="AD1823" s="8" t="b">
        <v>0</v>
      </c>
      <c r="AE1823" s="8" t="b">
        <v>0</v>
      </c>
      <c r="AG1823" s="11" t="b" cm="1">
        <f t="array" ref="AG1823">IF(OR(Y1823:AA1823="TRUE", AE1823="true"), "Threatened")</f>
        <v>0</v>
      </c>
      <c r="AH1823" s="11" t="s">
        <v>4695</v>
      </c>
      <c r="AI1823" s="8" t="b">
        <v>0</v>
      </c>
    </row>
    <row r="1824" spans="1:35" ht="31.2">
      <c r="A1824" s="8">
        <v>-73.961285450000005</v>
      </c>
      <c r="B1824" s="8">
        <v>40.792083069999997</v>
      </c>
      <c r="C1824" s="8" t="s">
        <v>4696</v>
      </c>
      <c r="D1824" s="8" t="s">
        <v>616</v>
      </c>
      <c r="E1824" s="8" t="b">
        <f t="shared" si="28"/>
        <v>0</v>
      </c>
      <c r="F1824" s="8" t="str" cm="1">
        <f t="array" ref="F1824">_xlfn._xlws.FILTER(E1824:E5022, C1824:C5022= "6D-PM-1020-01", "No Squirrels Found")</f>
        <v>No Squirrels Found</v>
      </c>
      <c r="G1824" s="8" t="s">
        <v>34</v>
      </c>
      <c r="H1824" s="10">
        <v>10132018</v>
      </c>
      <c r="I1824" s="10">
        <v>4</v>
      </c>
      <c r="J1824" s="8" t="s">
        <v>54</v>
      </c>
      <c r="K1824" s="8" t="s">
        <v>40</v>
      </c>
      <c r="M1824" s="8" t="s">
        <v>55</v>
      </c>
      <c r="O1824" s="8" t="s">
        <v>50</v>
      </c>
      <c r="R1824" s="8" t="b">
        <v>1</v>
      </c>
      <c r="S1824" s="8" t="b">
        <v>0</v>
      </c>
      <c r="T1824" s="8" t="b">
        <v>1</v>
      </c>
      <c r="U1824" s="8" t="b">
        <v>0</v>
      </c>
      <c r="V1824" s="8" t="b">
        <v>0</v>
      </c>
      <c r="X1824" s="8" t="b">
        <v>0</v>
      </c>
      <c r="Y1824" s="8" t="b">
        <v>0</v>
      </c>
      <c r="Z1824" s="8" t="b">
        <v>0</v>
      </c>
      <c r="AA1824" s="8" t="b">
        <v>0</v>
      </c>
      <c r="AB1824" s="8" t="b">
        <v>0</v>
      </c>
      <c r="AC1824" s="8" t="b">
        <v>0</v>
      </c>
      <c r="AD1824" s="8" t="b">
        <v>0</v>
      </c>
      <c r="AE1824" s="8" t="b">
        <v>0</v>
      </c>
      <c r="AG1824" s="11" t="b" cm="1">
        <f t="array" ref="AG1824">IF(OR(Y1824:AA1824="TRUE", AE1824="true"), "Threatened")</f>
        <v>0</v>
      </c>
      <c r="AH1824" s="11" t="s">
        <v>4697</v>
      </c>
      <c r="AI1824" s="8" t="b">
        <v>1</v>
      </c>
    </row>
    <row r="1825" spans="1:35" ht="31.2">
      <c r="A1825" s="8">
        <v>-73.961725009999995</v>
      </c>
      <c r="B1825" s="8">
        <v>40.792539040000001</v>
      </c>
      <c r="C1825" s="8" t="s">
        <v>4698</v>
      </c>
      <c r="D1825" s="8" t="s">
        <v>931</v>
      </c>
      <c r="E1825" s="8" t="b">
        <f t="shared" si="28"/>
        <v>0</v>
      </c>
      <c r="F1825" s="8" t="str" cm="1">
        <f t="array" ref="F1825">_xlfn._xlws.FILTER(E1825:E5023, C1825:C5023= "6D-PM-1020-01", "No Squirrels Found")</f>
        <v>No Squirrels Found</v>
      </c>
      <c r="G1825" s="8" t="s">
        <v>34</v>
      </c>
      <c r="H1825" s="10">
        <v>10102018</v>
      </c>
      <c r="I1825" s="10">
        <v>3</v>
      </c>
      <c r="J1825" s="8" t="s">
        <v>39</v>
      </c>
      <c r="K1825" s="8" t="s">
        <v>40</v>
      </c>
      <c r="M1825" s="8" t="s">
        <v>55</v>
      </c>
      <c r="O1825" s="8" t="s">
        <v>43</v>
      </c>
      <c r="P1825" s="8" t="b">
        <v>0</v>
      </c>
      <c r="R1825" s="8" t="b">
        <v>0</v>
      </c>
      <c r="S1825" s="8" t="b">
        <v>0</v>
      </c>
      <c r="T1825" s="8" t="b">
        <v>0</v>
      </c>
      <c r="U1825" s="8" t="b">
        <v>0</v>
      </c>
      <c r="V1825" s="8" t="b">
        <v>0</v>
      </c>
      <c r="X1825" s="8" t="b">
        <v>0</v>
      </c>
      <c r="Y1825" s="8" t="b">
        <v>0</v>
      </c>
      <c r="Z1825" s="8" t="b">
        <v>0</v>
      </c>
      <c r="AA1825" s="8" t="b">
        <v>0</v>
      </c>
      <c r="AB1825" s="8" t="b">
        <v>1</v>
      </c>
      <c r="AC1825" s="8" t="b">
        <v>0</v>
      </c>
      <c r="AD1825" s="8" t="b">
        <v>0</v>
      </c>
      <c r="AE1825" s="8" t="b">
        <v>1</v>
      </c>
      <c r="AG1825" s="11" t="b" cm="1">
        <f t="array" ref="AG1825">IF(OR(Y1825:AA1825="TRUE", AE1825="true"), "Threatened")</f>
        <v>0</v>
      </c>
      <c r="AH1825" s="11" t="s">
        <v>4699</v>
      </c>
      <c r="AI1825" s="8" t="b">
        <v>1</v>
      </c>
    </row>
    <row r="1826" spans="1:35" ht="31.2">
      <c r="A1826" s="8">
        <v>-73.962420980000005</v>
      </c>
      <c r="B1826" s="8">
        <v>40.791020099999997</v>
      </c>
      <c r="C1826" s="8" t="s">
        <v>4700</v>
      </c>
      <c r="D1826" s="8" t="s">
        <v>3391</v>
      </c>
      <c r="E1826" s="8" t="b">
        <f t="shared" si="28"/>
        <v>0</v>
      </c>
      <c r="F1826" s="8" t="str" cm="1">
        <f t="array" ref="F1826">_xlfn._xlws.FILTER(E1826:E5024, C1826:C5024= "6D-PM-1020-01", "No Squirrels Found")</f>
        <v>No Squirrels Found</v>
      </c>
      <c r="G1826" s="8" t="s">
        <v>34</v>
      </c>
      <c r="H1826" s="10">
        <v>10102018</v>
      </c>
      <c r="I1826" s="10">
        <v>1</v>
      </c>
      <c r="J1826" s="8" t="s">
        <v>39</v>
      </c>
      <c r="K1826" s="8" t="s">
        <v>40</v>
      </c>
      <c r="L1826" s="8" t="s">
        <v>84</v>
      </c>
      <c r="M1826" s="8" t="s">
        <v>103</v>
      </c>
      <c r="O1826" s="8" t="s">
        <v>50</v>
      </c>
      <c r="P1826" s="8">
        <v>3</v>
      </c>
      <c r="R1826" s="8" t="b">
        <v>0</v>
      </c>
      <c r="S1826" s="8" t="b">
        <v>0</v>
      </c>
      <c r="T1826" s="8" t="b">
        <v>1</v>
      </c>
      <c r="U1826" s="8" t="b">
        <v>0</v>
      </c>
      <c r="V1826" s="8" t="b">
        <v>0</v>
      </c>
      <c r="X1826" s="8" t="b">
        <v>0</v>
      </c>
      <c r="Y1826" s="8" t="b">
        <v>0</v>
      </c>
      <c r="Z1826" s="8" t="b">
        <v>0</v>
      </c>
      <c r="AA1826" s="8" t="b">
        <v>0</v>
      </c>
      <c r="AB1826" s="8" t="b">
        <v>1</v>
      </c>
      <c r="AC1826" s="8" t="b">
        <v>0</v>
      </c>
      <c r="AD1826" s="8" t="b">
        <v>0</v>
      </c>
      <c r="AE1826" s="8" t="b">
        <v>1</v>
      </c>
      <c r="AG1826" s="11" t="b" cm="1">
        <f t="array" ref="AG1826">IF(OR(Y1826:AA1826="TRUE", AE1826="true"), "Threatened")</f>
        <v>0</v>
      </c>
      <c r="AH1826" s="11" t="s">
        <v>4701</v>
      </c>
      <c r="AI1826" s="8" t="b">
        <v>1</v>
      </c>
    </row>
    <row r="1827" spans="1:35" ht="31.2">
      <c r="A1827" s="8">
        <v>-73.970754220000003</v>
      </c>
      <c r="B1827" s="8">
        <v>40.771703299999999</v>
      </c>
      <c r="C1827" s="8" t="s">
        <v>4702</v>
      </c>
      <c r="D1827" s="8" t="s">
        <v>581</v>
      </c>
      <c r="E1827" s="8" t="b">
        <f t="shared" si="28"/>
        <v>0</v>
      </c>
      <c r="F1827" s="8" t="str" cm="1">
        <f t="array" ref="F1827">_xlfn._xlws.FILTER(E1827:E5025, C1827:C5025= "6D-PM-1020-01", "No Squirrels Found")</f>
        <v>No Squirrels Found</v>
      </c>
      <c r="G1827" s="8" t="s">
        <v>34</v>
      </c>
      <c r="H1827" s="10">
        <v>10072018</v>
      </c>
      <c r="I1827" s="10">
        <v>4</v>
      </c>
      <c r="J1827" s="8" t="s">
        <v>39</v>
      </c>
      <c r="K1827" s="8" t="s">
        <v>40</v>
      </c>
      <c r="L1827" s="8" t="s">
        <v>84</v>
      </c>
      <c r="M1827" s="8" t="s">
        <v>103</v>
      </c>
      <c r="O1827" s="8" t="s">
        <v>43</v>
      </c>
      <c r="P1827" s="8" t="b">
        <v>0</v>
      </c>
      <c r="R1827" s="8" t="b">
        <v>0</v>
      </c>
      <c r="S1827" s="8" t="b">
        <v>0</v>
      </c>
      <c r="T1827" s="8" t="b">
        <v>0</v>
      </c>
      <c r="U1827" s="8" t="b">
        <v>1</v>
      </c>
      <c r="V1827" s="8" t="b">
        <v>0</v>
      </c>
      <c r="X1827" s="8" t="b">
        <v>0</v>
      </c>
      <c r="Y1827" s="8" t="b">
        <v>0</v>
      </c>
      <c r="Z1827" s="8" t="b">
        <v>0</v>
      </c>
      <c r="AA1827" s="8" t="b">
        <v>0</v>
      </c>
      <c r="AB1827" s="8" t="b">
        <v>0</v>
      </c>
      <c r="AC1827" s="8" t="b">
        <v>0</v>
      </c>
      <c r="AD1827" s="8" t="b">
        <v>0</v>
      </c>
      <c r="AE1827" s="8" t="b">
        <v>0</v>
      </c>
      <c r="AG1827" s="11" t="b" cm="1">
        <f t="array" ref="AG1827">IF(OR(Y1827:AA1827="TRUE", AE1827="true"), "Threatened")</f>
        <v>0</v>
      </c>
      <c r="AH1827" s="11" t="s">
        <v>4703</v>
      </c>
      <c r="AI1827" s="8" t="b">
        <v>1</v>
      </c>
    </row>
    <row r="1828" spans="1:35" ht="31.2">
      <c r="A1828" s="8">
        <v>-73.977976089999999</v>
      </c>
      <c r="B1828" s="8">
        <v>40.769823090000003</v>
      </c>
      <c r="C1828" s="8" t="s">
        <v>4704</v>
      </c>
      <c r="D1828" s="8" t="s">
        <v>1586</v>
      </c>
      <c r="E1828" s="8" t="b">
        <f t="shared" si="28"/>
        <v>0</v>
      </c>
      <c r="F1828" s="8" t="str" cm="1">
        <f t="array" ref="F1828">_xlfn._xlws.FILTER(E1828:E5026, C1828:C5026= "6D-PM-1020-01", "No Squirrels Found")</f>
        <v>No Squirrels Found</v>
      </c>
      <c r="G1828" s="8" t="s">
        <v>34</v>
      </c>
      <c r="H1828" s="10">
        <v>10102018</v>
      </c>
      <c r="I1828" s="10">
        <v>16</v>
      </c>
      <c r="J1828" s="8" t="s">
        <v>39</v>
      </c>
      <c r="K1828" s="8" t="s">
        <v>40</v>
      </c>
      <c r="L1828" s="8" t="s">
        <v>84</v>
      </c>
      <c r="M1828" s="8" t="s">
        <v>103</v>
      </c>
      <c r="O1828" s="8" t="s">
        <v>43</v>
      </c>
      <c r="P1828" s="8" t="b">
        <v>0</v>
      </c>
      <c r="R1828" s="8" t="b">
        <v>0</v>
      </c>
      <c r="S1828" s="8" t="b">
        <v>0</v>
      </c>
      <c r="T1828" s="8" t="b">
        <v>0</v>
      </c>
      <c r="U1828" s="8" t="b">
        <v>1</v>
      </c>
      <c r="V1828" s="8" t="b">
        <v>1</v>
      </c>
      <c r="X1828" s="8" t="b">
        <v>0</v>
      </c>
      <c r="Y1828" s="8" t="b">
        <v>0</v>
      </c>
      <c r="Z1828" s="8" t="b">
        <v>0</v>
      </c>
      <c r="AA1828" s="8" t="b">
        <v>0</v>
      </c>
      <c r="AB1828" s="8" t="b">
        <v>0</v>
      </c>
      <c r="AC1828" s="8" t="b">
        <v>0</v>
      </c>
      <c r="AD1828" s="8" t="b">
        <v>1</v>
      </c>
      <c r="AE1828" s="8" t="b">
        <v>0</v>
      </c>
      <c r="AG1828" s="11" t="b" cm="1">
        <f t="array" ref="AG1828">IF(OR(Y1828:AA1828="TRUE", AE1828="true"), "Threatened")</f>
        <v>0</v>
      </c>
      <c r="AH1828" s="11" t="s">
        <v>4705</v>
      </c>
      <c r="AI1828" s="8" t="b">
        <v>1</v>
      </c>
    </row>
    <row r="1829" spans="1:35" ht="31.2">
      <c r="A1829" s="8">
        <v>-73.968296519999996</v>
      </c>
      <c r="B1829" s="8">
        <v>40.780537899999999</v>
      </c>
      <c r="C1829" s="8" t="s">
        <v>4706</v>
      </c>
      <c r="D1829" s="8" t="s">
        <v>1079</v>
      </c>
      <c r="E1829" s="8" t="b">
        <f t="shared" si="28"/>
        <v>0</v>
      </c>
      <c r="F1829" s="8" t="str" cm="1">
        <f t="array" ref="F1829">_xlfn._xlws.FILTER(E1829:E5027, C1829:C5027= "6D-PM-1020-01", "No Squirrels Found")</f>
        <v>No Squirrels Found</v>
      </c>
      <c r="G1829" s="8" t="s">
        <v>48</v>
      </c>
      <c r="H1829" s="10">
        <v>10182018</v>
      </c>
      <c r="I1829" s="10">
        <v>4</v>
      </c>
      <c r="J1829" s="8" t="s">
        <v>39</v>
      </c>
      <c r="K1829" s="8" t="s">
        <v>40</v>
      </c>
      <c r="M1829" s="8" t="s">
        <v>55</v>
      </c>
      <c r="O1829" s="8" t="s">
        <v>50</v>
      </c>
      <c r="P1829" s="8">
        <v>2</v>
      </c>
      <c r="R1829" s="8" t="b">
        <v>0</v>
      </c>
      <c r="S1829" s="8" t="b">
        <v>0</v>
      </c>
      <c r="T1829" s="8" t="b">
        <v>1</v>
      </c>
      <c r="U1829" s="8" t="b">
        <v>0</v>
      </c>
      <c r="V1829" s="8" t="b">
        <v>1</v>
      </c>
      <c r="X1829" s="8" t="b">
        <v>0</v>
      </c>
      <c r="Y1829" s="8" t="b">
        <v>0</v>
      </c>
      <c r="Z1829" s="8" t="b">
        <v>0</v>
      </c>
      <c r="AA1829" s="8" t="b">
        <v>0</v>
      </c>
      <c r="AB1829" s="8" t="b">
        <v>0</v>
      </c>
      <c r="AC1829" s="8" t="b">
        <v>0</v>
      </c>
      <c r="AD1829" s="8" t="b">
        <v>0</v>
      </c>
      <c r="AE1829" s="8" t="b">
        <v>0</v>
      </c>
      <c r="AG1829" s="11" t="b" cm="1">
        <f t="array" ref="AG1829">IF(OR(Y1829:AA1829="TRUE", AE1829="true"), "Threatened")</f>
        <v>0</v>
      </c>
      <c r="AH1829" s="11" t="s">
        <v>4707</v>
      </c>
      <c r="AI1829" s="8" t="b">
        <v>1</v>
      </c>
    </row>
    <row r="1830" spans="1:35" ht="31.2">
      <c r="A1830" s="8">
        <v>-73.974696589999994</v>
      </c>
      <c r="B1830" s="8">
        <v>40.766435170000001</v>
      </c>
      <c r="C1830" s="8" t="s">
        <v>4708</v>
      </c>
      <c r="D1830" s="8" t="s">
        <v>2892</v>
      </c>
      <c r="E1830" s="8" t="b">
        <f t="shared" si="28"/>
        <v>0</v>
      </c>
      <c r="F1830" s="8" t="str" cm="1">
        <f t="array" ref="F1830">_xlfn._xlws.FILTER(E1830:E5028, C1830:C5028= "6D-PM-1020-01", "No Squirrels Found")</f>
        <v>No Squirrels Found</v>
      </c>
      <c r="G1830" s="8" t="s">
        <v>48</v>
      </c>
      <c r="H1830" s="10">
        <v>10102018</v>
      </c>
      <c r="I1830" s="10">
        <v>3</v>
      </c>
      <c r="J1830" s="8" t="s">
        <v>39</v>
      </c>
      <c r="K1830" s="8" t="s">
        <v>40</v>
      </c>
      <c r="M1830" s="8" t="s">
        <v>55</v>
      </c>
      <c r="O1830" s="8" t="s">
        <v>43</v>
      </c>
      <c r="P1830" s="8" t="b">
        <v>0</v>
      </c>
      <c r="R1830" s="8" t="b">
        <v>0</v>
      </c>
      <c r="S1830" s="8" t="b">
        <v>0</v>
      </c>
      <c r="T1830" s="8" t="b">
        <v>0</v>
      </c>
      <c r="U1830" s="8" t="b">
        <v>1</v>
      </c>
      <c r="V1830" s="8" t="b">
        <v>0</v>
      </c>
      <c r="X1830" s="8" t="b">
        <v>0</v>
      </c>
      <c r="Y1830" s="8" t="b">
        <v>0</v>
      </c>
      <c r="Z1830" s="8" t="b">
        <v>0</v>
      </c>
      <c r="AA1830" s="8" t="b">
        <v>0</v>
      </c>
      <c r="AB1830" s="8" t="b">
        <v>0</v>
      </c>
      <c r="AC1830" s="8" t="b">
        <v>0</v>
      </c>
      <c r="AD1830" s="8" t="b">
        <v>1</v>
      </c>
      <c r="AE1830" s="8" t="b">
        <v>0</v>
      </c>
      <c r="AG1830" s="11" t="b" cm="1">
        <f t="array" ref="AG1830">IF(OR(Y1830:AA1830="TRUE", AE1830="true"), "Threatened")</f>
        <v>0</v>
      </c>
      <c r="AH1830" s="11" t="s">
        <v>4709</v>
      </c>
      <c r="AI1830" s="8" t="b">
        <v>1</v>
      </c>
    </row>
    <row r="1831" spans="1:35" ht="31.2">
      <c r="A1831" s="8">
        <v>-73.951800809999995</v>
      </c>
      <c r="B1831" s="8">
        <v>40.795373810000001</v>
      </c>
      <c r="C1831" s="8" t="s">
        <v>4710</v>
      </c>
      <c r="D1831" s="8" t="s">
        <v>3073</v>
      </c>
      <c r="E1831" s="8" t="b">
        <f t="shared" si="28"/>
        <v>0</v>
      </c>
      <c r="F1831" s="8" t="str" cm="1">
        <f t="array" ref="F1831">_xlfn._xlws.FILTER(E1831:E5029, C1831:C5029= "6D-PM-1020-01", "No Squirrels Found")</f>
        <v>No Squirrels Found</v>
      </c>
      <c r="G1831" s="8" t="s">
        <v>48</v>
      </c>
      <c r="H1831" s="10">
        <v>10172018</v>
      </c>
      <c r="I1831" s="10">
        <v>1</v>
      </c>
      <c r="J1831" s="8" t="s">
        <v>39</v>
      </c>
      <c r="K1831" s="8" t="s">
        <v>40</v>
      </c>
      <c r="L1831" s="8" t="s">
        <v>41</v>
      </c>
      <c r="M1831" s="8" t="s">
        <v>42</v>
      </c>
      <c r="O1831" s="8" t="s">
        <v>43</v>
      </c>
      <c r="P1831" s="8" t="b">
        <v>0</v>
      </c>
      <c r="Q1831" s="8" t="s">
        <v>4711</v>
      </c>
      <c r="R1831" s="8" t="b">
        <v>0</v>
      </c>
      <c r="S1831" s="8" t="b">
        <v>0</v>
      </c>
      <c r="T1831" s="8" t="b">
        <v>0</v>
      </c>
      <c r="U1831" s="8" t="b">
        <v>0</v>
      </c>
      <c r="V1831" s="8" t="b">
        <v>1</v>
      </c>
      <c r="X1831" s="8" t="b">
        <v>0</v>
      </c>
      <c r="Y1831" s="8" t="b">
        <v>0</v>
      </c>
      <c r="Z1831" s="8" t="b">
        <v>0</v>
      </c>
      <c r="AA1831" s="8" t="b">
        <v>0</v>
      </c>
      <c r="AB1831" s="8" t="b">
        <v>0</v>
      </c>
      <c r="AC1831" s="8" t="b">
        <v>0</v>
      </c>
      <c r="AD1831" s="8" t="b">
        <v>0</v>
      </c>
      <c r="AE1831" s="8" t="b">
        <v>1</v>
      </c>
      <c r="AG1831" s="11" t="b" cm="1">
        <f t="array" ref="AG1831">IF(OR(Y1831:AA1831="TRUE", AE1831="true"), "Threatened")</f>
        <v>0</v>
      </c>
      <c r="AH1831" s="11" t="s">
        <v>4712</v>
      </c>
      <c r="AI1831" s="8" t="b">
        <v>1</v>
      </c>
    </row>
    <row r="1832" spans="1:35" ht="31.2">
      <c r="A1832" s="8">
        <v>-73.974687750000001</v>
      </c>
      <c r="B1832" s="8">
        <v>40.77614028</v>
      </c>
      <c r="C1832" s="8" t="s">
        <v>4713</v>
      </c>
      <c r="D1832" s="8" t="s">
        <v>268</v>
      </c>
      <c r="E1832" s="8" t="b">
        <f t="shared" si="28"/>
        <v>0</v>
      </c>
      <c r="F1832" s="8" t="str" cm="1">
        <f t="array" ref="F1832">_xlfn._xlws.FILTER(E1832:E5030, C1832:C5030= "6D-PM-1020-01", "No Squirrels Found")</f>
        <v>No Squirrels Found</v>
      </c>
      <c r="G1832" s="8" t="s">
        <v>34</v>
      </c>
      <c r="H1832" s="10">
        <v>10142018</v>
      </c>
      <c r="I1832" s="10">
        <v>3</v>
      </c>
      <c r="K1832" s="8" t="s">
        <v>40</v>
      </c>
      <c r="M1832" s="8" t="s">
        <v>55</v>
      </c>
      <c r="O1832" s="8" t="s">
        <v>50</v>
      </c>
      <c r="P1832" s="8">
        <v>10</v>
      </c>
      <c r="R1832" s="8" t="b">
        <v>0</v>
      </c>
      <c r="S1832" s="8" t="b">
        <v>1</v>
      </c>
      <c r="T1832" s="8" t="b">
        <v>0</v>
      </c>
      <c r="U1832" s="8" t="b">
        <v>0</v>
      </c>
      <c r="V1832" s="8" t="b">
        <v>0</v>
      </c>
      <c r="X1832" s="8" t="b">
        <v>0</v>
      </c>
      <c r="Y1832" s="8" t="b">
        <v>0</v>
      </c>
      <c r="Z1832" s="8" t="b">
        <v>0</v>
      </c>
      <c r="AA1832" s="8" t="b">
        <v>0</v>
      </c>
      <c r="AB1832" s="8" t="b">
        <v>0</v>
      </c>
      <c r="AC1832" s="8" t="b">
        <v>0</v>
      </c>
      <c r="AD1832" s="8" t="b">
        <v>0</v>
      </c>
      <c r="AE1832" s="8" t="b">
        <v>0</v>
      </c>
      <c r="AG1832" s="11" t="b" cm="1">
        <f t="array" ref="AG1832">IF(OR(Y1832:AA1832="TRUE", AE1832="true"), "Threatened")</f>
        <v>0</v>
      </c>
      <c r="AH1832" s="11" t="s">
        <v>4714</v>
      </c>
      <c r="AI1832" s="8" t="b">
        <v>1</v>
      </c>
    </row>
    <row r="1833" spans="1:35" ht="31.2">
      <c r="A1833" s="8">
        <v>-73.969315989999998</v>
      </c>
      <c r="B1833" s="8">
        <v>40.783121229999999</v>
      </c>
      <c r="C1833" s="8" t="s">
        <v>4715</v>
      </c>
      <c r="D1833" s="8" t="s">
        <v>1415</v>
      </c>
      <c r="E1833" s="8" t="b">
        <f t="shared" si="28"/>
        <v>0</v>
      </c>
      <c r="F1833" s="8" t="str" cm="1">
        <f t="array" ref="F1833">_xlfn._xlws.FILTER(E1833:E5031, C1833:C5031= "6D-PM-1020-01", "No Squirrels Found")</f>
        <v>No Squirrels Found</v>
      </c>
      <c r="G1833" s="8" t="s">
        <v>34</v>
      </c>
      <c r="H1833" s="10">
        <v>10172018</v>
      </c>
      <c r="I1833" s="10">
        <v>3</v>
      </c>
      <c r="J1833" s="8" t="s">
        <v>54</v>
      </c>
      <c r="K1833" s="8" t="s">
        <v>41</v>
      </c>
      <c r="L1833" s="8" t="s">
        <v>84</v>
      </c>
      <c r="M1833" s="8" t="s">
        <v>85</v>
      </c>
      <c r="O1833" s="8" t="s">
        <v>50</v>
      </c>
      <c r="P1833" s="8">
        <v>1</v>
      </c>
      <c r="R1833" s="8" t="b">
        <v>0</v>
      </c>
      <c r="S1833" s="8" t="b">
        <v>1</v>
      </c>
      <c r="T1833" s="8" t="b">
        <v>0</v>
      </c>
      <c r="U1833" s="8" t="b">
        <v>0</v>
      </c>
      <c r="V1833" s="8" t="b">
        <v>0</v>
      </c>
      <c r="X1833" s="8" t="b">
        <v>0</v>
      </c>
      <c r="Y1833" s="8" t="b">
        <v>0</v>
      </c>
      <c r="Z1833" s="8" t="b">
        <v>0</v>
      </c>
      <c r="AA1833" s="8" t="b">
        <v>0</v>
      </c>
      <c r="AB1833" s="8" t="b">
        <v>0</v>
      </c>
      <c r="AC1833" s="8" t="b">
        <v>0</v>
      </c>
      <c r="AD1833" s="8" t="b">
        <v>0</v>
      </c>
      <c r="AE1833" s="8" t="b">
        <v>0</v>
      </c>
      <c r="AG1833" s="11" t="b" cm="1">
        <f t="array" ref="AG1833">IF(OR(Y1833:AA1833="TRUE", AE1833="true"), "Threatened")</f>
        <v>0</v>
      </c>
      <c r="AH1833" s="11" t="s">
        <v>4716</v>
      </c>
      <c r="AI1833" s="8" t="b">
        <v>1</v>
      </c>
    </row>
    <row r="1834" spans="1:35" ht="31.2">
      <c r="A1834" s="8">
        <v>-73.962516489999999</v>
      </c>
      <c r="B1834" s="8">
        <v>40.788476899999999</v>
      </c>
      <c r="C1834" s="8" t="s">
        <v>4717</v>
      </c>
      <c r="D1834" s="8" t="s">
        <v>1052</v>
      </c>
      <c r="E1834" s="8" t="b">
        <f t="shared" si="28"/>
        <v>0</v>
      </c>
      <c r="F1834" s="8" t="str" cm="1">
        <f t="array" ref="F1834">_xlfn._xlws.FILTER(E1834:E5032, C1834:C5032= "6D-PM-1020-01", "No Squirrels Found")</f>
        <v>No Squirrels Found</v>
      </c>
      <c r="G1834" s="8" t="s">
        <v>34</v>
      </c>
      <c r="H1834" s="10">
        <v>10192018</v>
      </c>
      <c r="I1834" s="10">
        <v>2</v>
      </c>
      <c r="J1834" s="8" t="s">
        <v>39</v>
      </c>
      <c r="K1834" s="8" t="s">
        <v>192</v>
      </c>
      <c r="M1834" s="8" t="s">
        <v>193</v>
      </c>
      <c r="O1834" s="8" t="s">
        <v>43</v>
      </c>
      <c r="P1834" s="8" t="b">
        <v>0</v>
      </c>
      <c r="R1834" s="8" t="b">
        <v>0</v>
      </c>
      <c r="S1834" s="8" t="b">
        <v>0</v>
      </c>
      <c r="T1834" s="8" t="b">
        <v>0</v>
      </c>
      <c r="U1834" s="8" t="b">
        <v>0</v>
      </c>
      <c r="V1834" s="8" t="b">
        <v>1</v>
      </c>
      <c r="X1834" s="8" t="b">
        <v>0</v>
      </c>
      <c r="Y1834" s="8" t="b">
        <v>0</v>
      </c>
      <c r="Z1834" s="8" t="b">
        <v>0</v>
      </c>
      <c r="AA1834" s="8" t="b">
        <v>0</v>
      </c>
      <c r="AB1834" s="8" t="b">
        <v>0</v>
      </c>
      <c r="AC1834" s="8" t="b">
        <v>0</v>
      </c>
      <c r="AD1834" s="8" t="b">
        <v>0</v>
      </c>
      <c r="AE1834" s="8" t="b">
        <v>1</v>
      </c>
      <c r="AG1834" s="11" t="b" cm="1">
        <f t="array" ref="AG1834">IF(OR(Y1834:AA1834="TRUE", AE1834="true"), "Threatened")</f>
        <v>0</v>
      </c>
      <c r="AH1834" s="11" t="s">
        <v>4718</v>
      </c>
      <c r="AI1834" s="8" t="b">
        <v>1</v>
      </c>
    </row>
    <row r="1835" spans="1:35" ht="31.2">
      <c r="A1835" s="8">
        <v>-73.973903879999995</v>
      </c>
      <c r="B1835" s="8">
        <v>40.773035489999998</v>
      </c>
      <c r="C1835" s="8" t="s">
        <v>4719</v>
      </c>
      <c r="D1835" s="8" t="s">
        <v>1549</v>
      </c>
      <c r="E1835" s="8" t="b">
        <f t="shared" si="28"/>
        <v>0</v>
      </c>
      <c r="F1835" s="8" t="str" cm="1">
        <f t="array" ref="F1835">_xlfn._xlws.FILTER(E1835:E5033, C1835:C5033= "6D-PM-1020-01", "No Squirrels Found")</f>
        <v>No Squirrels Found</v>
      </c>
      <c r="G1835" s="8" t="s">
        <v>48</v>
      </c>
      <c r="H1835" s="10">
        <v>10082018</v>
      </c>
      <c r="I1835" s="10">
        <v>3</v>
      </c>
      <c r="J1835" s="8" t="s">
        <v>39</v>
      </c>
      <c r="K1835" s="8" t="s">
        <v>40</v>
      </c>
      <c r="M1835" s="8" t="s">
        <v>55</v>
      </c>
      <c r="O1835" s="8" t="s">
        <v>43</v>
      </c>
      <c r="P1835" s="8" t="b">
        <v>0</v>
      </c>
      <c r="R1835" s="8" t="b">
        <v>0</v>
      </c>
      <c r="S1835" s="8" t="b">
        <v>0</v>
      </c>
      <c r="T1835" s="8" t="b">
        <v>0</v>
      </c>
      <c r="U1835" s="8" t="b">
        <v>0</v>
      </c>
      <c r="V1835" s="8" t="b">
        <v>1</v>
      </c>
      <c r="X1835" s="8" t="b">
        <v>0</v>
      </c>
      <c r="Y1835" s="8" t="b">
        <v>0</v>
      </c>
      <c r="Z1835" s="8" t="b">
        <v>0</v>
      </c>
      <c r="AA1835" s="8" t="b">
        <v>0</v>
      </c>
      <c r="AB1835" s="8" t="b">
        <v>0</v>
      </c>
      <c r="AC1835" s="8" t="b">
        <v>0</v>
      </c>
      <c r="AD1835" s="8" t="b">
        <v>1</v>
      </c>
      <c r="AE1835" s="8" t="b">
        <v>0</v>
      </c>
      <c r="AG1835" s="11" t="b" cm="1">
        <f t="array" ref="AG1835">IF(OR(Y1835:AA1835="TRUE", AE1835="true"), "Threatened")</f>
        <v>0</v>
      </c>
      <c r="AH1835" s="11" t="s">
        <v>4720</v>
      </c>
      <c r="AI1835" s="8" t="b">
        <v>1</v>
      </c>
    </row>
    <row r="1836" spans="1:35" ht="31.2">
      <c r="A1836" s="8">
        <v>-73.956206850000001</v>
      </c>
      <c r="B1836" s="8">
        <v>40.796733289999999</v>
      </c>
      <c r="C1836" s="8" t="s">
        <v>4721</v>
      </c>
      <c r="D1836" s="8" t="s">
        <v>1948</v>
      </c>
      <c r="E1836" s="8" t="b">
        <f t="shared" si="28"/>
        <v>0</v>
      </c>
      <c r="F1836" s="8" t="str" cm="1">
        <f t="array" ref="F1836">_xlfn._xlws.FILTER(E1836:E5034, C1836:C5034= "6D-PM-1020-01", "No Squirrels Found")</f>
        <v>No Squirrels Found</v>
      </c>
      <c r="G1836" s="8" t="s">
        <v>48</v>
      </c>
      <c r="H1836" s="10">
        <v>10082018</v>
      </c>
      <c r="I1836" s="10">
        <v>1</v>
      </c>
      <c r="J1836" s="8" t="s">
        <v>39</v>
      </c>
      <c r="K1836" s="8" t="s">
        <v>40</v>
      </c>
      <c r="M1836" s="8" t="s">
        <v>55</v>
      </c>
      <c r="O1836" s="8" t="s">
        <v>43</v>
      </c>
      <c r="P1836" s="8" t="b">
        <v>0</v>
      </c>
      <c r="R1836" s="8" t="b">
        <v>0</v>
      </c>
      <c r="S1836" s="8" t="b">
        <v>1</v>
      </c>
      <c r="T1836" s="8" t="b">
        <v>0</v>
      </c>
      <c r="U1836" s="8" t="b">
        <v>0</v>
      </c>
      <c r="V1836" s="8" t="b">
        <v>0</v>
      </c>
      <c r="X1836" s="8" t="b">
        <v>0</v>
      </c>
      <c r="Y1836" s="8" t="b">
        <v>0</v>
      </c>
      <c r="Z1836" s="8" t="b">
        <v>0</v>
      </c>
      <c r="AA1836" s="8" t="b">
        <v>0</v>
      </c>
      <c r="AB1836" s="8" t="b">
        <v>0</v>
      </c>
      <c r="AC1836" s="8" t="b">
        <v>0</v>
      </c>
      <c r="AD1836" s="8" t="b">
        <v>0</v>
      </c>
      <c r="AE1836" s="8" t="b">
        <v>0</v>
      </c>
      <c r="AG1836" s="11" t="b" cm="1">
        <f t="array" ref="AG1836">IF(OR(Y1836:AA1836="TRUE", AE1836="true"), "Threatened")</f>
        <v>0</v>
      </c>
      <c r="AH1836" s="11" t="s">
        <v>4722</v>
      </c>
      <c r="AI1836" s="8" t="b">
        <v>1</v>
      </c>
    </row>
    <row r="1837" spans="1:35" ht="31.2">
      <c r="A1837" s="8">
        <v>-73.975105670000005</v>
      </c>
      <c r="B1837" s="8">
        <v>40.773206000000002</v>
      </c>
      <c r="C1837" s="8" t="s">
        <v>4723</v>
      </c>
      <c r="D1837" s="8" t="s">
        <v>805</v>
      </c>
      <c r="E1837" s="8" t="b">
        <f t="shared" si="28"/>
        <v>0</v>
      </c>
      <c r="F1837" s="8" t="str" cm="1">
        <f t="array" ref="F1837">_xlfn._xlws.FILTER(E1837:E5035, C1837:C5035= "6D-PM-1020-01", "No Squirrels Found")</f>
        <v>No Squirrels Found</v>
      </c>
      <c r="G1837" s="8" t="s">
        <v>34</v>
      </c>
      <c r="H1837" s="10">
        <v>10132018</v>
      </c>
      <c r="I1837" s="10">
        <v>3</v>
      </c>
      <c r="J1837" s="8" t="s">
        <v>54</v>
      </c>
      <c r="K1837" s="8" t="s">
        <v>40</v>
      </c>
      <c r="L1837" s="8" t="s">
        <v>84</v>
      </c>
      <c r="M1837" s="8" t="s">
        <v>103</v>
      </c>
      <c r="O1837" s="8" t="s">
        <v>43</v>
      </c>
      <c r="P1837" s="8" t="b">
        <v>0</v>
      </c>
      <c r="R1837" s="8" t="b">
        <v>0</v>
      </c>
      <c r="S1837" s="8" t="b">
        <v>0</v>
      </c>
      <c r="T1837" s="8" t="b">
        <v>0</v>
      </c>
      <c r="U1837" s="8" t="b">
        <v>1</v>
      </c>
      <c r="V1837" s="8" t="b">
        <v>0</v>
      </c>
      <c r="X1837" s="8" t="b">
        <v>0</v>
      </c>
      <c r="Y1837" s="8" t="b">
        <v>0</v>
      </c>
      <c r="Z1837" s="8" t="b">
        <v>0</v>
      </c>
      <c r="AA1837" s="8" t="b">
        <v>1</v>
      </c>
      <c r="AB1837" s="8" t="b">
        <v>0</v>
      </c>
      <c r="AC1837" s="8" t="b">
        <v>0</v>
      </c>
      <c r="AD1837" s="8" t="b">
        <v>1</v>
      </c>
      <c r="AE1837" s="8" t="b">
        <v>0</v>
      </c>
      <c r="AG1837" s="11" t="b" cm="1">
        <f t="array" ref="AG1837">IF(OR(Y1837:AA1837="TRUE", AE1837="true"), "Threatened")</f>
        <v>0</v>
      </c>
      <c r="AH1837" s="11" t="s">
        <v>4724</v>
      </c>
      <c r="AI1837" s="8" t="b">
        <v>1</v>
      </c>
    </row>
    <row r="1838" spans="1:35" ht="31.2">
      <c r="A1838" s="8">
        <v>-73.971028810000007</v>
      </c>
      <c r="B1838" s="8">
        <v>40.771577710000003</v>
      </c>
      <c r="C1838" s="8" t="s">
        <v>4725</v>
      </c>
      <c r="D1838" s="8" t="s">
        <v>581</v>
      </c>
      <c r="E1838" s="8" t="b">
        <f t="shared" si="28"/>
        <v>0</v>
      </c>
      <c r="F1838" s="8" t="str" cm="1">
        <f t="array" ref="F1838">_xlfn._xlws.FILTER(E1838:E5036, C1838:C5036= "6D-PM-1020-01", "No Squirrels Found")</f>
        <v>No Squirrels Found</v>
      </c>
      <c r="G1838" s="8" t="s">
        <v>34</v>
      </c>
      <c r="H1838" s="10">
        <v>10072018</v>
      </c>
      <c r="I1838" s="10">
        <v>1</v>
      </c>
      <c r="J1838" s="8" t="s">
        <v>39</v>
      </c>
      <c r="K1838" s="8" t="s">
        <v>40</v>
      </c>
      <c r="M1838" s="8" t="s">
        <v>55</v>
      </c>
      <c r="O1838" s="8" t="s">
        <v>50</v>
      </c>
      <c r="P1838" s="8">
        <v>2</v>
      </c>
      <c r="R1838" s="8" t="b">
        <v>0</v>
      </c>
      <c r="S1838" s="8" t="b">
        <v>0</v>
      </c>
      <c r="T1838" s="8" t="b">
        <v>1</v>
      </c>
      <c r="U1838" s="8" t="b">
        <v>0</v>
      </c>
      <c r="V1838" s="8" t="b">
        <v>0</v>
      </c>
      <c r="W1838" s="11" t="s">
        <v>4726</v>
      </c>
      <c r="X1838" s="8" t="b">
        <v>0</v>
      </c>
      <c r="Y1838" s="8" t="b">
        <v>0</v>
      </c>
      <c r="Z1838" s="8" t="b">
        <v>0</v>
      </c>
      <c r="AA1838" s="8" t="b">
        <v>0</v>
      </c>
      <c r="AB1838" s="8" t="b">
        <v>0</v>
      </c>
      <c r="AC1838" s="8" t="b">
        <v>0</v>
      </c>
      <c r="AD1838" s="8" t="b">
        <v>0</v>
      </c>
      <c r="AE1838" s="8" t="b">
        <v>0</v>
      </c>
      <c r="AG1838" s="11" t="b" cm="1">
        <f t="array" ref="AG1838">IF(OR(Y1838:AA1838="TRUE", AE1838="true"), "Threatened")</f>
        <v>0</v>
      </c>
      <c r="AH1838" s="11" t="s">
        <v>4727</v>
      </c>
      <c r="AI1838" s="8" t="b">
        <v>0</v>
      </c>
    </row>
    <row r="1839" spans="1:35" ht="31.2">
      <c r="A1839" s="8">
        <v>-73.968662199999997</v>
      </c>
      <c r="B1839" s="8">
        <v>40.776729439999997</v>
      </c>
      <c r="C1839" s="8" t="s">
        <v>4728</v>
      </c>
      <c r="D1839" s="8" t="s">
        <v>246</v>
      </c>
      <c r="E1839" s="8" t="b">
        <f t="shared" si="28"/>
        <v>0</v>
      </c>
      <c r="F1839" s="8" t="str" cm="1">
        <f t="array" ref="F1839">_xlfn._xlws.FILTER(E1839:E5037, C1839:C5037= "6D-PM-1020-01", "No Squirrels Found")</f>
        <v>No Squirrels Found</v>
      </c>
      <c r="G1839" s="8" t="s">
        <v>34</v>
      </c>
      <c r="H1839" s="10">
        <v>10102018</v>
      </c>
      <c r="I1839" s="10">
        <v>2</v>
      </c>
      <c r="J1839" s="8" t="s">
        <v>39</v>
      </c>
      <c r="K1839" s="8" t="s">
        <v>40</v>
      </c>
      <c r="M1839" s="8" t="s">
        <v>55</v>
      </c>
      <c r="O1839" s="8" t="s">
        <v>43</v>
      </c>
      <c r="P1839" s="8" t="b">
        <v>0</v>
      </c>
      <c r="R1839" s="8" t="b">
        <v>0</v>
      </c>
      <c r="S1839" s="8" t="b">
        <v>0</v>
      </c>
      <c r="T1839" s="8" t="b">
        <v>0</v>
      </c>
      <c r="U1839" s="8" t="b">
        <v>0</v>
      </c>
      <c r="V1839" s="8" t="b">
        <v>1</v>
      </c>
      <c r="X1839" s="8" t="b">
        <v>0</v>
      </c>
      <c r="Y1839" s="8" t="b">
        <v>0</v>
      </c>
      <c r="Z1839" s="8" t="b">
        <v>0</v>
      </c>
      <c r="AA1839" s="8" t="b">
        <v>0</v>
      </c>
      <c r="AB1839" s="8" t="b">
        <v>0</v>
      </c>
      <c r="AC1839" s="8" t="b">
        <v>0</v>
      </c>
      <c r="AD1839" s="8" t="b">
        <v>1</v>
      </c>
      <c r="AE1839" s="8" t="b">
        <v>0</v>
      </c>
      <c r="AG1839" s="11" t="b" cm="1">
        <f t="array" ref="AG1839">IF(OR(Y1839:AA1839="TRUE", AE1839="true"), "Threatened")</f>
        <v>0</v>
      </c>
      <c r="AH1839" s="11" t="s">
        <v>4729</v>
      </c>
      <c r="AI1839" s="8" t="b">
        <v>1</v>
      </c>
    </row>
    <row r="1840" spans="1:35" ht="31.2">
      <c r="A1840" s="8">
        <v>-73.965592549999997</v>
      </c>
      <c r="B1840" s="8">
        <v>40.776004919999998</v>
      </c>
      <c r="C1840" s="8" t="s">
        <v>4730</v>
      </c>
      <c r="D1840" s="8" t="s">
        <v>672</v>
      </c>
      <c r="E1840" s="8" t="b">
        <f t="shared" si="28"/>
        <v>0</v>
      </c>
      <c r="F1840" s="8" t="str" cm="1">
        <f t="array" ref="F1840">_xlfn._xlws.FILTER(E1840:E5038, C1840:C5038= "6D-PM-1020-01", "No Squirrels Found")</f>
        <v>No Squirrels Found</v>
      </c>
      <c r="G1840" s="8" t="s">
        <v>34</v>
      </c>
      <c r="H1840" s="10">
        <v>10082018</v>
      </c>
      <c r="I1840" s="10">
        <v>5</v>
      </c>
      <c r="J1840" s="8" t="s">
        <v>39</v>
      </c>
      <c r="K1840" s="8" t="s">
        <v>40</v>
      </c>
      <c r="M1840" s="8" t="s">
        <v>55</v>
      </c>
      <c r="O1840" s="8" t="s">
        <v>43</v>
      </c>
      <c r="P1840" s="8" t="b">
        <v>0</v>
      </c>
      <c r="Q1840" s="8" t="s">
        <v>435</v>
      </c>
      <c r="R1840" s="8" t="b">
        <v>0</v>
      </c>
      <c r="S1840" s="8" t="b">
        <v>0</v>
      </c>
      <c r="T1840" s="8" t="b">
        <v>0</v>
      </c>
      <c r="U1840" s="8" t="b">
        <v>0</v>
      </c>
      <c r="V1840" s="8" t="b">
        <v>1</v>
      </c>
      <c r="X1840" s="8" t="b">
        <v>0</v>
      </c>
      <c r="Y1840" s="8" t="b">
        <v>0</v>
      </c>
      <c r="Z1840" s="8" t="b">
        <v>0</v>
      </c>
      <c r="AA1840" s="8" t="b">
        <v>0</v>
      </c>
      <c r="AB1840" s="8" t="b">
        <v>0</v>
      </c>
      <c r="AC1840" s="8" t="b">
        <v>0</v>
      </c>
      <c r="AD1840" s="8" t="b">
        <v>1</v>
      </c>
      <c r="AE1840" s="8" t="b">
        <v>0</v>
      </c>
      <c r="AG1840" s="11" t="b" cm="1">
        <f t="array" ref="AG1840">IF(OR(Y1840:AA1840="TRUE", AE1840="true"), "Threatened")</f>
        <v>0</v>
      </c>
      <c r="AH1840" s="11" t="s">
        <v>4731</v>
      </c>
      <c r="AI1840" s="8" t="b">
        <v>1</v>
      </c>
    </row>
    <row r="1841" spans="1:35" ht="31.2">
      <c r="A1841" s="8">
        <v>-73.973322249999995</v>
      </c>
      <c r="B1841" s="8">
        <v>40.764997540000003</v>
      </c>
      <c r="C1841" s="8" t="s">
        <v>4732</v>
      </c>
      <c r="D1841" s="8" t="s">
        <v>4235</v>
      </c>
      <c r="E1841" s="8" t="b">
        <f t="shared" si="28"/>
        <v>0</v>
      </c>
      <c r="F1841" s="8" t="str" cm="1">
        <f t="array" ref="F1841">_xlfn._xlws.FILTER(E1841:E5039, C1841:C5039= "6D-PM-1020-01", "No Squirrels Found")</f>
        <v>No Squirrels Found</v>
      </c>
      <c r="G1841" s="8" t="s">
        <v>34</v>
      </c>
      <c r="H1841" s="10">
        <v>10122018</v>
      </c>
      <c r="I1841" s="10">
        <v>1</v>
      </c>
      <c r="J1841" s="8" t="s">
        <v>54</v>
      </c>
      <c r="K1841" s="8" t="s">
        <v>40</v>
      </c>
      <c r="L1841" s="8" t="s">
        <v>168</v>
      </c>
      <c r="M1841" s="8" t="s">
        <v>169</v>
      </c>
      <c r="N1841" s="11" t="s">
        <v>4236</v>
      </c>
      <c r="O1841" s="8" t="s">
        <v>43</v>
      </c>
      <c r="P1841" s="8" t="b">
        <v>0</v>
      </c>
      <c r="R1841" s="8" t="b">
        <v>1</v>
      </c>
      <c r="S1841" s="8" t="b">
        <v>0</v>
      </c>
      <c r="T1841" s="8" t="b">
        <v>0</v>
      </c>
      <c r="U1841" s="8" t="b">
        <v>0</v>
      </c>
      <c r="V1841" s="8" t="b">
        <v>0</v>
      </c>
      <c r="X1841" s="8" t="b">
        <v>0</v>
      </c>
      <c r="Y1841" s="8" t="b">
        <v>0</v>
      </c>
      <c r="Z1841" s="8" t="b">
        <v>0</v>
      </c>
      <c r="AA1841" s="8" t="b">
        <v>0</v>
      </c>
      <c r="AB1841" s="8" t="b">
        <v>1</v>
      </c>
      <c r="AC1841" s="8" t="b">
        <v>0</v>
      </c>
      <c r="AD1841" s="8" t="b">
        <v>0</v>
      </c>
      <c r="AE1841" s="8" t="b">
        <v>1</v>
      </c>
      <c r="AG1841" s="11" t="b" cm="1">
        <f t="array" ref="AG1841">IF(OR(Y1841:AA1841="TRUE", AE1841="true"), "Threatened")</f>
        <v>0</v>
      </c>
      <c r="AH1841" s="11" t="s">
        <v>4733</v>
      </c>
      <c r="AI1841" s="8" t="b">
        <v>1</v>
      </c>
    </row>
    <row r="1842" spans="1:35" ht="31.2">
      <c r="A1842" s="8">
        <v>-73.980637799999997</v>
      </c>
      <c r="B1842" s="8">
        <v>40.768109719999998</v>
      </c>
      <c r="C1842" s="8" t="s">
        <v>4734</v>
      </c>
      <c r="D1842" s="8" t="s">
        <v>855</v>
      </c>
      <c r="E1842" s="8" t="b">
        <f t="shared" si="28"/>
        <v>0</v>
      </c>
      <c r="F1842" s="8" t="str" cm="1">
        <f t="array" ref="F1842">_xlfn._xlws.FILTER(E1842:E5040, C1842:C5040= "6D-PM-1020-01", "No Squirrels Found")</f>
        <v>No Squirrels Found</v>
      </c>
      <c r="G1842" s="8" t="s">
        <v>48</v>
      </c>
      <c r="H1842" s="10">
        <v>10122018</v>
      </c>
      <c r="I1842" s="10">
        <v>15</v>
      </c>
      <c r="J1842" s="8" t="s">
        <v>39</v>
      </c>
      <c r="K1842" s="8" t="s">
        <v>40</v>
      </c>
      <c r="M1842" s="8" t="s">
        <v>55</v>
      </c>
      <c r="O1842" s="8" t="s">
        <v>50</v>
      </c>
      <c r="P1842" s="8">
        <v>5</v>
      </c>
      <c r="R1842" s="8" t="b">
        <v>0</v>
      </c>
      <c r="S1842" s="8" t="b">
        <v>0</v>
      </c>
      <c r="T1842" s="8" t="b">
        <v>1</v>
      </c>
      <c r="U1842" s="8" t="b">
        <v>1</v>
      </c>
      <c r="V1842" s="8" t="b">
        <v>0</v>
      </c>
      <c r="X1842" s="8" t="b">
        <v>0</v>
      </c>
      <c r="Y1842" s="8" t="b">
        <v>0</v>
      </c>
      <c r="Z1842" s="8" t="b">
        <v>0</v>
      </c>
      <c r="AA1842" s="8" t="b">
        <v>0</v>
      </c>
      <c r="AB1842" s="8" t="b">
        <v>0</v>
      </c>
      <c r="AC1842" s="8" t="b">
        <v>0</v>
      </c>
      <c r="AD1842" s="8" t="b">
        <v>1</v>
      </c>
      <c r="AE1842" s="8" t="b">
        <v>0</v>
      </c>
      <c r="AG1842" s="11" t="b" cm="1">
        <f t="array" ref="AG1842">IF(OR(Y1842:AA1842="TRUE", AE1842="true"), "Threatened")</f>
        <v>0</v>
      </c>
      <c r="AH1842" s="11" t="s">
        <v>4735</v>
      </c>
      <c r="AI1842" s="8" t="b">
        <v>1</v>
      </c>
    </row>
    <row r="1843" spans="1:35" ht="31.2">
      <c r="A1843" s="8">
        <v>-73.953280469999996</v>
      </c>
      <c r="B1843" s="8">
        <v>40.793457930000002</v>
      </c>
      <c r="C1843" s="8" t="s">
        <v>4736</v>
      </c>
      <c r="D1843" s="8" t="s">
        <v>867</v>
      </c>
      <c r="E1843" s="8" t="b">
        <f t="shared" si="28"/>
        <v>0</v>
      </c>
      <c r="F1843" s="8" t="str" cm="1">
        <f t="array" ref="F1843">_xlfn._xlws.FILTER(E1843:E5041, C1843:C5041= "6D-PM-1020-01", "No Squirrels Found")</f>
        <v>No Squirrels Found</v>
      </c>
      <c r="G1843" s="8" t="s">
        <v>34</v>
      </c>
      <c r="H1843" s="10">
        <v>10062018</v>
      </c>
      <c r="I1843" s="10">
        <v>5</v>
      </c>
      <c r="M1843" s="8" t="s">
        <v>35</v>
      </c>
      <c r="O1843" s="8" t="s">
        <v>50</v>
      </c>
      <c r="Q1843" s="8" t="s">
        <v>206</v>
      </c>
      <c r="R1843" s="8" t="b">
        <v>0</v>
      </c>
      <c r="S1843" s="8" t="b">
        <v>0</v>
      </c>
      <c r="T1843" s="8" t="b">
        <v>0</v>
      </c>
      <c r="U1843" s="8" t="b">
        <v>0</v>
      </c>
      <c r="V1843" s="8" t="b">
        <v>0</v>
      </c>
      <c r="X1843" s="8" t="b">
        <v>0</v>
      </c>
      <c r="Y1843" s="8" t="b">
        <v>0</v>
      </c>
      <c r="Z1843" s="8" t="b">
        <v>0</v>
      </c>
      <c r="AA1843" s="8" t="b">
        <v>0</v>
      </c>
      <c r="AB1843" s="8" t="b">
        <v>0</v>
      </c>
      <c r="AC1843" s="8" t="b">
        <v>0</v>
      </c>
      <c r="AD1843" s="8" t="b">
        <v>0</v>
      </c>
      <c r="AE1843" s="8" t="b">
        <v>0</v>
      </c>
      <c r="AG1843" s="11" t="b" cm="1">
        <f t="array" ref="AG1843">IF(OR(Y1843:AA1843="TRUE", AE1843="true"), "Threatened")</f>
        <v>0</v>
      </c>
      <c r="AH1843" s="11" t="s">
        <v>4737</v>
      </c>
      <c r="AI1843" s="8" t="b">
        <v>1</v>
      </c>
    </row>
    <row r="1844" spans="1:35" ht="31.2">
      <c r="A1844" s="8">
        <v>-73.968594030000006</v>
      </c>
      <c r="B1844" s="8">
        <v>40.776932100000003</v>
      </c>
      <c r="C1844" s="8" t="s">
        <v>4738</v>
      </c>
      <c r="D1844" s="8" t="s">
        <v>246</v>
      </c>
      <c r="E1844" s="8" t="b">
        <f t="shared" si="28"/>
        <v>0</v>
      </c>
      <c r="F1844" s="8" t="str" cm="1">
        <f t="array" ref="F1844">_xlfn._xlws.FILTER(E1844:E5042, C1844:C5042= "6D-PM-1020-01", "No Squirrels Found")</f>
        <v>No Squirrels Found</v>
      </c>
      <c r="G1844" s="8" t="s">
        <v>48</v>
      </c>
      <c r="H1844" s="10">
        <v>10072018</v>
      </c>
      <c r="I1844" s="10">
        <v>7</v>
      </c>
      <c r="J1844" s="8" t="s">
        <v>39</v>
      </c>
      <c r="K1844" s="8" t="s">
        <v>41</v>
      </c>
      <c r="L1844" s="8" t="s">
        <v>192</v>
      </c>
      <c r="M1844" s="8" t="s">
        <v>1145</v>
      </c>
      <c r="O1844" s="8" t="s">
        <v>43</v>
      </c>
      <c r="P1844" s="8" t="b">
        <v>0</v>
      </c>
      <c r="R1844" s="8" t="b">
        <v>0</v>
      </c>
      <c r="S1844" s="8" t="b">
        <v>0</v>
      </c>
      <c r="T1844" s="8" t="b">
        <v>0</v>
      </c>
      <c r="U1844" s="8" t="b">
        <v>0</v>
      </c>
      <c r="V1844" s="8" t="b">
        <v>1</v>
      </c>
      <c r="X1844" s="8" t="b">
        <v>0</v>
      </c>
      <c r="Y1844" s="8" t="b">
        <v>0</v>
      </c>
      <c r="Z1844" s="8" t="b">
        <v>0</v>
      </c>
      <c r="AA1844" s="8" t="b">
        <v>0</v>
      </c>
      <c r="AB1844" s="8" t="b">
        <v>0</v>
      </c>
      <c r="AC1844" s="8" t="b">
        <v>0</v>
      </c>
      <c r="AD1844" s="8" t="b">
        <v>1</v>
      </c>
      <c r="AE1844" s="8" t="b">
        <v>0</v>
      </c>
      <c r="AG1844" s="11" t="b" cm="1">
        <f t="array" ref="AG1844">IF(OR(Y1844:AA1844="TRUE", AE1844="true"), "Threatened")</f>
        <v>0</v>
      </c>
      <c r="AH1844" s="11" t="s">
        <v>4739</v>
      </c>
      <c r="AI1844" s="8" t="b">
        <v>1</v>
      </c>
    </row>
    <row r="1845" spans="1:35" ht="31.2">
      <c r="A1845" s="8">
        <v>-73.968206199999997</v>
      </c>
      <c r="B1845" s="8">
        <v>40.786498440000003</v>
      </c>
      <c r="C1845" s="8" t="s">
        <v>4740</v>
      </c>
      <c r="D1845" s="8" t="s">
        <v>1444</v>
      </c>
      <c r="E1845" s="8" t="b">
        <f t="shared" si="28"/>
        <v>0</v>
      </c>
      <c r="F1845" s="8" t="str" cm="1">
        <f t="array" ref="F1845">_xlfn._xlws.FILTER(E1845:E5043, C1845:C5043= "6D-PM-1020-01", "No Squirrels Found")</f>
        <v>No Squirrels Found</v>
      </c>
      <c r="G1845" s="8" t="s">
        <v>48</v>
      </c>
      <c r="H1845" s="10">
        <v>10142018</v>
      </c>
      <c r="I1845" s="10">
        <v>2</v>
      </c>
      <c r="J1845" s="8" t="s">
        <v>39</v>
      </c>
      <c r="K1845" s="8" t="s">
        <v>40</v>
      </c>
      <c r="L1845" s="8" t="s">
        <v>41</v>
      </c>
      <c r="M1845" s="8" t="s">
        <v>42</v>
      </c>
      <c r="N1845" s="11" t="s">
        <v>4741</v>
      </c>
      <c r="O1845" s="8" t="s">
        <v>43</v>
      </c>
      <c r="P1845" s="8" t="b">
        <v>0</v>
      </c>
      <c r="R1845" s="8" t="b">
        <v>1</v>
      </c>
      <c r="S1845" s="8" t="b">
        <v>0</v>
      </c>
      <c r="T1845" s="8" t="b">
        <v>0</v>
      </c>
      <c r="U1845" s="8" t="b">
        <v>0</v>
      </c>
      <c r="V1845" s="8" t="b">
        <v>0</v>
      </c>
      <c r="X1845" s="8" t="b">
        <v>0</v>
      </c>
      <c r="Y1845" s="8" t="b">
        <v>0</v>
      </c>
      <c r="Z1845" s="8" t="b">
        <v>0</v>
      </c>
      <c r="AA1845" s="8" t="b">
        <v>0</v>
      </c>
      <c r="AB1845" s="8" t="b">
        <v>0</v>
      </c>
      <c r="AC1845" s="8" t="b">
        <v>0</v>
      </c>
      <c r="AD1845" s="8" t="b">
        <v>0</v>
      </c>
      <c r="AE1845" s="8" t="b">
        <v>0</v>
      </c>
      <c r="AG1845" s="11" t="b" cm="1">
        <f t="array" ref="AG1845">IF(OR(Y1845:AA1845="TRUE", AE1845="true"), "Threatened")</f>
        <v>0</v>
      </c>
      <c r="AH1845" s="11" t="s">
        <v>4742</v>
      </c>
      <c r="AI1845" s="8" t="b">
        <v>1</v>
      </c>
    </row>
    <row r="1846" spans="1:35" ht="31.2">
      <c r="A1846" s="8">
        <v>-73.962656080000002</v>
      </c>
      <c r="B1846" s="8">
        <v>40.788463299999997</v>
      </c>
      <c r="C1846" s="8" t="s">
        <v>4743</v>
      </c>
      <c r="D1846" s="8" t="s">
        <v>1052</v>
      </c>
      <c r="E1846" s="8" t="b">
        <f t="shared" si="28"/>
        <v>0</v>
      </c>
      <c r="F1846" s="8" t="str" cm="1">
        <f t="array" ref="F1846">_xlfn._xlws.FILTER(E1846:E5044, C1846:C5044= "6D-PM-1020-01", "No Squirrels Found")</f>
        <v>No Squirrels Found</v>
      </c>
      <c r="G1846" s="8" t="s">
        <v>48</v>
      </c>
      <c r="H1846" s="10">
        <v>10122018</v>
      </c>
      <c r="I1846" s="10">
        <v>5</v>
      </c>
      <c r="J1846" s="8" t="s">
        <v>54</v>
      </c>
      <c r="K1846" s="8" t="s">
        <v>192</v>
      </c>
      <c r="M1846" s="8" t="s">
        <v>193</v>
      </c>
      <c r="O1846" s="8" t="s">
        <v>50</v>
      </c>
      <c r="P1846" s="8">
        <v>30</v>
      </c>
      <c r="R1846" s="8" t="b">
        <v>0</v>
      </c>
      <c r="S1846" s="8" t="b">
        <v>0</v>
      </c>
      <c r="T1846" s="8" t="b">
        <v>1</v>
      </c>
      <c r="U1846" s="8" t="b">
        <v>0</v>
      </c>
      <c r="V1846" s="8" t="b">
        <v>0</v>
      </c>
      <c r="X1846" s="8" t="b">
        <v>0</v>
      </c>
      <c r="Y1846" s="8" t="b">
        <v>0</v>
      </c>
      <c r="Z1846" s="8" t="b">
        <v>0</v>
      </c>
      <c r="AA1846" s="8" t="b">
        <v>0</v>
      </c>
      <c r="AB1846" s="8" t="b">
        <v>0</v>
      </c>
      <c r="AC1846" s="8" t="b">
        <v>0</v>
      </c>
      <c r="AD1846" s="8" t="b">
        <v>0</v>
      </c>
      <c r="AE1846" s="8" t="b">
        <v>0</v>
      </c>
      <c r="AG1846" s="11" t="b" cm="1">
        <f t="array" ref="AG1846">IF(OR(Y1846:AA1846="TRUE", AE1846="true"), "Threatened")</f>
        <v>0</v>
      </c>
      <c r="AH1846" s="11" t="s">
        <v>4744</v>
      </c>
      <c r="AI1846" s="8" t="b">
        <v>1</v>
      </c>
    </row>
    <row r="1847" spans="1:35" ht="31.2">
      <c r="A1847" s="8">
        <v>-73.965331109999994</v>
      </c>
      <c r="B1847" s="8">
        <v>40.780193490000002</v>
      </c>
      <c r="C1847" s="8" t="s">
        <v>4745</v>
      </c>
      <c r="D1847" s="8" t="s">
        <v>1035</v>
      </c>
      <c r="E1847" s="8" t="b">
        <f t="shared" si="28"/>
        <v>0</v>
      </c>
      <c r="F1847" s="8" t="str" cm="1">
        <f t="array" ref="F1847">_xlfn._xlws.FILTER(E1847:E5045, C1847:C5045= "6D-PM-1020-01", "No Squirrels Found")</f>
        <v>No Squirrels Found</v>
      </c>
      <c r="G1847" s="8" t="s">
        <v>34</v>
      </c>
      <c r="H1847" s="10">
        <v>10172018</v>
      </c>
      <c r="I1847" s="10">
        <v>7</v>
      </c>
      <c r="J1847" s="8" t="s">
        <v>39</v>
      </c>
      <c r="K1847" s="8" t="s">
        <v>41</v>
      </c>
      <c r="L1847" s="8" t="s">
        <v>40</v>
      </c>
      <c r="M1847" s="8" t="s">
        <v>110</v>
      </c>
      <c r="O1847" s="8" t="s">
        <v>43</v>
      </c>
      <c r="P1847" s="8" t="b">
        <v>0</v>
      </c>
      <c r="R1847" s="8" t="b">
        <v>0</v>
      </c>
      <c r="S1847" s="8" t="b">
        <v>0</v>
      </c>
      <c r="T1847" s="8" t="b">
        <v>0</v>
      </c>
      <c r="U1847" s="8" t="b">
        <v>1</v>
      </c>
      <c r="V1847" s="8" t="b">
        <v>0</v>
      </c>
      <c r="X1847" s="8" t="b">
        <v>0</v>
      </c>
      <c r="Y1847" s="8" t="b">
        <v>0</v>
      </c>
      <c r="Z1847" s="8" t="b">
        <v>0</v>
      </c>
      <c r="AA1847" s="8" t="b">
        <v>0</v>
      </c>
      <c r="AB1847" s="8" t="b">
        <v>0</v>
      </c>
      <c r="AC1847" s="8" t="b">
        <v>0</v>
      </c>
      <c r="AD1847" s="8" t="b">
        <v>1</v>
      </c>
      <c r="AE1847" s="8" t="b">
        <v>0</v>
      </c>
      <c r="AG1847" s="11" t="b" cm="1">
        <f t="array" ref="AG1847">IF(OR(Y1847:AA1847="TRUE", AE1847="true"), "Threatened")</f>
        <v>0</v>
      </c>
      <c r="AH1847" s="11" t="s">
        <v>4746</v>
      </c>
      <c r="AI1847" s="8" t="b">
        <v>1</v>
      </c>
    </row>
    <row r="1848" spans="1:35" ht="31.2">
      <c r="A1848" s="8">
        <v>-73.978228389999998</v>
      </c>
      <c r="B1848" s="8">
        <v>40.76679326</v>
      </c>
      <c r="C1848" s="8" t="s">
        <v>4747</v>
      </c>
      <c r="D1848" s="8" t="s">
        <v>1278</v>
      </c>
      <c r="E1848" s="8" t="b">
        <f t="shared" si="28"/>
        <v>0</v>
      </c>
      <c r="F1848" s="8" t="str" cm="1">
        <f t="array" ref="F1848">_xlfn._xlws.FILTER(E1848:E5046, C1848:C5046= "6D-PM-1020-01", "No Squirrels Found")</f>
        <v>No Squirrels Found</v>
      </c>
      <c r="G1848" s="8" t="s">
        <v>34</v>
      </c>
      <c r="H1848" s="10">
        <v>10072018</v>
      </c>
      <c r="I1848" s="10">
        <v>2</v>
      </c>
      <c r="J1848" s="8" t="s">
        <v>39</v>
      </c>
      <c r="K1848" s="8" t="s">
        <v>40</v>
      </c>
      <c r="L1848" s="8" t="s">
        <v>117</v>
      </c>
      <c r="M1848" s="8" t="s">
        <v>118</v>
      </c>
      <c r="O1848" s="8" t="s">
        <v>43</v>
      </c>
      <c r="P1848" s="8" t="b">
        <v>0</v>
      </c>
      <c r="R1848" s="8" t="b">
        <v>0</v>
      </c>
      <c r="S1848" s="8" t="b">
        <v>1</v>
      </c>
      <c r="T1848" s="8" t="b">
        <v>0</v>
      </c>
      <c r="U1848" s="8" t="b">
        <v>0</v>
      </c>
      <c r="V1848" s="8" t="b">
        <v>0</v>
      </c>
      <c r="X1848" s="8" t="b">
        <v>0</v>
      </c>
      <c r="Y1848" s="8" t="b">
        <v>0</v>
      </c>
      <c r="Z1848" s="8" t="b">
        <v>0</v>
      </c>
      <c r="AA1848" s="8" t="b">
        <v>0</v>
      </c>
      <c r="AB1848" s="8" t="b">
        <v>0</v>
      </c>
      <c r="AC1848" s="8" t="b">
        <v>0</v>
      </c>
      <c r="AD1848" s="8" t="b">
        <v>1</v>
      </c>
      <c r="AE1848" s="8" t="b">
        <v>0</v>
      </c>
      <c r="AG1848" s="11" t="b" cm="1">
        <f t="array" ref="AG1848">IF(OR(Y1848:AA1848="TRUE", AE1848="true"), "Threatened")</f>
        <v>0</v>
      </c>
      <c r="AH1848" s="11" t="s">
        <v>4748</v>
      </c>
      <c r="AI1848" s="8" t="b">
        <v>1</v>
      </c>
    </row>
    <row r="1849" spans="1:35" ht="31.2">
      <c r="A1849" s="8">
        <v>-73.96040945</v>
      </c>
      <c r="B1849" s="8">
        <v>40.795145150000003</v>
      </c>
      <c r="C1849" s="8" t="s">
        <v>4749</v>
      </c>
      <c r="D1849" s="8" t="s">
        <v>1406</v>
      </c>
      <c r="E1849" s="8" t="b">
        <f t="shared" si="28"/>
        <v>0</v>
      </c>
      <c r="F1849" s="8" t="str" cm="1">
        <f t="array" ref="F1849">_xlfn._xlws.FILTER(E1849:E5047, C1849:C5047= "6D-PM-1020-01", "No Squirrels Found")</f>
        <v>No Squirrels Found</v>
      </c>
      <c r="G1849" s="8" t="s">
        <v>34</v>
      </c>
      <c r="H1849" s="10">
        <v>10132018</v>
      </c>
      <c r="I1849" s="10">
        <v>1</v>
      </c>
      <c r="J1849" s="8" t="s">
        <v>39</v>
      </c>
      <c r="K1849" s="8" t="s">
        <v>40</v>
      </c>
      <c r="L1849" s="8" t="s">
        <v>117</v>
      </c>
      <c r="M1849" s="8" t="s">
        <v>118</v>
      </c>
      <c r="O1849" s="8" t="s">
        <v>43</v>
      </c>
      <c r="P1849" s="8" t="b">
        <v>0</v>
      </c>
      <c r="R1849" s="8" t="b">
        <v>0</v>
      </c>
      <c r="S1849" s="8" t="b">
        <v>0</v>
      </c>
      <c r="T1849" s="8" t="b">
        <v>0</v>
      </c>
      <c r="U1849" s="8" t="b">
        <v>0</v>
      </c>
      <c r="V1849" s="8" t="b">
        <v>1</v>
      </c>
      <c r="X1849" s="8" t="b">
        <v>0</v>
      </c>
      <c r="Y1849" s="8" t="b">
        <v>0</v>
      </c>
      <c r="Z1849" s="8" t="b">
        <v>0</v>
      </c>
      <c r="AA1849" s="8" t="b">
        <v>0</v>
      </c>
      <c r="AB1849" s="8" t="b">
        <v>1</v>
      </c>
      <c r="AC1849" s="8" t="b">
        <v>0</v>
      </c>
      <c r="AD1849" s="8" t="b">
        <v>1</v>
      </c>
      <c r="AE1849" s="8" t="b">
        <v>0</v>
      </c>
      <c r="AG1849" s="11" t="b" cm="1">
        <f t="array" ref="AG1849">IF(OR(Y1849:AA1849="TRUE", AE1849="true"), "Threatened")</f>
        <v>0</v>
      </c>
      <c r="AH1849" s="11" t="s">
        <v>4750</v>
      </c>
      <c r="AI1849" s="8" t="b">
        <v>1</v>
      </c>
    </row>
    <row r="1850" spans="1:35" ht="31.2">
      <c r="A1850" s="8">
        <v>-73.978843639999994</v>
      </c>
      <c r="B1850" s="8">
        <v>40.769110499999996</v>
      </c>
      <c r="C1850" s="8" t="s">
        <v>4751</v>
      </c>
      <c r="D1850" s="8" t="s">
        <v>465</v>
      </c>
      <c r="E1850" s="8" t="b">
        <f t="shared" si="28"/>
        <v>0</v>
      </c>
      <c r="F1850" s="8" t="str" cm="1">
        <f t="array" ref="F1850">_xlfn._xlws.FILTER(E1850:E5048, C1850:C5048= "6D-PM-1020-01", "No Squirrels Found")</f>
        <v>No Squirrels Found</v>
      </c>
      <c r="G1850" s="8" t="s">
        <v>48</v>
      </c>
      <c r="H1850" s="10">
        <v>10102018</v>
      </c>
      <c r="I1850" s="10">
        <v>5</v>
      </c>
      <c r="J1850" s="8" t="s">
        <v>39</v>
      </c>
      <c r="K1850" s="8" t="s">
        <v>40</v>
      </c>
      <c r="L1850" s="8" t="s">
        <v>84</v>
      </c>
      <c r="M1850" s="8" t="s">
        <v>103</v>
      </c>
      <c r="O1850" s="8" t="s">
        <v>43</v>
      </c>
      <c r="P1850" s="8" t="b">
        <v>0</v>
      </c>
      <c r="R1850" s="8" t="b">
        <v>0</v>
      </c>
      <c r="S1850" s="8" t="b">
        <v>0</v>
      </c>
      <c r="T1850" s="8" t="b">
        <v>0</v>
      </c>
      <c r="U1850" s="8" t="b">
        <v>0</v>
      </c>
      <c r="V1850" s="8" t="b">
        <v>1</v>
      </c>
      <c r="X1850" s="8" t="b">
        <v>0</v>
      </c>
      <c r="Y1850" s="8" t="b">
        <v>0</v>
      </c>
      <c r="Z1850" s="8" t="b">
        <v>0</v>
      </c>
      <c r="AA1850" s="8" t="b">
        <v>0</v>
      </c>
      <c r="AB1850" s="8" t="b">
        <v>0</v>
      </c>
      <c r="AC1850" s="8" t="b">
        <v>0</v>
      </c>
      <c r="AD1850" s="8" t="b">
        <v>1</v>
      </c>
      <c r="AE1850" s="8" t="b">
        <v>0</v>
      </c>
      <c r="AG1850" s="11" t="b" cm="1">
        <f t="array" ref="AG1850">IF(OR(Y1850:AA1850="TRUE", AE1850="true"), "Threatened")</f>
        <v>0</v>
      </c>
      <c r="AH1850" s="11" t="s">
        <v>4752</v>
      </c>
      <c r="AI1850" s="8" t="b">
        <v>1</v>
      </c>
    </row>
    <row r="1851" spans="1:35" ht="31.2">
      <c r="A1851" s="8">
        <v>-73.97580936</v>
      </c>
      <c r="B1851" s="8">
        <v>40.773470269999997</v>
      </c>
      <c r="C1851" s="8" t="s">
        <v>4753</v>
      </c>
      <c r="D1851" s="8" t="s">
        <v>249</v>
      </c>
      <c r="E1851" s="8" t="b">
        <f t="shared" si="28"/>
        <v>0</v>
      </c>
      <c r="F1851" s="8" t="str" cm="1">
        <f t="array" ref="F1851">_xlfn._xlws.FILTER(E1851:E5049, C1851:C5049= "6D-PM-1020-01", "No Squirrels Found")</f>
        <v>No Squirrels Found</v>
      </c>
      <c r="G1851" s="8" t="s">
        <v>34</v>
      </c>
      <c r="H1851" s="10">
        <v>10122018</v>
      </c>
      <c r="I1851" s="10">
        <v>9</v>
      </c>
      <c r="J1851" s="8" t="s">
        <v>39</v>
      </c>
      <c r="K1851" s="8" t="s">
        <v>40</v>
      </c>
      <c r="L1851" s="8" t="s">
        <v>41</v>
      </c>
      <c r="M1851" s="8" t="s">
        <v>42</v>
      </c>
      <c r="O1851" s="8" t="s">
        <v>50</v>
      </c>
      <c r="Q1851" s="8" t="s">
        <v>206</v>
      </c>
      <c r="R1851" s="8" t="b">
        <v>1</v>
      </c>
      <c r="S1851" s="8" t="b">
        <v>0</v>
      </c>
      <c r="T1851" s="8" t="b">
        <v>1</v>
      </c>
      <c r="U1851" s="8" t="b">
        <v>0</v>
      </c>
      <c r="V1851" s="8" t="b">
        <v>0</v>
      </c>
      <c r="X1851" s="8" t="b">
        <v>0</v>
      </c>
      <c r="Y1851" s="8" t="b">
        <v>0</v>
      </c>
      <c r="Z1851" s="8" t="b">
        <v>0</v>
      </c>
      <c r="AA1851" s="8" t="b">
        <v>0</v>
      </c>
      <c r="AB1851" s="8" t="b">
        <v>0</v>
      </c>
      <c r="AC1851" s="8" t="b">
        <v>0</v>
      </c>
      <c r="AD1851" s="8" t="b">
        <v>0</v>
      </c>
      <c r="AE1851" s="8" t="b">
        <v>1</v>
      </c>
      <c r="AG1851" s="11" t="b" cm="1">
        <f t="array" ref="AG1851">IF(OR(Y1851:AA1851="TRUE", AE1851="true"), "Threatened")</f>
        <v>0</v>
      </c>
      <c r="AH1851" s="11" t="s">
        <v>4754</v>
      </c>
      <c r="AI1851" s="8" t="b">
        <v>1</v>
      </c>
    </row>
    <row r="1852" spans="1:35" ht="31.2">
      <c r="A1852" s="8">
        <v>-73.962362139999996</v>
      </c>
      <c r="B1852" s="8">
        <v>40.781467360000001</v>
      </c>
      <c r="C1852" s="8" t="s">
        <v>4755</v>
      </c>
      <c r="D1852" s="8" t="s">
        <v>2649</v>
      </c>
      <c r="E1852" s="8" t="b">
        <f t="shared" si="28"/>
        <v>0</v>
      </c>
      <c r="F1852" s="8" t="str" cm="1">
        <f t="array" ref="F1852">_xlfn._xlws.FILTER(E1852:E5050, C1852:C5050= "6D-PM-1020-01", "No Squirrels Found")</f>
        <v>No Squirrels Found</v>
      </c>
      <c r="G1852" s="8" t="s">
        <v>34</v>
      </c>
      <c r="H1852" s="10">
        <v>10072018</v>
      </c>
      <c r="I1852" s="10">
        <v>3</v>
      </c>
      <c r="J1852" s="8" t="s">
        <v>39</v>
      </c>
      <c r="K1852" s="8" t="s">
        <v>40</v>
      </c>
      <c r="L1852" s="8" t="s">
        <v>84</v>
      </c>
      <c r="M1852" s="8" t="s">
        <v>103</v>
      </c>
      <c r="O1852" s="8" t="s">
        <v>50</v>
      </c>
      <c r="P1852" s="8">
        <v>4</v>
      </c>
      <c r="Q1852" s="8" t="s">
        <v>4756</v>
      </c>
      <c r="R1852" s="8" t="b">
        <v>0</v>
      </c>
      <c r="S1852" s="8" t="b">
        <v>0</v>
      </c>
      <c r="T1852" s="8" t="b">
        <v>1</v>
      </c>
      <c r="U1852" s="8" t="b">
        <v>0</v>
      </c>
      <c r="V1852" s="8" t="b">
        <v>1</v>
      </c>
      <c r="X1852" s="8" t="b">
        <v>0</v>
      </c>
      <c r="Y1852" s="8" t="b">
        <v>0</v>
      </c>
      <c r="Z1852" s="8" t="b">
        <v>0</v>
      </c>
      <c r="AA1852" s="8" t="b">
        <v>0</v>
      </c>
      <c r="AB1852" s="8" t="b">
        <v>0</v>
      </c>
      <c r="AC1852" s="8" t="b">
        <v>0</v>
      </c>
      <c r="AD1852" s="8" t="b">
        <v>1</v>
      </c>
      <c r="AE1852" s="8" t="b">
        <v>0</v>
      </c>
      <c r="AG1852" s="11" t="b" cm="1">
        <f t="array" ref="AG1852">IF(OR(Y1852:AA1852="TRUE", AE1852="true"), "Threatened")</f>
        <v>0</v>
      </c>
      <c r="AH1852" s="11" t="s">
        <v>4757</v>
      </c>
      <c r="AI1852" s="8" t="b">
        <v>1</v>
      </c>
    </row>
    <row r="1853" spans="1:35" ht="31.2">
      <c r="A1853" s="8">
        <v>-73.979216149999999</v>
      </c>
      <c r="B1853" s="8">
        <v>40.76792854</v>
      </c>
      <c r="C1853" s="8" t="s">
        <v>4758</v>
      </c>
      <c r="D1853" s="8" t="s">
        <v>1235</v>
      </c>
      <c r="E1853" s="8" t="b">
        <f t="shared" si="28"/>
        <v>0</v>
      </c>
      <c r="F1853" s="8" t="str" cm="1">
        <f t="array" ref="F1853">_xlfn._xlws.FILTER(E1853:E5051, C1853:C5051= "6D-PM-1020-01", "No Squirrels Found")</f>
        <v>No Squirrels Found</v>
      </c>
      <c r="G1853" s="8" t="s">
        <v>34</v>
      </c>
      <c r="H1853" s="10">
        <v>10132018</v>
      </c>
      <c r="I1853" s="10">
        <v>10</v>
      </c>
      <c r="J1853" s="8" t="s">
        <v>39</v>
      </c>
      <c r="K1853" s="8" t="s">
        <v>40</v>
      </c>
      <c r="L1853" s="8" t="s">
        <v>84</v>
      </c>
      <c r="M1853" s="8" t="s">
        <v>103</v>
      </c>
      <c r="O1853" s="8" t="s">
        <v>43</v>
      </c>
      <c r="P1853" s="8" t="b">
        <v>0</v>
      </c>
      <c r="R1853" s="8" t="b">
        <v>0</v>
      </c>
      <c r="S1853" s="8" t="b">
        <v>0</v>
      </c>
      <c r="T1853" s="8" t="b">
        <v>0</v>
      </c>
      <c r="U1853" s="8" t="b">
        <v>0</v>
      </c>
      <c r="V1853" s="8" t="b">
        <v>0</v>
      </c>
      <c r="X1853" s="8" t="b">
        <v>0</v>
      </c>
      <c r="Y1853" s="8" t="b">
        <v>0</v>
      </c>
      <c r="Z1853" s="8" t="b">
        <v>0</v>
      </c>
      <c r="AA1853" s="8" t="b">
        <v>0</v>
      </c>
      <c r="AB1853" s="8" t="b">
        <v>0</v>
      </c>
      <c r="AC1853" s="8" t="b">
        <v>0</v>
      </c>
      <c r="AD1853" s="8" t="b">
        <v>0</v>
      </c>
      <c r="AE1853" s="8" t="b">
        <v>0</v>
      </c>
      <c r="AG1853" s="11" t="b" cm="1">
        <f t="array" ref="AG1853">IF(OR(Y1853:AA1853="TRUE", AE1853="true"), "Threatened")</f>
        <v>0</v>
      </c>
      <c r="AH1853" s="11" t="s">
        <v>4759</v>
      </c>
      <c r="AI1853" s="8" t="b">
        <v>1</v>
      </c>
    </row>
    <row r="1854" spans="1:35" ht="31.2">
      <c r="A1854" s="8">
        <v>-73.972121040000005</v>
      </c>
      <c r="B1854" s="8">
        <v>40.766797150000002</v>
      </c>
      <c r="C1854" s="8" t="s">
        <v>4760</v>
      </c>
      <c r="D1854" s="8" t="s">
        <v>1243</v>
      </c>
      <c r="E1854" s="8" t="b">
        <f t="shared" si="28"/>
        <v>0</v>
      </c>
      <c r="F1854" s="8" t="str" cm="1">
        <f t="array" ref="F1854">_xlfn._xlws.FILTER(E1854:E5052, C1854:C5052= "6D-PM-1020-01", "No Squirrels Found")</f>
        <v>No Squirrels Found</v>
      </c>
      <c r="G1854" s="8" t="s">
        <v>48</v>
      </c>
      <c r="H1854" s="10">
        <v>10062018</v>
      </c>
      <c r="I1854" s="10">
        <v>2</v>
      </c>
      <c r="J1854" s="8" t="s">
        <v>39</v>
      </c>
      <c r="K1854" s="8" t="s">
        <v>40</v>
      </c>
      <c r="L1854" s="8" t="s">
        <v>41</v>
      </c>
      <c r="M1854" s="8" t="s">
        <v>42</v>
      </c>
      <c r="O1854" s="8" t="s">
        <v>43</v>
      </c>
      <c r="P1854" s="8" t="b">
        <v>0</v>
      </c>
      <c r="R1854" s="8" t="b">
        <v>0</v>
      </c>
      <c r="S1854" s="8" t="b">
        <v>0</v>
      </c>
      <c r="T1854" s="8" t="b">
        <v>0</v>
      </c>
      <c r="U1854" s="8" t="b">
        <v>1</v>
      </c>
      <c r="V1854" s="8" t="b">
        <v>1</v>
      </c>
      <c r="X1854" s="8" t="b">
        <v>0</v>
      </c>
      <c r="Y1854" s="8" t="b">
        <v>0</v>
      </c>
      <c r="Z1854" s="8" t="b">
        <v>0</v>
      </c>
      <c r="AA1854" s="8" t="b">
        <v>0</v>
      </c>
      <c r="AB1854" s="8" t="b">
        <v>0</v>
      </c>
      <c r="AC1854" s="8" t="b">
        <v>0</v>
      </c>
      <c r="AD1854" s="8" t="b">
        <v>1</v>
      </c>
      <c r="AE1854" s="8" t="b">
        <v>0</v>
      </c>
      <c r="AG1854" s="11" t="b" cm="1">
        <f t="array" ref="AG1854">IF(OR(Y1854:AA1854="TRUE", AE1854="true"), "Threatened")</f>
        <v>0</v>
      </c>
      <c r="AH1854" s="11" t="s">
        <v>4761</v>
      </c>
      <c r="AI1854" s="8" t="b">
        <v>1</v>
      </c>
    </row>
    <row r="1855" spans="1:35" ht="31.2">
      <c r="A1855" s="8">
        <v>-73.961807640000004</v>
      </c>
      <c r="B1855" s="8">
        <v>40.794780869999997</v>
      </c>
      <c r="C1855" s="8" t="s">
        <v>4762</v>
      </c>
      <c r="D1855" s="8" t="s">
        <v>301</v>
      </c>
      <c r="E1855" s="8" t="b">
        <f t="shared" si="28"/>
        <v>0</v>
      </c>
      <c r="F1855" s="8" t="str" cm="1">
        <f t="array" ref="F1855">_xlfn._xlws.FILTER(E1855:E5053, C1855:C5053= "6D-PM-1020-01", "No Squirrels Found")</f>
        <v>No Squirrels Found</v>
      </c>
      <c r="G1855" s="8" t="s">
        <v>34</v>
      </c>
      <c r="H1855" s="10">
        <v>10132018</v>
      </c>
      <c r="I1855" s="10">
        <v>5</v>
      </c>
      <c r="J1855" s="8" t="s">
        <v>39</v>
      </c>
      <c r="K1855" s="8" t="s">
        <v>40</v>
      </c>
      <c r="M1855" s="8" t="s">
        <v>55</v>
      </c>
      <c r="O1855" s="8" t="s">
        <v>50</v>
      </c>
      <c r="P1855" s="8">
        <v>3</v>
      </c>
      <c r="Q1855" s="8" t="s">
        <v>466</v>
      </c>
      <c r="R1855" s="8" t="b">
        <v>0</v>
      </c>
      <c r="S1855" s="8" t="b">
        <v>0</v>
      </c>
      <c r="T1855" s="8" t="b">
        <v>1</v>
      </c>
      <c r="U1855" s="8" t="b">
        <v>0</v>
      </c>
      <c r="V1855" s="8" t="b">
        <v>0</v>
      </c>
      <c r="X1855" s="8" t="b">
        <v>0</v>
      </c>
      <c r="Y1855" s="8" t="b">
        <v>0</v>
      </c>
      <c r="Z1855" s="8" t="b">
        <v>0</v>
      </c>
      <c r="AA1855" s="8" t="b">
        <v>0</v>
      </c>
      <c r="AB1855" s="8" t="b">
        <v>0</v>
      </c>
      <c r="AC1855" s="8" t="b">
        <v>0</v>
      </c>
      <c r="AD1855" s="8" t="b">
        <v>0</v>
      </c>
      <c r="AE1855" s="8" t="b">
        <v>0</v>
      </c>
      <c r="AG1855" s="11" t="b" cm="1">
        <f t="array" ref="AG1855">IF(OR(Y1855:AA1855="TRUE", AE1855="true"), "Threatened")</f>
        <v>0</v>
      </c>
      <c r="AH1855" s="11" t="s">
        <v>4763</v>
      </c>
      <c r="AI1855" s="8" t="b">
        <v>1</v>
      </c>
    </row>
    <row r="1856" spans="1:35" ht="31.2">
      <c r="A1856" s="8">
        <v>-73.979182620000003</v>
      </c>
      <c r="B1856" s="8">
        <v>40.768577839999999</v>
      </c>
      <c r="C1856" s="8" t="s">
        <v>4764</v>
      </c>
      <c r="D1856" s="8" t="s">
        <v>219</v>
      </c>
      <c r="E1856" s="8" t="b">
        <f t="shared" si="28"/>
        <v>0</v>
      </c>
      <c r="F1856" s="8" t="str" cm="1">
        <f t="array" ref="F1856">_xlfn._xlws.FILTER(E1856:E5054, C1856:C5054= "6D-PM-1020-01", "No Squirrels Found")</f>
        <v>No Squirrels Found</v>
      </c>
      <c r="G1856" s="8" t="s">
        <v>48</v>
      </c>
      <c r="H1856" s="10">
        <v>10102018</v>
      </c>
      <c r="I1856" s="10">
        <v>8</v>
      </c>
      <c r="J1856" s="8" t="s">
        <v>54</v>
      </c>
      <c r="K1856" s="8" t="s">
        <v>41</v>
      </c>
      <c r="L1856" s="8" t="s">
        <v>135</v>
      </c>
      <c r="M1856" s="8" t="s">
        <v>136</v>
      </c>
      <c r="O1856" s="8" t="s">
        <v>43</v>
      </c>
      <c r="P1856" s="8" t="b">
        <v>0</v>
      </c>
      <c r="R1856" s="8" t="b">
        <v>0</v>
      </c>
      <c r="S1856" s="8" t="b">
        <v>0</v>
      </c>
      <c r="T1856" s="8" t="b">
        <v>0</v>
      </c>
      <c r="U1856" s="8" t="b">
        <v>1</v>
      </c>
      <c r="V1856" s="8" t="b">
        <v>1</v>
      </c>
      <c r="X1856" s="8" t="b">
        <v>0</v>
      </c>
      <c r="Y1856" s="8" t="b">
        <v>0</v>
      </c>
      <c r="Z1856" s="8" t="b">
        <v>0</v>
      </c>
      <c r="AA1856" s="8" t="b">
        <v>0</v>
      </c>
      <c r="AB1856" s="8" t="b">
        <v>0</v>
      </c>
      <c r="AC1856" s="8" t="b">
        <v>0</v>
      </c>
      <c r="AD1856" s="8" t="b">
        <v>1</v>
      </c>
      <c r="AE1856" s="8" t="b">
        <v>0</v>
      </c>
      <c r="AG1856" s="11" t="b" cm="1">
        <f t="array" ref="AG1856">IF(OR(Y1856:AA1856="TRUE", AE1856="true"), "Threatened")</f>
        <v>0</v>
      </c>
      <c r="AH1856" s="11" t="s">
        <v>4765</v>
      </c>
      <c r="AI1856" s="8" t="b">
        <v>1</v>
      </c>
    </row>
    <row r="1857" spans="1:35" ht="31.2">
      <c r="A1857" s="8">
        <v>-73.978294020000007</v>
      </c>
      <c r="B1857" s="8">
        <v>40.769423609999997</v>
      </c>
      <c r="C1857" s="8" t="s">
        <v>4766</v>
      </c>
      <c r="D1857" s="8" t="s">
        <v>889</v>
      </c>
      <c r="E1857" s="8" t="b">
        <f t="shared" si="28"/>
        <v>0</v>
      </c>
      <c r="F1857" s="8" t="str" cm="1">
        <f t="array" ref="F1857">_xlfn._xlws.FILTER(E1857:E5055, C1857:C5055= "6D-PM-1020-01", "No Squirrels Found")</f>
        <v>No Squirrels Found</v>
      </c>
      <c r="G1857" s="8" t="s">
        <v>34</v>
      </c>
      <c r="H1857" s="10">
        <v>10182018</v>
      </c>
      <c r="I1857" s="10">
        <v>5</v>
      </c>
      <c r="J1857" s="8" t="s">
        <v>39</v>
      </c>
      <c r="K1857" s="8" t="s">
        <v>40</v>
      </c>
      <c r="M1857" s="8" t="s">
        <v>55</v>
      </c>
      <c r="O1857" s="8" t="s">
        <v>43</v>
      </c>
      <c r="P1857" s="8" t="b">
        <v>0</v>
      </c>
      <c r="R1857" s="8" t="b">
        <v>0</v>
      </c>
      <c r="S1857" s="8" t="b">
        <v>0</v>
      </c>
      <c r="T1857" s="8" t="b">
        <v>0</v>
      </c>
      <c r="U1857" s="8" t="b">
        <v>1</v>
      </c>
      <c r="V1857" s="8" t="b">
        <v>0</v>
      </c>
      <c r="X1857" s="8" t="b">
        <v>0</v>
      </c>
      <c r="Y1857" s="8" t="b">
        <v>0</v>
      </c>
      <c r="Z1857" s="8" t="b">
        <v>0</v>
      </c>
      <c r="AA1857" s="8" t="b">
        <v>0</v>
      </c>
      <c r="AB1857" s="8" t="b">
        <v>0</v>
      </c>
      <c r="AC1857" s="8" t="b">
        <v>0</v>
      </c>
      <c r="AD1857" s="8" t="b">
        <v>1</v>
      </c>
      <c r="AE1857" s="8" t="b">
        <v>0</v>
      </c>
      <c r="AG1857" s="11" t="b" cm="1">
        <f t="array" ref="AG1857">IF(OR(Y1857:AA1857="TRUE", AE1857="true"), "Threatened")</f>
        <v>0</v>
      </c>
      <c r="AH1857" s="11" t="s">
        <v>4767</v>
      </c>
      <c r="AI1857" s="8" t="b">
        <v>1</v>
      </c>
    </row>
    <row r="1858" spans="1:35" ht="31.2">
      <c r="A1858" s="8">
        <v>-73.972879750000004</v>
      </c>
      <c r="B1858" s="8">
        <v>40.778673310000002</v>
      </c>
      <c r="C1858" s="8" t="s">
        <v>4768</v>
      </c>
      <c r="D1858" s="8" t="s">
        <v>1141</v>
      </c>
      <c r="E1858" s="8" t="b">
        <f t="shared" si="28"/>
        <v>0</v>
      </c>
      <c r="F1858" s="8" t="str" cm="1">
        <f t="array" ref="F1858">_xlfn._xlws.FILTER(E1858:E5056, C1858:C5056= "6D-PM-1020-01", "No Squirrels Found")</f>
        <v>No Squirrels Found</v>
      </c>
      <c r="G1858" s="8" t="s">
        <v>34</v>
      </c>
      <c r="H1858" s="10">
        <v>10172018</v>
      </c>
      <c r="I1858" s="10">
        <v>1</v>
      </c>
      <c r="K1858" s="8" t="s">
        <v>40</v>
      </c>
      <c r="M1858" s="8" t="s">
        <v>55</v>
      </c>
      <c r="O1858" s="8" t="s">
        <v>50</v>
      </c>
      <c r="P1858" s="8">
        <v>20</v>
      </c>
      <c r="Q1858" s="8" t="s">
        <v>466</v>
      </c>
      <c r="R1858" s="8" t="b">
        <v>0</v>
      </c>
      <c r="S1858" s="8" t="b">
        <v>0</v>
      </c>
      <c r="T1858" s="8" t="b">
        <v>1</v>
      </c>
      <c r="U1858" s="8" t="b">
        <v>0</v>
      </c>
      <c r="V1858" s="8" t="b">
        <v>1</v>
      </c>
      <c r="X1858" s="8" t="b">
        <v>0</v>
      </c>
      <c r="Y1858" s="8" t="b">
        <v>0</v>
      </c>
      <c r="Z1858" s="8" t="b">
        <v>0</v>
      </c>
      <c r="AA1858" s="8" t="b">
        <v>0</v>
      </c>
      <c r="AB1858" s="8" t="b">
        <v>0</v>
      </c>
      <c r="AC1858" s="8" t="b">
        <v>0</v>
      </c>
      <c r="AD1858" s="8" t="b">
        <v>1</v>
      </c>
      <c r="AE1858" s="8" t="b">
        <v>0</v>
      </c>
      <c r="AG1858" s="11" t="b" cm="1">
        <f t="array" ref="AG1858">IF(OR(Y1858:AA1858="TRUE", AE1858="true"), "Threatened")</f>
        <v>0</v>
      </c>
      <c r="AH1858" s="11" t="s">
        <v>4769</v>
      </c>
      <c r="AI1858" s="8" t="b">
        <v>1</v>
      </c>
    </row>
    <row r="1859" spans="1:35" ht="31.2">
      <c r="A1859" s="8">
        <v>-73.974201070000007</v>
      </c>
      <c r="B1859" s="8">
        <v>40.769150170000003</v>
      </c>
      <c r="C1859" s="8" t="s">
        <v>4770</v>
      </c>
      <c r="D1859" s="8" t="s">
        <v>264</v>
      </c>
      <c r="E1859" s="8" t="b">
        <f t="shared" ref="E1859:E1922" si="29">OR(D1859 = "05D", D1859 = "07D", D1859 = "06C", D1859 = "06E")</f>
        <v>0</v>
      </c>
      <c r="F1859" s="8" t="str" cm="1">
        <f t="array" ref="F1859">_xlfn._xlws.FILTER(E1859:E5057, C1859:C5057= "6D-PM-1020-01", "No Squirrels Found")</f>
        <v>No Squirrels Found</v>
      </c>
      <c r="G1859" s="8" t="s">
        <v>48</v>
      </c>
      <c r="H1859" s="10">
        <v>10072018</v>
      </c>
      <c r="I1859" s="10">
        <v>3</v>
      </c>
      <c r="J1859" s="8" t="s">
        <v>39</v>
      </c>
      <c r="K1859" s="8" t="s">
        <v>40</v>
      </c>
      <c r="L1859" s="8" t="s">
        <v>41</v>
      </c>
      <c r="M1859" s="8" t="s">
        <v>42</v>
      </c>
      <c r="O1859" s="8" t="s">
        <v>43</v>
      </c>
      <c r="P1859" s="8" t="b">
        <v>0</v>
      </c>
      <c r="R1859" s="8" t="b">
        <v>0</v>
      </c>
      <c r="S1859" s="8" t="b">
        <v>0</v>
      </c>
      <c r="T1859" s="8" t="b">
        <v>0</v>
      </c>
      <c r="U1859" s="8" t="b">
        <v>0</v>
      </c>
      <c r="V1859" s="8" t="b">
        <v>1</v>
      </c>
      <c r="X1859" s="8" t="b">
        <v>0</v>
      </c>
      <c r="Y1859" s="8" t="b">
        <v>0</v>
      </c>
      <c r="Z1859" s="8" t="b">
        <v>0</v>
      </c>
      <c r="AA1859" s="8" t="b">
        <v>0</v>
      </c>
      <c r="AB1859" s="8" t="b">
        <v>0</v>
      </c>
      <c r="AC1859" s="8" t="b">
        <v>0</v>
      </c>
      <c r="AD1859" s="8" t="b">
        <v>0</v>
      </c>
      <c r="AE1859" s="8" t="b">
        <v>0</v>
      </c>
      <c r="AG1859" s="11" t="b" cm="1">
        <f t="array" ref="AG1859">IF(OR(Y1859:AA1859="TRUE", AE1859="true"), "Threatened")</f>
        <v>0</v>
      </c>
      <c r="AH1859" s="11" t="s">
        <v>4771</v>
      </c>
      <c r="AI1859" s="8" t="b">
        <v>1</v>
      </c>
    </row>
    <row r="1860" spans="1:35" ht="31.2">
      <c r="A1860" s="8">
        <v>-73.968114679999999</v>
      </c>
      <c r="B1860" s="8">
        <v>40.773677229999997</v>
      </c>
      <c r="C1860" s="8" t="s">
        <v>4772</v>
      </c>
      <c r="D1860" s="8" t="s">
        <v>1391</v>
      </c>
      <c r="E1860" s="8" t="b">
        <f t="shared" si="29"/>
        <v>0</v>
      </c>
      <c r="F1860" s="8" t="str" cm="1">
        <f t="array" ref="F1860">_xlfn._xlws.FILTER(E1860:E5058, C1860:C5058= "6D-PM-1020-01", "No Squirrels Found")</f>
        <v>No Squirrels Found</v>
      </c>
      <c r="G1860" s="8" t="s">
        <v>34</v>
      </c>
      <c r="H1860" s="10">
        <v>10072018</v>
      </c>
      <c r="I1860" s="10">
        <v>6</v>
      </c>
      <c r="J1860" s="8" t="s">
        <v>39</v>
      </c>
      <c r="K1860" s="8" t="s">
        <v>40</v>
      </c>
      <c r="L1860" s="8" t="s">
        <v>41</v>
      </c>
      <c r="M1860" s="8" t="s">
        <v>42</v>
      </c>
      <c r="O1860" s="8" t="s">
        <v>43</v>
      </c>
      <c r="P1860" s="8" t="b">
        <v>0</v>
      </c>
      <c r="R1860" s="8" t="b">
        <v>0</v>
      </c>
      <c r="S1860" s="8" t="b">
        <v>0</v>
      </c>
      <c r="T1860" s="8" t="b">
        <v>0</v>
      </c>
      <c r="U1860" s="8" t="b">
        <v>0</v>
      </c>
      <c r="V1860" s="8" t="b">
        <v>1</v>
      </c>
      <c r="X1860" s="8" t="b">
        <v>0</v>
      </c>
      <c r="Y1860" s="8" t="b">
        <v>0</v>
      </c>
      <c r="Z1860" s="8" t="b">
        <v>0</v>
      </c>
      <c r="AA1860" s="8" t="b">
        <v>0</v>
      </c>
      <c r="AB1860" s="8" t="b">
        <v>0</v>
      </c>
      <c r="AC1860" s="8" t="b">
        <v>0</v>
      </c>
      <c r="AD1860" s="8" t="b">
        <v>0</v>
      </c>
      <c r="AE1860" s="8" t="b">
        <v>0</v>
      </c>
      <c r="AG1860" s="11" t="b" cm="1">
        <f t="array" ref="AG1860">IF(OR(Y1860:AA1860="TRUE", AE1860="true"), "Threatened")</f>
        <v>0</v>
      </c>
      <c r="AH1860" s="11" t="s">
        <v>4773</v>
      </c>
      <c r="AI1860" s="8" t="b">
        <v>1</v>
      </c>
    </row>
    <row r="1861" spans="1:35" ht="31.2">
      <c r="A1861" s="8">
        <v>-73.976710010000005</v>
      </c>
      <c r="B1861" s="8">
        <v>40.767578</v>
      </c>
      <c r="C1861" s="8" t="s">
        <v>4774</v>
      </c>
      <c r="D1861" s="8" t="s">
        <v>47</v>
      </c>
      <c r="E1861" s="8" t="b">
        <f t="shared" si="29"/>
        <v>0</v>
      </c>
      <c r="F1861" s="8" t="str" cm="1">
        <f t="array" ref="F1861">_xlfn._xlws.FILTER(E1861:E5059, C1861:C5059= "6D-PM-1020-01", "No Squirrels Found")</f>
        <v>No Squirrels Found</v>
      </c>
      <c r="G1861" s="8" t="s">
        <v>34</v>
      </c>
      <c r="H1861" s="10">
        <v>10142018</v>
      </c>
      <c r="I1861" s="10">
        <v>3</v>
      </c>
      <c r="J1861" s="8" t="s">
        <v>39</v>
      </c>
      <c r="K1861" s="8" t="s">
        <v>40</v>
      </c>
      <c r="L1861" s="8" t="s">
        <v>84</v>
      </c>
      <c r="M1861" s="8" t="s">
        <v>103</v>
      </c>
      <c r="O1861" s="8" t="s">
        <v>43</v>
      </c>
      <c r="P1861" s="8" t="b">
        <v>0</v>
      </c>
      <c r="R1861" s="8" t="b">
        <v>0</v>
      </c>
      <c r="S1861" s="8" t="b">
        <v>0</v>
      </c>
      <c r="T1861" s="8" t="b">
        <v>0</v>
      </c>
      <c r="U1861" s="8" t="b">
        <v>0</v>
      </c>
      <c r="V1861" s="8" t="b">
        <v>0</v>
      </c>
      <c r="X1861" s="8" t="b">
        <v>0</v>
      </c>
      <c r="Y1861" s="8" t="b">
        <v>0</v>
      </c>
      <c r="Z1861" s="8" t="b">
        <v>0</v>
      </c>
      <c r="AA1861" s="8" t="b">
        <v>0</v>
      </c>
      <c r="AB1861" s="8" t="b">
        <v>0</v>
      </c>
      <c r="AC1861" s="8" t="b">
        <v>0</v>
      </c>
      <c r="AD1861" s="8" t="b">
        <v>1</v>
      </c>
      <c r="AE1861" s="8" t="b">
        <v>0</v>
      </c>
      <c r="AG1861" s="11" t="b" cm="1">
        <f t="array" ref="AG1861">IF(OR(Y1861:AA1861="TRUE", AE1861="true"), "Threatened")</f>
        <v>0</v>
      </c>
      <c r="AH1861" s="11" t="s">
        <v>4775</v>
      </c>
      <c r="AI1861" s="8" t="b">
        <v>1</v>
      </c>
    </row>
    <row r="1862" spans="1:35" ht="31.2">
      <c r="A1862" s="8">
        <v>-73.975556249999997</v>
      </c>
      <c r="B1862" s="8">
        <v>40.767882100000001</v>
      </c>
      <c r="C1862" s="8" t="s">
        <v>4776</v>
      </c>
      <c r="D1862" s="8" t="s">
        <v>230</v>
      </c>
      <c r="E1862" s="8" t="b">
        <f t="shared" si="29"/>
        <v>0</v>
      </c>
      <c r="F1862" s="8" t="str" cm="1">
        <f t="array" ref="F1862">_xlfn._xlws.FILTER(E1862:E5060, C1862:C5060= "6D-PM-1020-01", "No Squirrels Found")</f>
        <v>No Squirrels Found</v>
      </c>
      <c r="G1862" s="8" t="s">
        <v>48</v>
      </c>
      <c r="H1862" s="10">
        <v>10062018</v>
      </c>
      <c r="I1862" s="10">
        <v>7</v>
      </c>
      <c r="J1862" s="8" t="s">
        <v>39</v>
      </c>
      <c r="K1862" s="8" t="s">
        <v>40</v>
      </c>
      <c r="L1862" s="8" t="s">
        <v>41</v>
      </c>
      <c r="M1862" s="8" t="s">
        <v>42</v>
      </c>
      <c r="O1862" s="8" t="s">
        <v>43</v>
      </c>
      <c r="P1862" s="8" t="b">
        <v>0</v>
      </c>
      <c r="R1862" s="8" t="b">
        <v>0</v>
      </c>
      <c r="S1862" s="8" t="b">
        <v>0</v>
      </c>
      <c r="T1862" s="8" t="b">
        <v>0</v>
      </c>
      <c r="U1862" s="8" t="b">
        <v>0</v>
      </c>
      <c r="V1862" s="8" t="b">
        <v>0</v>
      </c>
      <c r="W1862" s="11" t="s">
        <v>4777</v>
      </c>
      <c r="X1862" s="8" t="b">
        <v>0</v>
      </c>
      <c r="Y1862" s="8" t="b">
        <v>0</v>
      </c>
      <c r="Z1862" s="8" t="b">
        <v>0</v>
      </c>
      <c r="AA1862" s="8" t="b">
        <v>0</v>
      </c>
      <c r="AB1862" s="8" t="b">
        <v>0</v>
      </c>
      <c r="AC1862" s="8" t="b">
        <v>0</v>
      </c>
      <c r="AD1862" s="8" t="b">
        <v>0</v>
      </c>
      <c r="AE1862" s="8" t="b">
        <v>0</v>
      </c>
      <c r="AG1862" s="11" t="b" cm="1">
        <f t="array" ref="AG1862">IF(OR(Y1862:AA1862="TRUE", AE1862="true"), "Threatened")</f>
        <v>0</v>
      </c>
      <c r="AH1862" s="11" t="s">
        <v>4778</v>
      </c>
      <c r="AI1862" s="8" t="b">
        <v>0</v>
      </c>
    </row>
    <row r="1863" spans="1:35" ht="31.2">
      <c r="A1863" s="8">
        <v>-73.976485120000007</v>
      </c>
      <c r="B1863" s="8">
        <v>40.771573689999997</v>
      </c>
      <c r="C1863" s="8" t="s">
        <v>4779</v>
      </c>
      <c r="D1863" s="8" t="s">
        <v>2799</v>
      </c>
      <c r="E1863" s="8" t="b">
        <f t="shared" si="29"/>
        <v>1</v>
      </c>
      <c r="F1863" s="8" t="str" cm="1">
        <f t="array" ref="F1863">_xlfn._xlws.FILTER(E1863:E5061, C1863:C5061= "6D-PM-1020-01", "No Squirrels Found")</f>
        <v>No Squirrels Found</v>
      </c>
      <c r="G1863" s="8" t="s">
        <v>48</v>
      </c>
      <c r="H1863" s="10">
        <v>10072018</v>
      </c>
      <c r="I1863" s="10">
        <v>7</v>
      </c>
      <c r="J1863" s="8" t="s">
        <v>39</v>
      </c>
      <c r="K1863" s="8" t="s">
        <v>40</v>
      </c>
      <c r="L1863" s="8" t="s">
        <v>41</v>
      </c>
      <c r="M1863" s="8" t="s">
        <v>42</v>
      </c>
      <c r="O1863" s="8" t="s">
        <v>43</v>
      </c>
      <c r="P1863" s="8" t="b">
        <v>0</v>
      </c>
      <c r="R1863" s="8" t="b">
        <v>0</v>
      </c>
      <c r="S1863" s="8" t="b">
        <v>0</v>
      </c>
      <c r="T1863" s="8" t="b">
        <v>1</v>
      </c>
      <c r="U1863" s="8" t="b">
        <v>0</v>
      </c>
      <c r="V1863" s="8" t="b">
        <v>0</v>
      </c>
      <c r="W1863" s="11" t="s">
        <v>4780</v>
      </c>
      <c r="X1863" s="8" t="b">
        <v>0</v>
      </c>
      <c r="Y1863" s="8" t="b">
        <v>0</v>
      </c>
      <c r="Z1863" s="8" t="b">
        <v>0</v>
      </c>
      <c r="AA1863" s="8" t="b">
        <v>0</v>
      </c>
      <c r="AB1863" s="8" t="b">
        <v>0</v>
      </c>
      <c r="AC1863" s="8" t="b">
        <v>1</v>
      </c>
      <c r="AD1863" s="8" t="b">
        <v>0</v>
      </c>
      <c r="AE1863" s="8" t="b">
        <v>1</v>
      </c>
      <c r="AF1863" s="11" t="s">
        <v>4781</v>
      </c>
      <c r="AG1863" s="11" t="b" cm="1">
        <f t="array" ref="AG1863">IF(OR(Y1863:AA1863="TRUE", AE1863="true"), "Threatened")</f>
        <v>0</v>
      </c>
      <c r="AH1863" s="11" t="s">
        <v>4782</v>
      </c>
      <c r="AI1863" s="8" t="b">
        <v>0</v>
      </c>
    </row>
    <row r="1864" spans="1:35" ht="31.2">
      <c r="A1864" s="8">
        <v>-73.968283049999997</v>
      </c>
      <c r="B1864" s="8">
        <v>40.781015109999998</v>
      </c>
      <c r="C1864" s="8" t="s">
        <v>4783</v>
      </c>
      <c r="D1864" s="8" t="s">
        <v>223</v>
      </c>
      <c r="E1864" s="8" t="b">
        <f t="shared" si="29"/>
        <v>0</v>
      </c>
      <c r="F1864" s="8" t="str" cm="1">
        <f t="array" ref="F1864">_xlfn._xlws.FILTER(E1864:E5062, C1864:C5062= "6D-PM-1020-01", "No Squirrels Found")</f>
        <v>No Squirrels Found</v>
      </c>
      <c r="G1864" s="8" t="s">
        <v>34</v>
      </c>
      <c r="H1864" s="10">
        <v>10082018</v>
      </c>
      <c r="I1864" s="10">
        <v>3</v>
      </c>
      <c r="J1864" s="8" t="s">
        <v>39</v>
      </c>
      <c r="K1864" s="8" t="s">
        <v>40</v>
      </c>
      <c r="L1864" s="8" t="s">
        <v>117</v>
      </c>
      <c r="M1864" s="8" t="s">
        <v>118</v>
      </c>
      <c r="N1864" s="11" t="s">
        <v>4784</v>
      </c>
      <c r="O1864" s="8" t="s">
        <v>50</v>
      </c>
      <c r="P1864" s="8">
        <v>5</v>
      </c>
      <c r="Q1864" s="8" t="s">
        <v>4785</v>
      </c>
      <c r="R1864" s="8" t="b">
        <v>0</v>
      </c>
      <c r="S1864" s="8" t="b">
        <v>0</v>
      </c>
      <c r="T1864" s="8" t="b">
        <v>0</v>
      </c>
      <c r="U1864" s="8" t="b">
        <v>1</v>
      </c>
      <c r="V1864" s="8" t="b">
        <v>0</v>
      </c>
      <c r="X1864" s="8" t="b">
        <v>0</v>
      </c>
      <c r="Y1864" s="8" t="b">
        <v>0</v>
      </c>
      <c r="Z1864" s="8" t="b">
        <v>0</v>
      </c>
      <c r="AA1864" s="8" t="b">
        <v>0</v>
      </c>
      <c r="AB1864" s="8" t="b">
        <v>0</v>
      </c>
      <c r="AC1864" s="8" t="b">
        <v>0</v>
      </c>
      <c r="AD1864" s="8" t="b">
        <v>1</v>
      </c>
      <c r="AE1864" s="8" t="b">
        <v>0</v>
      </c>
      <c r="AG1864" s="11" t="b" cm="1">
        <f t="array" ref="AG1864">IF(OR(Y1864:AA1864="TRUE", AE1864="true"), "Threatened")</f>
        <v>0</v>
      </c>
      <c r="AH1864" s="11" t="s">
        <v>4786</v>
      </c>
      <c r="AI1864" s="8" t="b">
        <v>1</v>
      </c>
    </row>
    <row r="1865" spans="1:35" ht="31.2">
      <c r="A1865" s="8">
        <v>-73.969434500000006</v>
      </c>
      <c r="B1865" s="8">
        <v>40.774286930000002</v>
      </c>
      <c r="C1865" s="8" t="s">
        <v>4787</v>
      </c>
      <c r="D1865" s="8" t="s">
        <v>991</v>
      </c>
      <c r="E1865" s="8" t="b">
        <f t="shared" si="29"/>
        <v>0</v>
      </c>
      <c r="F1865" s="8" t="str" cm="1">
        <f t="array" ref="F1865">_xlfn._xlws.FILTER(E1865:E5063, C1865:C5063= "6D-PM-1020-01", "No Squirrels Found")</f>
        <v>No Squirrels Found</v>
      </c>
      <c r="G1865" s="8" t="s">
        <v>34</v>
      </c>
      <c r="H1865" s="10">
        <v>10072018</v>
      </c>
      <c r="I1865" s="10">
        <v>1</v>
      </c>
      <c r="K1865" s="8" t="s">
        <v>40</v>
      </c>
      <c r="M1865" s="8" t="s">
        <v>55</v>
      </c>
      <c r="O1865" s="8" t="s">
        <v>50</v>
      </c>
      <c r="P1865" s="8">
        <v>40</v>
      </c>
      <c r="Q1865" s="8" t="s">
        <v>466</v>
      </c>
      <c r="R1865" s="8" t="b">
        <v>0</v>
      </c>
      <c r="S1865" s="8" t="b">
        <v>1</v>
      </c>
      <c r="T1865" s="8" t="b">
        <v>0</v>
      </c>
      <c r="U1865" s="8" t="b">
        <v>0</v>
      </c>
      <c r="V1865" s="8" t="b">
        <v>0</v>
      </c>
      <c r="X1865" s="8" t="b">
        <v>0</v>
      </c>
      <c r="Y1865" s="8" t="b">
        <v>0</v>
      </c>
      <c r="Z1865" s="8" t="b">
        <v>0</v>
      </c>
      <c r="AA1865" s="8" t="b">
        <v>0</v>
      </c>
      <c r="AB1865" s="8" t="b">
        <v>0</v>
      </c>
      <c r="AC1865" s="8" t="b">
        <v>0</v>
      </c>
      <c r="AD1865" s="8" t="b">
        <v>0</v>
      </c>
      <c r="AE1865" s="8" t="b">
        <v>0</v>
      </c>
      <c r="AG1865" s="11" t="b" cm="1">
        <f t="array" ref="AG1865">IF(OR(Y1865:AA1865="TRUE", AE1865="true"), "Threatened")</f>
        <v>0</v>
      </c>
      <c r="AH1865" s="11" t="s">
        <v>4788</v>
      </c>
      <c r="AI1865" s="8" t="b">
        <v>1</v>
      </c>
    </row>
    <row r="1866" spans="1:35" ht="31.2">
      <c r="A1866" s="8">
        <v>-73.955811890000007</v>
      </c>
      <c r="B1866" s="8">
        <v>40.796885709999998</v>
      </c>
      <c r="C1866" s="8" t="s">
        <v>4789</v>
      </c>
      <c r="D1866" s="8" t="s">
        <v>3963</v>
      </c>
      <c r="E1866" s="8" t="b">
        <f t="shared" si="29"/>
        <v>0</v>
      </c>
      <c r="F1866" s="8" t="str" cm="1">
        <f t="array" ref="F1866">_xlfn._xlws.FILTER(E1866:E5064, C1866:C5064= "6D-PM-1020-01", "No Squirrels Found")</f>
        <v>No Squirrels Found</v>
      </c>
      <c r="G1866" s="8" t="s">
        <v>34</v>
      </c>
      <c r="H1866" s="10">
        <v>10132018</v>
      </c>
      <c r="I1866" s="10">
        <v>1</v>
      </c>
      <c r="J1866" s="8" t="s">
        <v>39</v>
      </c>
      <c r="K1866" s="8" t="s">
        <v>40</v>
      </c>
      <c r="L1866" s="8" t="s">
        <v>41</v>
      </c>
      <c r="M1866" s="8" t="s">
        <v>42</v>
      </c>
      <c r="N1866" s="11" t="s">
        <v>4790</v>
      </c>
      <c r="O1866" s="8" t="s">
        <v>43</v>
      </c>
      <c r="P1866" s="8" t="b">
        <v>0</v>
      </c>
      <c r="R1866" s="8" t="b">
        <v>0</v>
      </c>
      <c r="S1866" s="8" t="b">
        <v>0</v>
      </c>
      <c r="T1866" s="8" t="b">
        <v>0</v>
      </c>
      <c r="U1866" s="8" t="b">
        <v>0</v>
      </c>
      <c r="V1866" s="8" t="b">
        <v>1</v>
      </c>
      <c r="X1866" s="8" t="b">
        <v>0</v>
      </c>
      <c r="Y1866" s="8" t="b">
        <v>0</v>
      </c>
      <c r="Z1866" s="8" t="b">
        <v>0</v>
      </c>
      <c r="AA1866" s="8" t="b">
        <v>0</v>
      </c>
      <c r="AB1866" s="8" t="b">
        <v>0</v>
      </c>
      <c r="AC1866" s="8" t="b">
        <v>0</v>
      </c>
      <c r="AD1866" s="8" t="b">
        <v>0</v>
      </c>
      <c r="AE1866" s="8" t="b">
        <v>1</v>
      </c>
      <c r="AG1866" s="11" t="b" cm="1">
        <f t="array" ref="AG1866">IF(OR(Y1866:AA1866="TRUE", AE1866="true"), "Threatened")</f>
        <v>0</v>
      </c>
      <c r="AH1866" s="11" t="s">
        <v>4791</v>
      </c>
      <c r="AI1866" s="8" t="b">
        <v>1</v>
      </c>
    </row>
    <row r="1867" spans="1:35" ht="31.2">
      <c r="A1867" s="8">
        <v>-73.963602769999994</v>
      </c>
      <c r="B1867" s="8">
        <v>40.790075969999997</v>
      </c>
      <c r="C1867" s="8" t="s">
        <v>4792</v>
      </c>
      <c r="D1867" s="8" t="s">
        <v>911</v>
      </c>
      <c r="E1867" s="8" t="b">
        <f t="shared" si="29"/>
        <v>0</v>
      </c>
      <c r="F1867" s="8" t="str" cm="1">
        <f t="array" ref="F1867">_xlfn._xlws.FILTER(E1867:E5065, C1867:C5065= "6D-PM-1020-01", "No Squirrels Found")</f>
        <v>No Squirrels Found</v>
      </c>
      <c r="G1867" s="8" t="s">
        <v>34</v>
      </c>
      <c r="H1867" s="10">
        <v>10192018</v>
      </c>
      <c r="I1867" s="10">
        <v>1</v>
      </c>
      <c r="J1867" s="8" t="s">
        <v>39</v>
      </c>
      <c r="K1867" s="8" t="s">
        <v>40</v>
      </c>
      <c r="L1867" s="8" t="s">
        <v>117</v>
      </c>
      <c r="M1867" s="8" t="s">
        <v>118</v>
      </c>
      <c r="O1867" s="8" t="s">
        <v>43</v>
      </c>
      <c r="P1867" s="8" t="b">
        <v>0</v>
      </c>
      <c r="R1867" s="8" t="b">
        <v>1</v>
      </c>
      <c r="S1867" s="8" t="b">
        <v>0</v>
      </c>
      <c r="T1867" s="8" t="b">
        <v>0</v>
      </c>
      <c r="U1867" s="8" t="b">
        <v>1</v>
      </c>
      <c r="V1867" s="8" t="b">
        <v>1</v>
      </c>
      <c r="X1867" s="8" t="b">
        <v>0</v>
      </c>
      <c r="Y1867" s="8" t="b">
        <v>0</v>
      </c>
      <c r="Z1867" s="8" t="b">
        <v>0</v>
      </c>
      <c r="AA1867" s="8" t="b">
        <v>0</v>
      </c>
      <c r="AB1867" s="8" t="b">
        <v>1</v>
      </c>
      <c r="AC1867" s="8" t="b">
        <v>0</v>
      </c>
      <c r="AD1867" s="8" t="b">
        <v>0</v>
      </c>
      <c r="AE1867" s="8" t="b">
        <v>1</v>
      </c>
      <c r="AG1867" s="11" t="b" cm="1">
        <f t="array" ref="AG1867">IF(OR(Y1867:AA1867="TRUE", AE1867="true"), "Threatened")</f>
        <v>0</v>
      </c>
      <c r="AH1867" s="11" t="s">
        <v>4793</v>
      </c>
      <c r="AI1867" s="8" t="b">
        <v>1</v>
      </c>
    </row>
    <row r="1868" spans="1:35" ht="31.2">
      <c r="A1868" s="8">
        <v>-73.974520420000005</v>
      </c>
      <c r="B1868" s="8">
        <v>40.773628289999998</v>
      </c>
      <c r="C1868" s="8" t="s">
        <v>4794</v>
      </c>
      <c r="D1868" s="8" t="s">
        <v>1403</v>
      </c>
      <c r="E1868" s="8" t="b">
        <f t="shared" si="29"/>
        <v>0</v>
      </c>
      <c r="F1868" s="8" t="str" cm="1">
        <f t="array" ref="F1868">_xlfn._xlws.FILTER(E1868:E5066, C1868:C5066= "6D-PM-1020-01", "No Squirrels Found")</f>
        <v>No Squirrels Found</v>
      </c>
      <c r="G1868" s="8" t="s">
        <v>48</v>
      </c>
      <c r="H1868" s="10">
        <v>10062018</v>
      </c>
      <c r="I1868" s="10">
        <v>1</v>
      </c>
      <c r="J1868" s="8" t="s">
        <v>39</v>
      </c>
      <c r="K1868" s="8" t="s">
        <v>40</v>
      </c>
      <c r="M1868" s="8" t="s">
        <v>55</v>
      </c>
      <c r="O1868" s="8" t="s">
        <v>50</v>
      </c>
      <c r="P1868" s="8">
        <v>40</v>
      </c>
      <c r="Q1868" s="8" t="s">
        <v>2868</v>
      </c>
      <c r="R1868" s="8" t="b">
        <v>1</v>
      </c>
      <c r="S1868" s="8" t="b">
        <v>0</v>
      </c>
      <c r="T1868" s="8" t="b">
        <v>0</v>
      </c>
      <c r="U1868" s="8" t="b">
        <v>0</v>
      </c>
      <c r="V1868" s="8" t="b">
        <v>0</v>
      </c>
      <c r="X1868" s="8" t="b">
        <v>0</v>
      </c>
      <c r="Y1868" s="8" t="b">
        <v>0</v>
      </c>
      <c r="Z1868" s="8" t="b">
        <v>0</v>
      </c>
      <c r="AA1868" s="8" t="b">
        <v>0</v>
      </c>
      <c r="AB1868" s="8" t="b">
        <v>1</v>
      </c>
      <c r="AC1868" s="8" t="b">
        <v>0</v>
      </c>
      <c r="AD1868" s="8" t="b">
        <v>0</v>
      </c>
      <c r="AE1868" s="8" t="b">
        <v>0</v>
      </c>
      <c r="AG1868" s="11" t="b" cm="1">
        <f t="array" ref="AG1868">IF(OR(Y1868:AA1868="TRUE", AE1868="true"), "Threatened")</f>
        <v>0</v>
      </c>
      <c r="AH1868" s="11" t="s">
        <v>4795</v>
      </c>
      <c r="AI1868" s="8" t="b">
        <v>1</v>
      </c>
    </row>
    <row r="1869" spans="1:35" ht="31.2">
      <c r="A1869" s="8">
        <v>-73.9712265</v>
      </c>
      <c r="B1869" s="8">
        <v>40.778379100000002</v>
      </c>
      <c r="C1869" s="8" t="s">
        <v>4796</v>
      </c>
      <c r="D1869" s="8" t="s">
        <v>1631</v>
      </c>
      <c r="E1869" s="8" t="b">
        <f t="shared" si="29"/>
        <v>0</v>
      </c>
      <c r="F1869" s="8" t="str" cm="1">
        <f t="array" ref="F1869">_xlfn._xlws.FILTER(E1869:E5067, C1869:C5067= "6D-PM-1020-01", "No Squirrels Found")</f>
        <v>No Squirrels Found</v>
      </c>
      <c r="G1869" s="8" t="s">
        <v>34</v>
      </c>
      <c r="H1869" s="10">
        <v>10172018</v>
      </c>
      <c r="I1869" s="10">
        <v>4</v>
      </c>
      <c r="J1869" s="8" t="s">
        <v>39</v>
      </c>
      <c r="K1869" s="8" t="s">
        <v>40</v>
      </c>
      <c r="L1869" s="8" t="s">
        <v>41</v>
      </c>
      <c r="M1869" s="8" t="s">
        <v>42</v>
      </c>
      <c r="O1869" s="8" t="s">
        <v>43</v>
      </c>
      <c r="P1869" s="8" t="b">
        <v>0</v>
      </c>
      <c r="R1869" s="8" t="b">
        <v>0</v>
      </c>
      <c r="S1869" s="8" t="b">
        <v>0</v>
      </c>
      <c r="T1869" s="8" t="b">
        <v>0</v>
      </c>
      <c r="U1869" s="8" t="b">
        <v>1</v>
      </c>
      <c r="V1869" s="8" t="b">
        <v>1</v>
      </c>
      <c r="X1869" s="8" t="b">
        <v>0</v>
      </c>
      <c r="Y1869" s="8" t="b">
        <v>0</v>
      </c>
      <c r="Z1869" s="8" t="b">
        <v>0</v>
      </c>
      <c r="AA1869" s="8" t="b">
        <v>0</v>
      </c>
      <c r="AB1869" s="8" t="b">
        <v>0</v>
      </c>
      <c r="AC1869" s="8" t="b">
        <v>1</v>
      </c>
      <c r="AD1869" s="8" t="b">
        <v>0</v>
      </c>
      <c r="AE1869" s="8" t="b">
        <v>0</v>
      </c>
      <c r="AG1869" s="11" t="b" cm="1">
        <f t="array" ref="AG1869">IF(OR(Y1869:AA1869="TRUE", AE1869="true"), "Threatened")</f>
        <v>0</v>
      </c>
      <c r="AH1869" s="11" t="s">
        <v>4797</v>
      </c>
      <c r="AI1869" s="8" t="b">
        <v>1</v>
      </c>
    </row>
    <row r="1870" spans="1:35" ht="31.2">
      <c r="A1870" s="8">
        <v>-73.971824830000003</v>
      </c>
      <c r="B1870" s="8">
        <v>40.7801999</v>
      </c>
      <c r="C1870" s="8" t="s">
        <v>4798</v>
      </c>
      <c r="D1870" s="8" t="s">
        <v>1885</v>
      </c>
      <c r="E1870" s="8" t="b">
        <f t="shared" si="29"/>
        <v>0</v>
      </c>
      <c r="F1870" s="8" t="str" cm="1">
        <f t="array" ref="F1870">_xlfn._xlws.FILTER(E1870:E5068, C1870:C5068= "6D-PM-1020-01", "No Squirrels Found")</f>
        <v>No Squirrels Found</v>
      </c>
      <c r="G1870" s="8" t="s">
        <v>34</v>
      </c>
      <c r="H1870" s="10">
        <v>10132018</v>
      </c>
      <c r="I1870" s="10">
        <v>1</v>
      </c>
      <c r="J1870" s="8" t="s">
        <v>39</v>
      </c>
      <c r="K1870" s="8" t="s">
        <v>40</v>
      </c>
      <c r="M1870" s="8" t="s">
        <v>55</v>
      </c>
      <c r="O1870" s="8" t="s">
        <v>43</v>
      </c>
      <c r="P1870" s="8" t="b">
        <v>0</v>
      </c>
      <c r="R1870" s="8" t="b">
        <v>0</v>
      </c>
      <c r="S1870" s="8" t="b">
        <v>0</v>
      </c>
      <c r="T1870" s="8" t="b">
        <v>0</v>
      </c>
      <c r="U1870" s="8" t="b">
        <v>0</v>
      </c>
      <c r="V1870" s="8" t="b">
        <v>1</v>
      </c>
      <c r="W1870" s="11" t="s">
        <v>4799</v>
      </c>
      <c r="X1870" s="8" t="b">
        <v>0</v>
      </c>
      <c r="Y1870" s="8" t="b">
        <v>0</v>
      </c>
      <c r="Z1870" s="8" t="b">
        <v>0</v>
      </c>
      <c r="AA1870" s="8" t="b">
        <v>0</v>
      </c>
      <c r="AB1870" s="8" t="b">
        <v>0</v>
      </c>
      <c r="AC1870" s="8" t="b">
        <v>0</v>
      </c>
      <c r="AD1870" s="8" t="b">
        <v>1</v>
      </c>
      <c r="AE1870" s="8" t="b">
        <v>0</v>
      </c>
      <c r="AG1870" s="11" t="b" cm="1">
        <f t="array" ref="AG1870">IF(OR(Y1870:AA1870="TRUE", AE1870="true"), "Threatened")</f>
        <v>0</v>
      </c>
      <c r="AH1870" s="11" t="s">
        <v>4800</v>
      </c>
      <c r="AI1870" s="8" t="b">
        <v>0</v>
      </c>
    </row>
    <row r="1871" spans="1:35" ht="31.2">
      <c r="A1871" s="8">
        <v>-73.954211860000001</v>
      </c>
      <c r="B1871" s="8">
        <v>40.793917139999998</v>
      </c>
      <c r="C1871" s="8" t="s">
        <v>4801</v>
      </c>
      <c r="D1871" s="8" t="s">
        <v>939</v>
      </c>
      <c r="E1871" s="8" t="b">
        <f t="shared" si="29"/>
        <v>0</v>
      </c>
      <c r="F1871" s="8" t="str" cm="1">
        <f t="array" ref="F1871">_xlfn._xlws.FILTER(E1871:E5069, C1871:C5069= "6D-PM-1020-01", "No Squirrels Found")</f>
        <v>No Squirrels Found</v>
      </c>
      <c r="G1871" s="8" t="s">
        <v>48</v>
      </c>
      <c r="H1871" s="10">
        <v>10142018</v>
      </c>
      <c r="I1871" s="10">
        <v>6</v>
      </c>
      <c r="J1871" s="8" t="s">
        <v>39</v>
      </c>
      <c r="K1871" s="8" t="s">
        <v>40</v>
      </c>
      <c r="L1871" s="8" t="s">
        <v>84</v>
      </c>
      <c r="M1871" s="8" t="s">
        <v>103</v>
      </c>
      <c r="N1871" s="11" t="s">
        <v>1899</v>
      </c>
      <c r="O1871" s="8" t="s">
        <v>43</v>
      </c>
      <c r="P1871" s="8" t="b">
        <v>0</v>
      </c>
      <c r="R1871" s="8" t="b">
        <v>0</v>
      </c>
      <c r="S1871" s="8" t="b">
        <v>0</v>
      </c>
      <c r="T1871" s="8" t="b">
        <v>0</v>
      </c>
      <c r="U1871" s="8" t="b">
        <v>0</v>
      </c>
      <c r="V1871" s="8" t="b">
        <v>1</v>
      </c>
      <c r="X1871" s="8" t="b">
        <v>0</v>
      </c>
      <c r="Y1871" s="8" t="b">
        <v>0</v>
      </c>
      <c r="Z1871" s="8" t="b">
        <v>0</v>
      </c>
      <c r="AA1871" s="8" t="b">
        <v>0</v>
      </c>
      <c r="AB1871" s="8" t="b">
        <v>0</v>
      </c>
      <c r="AC1871" s="8" t="b">
        <v>0</v>
      </c>
      <c r="AD1871" s="8" t="b">
        <v>1</v>
      </c>
      <c r="AE1871" s="8" t="b">
        <v>0</v>
      </c>
      <c r="AG1871" s="11" t="b" cm="1">
        <f t="array" ref="AG1871">IF(OR(Y1871:AA1871="TRUE", AE1871="true"), "Threatened")</f>
        <v>0</v>
      </c>
      <c r="AH1871" s="11" t="s">
        <v>4802</v>
      </c>
      <c r="AI1871" s="8" t="b">
        <v>1</v>
      </c>
    </row>
    <row r="1872" spans="1:35" ht="31.2">
      <c r="A1872" s="8">
        <v>-73.974836730000007</v>
      </c>
      <c r="B1872" s="8">
        <v>40.769351299999997</v>
      </c>
      <c r="C1872" s="8" t="s">
        <v>4803</v>
      </c>
      <c r="D1872" s="8" t="s">
        <v>259</v>
      </c>
      <c r="E1872" s="8" t="b">
        <f t="shared" si="29"/>
        <v>0</v>
      </c>
      <c r="F1872" s="8" t="str" cm="1">
        <f t="array" ref="F1872">_xlfn._xlws.FILTER(E1872:E5070, C1872:C5070= "6D-PM-1020-01", "No Squirrels Found")</f>
        <v>No Squirrels Found</v>
      </c>
      <c r="G1872" s="8" t="s">
        <v>34</v>
      </c>
      <c r="H1872" s="10">
        <v>10122018</v>
      </c>
      <c r="I1872" s="10">
        <v>6</v>
      </c>
      <c r="J1872" s="8" t="s">
        <v>39</v>
      </c>
      <c r="K1872" s="8" t="s">
        <v>41</v>
      </c>
      <c r="L1872" s="8" t="s">
        <v>135</v>
      </c>
      <c r="M1872" s="8" t="s">
        <v>136</v>
      </c>
      <c r="O1872" s="8" t="s">
        <v>50</v>
      </c>
      <c r="P1872" s="8">
        <v>10</v>
      </c>
      <c r="Q1872" s="8" t="s">
        <v>4804</v>
      </c>
      <c r="R1872" s="8" t="b">
        <v>1</v>
      </c>
      <c r="S1872" s="8" t="b">
        <v>0</v>
      </c>
      <c r="T1872" s="8" t="b">
        <v>0</v>
      </c>
      <c r="U1872" s="8" t="b">
        <v>0</v>
      </c>
      <c r="V1872" s="8" t="b">
        <v>0</v>
      </c>
      <c r="X1872" s="8" t="b">
        <v>0</v>
      </c>
      <c r="Y1872" s="8" t="b">
        <v>0</v>
      </c>
      <c r="Z1872" s="8" t="b">
        <v>0</v>
      </c>
      <c r="AA1872" s="8" t="b">
        <v>0</v>
      </c>
      <c r="AB1872" s="8" t="b">
        <v>0</v>
      </c>
      <c r="AC1872" s="8" t="b">
        <v>0</v>
      </c>
      <c r="AD1872" s="8" t="b">
        <v>0</v>
      </c>
      <c r="AE1872" s="8" t="b">
        <v>1</v>
      </c>
      <c r="AG1872" s="11" t="b" cm="1">
        <f t="array" ref="AG1872">IF(OR(Y1872:AA1872="TRUE", AE1872="true"), "Threatened")</f>
        <v>0</v>
      </c>
      <c r="AH1872" s="11" t="s">
        <v>4805</v>
      </c>
      <c r="AI1872" s="8" t="b">
        <v>1</v>
      </c>
    </row>
    <row r="1873" spans="1:35" ht="31.2">
      <c r="A1873" s="8">
        <v>-73.961399900000004</v>
      </c>
      <c r="B1873" s="8">
        <v>40.791243719999997</v>
      </c>
      <c r="C1873" s="8" t="s">
        <v>4806</v>
      </c>
      <c r="D1873" s="8" t="s">
        <v>616</v>
      </c>
      <c r="E1873" s="8" t="b">
        <f t="shared" si="29"/>
        <v>0</v>
      </c>
      <c r="F1873" s="8" t="str" cm="1">
        <f t="array" ref="F1873">_xlfn._xlws.FILTER(E1873:E5071, C1873:C5071= "6D-PM-1020-01", "No Squirrels Found")</f>
        <v>No Squirrels Found</v>
      </c>
      <c r="G1873" s="8" t="s">
        <v>34</v>
      </c>
      <c r="H1873" s="10">
        <v>10132018</v>
      </c>
      <c r="I1873" s="10">
        <v>2</v>
      </c>
      <c r="J1873" s="8" t="s">
        <v>39</v>
      </c>
      <c r="K1873" s="8" t="s">
        <v>40</v>
      </c>
      <c r="M1873" s="8" t="s">
        <v>55</v>
      </c>
      <c r="O1873" s="8" t="s">
        <v>43</v>
      </c>
      <c r="P1873" s="8" t="b">
        <v>0</v>
      </c>
      <c r="R1873" s="8" t="b">
        <v>0</v>
      </c>
      <c r="S1873" s="8" t="b">
        <v>1</v>
      </c>
      <c r="T1873" s="8" t="b">
        <v>0</v>
      </c>
      <c r="U1873" s="8" t="b">
        <v>0</v>
      </c>
      <c r="V1873" s="8" t="b">
        <v>0</v>
      </c>
      <c r="X1873" s="8" t="b">
        <v>0</v>
      </c>
      <c r="Y1873" s="8" t="b">
        <v>0</v>
      </c>
      <c r="Z1873" s="8" t="b">
        <v>0</v>
      </c>
      <c r="AA1873" s="8" t="b">
        <v>0</v>
      </c>
      <c r="AB1873" s="8" t="b">
        <v>1</v>
      </c>
      <c r="AC1873" s="8" t="b">
        <v>0</v>
      </c>
      <c r="AD1873" s="8" t="b">
        <v>0</v>
      </c>
      <c r="AE1873" s="8" t="b">
        <v>0</v>
      </c>
      <c r="AG1873" s="11" t="b" cm="1">
        <f t="array" ref="AG1873">IF(OR(Y1873:AA1873="TRUE", AE1873="true"), "Threatened")</f>
        <v>0</v>
      </c>
      <c r="AH1873" s="11" t="s">
        <v>4807</v>
      </c>
      <c r="AI1873" s="8" t="b">
        <v>1</v>
      </c>
    </row>
    <row r="1874" spans="1:35" ht="31.2">
      <c r="A1874" s="8">
        <v>-73.955754299999995</v>
      </c>
      <c r="B1874" s="8">
        <v>40.795681399999999</v>
      </c>
      <c r="C1874" s="8" t="s">
        <v>4808</v>
      </c>
      <c r="D1874" s="8" t="s">
        <v>530</v>
      </c>
      <c r="E1874" s="8" t="b">
        <f t="shared" si="29"/>
        <v>0</v>
      </c>
      <c r="F1874" s="8" t="str" cm="1">
        <f t="array" ref="F1874">_xlfn._xlws.FILTER(E1874:E5072, C1874:C5072= "6D-PM-1020-01", "No Squirrels Found")</f>
        <v>No Squirrels Found</v>
      </c>
      <c r="G1874" s="8" t="s">
        <v>34</v>
      </c>
      <c r="H1874" s="10">
        <v>10142018</v>
      </c>
      <c r="I1874" s="10">
        <v>2</v>
      </c>
      <c r="J1874" s="8" t="s">
        <v>39</v>
      </c>
      <c r="K1874" s="8" t="s">
        <v>40</v>
      </c>
      <c r="L1874" s="8" t="s">
        <v>84</v>
      </c>
      <c r="M1874" s="8" t="s">
        <v>103</v>
      </c>
      <c r="O1874" s="8" t="s">
        <v>43</v>
      </c>
      <c r="P1874" s="8" t="b">
        <v>0</v>
      </c>
      <c r="R1874" s="8" t="b">
        <v>0</v>
      </c>
      <c r="S1874" s="8" t="b">
        <v>0</v>
      </c>
      <c r="T1874" s="8" t="b">
        <v>0</v>
      </c>
      <c r="U1874" s="8" t="b">
        <v>0</v>
      </c>
      <c r="V1874" s="8" t="b">
        <v>1</v>
      </c>
      <c r="X1874" s="8" t="b">
        <v>0</v>
      </c>
      <c r="Y1874" s="8" t="b">
        <v>0</v>
      </c>
      <c r="Z1874" s="8" t="b">
        <v>0</v>
      </c>
      <c r="AA1874" s="8" t="b">
        <v>0</v>
      </c>
      <c r="AB1874" s="8" t="b">
        <v>0</v>
      </c>
      <c r="AC1874" s="8" t="b">
        <v>0</v>
      </c>
      <c r="AD1874" s="8" t="b">
        <v>1</v>
      </c>
      <c r="AE1874" s="8" t="b">
        <v>0</v>
      </c>
      <c r="AG1874" s="11" t="b" cm="1">
        <f t="array" ref="AG1874">IF(OR(Y1874:AA1874="TRUE", AE1874="true"), "Threatened")</f>
        <v>0</v>
      </c>
      <c r="AH1874" s="11" t="s">
        <v>4809</v>
      </c>
      <c r="AI1874" s="8" t="b">
        <v>1</v>
      </c>
    </row>
    <row r="1875" spans="1:35" ht="31.2">
      <c r="A1875" s="8">
        <v>-73.965732729999999</v>
      </c>
      <c r="B1875" s="8">
        <v>40.774755460000002</v>
      </c>
      <c r="C1875" s="8" t="s">
        <v>4810</v>
      </c>
      <c r="D1875" s="8" t="s">
        <v>1093</v>
      </c>
      <c r="E1875" s="8" t="b">
        <f t="shared" si="29"/>
        <v>0</v>
      </c>
      <c r="F1875" s="8" t="str" cm="1">
        <f t="array" ref="F1875">_xlfn._xlws.FILTER(E1875:E5073, C1875:C5073= "6D-PM-1020-01", "No Squirrels Found")</f>
        <v>No Squirrels Found</v>
      </c>
      <c r="G1875" s="8" t="s">
        <v>34</v>
      </c>
      <c r="H1875" s="10">
        <v>10182018</v>
      </c>
      <c r="I1875" s="10">
        <v>3</v>
      </c>
      <c r="J1875" s="8" t="s">
        <v>54</v>
      </c>
      <c r="K1875" s="8" t="s">
        <v>40</v>
      </c>
      <c r="L1875" s="8" t="s">
        <v>192</v>
      </c>
      <c r="M1875" s="8" t="s">
        <v>354</v>
      </c>
      <c r="O1875" s="8" t="s">
        <v>50</v>
      </c>
      <c r="P1875" s="8">
        <v>4</v>
      </c>
      <c r="R1875" s="8" t="b">
        <v>0</v>
      </c>
      <c r="S1875" s="8" t="b">
        <v>0</v>
      </c>
      <c r="T1875" s="8" t="b">
        <v>1</v>
      </c>
      <c r="U1875" s="8" t="b">
        <v>0</v>
      </c>
      <c r="V1875" s="8" t="b">
        <v>0</v>
      </c>
      <c r="X1875" s="8" t="b">
        <v>0</v>
      </c>
      <c r="Y1875" s="8" t="b">
        <v>0</v>
      </c>
      <c r="Z1875" s="8" t="b">
        <v>0</v>
      </c>
      <c r="AA1875" s="8" t="b">
        <v>0</v>
      </c>
      <c r="AB1875" s="8" t="b">
        <v>0</v>
      </c>
      <c r="AC1875" s="8" t="b">
        <v>0</v>
      </c>
      <c r="AD1875" s="8" t="b">
        <v>1</v>
      </c>
      <c r="AE1875" s="8" t="b">
        <v>0</v>
      </c>
      <c r="AG1875" s="11" t="b" cm="1">
        <f t="array" ref="AG1875">IF(OR(Y1875:AA1875="TRUE", AE1875="true"), "Threatened")</f>
        <v>0</v>
      </c>
      <c r="AH1875" s="11" t="s">
        <v>4811</v>
      </c>
      <c r="AI1875" s="8" t="b">
        <v>1</v>
      </c>
    </row>
    <row r="1876" spans="1:35" ht="31.2">
      <c r="A1876" s="8">
        <v>-73.952743049999995</v>
      </c>
      <c r="B1876" s="8">
        <v>40.7924808</v>
      </c>
      <c r="C1876" s="8" t="s">
        <v>4812</v>
      </c>
      <c r="D1876" s="8" t="s">
        <v>106</v>
      </c>
      <c r="E1876" s="8" t="b">
        <f t="shared" si="29"/>
        <v>0</v>
      </c>
      <c r="F1876" s="8" t="str" cm="1">
        <f t="array" ref="F1876">_xlfn._xlws.FILTER(E1876:E5074, C1876:C5074= "6D-PM-1020-01", "No Squirrels Found")</f>
        <v>No Squirrels Found</v>
      </c>
      <c r="G1876" s="8" t="s">
        <v>34</v>
      </c>
      <c r="H1876" s="10">
        <v>10072018</v>
      </c>
      <c r="I1876" s="10">
        <v>12</v>
      </c>
      <c r="J1876" s="8" t="s">
        <v>54</v>
      </c>
      <c r="K1876" s="8" t="s">
        <v>40</v>
      </c>
      <c r="L1876" s="8" t="s">
        <v>41</v>
      </c>
      <c r="M1876" s="8" t="s">
        <v>42</v>
      </c>
      <c r="N1876" s="11" t="s">
        <v>4813</v>
      </c>
      <c r="O1876" s="8" t="s">
        <v>50</v>
      </c>
      <c r="P1876" s="8">
        <v>2</v>
      </c>
      <c r="R1876" s="8" t="b">
        <v>0</v>
      </c>
      <c r="S1876" s="8" t="b">
        <v>0</v>
      </c>
      <c r="T1876" s="8" t="b">
        <v>0</v>
      </c>
      <c r="U1876" s="8" t="b">
        <v>0</v>
      </c>
      <c r="V1876" s="8" t="b">
        <v>1</v>
      </c>
      <c r="X1876" s="8" t="b">
        <v>0</v>
      </c>
      <c r="Y1876" s="8" t="b">
        <v>0</v>
      </c>
      <c r="Z1876" s="8" t="b">
        <v>0</v>
      </c>
      <c r="AA1876" s="8" t="b">
        <v>0</v>
      </c>
      <c r="AB1876" s="8" t="b">
        <v>0</v>
      </c>
      <c r="AC1876" s="8" t="b">
        <v>0</v>
      </c>
      <c r="AD1876" s="8" t="b">
        <v>0</v>
      </c>
      <c r="AE1876" s="8" t="b">
        <v>0</v>
      </c>
      <c r="AG1876" s="11" t="b" cm="1">
        <f t="array" ref="AG1876">IF(OR(Y1876:AA1876="TRUE", AE1876="true"), "Threatened")</f>
        <v>0</v>
      </c>
      <c r="AH1876" s="11" t="s">
        <v>4814</v>
      </c>
      <c r="AI1876" s="8" t="b">
        <v>1</v>
      </c>
    </row>
    <row r="1877" spans="1:35" ht="31.2">
      <c r="A1877" s="8">
        <v>-73.973598989999999</v>
      </c>
      <c r="B1877" s="8">
        <v>40.778301999999996</v>
      </c>
      <c r="C1877" s="8" t="s">
        <v>4815</v>
      </c>
      <c r="D1877" s="8" t="s">
        <v>797</v>
      </c>
      <c r="E1877" s="8" t="b">
        <f t="shared" si="29"/>
        <v>0</v>
      </c>
      <c r="F1877" s="8" t="str" cm="1">
        <f t="array" ref="F1877">_xlfn._xlws.FILTER(E1877:E5075, C1877:C5075= "6D-PM-1020-01", "No Squirrels Found")</f>
        <v>No Squirrels Found</v>
      </c>
      <c r="G1877" s="8" t="s">
        <v>34</v>
      </c>
      <c r="H1877" s="10">
        <v>10142018</v>
      </c>
      <c r="I1877" s="10">
        <v>3</v>
      </c>
      <c r="J1877" s="8" t="s">
        <v>39</v>
      </c>
      <c r="K1877" s="8" t="s">
        <v>40</v>
      </c>
      <c r="L1877" s="8" t="s">
        <v>117</v>
      </c>
      <c r="M1877" s="8" t="s">
        <v>118</v>
      </c>
      <c r="O1877" s="8" t="s">
        <v>43</v>
      </c>
      <c r="P1877" s="8" t="b">
        <v>0</v>
      </c>
      <c r="R1877" s="8" t="b">
        <v>0</v>
      </c>
      <c r="S1877" s="8" t="b">
        <v>1</v>
      </c>
      <c r="T1877" s="8" t="b">
        <v>0</v>
      </c>
      <c r="U1877" s="8" t="b">
        <v>0</v>
      </c>
      <c r="V1877" s="8" t="b">
        <v>0</v>
      </c>
      <c r="W1877" s="11" t="s">
        <v>4138</v>
      </c>
      <c r="X1877" s="8" t="b">
        <v>0</v>
      </c>
      <c r="Y1877" s="8" t="b">
        <v>0</v>
      </c>
      <c r="Z1877" s="8" t="b">
        <v>0</v>
      </c>
      <c r="AA1877" s="8" t="b">
        <v>0</v>
      </c>
      <c r="AB1877" s="8" t="b">
        <v>0</v>
      </c>
      <c r="AC1877" s="8" t="b">
        <v>0</v>
      </c>
      <c r="AD1877" s="8" t="b">
        <v>1</v>
      </c>
      <c r="AE1877" s="8" t="b">
        <v>0</v>
      </c>
      <c r="AG1877" s="11" t="b" cm="1">
        <f t="array" ref="AG1877">IF(OR(Y1877:AA1877="TRUE", AE1877="true"), "Threatened")</f>
        <v>0</v>
      </c>
      <c r="AH1877" s="11" t="s">
        <v>4816</v>
      </c>
      <c r="AI1877" s="8" t="b">
        <v>0</v>
      </c>
    </row>
    <row r="1878" spans="1:35" ht="31.2">
      <c r="A1878" s="8">
        <v>-73.952449079999994</v>
      </c>
      <c r="B1878" s="8">
        <v>40.793600320000003</v>
      </c>
      <c r="C1878" s="8" t="s">
        <v>4817</v>
      </c>
      <c r="D1878" s="8" t="s">
        <v>2056</v>
      </c>
      <c r="E1878" s="8" t="b">
        <f t="shared" si="29"/>
        <v>0</v>
      </c>
      <c r="F1878" s="8" t="str" cm="1">
        <f t="array" ref="F1878">_xlfn._xlws.FILTER(E1878:E5076, C1878:C5076= "6D-PM-1020-01", "No Squirrels Found")</f>
        <v>No Squirrels Found</v>
      </c>
      <c r="G1878" s="8" t="s">
        <v>48</v>
      </c>
      <c r="H1878" s="10">
        <v>10192018</v>
      </c>
      <c r="I1878" s="10">
        <v>1</v>
      </c>
      <c r="J1878" s="8" t="s">
        <v>39</v>
      </c>
      <c r="K1878" s="8" t="s">
        <v>40</v>
      </c>
      <c r="L1878" s="8" t="s">
        <v>41</v>
      </c>
      <c r="M1878" s="8" t="s">
        <v>42</v>
      </c>
      <c r="O1878" s="8" t="s">
        <v>43</v>
      </c>
      <c r="P1878" s="8" t="b">
        <v>0</v>
      </c>
      <c r="R1878" s="8" t="b">
        <v>1</v>
      </c>
      <c r="S1878" s="8" t="b">
        <v>0</v>
      </c>
      <c r="T1878" s="8" t="b">
        <v>0</v>
      </c>
      <c r="U1878" s="8" t="b">
        <v>0</v>
      </c>
      <c r="V1878" s="8" t="b">
        <v>0</v>
      </c>
      <c r="X1878" s="8" t="b">
        <v>0</v>
      </c>
      <c r="Y1878" s="8" t="b">
        <v>0</v>
      </c>
      <c r="Z1878" s="8" t="b">
        <v>0</v>
      </c>
      <c r="AA1878" s="8" t="b">
        <v>0</v>
      </c>
      <c r="AB1878" s="8" t="b">
        <v>0</v>
      </c>
      <c r="AC1878" s="8" t="b">
        <v>0</v>
      </c>
      <c r="AD1878" s="8" t="b">
        <v>1</v>
      </c>
      <c r="AE1878" s="8" t="b">
        <v>0</v>
      </c>
      <c r="AG1878" s="11" t="b" cm="1">
        <f t="array" ref="AG1878">IF(OR(Y1878:AA1878="TRUE", AE1878="true"), "Threatened")</f>
        <v>0</v>
      </c>
      <c r="AH1878" s="11" t="s">
        <v>4818</v>
      </c>
      <c r="AI1878" s="8" t="b">
        <v>1</v>
      </c>
    </row>
    <row r="1879" spans="1:35" ht="31.2">
      <c r="A1879" s="8">
        <v>-73.97612239</v>
      </c>
      <c r="B1879" s="8">
        <v>40.768599829999999</v>
      </c>
      <c r="C1879" s="8" t="s">
        <v>4819</v>
      </c>
      <c r="D1879" s="8" t="s">
        <v>794</v>
      </c>
      <c r="E1879" s="8" t="b">
        <f t="shared" si="29"/>
        <v>0</v>
      </c>
      <c r="F1879" s="8" t="str" cm="1">
        <f t="array" ref="F1879">_xlfn._xlws.FILTER(E1879:E5077, C1879:C5077= "6D-PM-1020-01", "No Squirrels Found")</f>
        <v>No Squirrels Found</v>
      </c>
      <c r="G1879" s="8" t="s">
        <v>34</v>
      </c>
      <c r="H1879" s="10">
        <v>10082018</v>
      </c>
      <c r="I1879" s="10">
        <v>6</v>
      </c>
      <c r="J1879" s="8" t="s">
        <v>39</v>
      </c>
      <c r="K1879" s="8" t="s">
        <v>40</v>
      </c>
      <c r="L1879" s="8" t="s">
        <v>41</v>
      </c>
      <c r="M1879" s="8" t="s">
        <v>42</v>
      </c>
      <c r="R1879" s="8" t="b">
        <v>0</v>
      </c>
      <c r="S1879" s="8" t="b">
        <v>0</v>
      </c>
      <c r="T1879" s="8" t="b">
        <v>0</v>
      </c>
      <c r="U1879" s="8" t="b">
        <v>1</v>
      </c>
      <c r="V1879" s="8" t="b">
        <v>1</v>
      </c>
      <c r="X1879" s="8" t="b">
        <v>0</v>
      </c>
      <c r="Y1879" s="8" t="b">
        <v>0</v>
      </c>
      <c r="Z1879" s="8" t="b">
        <v>0</v>
      </c>
      <c r="AA1879" s="8" t="b">
        <v>0</v>
      </c>
      <c r="AB1879" s="8" t="b">
        <v>0</v>
      </c>
      <c r="AC1879" s="8" t="b">
        <v>0</v>
      </c>
      <c r="AD1879" s="8" t="b">
        <v>1</v>
      </c>
      <c r="AE1879" s="8" t="b">
        <v>0</v>
      </c>
      <c r="AG1879" s="11" t="b" cm="1">
        <f t="array" ref="AG1879">IF(OR(Y1879:AA1879="TRUE", AE1879="true"), "Threatened")</f>
        <v>0</v>
      </c>
      <c r="AH1879" s="11" t="s">
        <v>4820</v>
      </c>
      <c r="AI1879" s="8" t="b">
        <v>1</v>
      </c>
    </row>
    <row r="1880" spans="1:35" ht="31.2">
      <c r="A1880" s="8">
        <v>-73.970192670000003</v>
      </c>
      <c r="B1880" s="8">
        <v>40.777858770000002</v>
      </c>
      <c r="C1880" s="8" t="s">
        <v>4821</v>
      </c>
      <c r="D1880" s="8" t="s">
        <v>554</v>
      </c>
      <c r="E1880" s="8" t="b">
        <f t="shared" si="29"/>
        <v>0</v>
      </c>
      <c r="F1880" s="8" t="str" cm="1">
        <f t="array" ref="F1880">_xlfn._xlws.FILTER(E1880:E5078, C1880:C5078= "6D-PM-1020-01", "No Squirrels Found")</f>
        <v>No Squirrels Found</v>
      </c>
      <c r="G1880" s="8" t="s">
        <v>48</v>
      </c>
      <c r="H1880" s="10">
        <v>10072018</v>
      </c>
      <c r="I1880" s="10">
        <v>2</v>
      </c>
      <c r="J1880" s="8" t="s">
        <v>39</v>
      </c>
      <c r="K1880" s="8" t="s">
        <v>40</v>
      </c>
      <c r="M1880" s="8" t="s">
        <v>55</v>
      </c>
      <c r="O1880" s="8" t="s">
        <v>43</v>
      </c>
      <c r="P1880" s="8" t="b">
        <v>0</v>
      </c>
      <c r="R1880" s="8" t="b">
        <v>1</v>
      </c>
      <c r="S1880" s="8" t="b">
        <v>0</v>
      </c>
      <c r="T1880" s="8" t="b">
        <v>0</v>
      </c>
      <c r="U1880" s="8" t="b">
        <v>0</v>
      </c>
      <c r="V1880" s="8" t="b">
        <v>0</v>
      </c>
      <c r="X1880" s="8" t="b">
        <v>0</v>
      </c>
      <c r="Y1880" s="8" t="b">
        <v>0</v>
      </c>
      <c r="Z1880" s="8" t="b">
        <v>0</v>
      </c>
      <c r="AA1880" s="8" t="b">
        <v>0</v>
      </c>
      <c r="AB1880" s="8" t="b">
        <v>0</v>
      </c>
      <c r="AC1880" s="8" t="b">
        <v>0</v>
      </c>
      <c r="AD1880" s="8" t="b">
        <v>0</v>
      </c>
      <c r="AE1880" s="8" t="b">
        <v>1</v>
      </c>
      <c r="AG1880" s="11" t="b" cm="1">
        <f t="array" ref="AG1880">IF(OR(Y1880:AA1880="TRUE", AE1880="true"), "Threatened")</f>
        <v>0</v>
      </c>
      <c r="AH1880" s="11" t="s">
        <v>4822</v>
      </c>
      <c r="AI1880" s="8" t="b">
        <v>1</v>
      </c>
    </row>
    <row r="1881" spans="1:35" ht="31.2">
      <c r="A1881" s="8">
        <v>-73.956236279999999</v>
      </c>
      <c r="B1881" s="8">
        <v>40.795045719999997</v>
      </c>
      <c r="C1881" s="8" t="s">
        <v>4823</v>
      </c>
      <c r="D1881" s="8" t="s">
        <v>530</v>
      </c>
      <c r="E1881" s="8" t="b">
        <f t="shared" si="29"/>
        <v>0</v>
      </c>
      <c r="F1881" s="8" t="str" cm="1">
        <f t="array" ref="F1881">_xlfn._xlws.FILTER(E1881:E5079, C1881:C5079= "6D-PM-1020-01", "No Squirrels Found")</f>
        <v>No Squirrels Found</v>
      </c>
      <c r="G1881" s="8" t="s">
        <v>48</v>
      </c>
      <c r="H1881" s="10">
        <v>10102018</v>
      </c>
      <c r="I1881" s="10">
        <v>8</v>
      </c>
      <c r="J1881" s="8" t="s">
        <v>39</v>
      </c>
      <c r="K1881" s="8" t="s">
        <v>40</v>
      </c>
      <c r="L1881" s="8" t="s">
        <v>41</v>
      </c>
      <c r="M1881" s="8" t="s">
        <v>42</v>
      </c>
      <c r="O1881" s="8" t="s">
        <v>43</v>
      </c>
      <c r="P1881" s="8" t="b">
        <v>0</v>
      </c>
      <c r="R1881" s="8" t="b">
        <v>0</v>
      </c>
      <c r="S1881" s="8" t="b">
        <v>0</v>
      </c>
      <c r="T1881" s="8" t="b">
        <v>0</v>
      </c>
      <c r="U1881" s="8" t="b">
        <v>0</v>
      </c>
      <c r="V1881" s="8" t="b">
        <v>1</v>
      </c>
      <c r="X1881" s="8" t="b">
        <v>0</v>
      </c>
      <c r="Y1881" s="8" t="b">
        <v>0</v>
      </c>
      <c r="Z1881" s="8" t="b">
        <v>0</v>
      </c>
      <c r="AA1881" s="8" t="b">
        <v>0</v>
      </c>
      <c r="AB1881" s="8" t="b">
        <v>0</v>
      </c>
      <c r="AC1881" s="8" t="b">
        <v>0</v>
      </c>
      <c r="AD1881" s="8" t="b">
        <v>1</v>
      </c>
      <c r="AE1881" s="8" t="b">
        <v>0</v>
      </c>
      <c r="AG1881" s="11" t="b" cm="1">
        <f t="array" ref="AG1881">IF(OR(Y1881:AA1881="TRUE", AE1881="true"), "Threatened")</f>
        <v>0</v>
      </c>
      <c r="AH1881" s="11" t="s">
        <v>4824</v>
      </c>
      <c r="AI1881" s="8" t="b">
        <v>1</v>
      </c>
    </row>
    <row r="1882" spans="1:35" ht="31.2">
      <c r="A1882" s="8">
        <v>-73.967498460000002</v>
      </c>
      <c r="B1882" s="8">
        <v>40.774593830000001</v>
      </c>
      <c r="C1882" s="8" t="s">
        <v>4825</v>
      </c>
      <c r="D1882" s="8" t="s">
        <v>205</v>
      </c>
      <c r="E1882" s="8" t="b">
        <f t="shared" si="29"/>
        <v>0</v>
      </c>
      <c r="F1882" s="8" t="str" cm="1">
        <f t="array" ref="F1882">_xlfn._xlws.FILTER(E1882:E5080, C1882:C5080= "6D-PM-1020-01", "No Squirrels Found")</f>
        <v>No Squirrels Found</v>
      </c>
      <c r="G1882" s="8" t="s">
        <v>34</v>
      </c>
      <c r="H1882" s="10">
        <v>10102018</v>
      </c>
      <c r="I1882" s="10">
        <v>4</v>
      </c>
      <c r="J1882" s="8" t="s">
        <v>39</v>
      </c>
      <c r="K1882" s="8" t="s">
        <v>40</v>
      </c>
      <c r="M1882" s="8" t="s">
        <v>55</v>
      </c>
      <c r="O1882" s="8" t="s">
        <v>43</v>
      </c>
      <c r="P1882" s="8" t="b">
        <v>0</v>
      </c>
      <c r="R1882" s="8" t="b">
        <v>0</v>
      </c>
      <c r="S1882" s="8" t="b">
        <v>0</v>
      </c>
      <c r="T1882" s="8" t="b">
        <v>0</v>
      </c>
      <c r="U1882" s="8" t="b">
        <v>1</v>
      </c>
      <c r="V1882" s="8" t="b">
        <v>0</v>
      </c>
      <c r="X1882" s="8" t="b">
        <v>0</v>
      </c>
      <c r="Y1882" s="8" t="b">
        <v>0</v>
      </c>
      <c r="Z1882" s="8" t="b">
        <v>0</v>
      </c>
      <c r="AA1882" s="8" t="b">
        <v>0</v>
      </c>
      <c r="AB1882" s="8" t="b">
        <v>0</v>
      </c>
      <c r="AC1882" s="8" t="b">
        <v>0</v>
      </c>
      <c r="AD1882" s="8" t="b">
        <v>1</v>
      </c>
      <c r="AE1882" s="8" t="b">
        <v>0</v>
      </c>
      <c r="AG1882" s="11" t="b" cm="1">
        <f t="array" ref="AG1882">IF(OR(Y1882:AA1882="TRUE", AE1882="true"), "Threatened")</f>
        <v>0</v>
      </c>
      <c r="AH1882" s="11" t="s">
        <v>4826</v>
      </c>
      <c r="AI1882" s="8" t="b">
        <v>1</v>
      </c>
    </row>
    <row r="1883" spans="1:35" ht="31.2">
      <c r="A1883" s="8">
        <v>-73.954160150000007</v>
      </c>
      <c r="B1883" s="8">
        <v>40.790783269999999</v>
      </c>
      <c r="C1883" s="8" t="s">
        <v>4827</v>
      </c>
      <c r="D1883" s="8" t="s">
        <v>1028</v>
      </c>
      <c r="E1883" s="8" t="b">
        <f t="shared" si="29"/>
        <v>0</v>
      </c>
      <c r="F1883" s="8" t="str" cm="1">
        <f t="array" ref="F1883">_xlfn._xlws.FILTER(E1883:E5081, C1883:C5081= "6D-PM-1020-01", "No Squirrels Found")</f>
        <v>No Squirrels Found</v>
      </c>
      <c r="G1883" s="8" t="s">
        <v>34</v>
      </c>
      <c r="H1883" s="10">
        <v>10102018</v>
      </c>
      <c r="I1883" s="10">
        <v>4</v>
      </c>
      <c r="J1883" s="8" t="s">
        <v>39</v>
      </c>
      <c r="K1883" s="8" t="s">
        <v>40</v>
      </c>
      <c r="M1883" s="8" t="s">
        <v>55</v>
      </c>
      <c r="O1883" s="8" t="s">
        <v>43</v>
      </c>
      <c r="P1883" s="8" t="b">
        <v>0</v>
      </c>
      <c r="Q1883" s="8" t="s">
        <v>4828</v>
      </c>
      <c r="R1883" s="8" t="b">
        <v>1</v>
      </c>
      <c r="S1883" s="8" t="b">
        <v>0</v>
      </c>
      <c r="T1883" s="8" t="b">
        <v>1</v>
      </c>
      <c r="U1883" s="8" t="b">
        <v>0</v>
      </c>
      <c r="V1883" s="8" t="b">
        <v>0</v>
      </c>
      <c r="W1883" s="11" t="s">
        <v>99</v>
      </c>
      <c r="X1883" s="8" t="b">
        <v>0</v>
      </c>
      <c r="Y1883" s="8" t="b">
        <v>0</v>
      </c>
      <c r="Z1883" s="8" t="b">
        <v>0</v>
      </c>
      <c r="AA1883" s="8" t="b">
        <v>0</v>
      </c>
      <c r="AB1883" s="8" t="b">
        <v>0</v>
      </c>
      <c r="AC1883" s="8" t="b">
        <v>0</v>
      </c>
      <c r="AD1883" s="8" t="b">
        <v>0</v>
      </c>
      <c r="AE1883" s="8" t="b">
        <v>0</v>
      </c>
      <c r="AG1883" s="11" t="b" cm="1">
        <f t="array" ref="AG1883">IF(OR(Y1883:AA1883="TRUE", AE1883="true"), "Threatened")</f>
        <v>0</v>
      </c>
      <c r="AH1883" s="11" t="s">
        <v>4829</v>
      </c>
      <c r="AI1883" s="8" t="b">
        <v>0</v>
      </c>
    </row>
    <row r="1884" spans="1:35" ht="31.2">
      <c r="A1884" s="8">
        <v>-73.956810849999997</v>
      </c>
      <c r="B1884" s="8">
        <v>40.797172699999997</v>
      </c>
      <c r="C1884" s="8" t="s">
        <v>4830</v>
      </c>
      <c r="D1884" s="8" t="s">
        <v>1948</v>
      </c>
      <c r="E1884" s="8" t="b">
        <f t="shared" si="29"/>
        <v>0</v>
      </c>
      <c r="F1884" s="8" t="str" cm="1">
        <f t="array" ref="F1884">_xlfn._xlws.FILTER(E1884:E5082, C1884:C5082= "6D-PM-1020-01", "No Squirrels Found")</f>
        <v>No Squirrels Found</v>
      </c>
      <c r="G1884" s="8" t="s">
        <v>48</v>
      </c>
      <c r="H1884" s="10">
        <v>10082018</v>
      </c>
      <c r="I1884" s="10">
        <v>5</v>
      </c>
      <c r="J1884" s="8" t="s">
        <v>39</v>
      </c>
      <c r="K1884" s="8" t="s">
        <v>40</v>
      </c>
      <c r="M1884" s="8" t="s">
        <v>55</v>
      </c>
      <c r="O1884" s="8" t="s">
        <v>43</v>
      </c>
      <c r="P1884" s="8" t="b">
        <v>0</v>
      </c>
      <c r="R1884" s="8" t="b">
        <v>0</v>
      </c>
      <c r="S1884" s="8" t="b">
        <v>0</v>
      </c>
      <c r="T1884" s="8" t="b">
        <v>0</v>
      </c>
      <c r="U1884" s="8" t="b">
        <v>0</v>
      </c>
      <c r="V1884" s="8" t="b">
        <v>0</v>
      </c>
      <c r="X1884" s="8" t="b">
        <v>0</v>
      </c>
      <c r="Y1884" s="8" t="b">
        <v>0</v>
      </c>
      <c r="Z1884" s="8" t="b">
        <v>0</v>
      </c>
      <c r="AA1884" s="8" t="b">
        <v>0</v>
      </c>
      <c r="AB1884" s="8" t="b">
        <v>0</v>
      </c>
      <c r="AC1884" s="8" t="b">
        <v>0</v>
      </c>
      <c r="AD1884" s="8" t="b">
        <v>0</v>
      </c>
      <c r="AE1884" s="8" t="b">
        <v>0</v>
      </c>
      <c r="AG1884" s="11" t="b" cm="1">
        <f t="array" ref="AG1884">IF(OR(Y1884:AA1884="TRUE", AE1884="true"), "Threatened")</f>
        <v>0</v>
      </c>
      <c r="AH1884" s="11" t="s">
        <v>4831</v>
      </c>
      <c r="AI1884" s="8" t="b">
        <v>1</v>
      </c>
    </row>
    <row r="1885" spans="1:35" ht="31.2">
      <c r="A1885" s="8">
        <v>-73.973389850000004</v>
      </c>
      <c r="B1885" s="8">
        <v>40.76669751</v>
      </c>
      <c r="C1885" s="8" t="s">
        <v>4832</v>
      </c>
      <c r="D1885" s="8" t="s">
        <v>1902</v>
      </c>
      <c r="E1885" s="8" t="b">
        <f t="shared" si="29"/>
        <v>0</v>
      </c>
      <c r="F1885" s="8" t="str" cm="1">
        <f t="array" ref="F1885">_xlfn._xlws.FILTER(E1885:E5083, C1885:C5083= "6D-PM-1020-01", "No Squirrels Found")</f>
        <v>No Squirrels Found</v>
      </c>
      <c r="G1885" s="8" t="s">
        <v>34</v>
      </c>
      <c r="H1885" s="10">
        <v>10142018</v>
      </c>
      <c r="I1885" s="10">
        <v>2</v>
      </c>
      <c r="J1885" s="8" t="s">
        <v>39</v>
      </c>
      <c r="K1885" s="8" t="s">
        <v>40</v>
      </c>
      <c r="L1885" s="8" t="s">
        <v>41</v>
      </c>
      <c r="M1885" s="8" t="s">
        <v>42</v>
      </c>
      <c r="O1885" s="8" t="s">
        <v>43</v>
      </c>
      <c r="P1885" s="8" t="b">
        <v>0</v>
      </c>
      <c r="R1885" s="8" t="b">
        <v>1</v>
      </c>
      <c r="S1885" s="8" t="b">
        <v>0</v>
      </c>
      <c r="T1885" s="8" t="b">
        <v>0</v>
      </c>
      <c r="U1885" s="8" t="b">
        <v>0</v>
      </c>
      <c r="V1885" s="8" t="b">
        <v>0</v>
      </c>
      <c r="X1885" s="8" t="b">
        <v>0</v>
      </c>
      <c r="Y1885" s="8" t="b">
        <v>0</v>
      </c>
      <c r="Z1885" s="8" t="b">
        <v>0</v>
      </c>
      <c r="AA1885" s="8" t="b">
        <v>0</v>
      </c>
      <c r="AB1885" s="8" t="b">
        <v>1</v>
      </c>
      <c r="AC1885" s="8" t="b">
        <v>0</v>
      </c>
      <c r="AD1885" s="8" t="b">
        <v>0</v>
      </c>
      <c r="AE1885" s="8" t="b">
        <v>1</v>
      </c>
      <c r="AG1885" s="11" t="b" cm="1">
        <f t="array" ref="AG1885">IF(OR(Y1885:AA1885="TRUE", AE1885="true"), "Threatened")</f>
        <v>0</v>
      </c>
      <c r="AH1885" s="11" t="s">
        <v>4833</v>
      </c>
      <c r="AI1885" s="8" t="b">
        <v>1</v>
      </c>
    </row>
    <row r="1886" spans="1:35" ht="31.2">
      <c r="A1886" s="8">
        <v>-73.959417459999997</v>
      </c>
      <c r="B1886" s="8">
        <v>40.797312869999999</v>
      </c>
      <c r="C1886" s="8" t="s">
        <v>4834</v>
      </c>
      <c r="D1886" s="8" t="s">
        <v>442</v>
      </c>
      <c r="E1886" s="8" t="b">
        <f t="shared" si="29"/>
        <v>0</v>
      </c>
      <c r="F1886" s="8" t="str" cm="1">
        <f t="array" ref="F1886">_xlfn._xlws.FILTER(E1886:E5084, C1886:C5084= "6D-PM-1020-01", "No Squirrels Found")</f>
        <v>No Squirrels Found</v>
      </c>
      <c r="G1886" s="8" t="s">
        <v>48</v>
      </c>
      <c r="H1886" s="10">
        <v>10192018</v>
      </c>
      <c r="I1886" s="10">
        <v>2</v>
      </c>
      <c r="J1886" s="8" t="s">
        <v>54</v>
      </c>
      <c r="K1886" s="8" t="s">
        <v>40</v>
      </c>
      <c r="L1886" s="8" t="s">
        <v>117</v>
      </c>
      <c r="M1886" s="8" t="s">
        <v>118</v>
      </c>
      <c r="O1886" s="8" t="s">
        <v>43</v>
      </c>
      <c r="P1886" s="8" t="b">
        <v>0</v>
      </c>
      <c r="R1886" s="8" t="b">
        <v>0</v>
      </c>
      <c r="S1886" s="8" t="b">
        <v>0</v>
      </c>
      <c r="T1886" s="8" t="b">
        <v>0</v>
      </c>
      <c r="U1886" s="8" t="b">
        <v>1</v>
      </c>
      <c r="V1886" s="8" t="b">
        <v>1</v>
      </c>
      <c r="X1886" s="8" t="b">
        <v>0</v>
      </c>
      <c r="Y1886" s="8" t="b">
        <v>0</v>
      </c>
      <c r="Z1886" s="8" t="b">
        <v>0</v>
      </c>
      <c r="AA1886" s="8" t="b">
        <v>0</v>
      </c>
      <c r="AB1886" s="8" t="b">
        <v>1</v>
      </c>
      <c r="AC1886" s="8" t="b">
        <v>0</v>
      </c>
      <c r="AD1886" s="8" t="b">
        <v>1</v>
      </c>
      <c r="AE1886" s="8" t="b">
        <v>0</v>
      </c>
      <c r="AG1886" s="11" t="b" cm="1">
        <f t="array" ref="AG1886">IF(OR(Y1886:AA1886="TRUE", AE1886="true"), "Threatened")</f>
        <v>0</v>
      </c>
      <c r="AH1886" s="11" t="s">
        <v>4835</v>
      </c>
      <c r="AI1886" s="8" t="b">
        <v>1</v>
      </c>
    </row>
    <row r="1887" spans="1:35" ht="31.2">
      <c r="A1887" s="8">
        <v>-73.956806909999997</v>
      </c>
      <c r="B1887" s="8">
        <v>40.798773689999997</v>
      </c>
      <c r="C1887" s="8" t="s">
        <v>4836</v>
      </c>
      <c r="D1887" s="8" t="s">
        <v>1133</v>
      </c>
      <c r="E1887" s="8" t="b">
        <f t="shared" si="29"/>
        <v>0</v>
      </c>
      <c r="F1887" s="8" t="str" cm="1">
        <f t="array" ref="F1887">_xlfn._xlws.FILTER(E1887:E5085, C1887:C5085= "6D-PM-1020-01", "No Squirrels Found")</f>
        <v>No Squirrels Found</v>
      </c>
      <c r="G1887" s="8" t="s">
        <v>48</v>
      </c>
      <c r="H1887" s="10">
        <v>10172018</v>
      </c>
      <c r="I1887" s="10">
        <v>6</v>
      </c>
      <c r="J1887" s="8" t="s">
        <v>39</v>
      </c>
      <c r="K1887" s="8" t="s">
        <v>40</v>
      </c>
      <c r="M1887" s="8" t="s">
        <v>55</v>
      </c>
      <c r="O1887" s="8" t="s">
        <v>50</v>
      </c>
      <c r="P1887" s="8">
        <v>4</v>
      </c>
      <c r="R1887" s="8" t="b">
        <v>0</v>
      </c>
      <c r="S1887" s="8" t="b">
        <v>0</v>
      </c>
      <c r="T1887" s="8" t="b">
        <v>1</v>
      </c>
      <c r="U1887" s="8" t="b">
        <v>0</v>
      </c>
      <c r="V1887" s="8" t="b">
        <v>0</v>
      </c>
      <c r="X1887" s="8" t="b">
        <v>1</v>
      </c>
      <c r="Y1887" s="8" t="b">
        <v>0</v>
      </c>
      <c r="Z1887" s="8" t="b">
        <v>0</v>
      </c>
      <c r="AA1887" s="8" t="b">
        <v>0</v>
      </c>
      <c r="AB1887" s="8" t="b">
        <v>0</v>
      </c>
      <c r="AC1887" s="8" t="b">
        <v>0</v>
      </c>
      <c r="AD1887" s="8" t="b">
        <v>1</v>
      </c>
      <c r="AE1887" s="8" t="b">
        <v>0</v>
      </c>
      <c r="AG1887" s="11" t="b" cm="1">
        <f t="array" ref="AG1887">IF(OR(Y1887:AA1887="TRUE", AE1887="true"), "Threatened")</f>
        <v>0</v>
      </c>
      <c r="AH1887" s="11" t="s">
        <v>4837</v>
      </c>
      <c r="AI1887" s="8" t="b">
        <v>1</v>
      </c>
    </row>
    <row r="1888" spans="1:35" ht="31.2">
      <c r="A1888" s="8">
        <v>-73.958618419999993</v>
      </c>
      <c r="B1888" s="8">
        <v>40.799315380000003</v>
      </c>
      <c r="C1888" s="8" t="s">
        <v>4838</v>
      </c>
      <c r="D1888" s="8" t="s">
        <v>478</v>
      </c>
      <c r="E1888" s="8" t="b">
        <f t="shared" si="29"/>
        <v>0</v>
      </c>
      <c r="F1888" s="8" t="str" cm="1">
        <f t="array" ref="F1888">_xlfn._xlws.FILTER(E1888:E5086, C1888:C5086= "6D-PM-1020-01", "No Squirrels Found")</f>
        <v>No Squirrels Found</v>
      </c>
      <c r="G1888" s="8" t="s">
        <v>34</v>
      </c>
      <c r="H1888" s="10">
        <v>10072018</v>
      </c>
      <c r="I1888" s="10">
        <v>2</v>
      </c>
      <c r="J1888" s="8" t="s">
        <v>39</v>
      </c>
      <c r="K1888" s="8" t="s">
        <v>192</v>
      </c>
      <c r="M1888" s="8" t="s">
        <v>193</v>
      </c>
      <c r="O1888" s="8" t="s">
        <v>50</v>
      </c>
      <c r="P1888" s="8">
        <v>15</v>
      </c>
      <c r="R1888" s="8" t="b">
        <v>0</v>
      </c>
      <c r="S1888" s="8" t="b">
        <v>0</v>
      </c>
      <c r="T1888" s="8" t="b">
        <v>1</v>
      </c>
      <c r="U1888" s="8" t="b">
        <v>0</v>
      </c>
      <c r="V1888" s="8" t="b">
        <v>0</v>
      </c>
      <c r="W1888" s="11" t="s">
        <v>694</v>
      </c>
      <c r="X1888" s="8" t="b">
        <v>0</v>
      </c>
      <c r="Y1888" s="8" t="b">
        <v>0</v>
      </c>
      <c r="Z1888" s="8" t="b">
        <v>0</v>
      </c>
      <c r="AA1888" s="8" t="b">
        <v>0</v>
      </c>
      <c r="AB1888" s="8" t="b">
        <v>0</v>
      </c>
      <c r="AC1888" s="8" t="b">
        <v>0</v>
      </c>
      <c r="AD1888" s="8" t="b">
        <v>0</v>
      </c>
      <c r="AE1888" s="8" t="b">
        <v>0</v>
      </c>
      <c r="AF1888" s="11" t="s">
        <v>4365</v>
      </c>
      <c r="AG1888" s="11" t="b" cm="1">
        <f t="array" ref="AG1888">IF(OR(Y1888:AA1888="TRUE", AE1888="true"), "Threatened")</f>
        <v>0</v>
      </c>
      <c r="AH1888" s="11" t="s">
        <v>4839</v>
      </c>
      <c r="AI1888" s="8" t="b">
        <v>0</v>
      </c>
    </row>
    <row r="1889" spans="1:35" ht="31.2">
      <c r="A1889" s="8">
        <v>-73.967391910000003</v>
      </c>
      <c r="B1889" s="8">
        <v>40.778684579999997</v>
      </c>
      <c r="C1889" s="8" t="s">
        <v>4840</v>
      </c>
      <c r="D1889" s="8" t="s">
        <v>131</v>
      </c>
      <c r="E1889" s="8" t="b">
        <f t="shared" si="29"/>
        <v>0</v>
      </c>
      <c r="F1889" s="8" t="str" cm="1">
        <f t="array" ref="F1889">_xlfn._xlws.FILTER(E1889:E5087, C1889:C5087= "6D-PM-1020-01", "No Squirrels Found")</f>
        <v>No Squirrels Found</v>
      </c>
      <c r="G1889" s="8" t="s">
        <v>34</v>
      </c>
      <c r="H1889" s="10">
        <v>10202018</v>
      </c>
      <c r="I1889" s="10">
        <v>5</v>
      </c>
      <c r="J1889" s="8" t="s">
        <v>39</v>
      </c>
      <c r="K1889" s="8" t="s">
        <v>40</v>
      </c>
      <c r="M1889" s="8" t="s">
        <v>55</v>
      </c>
      <c r="O1889" s="8" t="s">
        <v>43</v>
      </c>
      <c r="P1889" s="8" t="b">
        <v>0</v>
      </c>
      <c r="R1889" s="8" t="b">
        <v>1</v>
      </c>
      <c r="S1889" s="8" t="b">
        <v>0</v>
      </c>
      <c r="T1889" s="8" t="b">
        <v>0</v>
      </c>
      <c r="U1889" s="8" t="b">
        <v>0</v>
      </c>
      <c r="V1889" s="8" t="b">
        <v>0</v>
      </c>
      <c r="X1889" s="8" t="b">
        <v>0</v>
      </c>
      <c r="Y1889" s="8" t="b">
        <v>0</v>
      </c>
      <c r="Z1889" s="8" t="b">
        <v>0</v>
      </c>
      <c r="AA1889" s="8" t="b">
        <v>0</v>
      </c>
      <c r="AB1889" s="8" t="b">
        <v>0</v>
      </c>
      <c r="AC1889" s="8" t="b">
        <v>0</v>
      </c>
      <c r="AD1889" s="8" t="b">
        <v>0</v>
      </c>
      <c r="AE1889" s="8" t="b">
        <v>0</v>
      </c>
      <c r="AG1889" s="11" t="b" cm="1">
        <f t="array" ref="AG1889">IF(OR(Y1889:AA1889="TRUE", AE1889="true"), "Threatened")</f>
        <v>0</v>
      </c>
      <c r="AH1889" s="11" t="s">
        <v>4841</v>
      </c>
      <c r="AI1889" s="8" t="b">
        <v>1</v>
      </c>
    </row>
    <row r="1890" spans="1:35" ht="31.2">
      <c r="A1890" s="8">
        <v>-73.967931980000003</v>
      </c>
      <c r="B1890" s="8">
        <v>40.782115480000002</v>
      </c>
      <c r="C1890" s="8" t="s">
        <v>4842</v>
      </c>
      <c r="D1890" s="8" t="s">
        <v>1038</v>
      </c>
      <c r="E1890" s="8" t="b">
        <f t="shared" si="29"/>
        <v>0</v>
      </c>
      <c r="F1890" s="8" t="str" cm="1">
        <f t="array" ref="F1890">_xlfn._xlws.FILTER(E1890:E5088, C1890:C5088= "6D-PM-1020-01", "No Squirrels Found")</f>
        <v>No Squirrels Found</v>
      </c>
      <c r="G1890" s="8" t="s">
        <v>34</v>
      </c>
      <c r="H1890" s="10">
        <v>10182018</v>
      </c>
      <c r="I1890" s="10">
        <v>7</v>
      </c>
      <c r="J1890" s="8" t="s">
        <v>54</v>
      </c>
      <c r="K1890" s="8" t="s">
        <v>41</v>
      </c>
      <c r="L1890" s="8" t="s">
        <v>84</v>
      </c>
      <c r="M1890" s="8" t="s">
        <v>85</v>
      </c>
      <c r="O1890" s="8" t="s">
        <v>43</v>
      </c>
      <c r="P1890" s="8" t="b">
        <v>0</v>
      </c>
      <c r="R1890" s="8" t="b">
        <v>1</v>
      </c>
      <c r="S1890" s="8" t="b">
        <v>0</v>
      </c>
      <c r="T1890" s="8" t="b">
        <v>0</v>
      </c>
      <c r="U1890" s="8" t="b">
        <v>0</v>
      </c>
      <c r="V1890" s="8" t="b">
        <v>0</v>
      </c>
      <c r="X1890" s="8" t="b">
        <v>0</v>
      </c>
      <c r="Y1890" s="8" t="b">
        <v>0</v>
      </c>
      <c r="Z1890" s="8" t="b">
        <v>0</v>
      </c>
      <c r="AA1890" s="8" t="b">
        <v>0</v>
      </c>
      <c r="AB1890" s="8" t="b">
        <v>0</v>
      </c>
      <c r="AC1890" s="8" t="b">
        <v>0</v>
      </c>
      <c r="AD1890" s="8" t="b">
        <v>0</v>
      </c>
      <c r="AE1890" s="8" t="b">
        <v>0</v>
      </c>
      <c r="AG1890" s="11" t="b" cm="1">
        <f t="array" ref="AG1890">IF(OR(Y1890:AA1890="TRUE", AE1890="true"), "Threatened")</f>
        <v>0</v>
      </c>
      <c r="AH1890" s="11" t="s">
        <v>4843</v>
      </c>
      <c r="AI1890" s="8" t="b">
        <v>1</v>
      </c>
    </row>
    <row r="1891" spans="1:35" ht="31.2">
      <c r="A1891" s="8">
        <v>-73.978772309999997</v>
      </c>
      <c r="B1891" s="8">
        <v>40.771365580000001</v>
      </c>
      <c r="C1891" s="8" t="s">
        <v>4844</v>
      </c>
      <c r="D1891" s="8" t="s">
        <v>342</v>
      </c>
      <c r="E1891" s="8" t="b">
        <f t="shared" si="29"/>
        <v>0</v>
      </c>
      <c r="F1891" s="8" t="str" cm="1">
        <f t="array" ref="F1891">_xlfn._xlws.FILTER(E1891:E5089, C1891:C5089= "6D-PM-1020-01", "No Squirrels Found")</f>
        <v>No Squirrels Found</v>
      </c>
      <c r="G1891" s="8" t="s">
        <v>34</v>
      </c>
      <c r="H1891" s="10">
        <v>10102018</v>
      </c>
      <c r="I1891" s="10">
        <v>3</v>
      </c>
      <c r="J1891" s="8" t="s">
        <v>39</v>
      </c>
      <c r="K1891" s="8" t="s">
        <v>40</v>
      </c>
      <c r="M1891" s="8" t="s">
        <v>55</v>
      </c>
      <c r="O1891" s="8" t="s">
        <v>50</v>
      </c>
      <c r="P1891" s="8">
        <v>30</v>
      </c>
      <c r="R1891" s="8" t="b">
        <v>0</v>
      </c>
      <c r="S1891" s="8" t="b">
        <v>0</v>
      </c>
      <c r="T1891" s="8" t="b">
        <v>1</v>
      </c>
      <c r="U1891" s="8" t="b">
        <v>0</v>
      </c>
      <c r="V1891" s="8" t="b">
        <v>0</v>
      </c>
      <c r="X1891" s="8" t="b">
        <v>0</v>
      </c>
      <c r="Y1891" s="8" t="b">
        <v>0</v>
      </c>
      <c r="Z1891" s="8" t="b">
        <v>0</v>
      </c>
      <c r="AA1891" s="8" t="b">
        <v>0</v>
      </c>
      <c r="AB1891" s="8" t="b">
        <v>0</v>
      </c>
      <c r="AC1891" s="8" t="b">
        <v>0</v>
      </c>
      <c r="AD1891" s="8" t="b">
        <v>0</v>
      </c>
      <c r="AE1891" s="8" t="b">
        <v>0</v>
      </c>
      <c r="AG1891" s="11" t="b" cm="1">
        <f t="array" ref="AG1891">IF(OR(Y1891:AA1891="TRUE", AE1891="true"), "Threatened")</f>
        <v>0</v>
      </c>
      <c r="AH1891" s="11" t="s">
        <v>4845</v>
      </c>
      <c r="AI1891" s="8" t="b">
        <v>1</v>
      </c>
    </row>
    <row r="1892" spans="1:35" ht="31.2">
      <c r="A1892" s="8">
        <v>-73.974964159999999</v>
      </c>
      <c r="B1892" s="8">
        <v>40.767330510000001</v>
      </c>
      <c r="C1892" s="8" t="s">
        <v>4846</v>
      </c>
      <c r="D1892" s="8" t="s">
        <v>1706</v>
      </c>
      <c r="E1892" s="8" t="b">
        <f t="shared" si="29"/>
        <v>0</v>
      </c>
      <c r="F1892" s="8" t="str" cm="1">
        <f t="array" ref="F1892">_xlfn._xlws.FILTER(E1892:E5090, C1892:C5090= "6D-PM-1020-01", "No Squirrels Found")</f>
        <v>No Squirrels Found</v>
      </c>
      <c r="G1892" s="8" t="s">
        <v>48</v>
      </c>
      <c r="H1892" s="10">
        <v>10062018</v>
      </c>
      <c r="I1892" s="10">
        <v>5</v>
      </c>
      <c r="J1892" s="8" t="s">
        <v>39</v>
      </c>
      <c r="K1892" s="8" t="s">
        <v>41</v>
      </c>
      <c r="L1892" s="8" t="s">
        <v>40</v>
      </c>
      <c r="M1892" s="8" t="s">
        <v>110</v>
      </c>
      <c r="O1892" s="8" t="s">
        <v>50</v>
      </c>
      <c r="P1892" s="8">
        <v>3</v>
      </c>
      <c r="R1892" s="8" t="b">
        <v>0</v>
      </c>
      <c r="S1892" s="8" t="b">
        <v>0</v>
      </c>
      <c r="T1892" s="8" t="b">
        <v>1</v>
      </c>
      <c r="U1892" s="8" t="b">
        <v>1</v>
      </c>
      <c r="V1892" s="8" t="b">
        <v>0</v>
      </c>
      <c r="X1892" s="8" t="b">
        <v>0</v>
      </c>
      <c r="Y1892" s="8" t="b">
        <v>0</v>
      </c>
      <c r="Z1892" s="8" t="b">
        <v>0</v>
      </c>
      <c r="AA1892" s="8" t="b">
        <v>0</v>
      </c>
      <c r="AB1892" s="8" t="b">
        <v>0</v>
      </c>
      <c r="AC1892" s="8" t="b">
        <v>0</v>
      </c>
      <c r="AD1892" s="8" t="b">
        <v>0</v>
      </c>
      <c r="AE1892" s="8" t="b">
        <v>1</v>
      </c>
      <c r="AG1892" s="11" t="b" cm="1">
        <f t="array" ref="AG1892">IF(OR(Y1892:AA1892="TRUE", AE1892="true"), "Threatened")</f>
        <v>0</v>
      </c>
      <c r="AH1892" s="11" t="s">
        <v>4847</v>
      </c>
      <c r="AI1892" s="8" t="b">
        <v>1</v>
      </c>
    </row>
    <row r="1893" spans="1:35" ht="31.2">
      <c r="A1893" s="8">
        <v>-73.974590899999995</v>
      </c>
      <c r="B1893" s="8">
        <v>40.765519150000003</v>
      </c>
      <c r="C1893" s="8" t="s">
        <v>4848</v>
      </c>
      <c r="D1893" s="8" t="s">
        <v>966</v>
      </c>
      <c r="E1893" s="8" t="b">
        <f t="shared" si="29"/>
        <v>0</v>
      </c>
      <c r="F1893" s="8" t="str" cm="1">
        <f t="array" ref="F1893">_xlfn._xlws.FILTER(E1893:E5091, C1893:C5091= "6D-PM-1020-01", "No Squirrels Found")</f>
        <v>No Squirrels Found</v>
      </c>
      <c r="G1893" s="8" t="s">
        <v>48</v>
      </c>
      <c r="H1893" s="10">
        <v>10062018</v>
      </c>
      <c r="I1893" s="10">
        <v>3</v>
      </c>
      <c r="J1893" s="8" t="s">
        <v>39</v>
      </c>
      <c r="K1893" s="8" t="s">
        <v>192</v>
      </c>
      <c r="L1893" s="8" t="s">
        <v>41</v>
      </c>
      <c r="M1893" s="8" t="s">
        <v>717</v>
      </c>
      <c r="O1893" s="8" t="s">
        <v>43</v>
      </c>
      <c r="P1893" s="8" t="b">
        <v>0</v>
      </c>
      <c r="R1893" s="8" t="b">
        <v>0</v>
      </c>
      <c r="S1893" s="8" t="b">
        <v>1</v>
      </c>
      <c r="T1893" s="8" t="b">
        <v>0</v>
      </c>
      <c r="U1893" s="8" t="b">
        <v>0</v>
      </c>
      <c r="V1893" s="8" t="b">
        <v>1</v>
      </c>
      <c r="X1893" s="8" t="b">
        <v>0</v>
      </c>
      <c r="Y1893" s="8" t="b">
        <v>0</v>
      </c>
      <c r="Z1893" s="8" t="b">
        <v>0</v>
      </c>
      <c r="AA1893" s="8" t="b">
        <v>0</v>
      </c>
      <c r="AB1893" s="8" t="b">
        <v>0</v>
      </c>
      <c r="AC1893" s="8" t="b">
        <v>1</v>
      </c>
      <c r="AD1893" s="8" t="b">
        <v>0</v>
      </c>
      <c r="AE1893" s="8" t="b">
        <v>0</v>
      </c>
      <c r="AG1893" s="11" t="b" cm="1">
        <f t="array" ref="AG1893">IF(OR(Y1893:AA1893="TRUE", AE1893="true"), "Threatened")</f>
        <v>0</v>
      </c>
      <c r="AH1893" s="11" t="s">
        <v>4849</v>
      </c>
      <c r="AI1893" s="8" t="b">
        <v>1</v>
      </c>
    </row>
    <row r="1894" spans="1:35" ht="31.2">
      <c r="A1894" s="8">
        <v>-73.970810830000005</v>
      </c>
      <c r="B1894" s="8">
        <v>40.777397579999999</v>
      </c>
      <c r="C1894" s="8" t="s">
        <v>4850</v>
      </c>
      <c r="D1894" s="8" t="s">
        <v>741</v>
      </c>
      <c r="E1894" s="8" t="b">
        <f t="shared" si="29"/>
        <v>0</v>
      </c>
      <c r="F1894" s="8" t="str" cm="1">
        <f t="array" ref="F1894">_xlfn._xlws.FILTER(E1894:E5092, C1894:C5092= "6D-PM-1020-01", "No Squirrels Found")</f>
        <v>No Squirrels Found</v>
      </c>
      <c r="G1894" s="8" t="s">
        <v>34</v>
      </c>
      <c r="H1894" s="10">
        <v>10192018</v>
      </c>
      <c r="I1894" s="10">
        <v>9</v>
      </c>
      <c r="J1894" s="8" t="s">
        <v>39</v>
      </c>
      <c r="K1894" s="8" t="s">
        <v>40</v>
      </c>
      <c r="L1894" s="8" t="s">
        <v>41</v>
      </c>
      <c r="M1894" s="8" t="s">
        <v>42</v>
      </c>
      <c r="O1894" s="8" t="s">
        <v>43</v>
      </c>
      <c r="P1894" s="8" t="b">
        <v>0</v>
      </c>
      <c r="R1894" s="8" t="b">
        <v>1</v>
      </c>
      <c r="S1894" s="8" t="b">
        <v>0</v>
      </c>
      <c r="T1894" s="8" t="b">
        <v>0</v>
      </c>
      <c r="U1894" s="8" t="b">
        <v>0</v>
      </c>
      <c r="V1894" s="8" t="b">
        <v>0</v>
      </c>
      <c r="X1894" s="8" t="b">
        <v>0</v>
      </c>
      <c r="Y1894" s="8" t="b">
        <v>0</v>
      </c>
      <c r="Z1894" s="8" t="b">
        <v>0</v>
      </c>
      <c r="AA1894" s="8" t="b">
        <v>0</v>
      </c>
      <c r="AB1894" s="8" t="b">
        <v>0</v>
      </c>
      <c r="AC1894" s="8" t="b">
        <v>0</v>
      </c>
      <c r="AD1894" s="8" t="b">
        <v>0</v>
      </c>
      <c r="AE1894" s="8" t="b">
        <v>1</v>
      </c>
      <c r="AG1894" s="11" t="b" cm="1">
        <f t="array" ref="AG1894">IF(OR(Y1894:AA1894="TRUE", AE1894="true"), "Threatened")</f>
        <v>0</v>
      </c>
      <c r="AH1894" s="11" t="s">
        <v>4851</v>
      </c>
      <c r="AI1894" s="8" t="b">
        <v>1</v>
      </c>
    </row>
    <row r="1895" spans="1:35" ht="31.2">
      <c r="A1895" s="8">
        <v>-73.969978089999998</v>
      </c>
      <c r="B1895" s="8">
        <v>40.7688706</v>
      </c>
      <c r="C1895" s="8" t="s">
        <v>4852</v>
      </c>
      <c r="D1895" s="8" t="s">
        <v>242</v>
      </c>
      <c r="E1895" s="8" t="b">
        <f t="shared" si="29"/>
        <v>0</v>
      </c>
      <c r="F1895" s="8" t="str" cm="1">
        <f t="array" ref="F1895">_xlfn._xlws.FILTER(E1895:E5093, C1895:C5093= "6D-PM-1020-01", "No Squirrels Found")</f>
        <v>No Squirrels Found</v>
      </c>
      <c r="G1895" s="8" t="s">
        <v>34</v>
      </c>
      <c r="H1895" s="10">
        <v>10132018</v>
      </c>
      <c r="I1895" s="10">
        <v>1</v>
      </c>
      <c r="J1895" s="8" t="s">
        <v>39</v>
      </c>
      <c r="K1895" s="8" t="s">
        <v>40</v>
      </c>
      <c r="L1895" s="8" t="s">
        <v>192</v>
      </c>
      <c r="M1895" s="8" t="s">
        <v>354</v>
      </c>
      <c r="O1895" s="8" t="s">
        <v>43</v>
      </c>
      <c r="P1895" s="8" t="b">
        <v>0</v>
      </c>
      <c r="R1895" s="8" t="b">
        <v>1</v>
      </c>
      <c r="S1895" s="8" t="b">
        <v>0</v>
      </c>
      <c r="T1895" s="8" t="b">
        <v>0</v>
      </c>
      <c r="U1895" s="8" t="b">
        <v>0</v>
      </c>
      <c r="V1895" s="8" t="b">
        <v>0</v>
      </c>
      <c r="X1895" s="8" t="b">
        <v>0</v>
      </c>
      <c r="Y1895" s="8" t="b">
        <v>0</v>
      </c>
      <c r="Z1895" s="8" t="b">
        <v>0</v>
      </c>
      <c r="AA1895" s="8" t="b">
        <v>0</v>
      </c>
      <c r="AB1895" s="8" t="b">
        <v>1</v>
      </c>
      <c r="AC1895" s="8" t="b">
        <v>0</v>
      </c>
      <c r="AD1895" s="8" t="b">
        <v>1</v>
      </c>
      <c r="AE1895" s="8" t="b">
        <v>0</v>
      </c>
      <c r="AG1895" s="11" t="b" cm="1">
        <f t="array" ref="AG1895">IF(OR(Y1895:AA1895="TRUE", AE1895="true"), "Threatened")</f>
        <v>0</v>
      </c>
      <c r="AH1895" s="11" t="s">
        <v>4853</v>
      </c>
      <c r="AI1895" s="8" t="b">
        <v>1</v>
      </c>
    </row>
    <row r="1896" spans="1:35" ht="31.2">
      <c r="A1896" s="8">
        <v>-73.954699660000003</v>
      </c>
      <c r="B1896" s="8">
        <v>40.795130890000003</v>
      </c>
      <c r="C1896" s="8" t="s">
        <v>4854</v>
      </c>
      <c r="D1896" s="8" t="s">
        <v>378</v>
      </c>
      <c r="E1896" s="8" t="b">
        <f t="shared" si="29"/>
        <v>0</v>
      </c>
      <c r="F1896" s="8" t="str" cm="1">
        <f t="array" ref="F1896">_xlfn._xlws.FILTER(E1896:E5094, C1896:C5094= "6D-PM-1020-01", "No Squirrels Found")</f>
        <v>No Squirrels Found</v>
      </c>
      <c r="G1896" s="8" t="s">
        <v>48</v>
      </c>
      <c r="H1896" s="10">
        <v>10182018</v>
      </c>
      <c r="I1896" s="10">
        <v>2</v>
      </c>
      <c r="J1896" s="8" t="s">
        <v>39</v>
      </c>
      <c r="K1896" s="8" t="s">
        <v>40</v>
      </c>
      <c r="L1896" s="8" t="s">
        <v>117</v>
      </c>
      <c r="M1896" s="8" t="s">
        <v>118</v>
      </c>
      <c r="O1896" s="8" t="s">
        <v>43</v>
      </c>
      <c r="P1896" s="8" t="b">
        <v>0</v>
      </c>
      <c r="R1896" s="8" t="b">
        <v>1</v>
      </c>
      <c r="S1896" s="8" t="b">
        <v>0</v>
      </c>
      <c r="T1896" s="8" t="b">
        <v>0</v>
      </c>
      <c r="U1896" s="8" t="b">
        <v>0</v>
      </c>
      <c r="V1896" s="8" t="b">
        <v>0</v>
      </c>
      <c r="X1896" s="8" t="b">
        <v>0</v>
      </c>
      <c r="Y1896" s="8" t="b">
        <v>0</v>
      </c>
      <c r="Z1896" s="8" t="b">
        <v>0</v>
      </c>
      <c r="AA1896" s="8" t="b">
        <v>0</v>
      </c>
      <c r="AB1896" s="8" t="b">
        <v>0</v>
      </c>
      <c r="AC1896" s="8" t="b">
        <v>0</v>
      </c>
      <c r="AD1896" s="8" t="b">
        <v>1</v>
      </c>
      <c r="AE1896" s="8" t="b">
        <v>0</v>
      </c>
      <c r="AG1896" s="11" t="b" cm="1">
        <f t="array" ref="AG1896">IF(OR(Y1896:AA1896="TRUE", AE1896="true"), "Threatened")</f>
        <v>0</v>
      </c>
      <c r="AH1896" s="11" t="s">
        <v>4855</v>
      </c>
      <c r="AI1896" s="8" t="b">
        <v>1</v>
      </c>
    </row>
    <row r="1897" spans="1:35" ht="31.2">
      <c r="A1897" s="8">
        <v>-73.973998080000001</v>
      </c>
      <c r="B1897" s="8">
        <v>40.773902909999997</v>
      </c>
      <c r="C1897" s="8" t="s">
        <v>4856</v>
      </c>
      <c r="D1897" s="8" t="s">
        <v>845</v>
      </c>
      <c r="E1897" s="8" t="b">
        <f t="shared" si="29"/>
        <v>0</v>
      </c>
      <c r="F1897" s="8" t="str" cm="1">
        <f t="array" ref="F1897">_xlfn._xlws.FILTER(E1897:E5095, C1897:C5095= "6D-PM-1020-01", "No Squirrels Found")</f>
        <v>No Squirrels Found</v>
      </c>
      <c r="G1897" s="8" t="s">
        <v>34</v>
      </c>
      <c r="H1897" s="10">
        <v>10132018</v>
      </c>
      <c r="I1897" s="10">
        <v>1</v>
      </c>
      <c r="J1897" s="8" t="s">
        <v>39</v>
      </c>
      <c r="K1897" s="8" t="s">
        <v>40</v>
      </c>
      <c r="L1897" s="8" t="s">
        <v>41</v>
      </c>
      <c r="M1897" s="8" t="s">
        <v>42</v>
      </c>
      <c r="O1897" s="8" t="s">
        <v>43</v>
      </c>
      <c r="P1897" s="8" t="b">
        <v>0</v>
      </c>
      <c r="R1897" s="8" t="b">
        <v>0</v>
      </c>
      <c r="S1897" s="8" t="b">
        <v>0</v>
      </c>
      <c r="T1897" s="8" t="b">
        <v>0</v>
      </c>
      <c r="U1897" s="8" t="b">
        <v>0</v>
      </c>
      <c r="V1897" s="8" t="b">
        <v>1</v>
      </c>
      <c r="X1897" s="8" t="b">
        <v>0</v>
      </c>
      <c r="Y1897" s="8" t="b">
        <v>0</v>
      </c>
      <c r="Z1897" s="8" t="b">
        <v>0</v>
      </c>
      <c r="AA1897" s="8" t="b">
        <v>0</v>
      </c>
      <c r="AB1897" s="8" t="b">
        <v>1</v>
      </c>
      <c r="AC1897" s="8" t="b">
        <v>0</v>
      </c>
      <c r="AD1897" s="8" t="b">
        <v>0</v>
      </c>
      <c r="AE1897" s="8" t="b">
        <v>1</v>
      </c>
      <c r="AG1897" s="11" t="b" cm="1">
        <f t="array" ref="AG1897">IF(OR(Y1897:AA1897="TRUE", AE1897="true"), "Threatened")</f>
        <v>0</v>
      </c>
      <c r="AH1897" s="11" t="s">
        <v>4857</v>
      </c>
      <c r="AI1897" s="8" t="b">
        <v>1</v>
      </c>
    </row>
    <row r="1898" spans="1:35" ht="31.2">
      <c r="A1898" s="8">
        <v>-73.971073899999993</v>
      </c>
      <c r="B1898" s="8">
        <v>40.772326579999998</v>
      </c>
      <c r="C1898" s="8" t="s">
        <v>4858</v>
      </c>
      <c r="D1898" s="8" t="s">
        <v>329</v>
      </c>
      <c r="E1898" s="8" t="b">
        <f t="shared" si="29"/>
        <v>0</v>
      </c>
      <c r="F1898" s="8" t="str" cm="1">
        <f t="array" ref="F1898">_xlfn._xlws.FILTER(E1898:E5096, C1898:C5096= "6D-PM-1020-01", "No Squirrels Found")</f>
        <v>No Squirrels Found</v>
      </c>
      <c r="G1898" s="8" t="s">
        <v>34</v>
      </c>
      <c r="H1898" s="10">
        <v>10192018</v>
      </c>
      <c r="I1898" s="10">
        <v>7</v>
      </c>
      <c r="J1898" s="8" t="s">
        <v>39</v>
      </c>
      <c r="K1898" s="8" t="s">
        <v>40</v>
      </c>
      <c r="L1898" s="8" t="s">
        <v>41</v>
      </c>
      <c r="M1898" s="8" t="s">
        <v>42</v>
      </c>
      <c r="O1898" s="8" t="s">
        <v>50</v>
      </c>
      <c r="P1898" s="8">
        <v>10</v>
      </c>
      <c r="Q1898" s="8" t="s">
        <v>4859</v>
      </c>
      <c r="R1898" s="8" t="b">
        <v>0</v>
      </c>
      <c r="S1898" s="8" t="b">
        <v>0</v>
      </c>
      <c r="T1898" s="8" t="b">
        <v>1</v>
      </c>
      <c r="U1898" s="8" t="b">
        <v>0</v>
      </c>
      <c r="V1898" s="8" t="b">
        <v>0</v>
      </c>
      <c r="X1898" s="8" t="b">
        <v>0</v>
      </c>
      <c r="Y1898" s="8" t="b">
        <v>0</v>
      </c>
      <c r="Z1898" s="8" t="b">
        <v>0</v>
      </c>
      <c r="AA1898" s="8" t="b">
        <v>0</v>
      </c>
      <c r="AB1898" s="8" t="b">
        <v>0</v>
      </c>
      <c r="AC1898" s="8" t="b">
        <v>0</v>
      </c>
      <c r="AD1898" s="8" t="b">
        <v>1</v>
      </c>
      <c r="AE1898" s="8" t="b">
        <v>0</v>
      </c>
      <c r="AG1898" s="11" t="b" cm="1">
        <f t="array" ref="AG1898">IF(OR(Y1898:AA1898="TRUE", AE1898="true"), "Threatened")</f>
        <v>0</v>
      </c>
      <c r="AH1898" s="11" t="s">
        <v>4860</v>
      </c>
      <c r="AI1898" s="8" t="b">
        <v>1</v>
      </c>
    </row>
    <row r="1899" spans="1:35" ht="31.2">
      <c r="A1899" s="8">
        <v>-73.972126309999993</v>
      </c>
      <c r="B1899" s="8">
        <v>40.769876379999999</v>
      </c>
      <c r="C1899" s="8" t="s">
        <v>4861</v>
      </c>
      <c r="D1899" s="8" t="s">
        <v>413</v>
      </c>
      <c r="E1899" s="8" t="b">
        <f t="shared" si="29"/>
        <v>0</v>
      </c>
      <c r="F1899" s="8" t="str" cm="1">
        <f t="array" ref="F1899">_xlfn._xlws.FILTER(E1899:E5097, C1899:C5097= "6D-PM-1020-01", "No Squirrels Found")</f>
        <v>No Squirrels Found</v>
      </c>
      <c r="G1899" s="8" t="s">
        <v>34</v>
      </c>
      <c r="H1899" s="10">
        <v>10182018</v>
      </c>
      <c r="I1899" s="10">
        <v>1</v>
      </c>
      <c r="J1899" s="8" t="s">
        <v>39</v>
      </c>
      <c r="K1899" s="8" t="s">
        <v>40</v>
      </c>
      <c r="L1899" s="8" t="s">
        <v>117</v>
      </c>
      <c r="M1899" s="8" t="s">
        <v>118</v>
      </c>
      <c r="O1899" s="8" t="s">
        <v>43</v>
      </c>
      <c r="P1899" s="8" t="b">
        <v>0</v>
      </c>
      <c r="R1899" s="8" t="b">
        <v>0</v>
      </c>
      <c r="S1899" s="8" t="b">
        <v>0</v>
      </c>
      <c r="T1899" s="8" t="b">
        <v>0</v>
      </c>
      <c r="U1899" s="8" t="b">
        <v>1</v>
      </c>
      <c r="V1899" s="8" t="b">
        <v>0</v>
      </c>
      <c r="X1899" s="8" t="b">
        <v>0</v>
      </c>
      <c r="Y1899" s="8" t="b">
        <v>0</v>
      </c>
      <c r="Z1899" s="8" t="b">
        <v>0</v>
      </c>
      <c r="AA1899" s="8" t="b">
        <v>0</v>
      </c>
      <c r="AB1899" s="8" t="b">
        <v>0</v>
      </c>
      <c r="AC1899" s="8" t="b">
        <v>0</v>
      </c>
      <c r="AD1899" s="8" t="b">
        <v>1</v>
      </c>
      <c r="AE1899" s="8" t="b">
        <v>0</v>
      </c>
      <c r="AG1899" s="11" t="b" cm="1">
        <f t="array" ref="AG1899">IF(OR(Y1899:AA1899="TRUE", AE1899="true"), "Threatened")</f>
        <v>0</v>
      </c>
      <c r="AH1899" s="11" t="s">
        <v>4862</v>
      </c>
      <c r="AI1899" s="8" t="b">
        <v>1</v>
      </c>
    </row>
    <row r="1900" spans="1:35" ht="31.2">
      <c r="A1900" s="8">
        <v>-73.976431410000004</v>
      </c>
      <c r="B1900" s="8">
        <v>40.773645809999998</v>
      </c>
      <c r="C1900" s="8" t="s">
        <v>4863</v>
      </c>
      <c r="D1900" s="8" t="s">
        <v>249</v>
      </c>
      <c r="E1900" s="8" t="b">
        <f t="shared" si="29"/>
        <v>0</v>
      </c>
      <c r="F1900" s="8" t="str" cm="1">
        <f t="array" ref="F1900">_xlfn._xlws.FILTER(E1900:E5098, C1900:C5098= "6D-PM-1020-01", "No Squirrels Found")</f>
        <v>No Squirrels Found</v>
      </c>
      <c r="G1900" s="8" t="s">
        <v>48</v>
      </c>
      <c r="H1900" s="10">
        <v>10072018</v>
      </c>
      <c r="I1900" s="10">
        <v>2</v>
      </c>
      <c r="J1900" s="8" t="s">
        <v>39</v>
      </c>
      <c r="K1900" s="8" t="s">
        <v>40</v>
      </c>
      <c r="M1900" s="8" t="s">
        <v>55</v>
      </c>
      <c r="O1900" s="8" t="s">
        <v>50</v>
      </c>
      <c r="P1900" s="8">
        <v>20</v>
      </c>
      <c r="R1900" s="8" t="b">
        <v>0</v>
      </c>
      <c r="S1900" s="8" t="b">
        <v>0</v>
      </c>
      <c r="T1900" s="8" t="b">
        <v>1</v>
      </c>
      <c r="U1900" s="8" t="b">
        <v>0</v>
      </c>
      <c r="V1900" s="8" t="b">
        <v>0</v>
      </c>
      <c r="X1900" s="8" t="b">
        <v>0</v>
      </c>
      <c r="Y1900" s="8" t="b">
        <v>0</v>
      </c>
      <c r="Z1900" s="8" t="b">
        <v>0</v>
      </c>
      <c r="AA1900" s="8" t="b">
        <v>0</v>
      </c>
      <c r="AB1900" s="8" t="b">
        <v>0</v>
      </c>
      <c r="AC1900" s="8" t="b">
        <v>0</v>
      </c>
      <c r="AD1900" s="8" t="b">
        <v>1</v>
      </c>
      <c r="AE1900" s="8" t="b">
        <v>0</v>
      </c>
      <c r="AG1900" s="11" t="b" cm="1">
        <f t="array" ref="AG1900">IF(OR(Y1900:AA1900="TRUE", AE1900="true"), "Threatened")</f>
        <v>0</v>
      </c>
      <c r="AH1900" s="11" t="s">
        <v>4864</v>
      </c>
      <c r="AI1900" s="8" t="b">
        <v>1</v>
      </c>
    </row>
    <row r="1901" spans="1:35" ht="31.2">
      <c r="A1901" s="8">
        <v>-73.952922479999998</v>
      </c>
      <c r="B1901" s="8">
        <v>40.796189579999997</v>
      </c>
      <c r="C1901" s="8" t="s">
        <v>4865</v>
      </c>
      <c r="D1901" s="8" t="s">
        <v>1292</v>
      </c>
      <c r="E1901" s="8" t="b">
        <f t="shared" si="29"/>
        <v>0</v>
      </c>
      <c r="F1901" s="8" t="str" cm="1">
        <f t="array" ref="F1901">_xlfn._xlws.FILTER(E1901:E5099, C1901:C5099= "6D-PM-1020-01", "No Squirrels Found")</f>
        <v>No Squirrels Found</v>
      </c>
      <c r="G1901" s="8" t="s">
        <v>34</v>
      </c>
      <c r="H1901" s="10">
        <v>10132018</v>
      </c>
      <c r="I1901" s="10">
        <v>5</v>
      </c>
      <c r="J1901" s="8" t="s">
        <v>39</v>
      </c>
      <c r="K1901" s="8" t="s">
        <v>40</v>
      </c>
      <c r="M1901" s="8" t="s">
        <v>55</v>
      </c>
      <c r="O1901" s="8" t="s">
        <v>43</v>
      </c>
      <c r="P1901" s="8" t="b">
        <v>0</v>
      </c>
      <c r="R1901" s="8" t="b">
        <v>1</v>
      </c>
      <c r="S1901" s="8" t="b">
        <v>0</v>
      </c>
      <c r="T1901" s="8" t="b">
        <v>0</v>
      </c>
      <c r="U1901" s="8" t="b">
        <v>0</v>
      </c>
      <c r="V1901" s="8" t="b">
        <v>0</v>
      </c>
      <c r="X1901" s="8" t="b">
        <v>0</v>
      </c>
      <c r="Y1901" s="8" t="b">
        <v>0</v>
      </c>
      <c r="Z1901" s="8" t="b">
        <v>0</v>
      </c>
      <c r="AA1901" s="8" t="b">
        <v>0</v>
      </c>
      <c r="AB1901" s="8" t="b">
        <v>0</v>
      </c>
      <c r="AC1901" s="8" t="b">
        <v>0</v>
      </c>
      <c r="AD1901" s="8" t="b">
        <v>0</v>
      </c>
      <c r="AE1901" s="8" t="b">
        <v>1</v>
      </c>
      <c r="AF1901" s="11" t="s">
        <v>4866</v>
      </c>
      <c r="AG1901" s="11" t="b" cm="1">
        <f t="array" ref="AG1901">IF(OR(Y1901:AA1901="TRUE", AE1901="true"), "Threatened")</f>
        <v>0</v>
      </c>
      <c r="AH1901" s="11" t="s">
        <v>4867</v>
      </c>
      <c r="AI1901" s="8" t="b">
        <v>1</v>
      </c>
    </row>
    <row r="1902" spans="1:35" ht="31.2">
      <c r="A1902" s="8">
        <v>-73.968023720000005</v>
      </c>
      <c r="B1902" s="8">
        <v>40.771702220000002</v>
      </c>
      <c r="C1902" s="8" t="s">
        <v>4868</v>
      </c>
      <c r="D1902" s="8" t="s">
        <v>1003</v>
      </c>
      <c r="E1902" s="8" t="b">
        <f t="shared" si="29"/>
        <v>0</v>
      </c>
      <c r="F1902" s="8" t="str" cm="1">
        <f t="array" ref="F1902">_xlfn._xlws.FILTER(E1902:E5100, C1902:C5100= "6D-PM-1020-01", "No Squirrels Found")</f>
        <v>No Squirrels Found</v>
      </c>
      <c r="G1902" s="8" t="s">
        <v>48</v>
      </c>
      <c r="H1902" s="10">
        <v>10102018</v>
      </c>
      <c r="I1902" s="10">
        <v>4</v>
      </c>
      <c r="J1902" s="8" t="s">
        <v>39</v>
      </c>
      <c r="K1902" s="8" t="s">
        <v>40</v>
      </c>
      <c r="L1902" s="8" t="s">
        <v>84</v>
      </c>
      <c r="M1902" s="8" t="s">
        <v>103</v>
      </c>
      <c r="O1902" s="8" t="s">
        <v>43</v>
      </c>
      <c r="P1902" s="8" t="b">
        <v>0</v>
      </c>
      <c r="R1902" s="8" t="b">
        <v>0</v>
      </c>
      <c r="S1902" s="8" t="b">
        <v>0</v>
      </c>
      <c r="T1902" s="8" t="b">
        <v>0</v>
      </c>
      <c r="U1902" s="8" t="b">
        <v>0</v>
      </c>
      <c r="V1902" s="8" t="b">
        <v>1</v>
      </c>
      <c r="X1902" s="8" t="b">
        <v>0</v>
      </c>
      <c r="Y1902" s="8" t="b">
        <v>0</v>
      </c>
      <c r="Z1902" s="8" t="b">
        <v>0</v>
      </c>
      <c r="AA1902" s="8" t="b">
        <v>0</v>
      </c>
      <c r="AB1902" s="8" t="b">
        <v>0</v>
      </c>
      <c r="AC1902" s="8" t="b">
        <v>0</v>
      </c>
      <c r="AD1902" s="8" t="b">
        <v>1</v>
      </c>
      <c r="AE1902" s="8" t="b">
        <v>0</v>
      </c>
      <c r="AG1902" s="11" t="b" cm="1">
        <f t="array" ref="AG1902">IF(OR(Y1902:AA1902="TRUE", AE1902="true"), "Threatened")</f>
        <v>0</v>
      </c>
      <c r="AH1902" s="11" t="s">
        <v>4869</v>
      </c>
      <c r="AI1902" s="8" t="b">
        <v>1</v>
      </c>
    </row>
    <row r="1903" spans="1:35" ht="31.2">
      <c r="A1903" s="8">
        <v>-73.970331419999994</v>
      </c>
      <c r="B1903" s="8">
        <v>40.778584780000003</v>
      </c>
      <c r="C1903" s="8" t="s">
        <v>4870</v>
      </c>
      <c r="D1903" s="8" t="s">
        <v>721</v>
      </c>
      <c r="E1903" s="8" t="b">
        <f t="shared" si="29"/>
        <v>0</v>
      </c>
      <c r="F1903" s="8" t="str" cm="1">
        <f t="array" ref="F1903">_xlfn._xlws.FILTER(E1903:E5101, C1903:C5101= "6D-PM-1020-01", "No Squirrels Found")</f>
        <v>No Squirrels Found</v>
      </c>
      <c r="G1903" s="8" t="s">
        <v>34</v>
      </c>
      <c r="H1903" s="10">
        <v>10102018</v>
      </c>
      <c r="I1903" s="10">
        <v>12</v>
      </c>
      <c r="J1903" s="8" t="s">
        <v>39</v>
      </c>
      <c r="K1903" s="8" t="s">
        <v>40</v>
      </c>
      <c r="M1903" s="8" t="s">
        <v>55</v>
      </c>
      <c r="O1903" s="8" t="s">
        <v>43</v>
      </c>
      <c r="P1903" s="8" t="b">
        <v>0</v>
      </c>
      <c r="R1903" s="8" t="b">
        <v>0</v>
      </c>
      <c r="S1903" s="8" t="b">
        <v>0</v>
      </c>
      <c r="T1903" s="8" t="b">
        <v>0</v>
      </c>
      <c r="U1903" s="8" t="b">
        <v>1</v>
      </c>
      <c r="V1903" s="8" t="b">
        <v>1</v>
      </c>
      <c r="X1903" s="8" t="b">
        <v>0</v>
      </c>
      <c r="Y1903" s="8" t="b">
        <v>0</v>
      </c>
      <c r="Z1903" s="8" t="b">
        <v>0</v>
      </c>
      <c r="AA1903" s="8" t="b">
        <v>0</v>
      </c>
      <c r="AB1903" s="8" t="b">
        <v>0</v>
      </c>
      <c r="AC1903" s="8" t="b">
        <v>0</v>
      </c>
      <c r="AD1903" s="8" t="b">
        <v>1</v>
      </c>
      <c r="AE1903" s="8" t="b">
        <v>0</v>
      </c>
      <c r="AG1903" s="11" t="b" cm="1">
        <f t="array" ref="AG1903">IF(OR(Y1903:AA1903="TRUE", AE1903="true"), "Threatened")</f>
        <v>0</v>
      </c>
      <c r="AH1903" s="11" t="s">
        <v>4871</v>
      </c>
      <c r="AI1903" s="8" t="b">
        <v>1</v>
      </c>
    </row>
    <row r="1904" spans="1:35" ht="31.2">
      <c r="A1904" s="8">
        <v>-73.970137980000004</v>
      </c>
      <c r="B1904" s="8">
        <v>40.778523479999997</v>
      </c>
      <c r="C1904" s="8" t="s">
        <v>4872</v>
      </c>
      <c r="D1904" s="8" t="s">
        <v>721</v>
      </c>
      <c r="E1904" s="8" t="b">
        <f t="shared" si="29"/>
        <v>0</v>
      </c>
      <c r="F1904" s="8" t="str" cm="1">
        <f t="array" ref="F1904">_xlfn._xlws.FILTER(E1904:E5102, C1904:C5102= "6D-PM-1020-01", "No Squirrels Found")</f>
        <v>No Squirrels Found</v>
      </c>
      <c r="G1904" s="8" t="s">
        <v>34</v>
      </c>
      <c r="H1904" s="10">
        <v>10102018</v>
      </c>
      <c r="I1904" s="10">
        <v>11</v>
      </c>
      <c r="J1904" s="8" t="s">
        <v>39</v>
      </c>
      <c r="K1904" s="8" t="s">
        <v>40</v>
      </c>
      <c r="M1904" s="8" t="s">
        <v>55</v>
      </c>
      <c r="O1904" s="8" t="s">
        <v>43</v>
      </c>
      <c r="P1904" s="8" t="b">
        <v>0</v>
      </c>
      <c r="R1904" s="8" t="b">
        <v>0</v>
      </c>
      <c r="S1904" s="8" t="b">
        <v>0</v>
      </c>
      <c r="T1904" s="8" t="b">
        <v>0</v>
      </c>
      <c r="U1904" s="8" t="b">
        <v>0</v>
      </c>
      <c r="V1904" s="8" t="b">
        <v>1</v>
      </c>
      <c r="X1904" s="8" t="b">
        <v>0</v>
      </c>
      <c r="Y1904" s="8" t="b">
        <v>0</v>
      </c>
      <c r="Z1904" s="8" t="b">
        <v>0</v>
      </c>
      <c r="AA1904" s="8" t="b">
        <v>0</v>
      </c>
      <c r="AB1904" s="8" t="b">
        <v>0</v>
      </c>
      <c r="AC1904" s="8" t="b">
        <v>0</v>
      </c>
      <c r="AD1904" s="8" t="b">
        <v>1</v>
      </c>
      <c r="AE1904" s="8" t="b">
        <v>0</v>
      </c>
      <c r="AG1904" s="11" t="b" cm="1">
        <f t="array" ref="AG1904">IF(OR(Y1904:AA1904="TRUE", AE1904="true"), "Threatened")</f>
        <v>0</v>
      </c>
      <c r="AH1904" s="11" t="s">
        <v>4873</v>
      </c>
      <c r="AI1904" s="8" t="b">
        <v>1</v>
      </c>
    </row>
    <row r="1905" spans="1:35" ht="31.2">
      <c r="A1905" s="8">
        <v>-73.968405849999996</v>
      </c>
      <c r="B1905" s="8">
        <v>40.775395979999999</v>
      </c>
      <c r="C1905" s="8" t="s">
        <v>4874</v>
      </c>
      <c r="D1905" s="8" t="s">
        <v>2019</v>
      </c>
      <c r="E1905" s="8" t="b">
        <f t="shared" si="29"/>
        <v>0</v>
      </c>
      <c r="F1905" s="8" t="str" cm="1">
        <f t="array" ref="F1905">_xlfn._xlws.FILTER(E1905:E5103, C1905:C5103= "6D-PM-1020-01", "No Squirrels Found")</f>
        <v>No Squirrels Found</v>
      </c>
      <c r="G1905" s="8" t="s">
        <v>34</v>
      </c>
      <c r="H1905" s="10">
        <v>10082018</v>
      </c>
      <c r="I1905" s="10">
        <v>2</v>
      </c>
      <c r="J1905" s="8" t="s">
        <v>54</v>
      </c>
      <c r="K1905" s="8" t="s">
        <v>40</v>
      </c>
      <c r="M1905" s="8" t="s">
        <v>55</v>
      </c>
      <c r="O1905" s="8" t="s">
        <v>50</v>
      </c>
      <c r="P1905" s="8">
        <v>15</v>
      </c>
      <c r="Q1905" s="8" t="s">
        <v>4875</v>
      </c>
      <c r="R1905" s="8" t="b">
        <v>0</v>
      </c>
      <c r="S1905" s="8" t="b">
        <v>0</v>
      </c>
      <c r="T1905" s="8" t="b">
        <v>1</v>
      </c>
      <c r="U1905" s="8" t="b">
        <v>0</v>
      </c>
      <c r="V1905" s="8" t="b">
        <v>1</v>
      </c>
      <c r="X1905" s="8" t="b">
        <v>0</v>
      </c>
      <c r="Y1905" s="8" t="b">
        <v>0</v>
      </c>
      <c r="Z1905" s="8" t="b">
        <v>0</v>
      </c>
      <c r="AA1905" s="8" t="b">
        <v>0</v>
      </c>
      <c r="AB1905" s="8" t="b">
        <v>0</v>
      </c>
      <c r="AC1905" s="8" t="b">
        <v>0</v>
      </c>
      <c r="AD1905" s="8" t="b">
        <v>1</v>
      </c>
      <c r="AE1905" s="8" t="b">
        <v>0</v>
      </c>
      <c r="AG1905" s="11" t="b" cm="1">
        <f t="array" ref="AG1905">IF(OR(Y1905:AA1905="TRUE", AE1905="true"), "Threatened")</f>
        <v>0</v>
      </c>
      <c r="AH1905" s="11" t="s">
        <v>4876</v>
      </c>
      <c r="AI1905" s="8" t="b">
        <v>1</v>
      </c>
    </row>
    <row r="1906" spans="1:35" ht="31.2">
      <c r="A1906" s="8">
        <v>-73.969196870000005</v>
      </c>
      <c r="B1906" s="8">
        <v>40.776586299999998</v>
      </c>
      <c r="C1906" s="8" t="s">
        <v>4877</v>
      </c>
      <c r="D1906" s="8" t="s">
        <v>121</v>
      </c>
      <c r="E1906" s="8" t="b">
        <f t="shared" si="29"/>
        <v>0</v>
      </c>
      <c r="F1906" s="8" t="str" cm="1">
        <f t="array" ref="F1906">_xlfn._xlws.FILTER(E1906:E5104, C1906:C5104= "6D-PM-1020-01", "No Squirrels Found")</f>
        <v>No Squirrels Found</v>
      </c>
      <c r="G1906" s="8" t="s">
        <v>48</v>
      </c>
      <c r="H1906" s="10">
        <v>10082018</v>
      </c>
      <c r="I1906" s="10">
        <v>14</v>
      </c>
      <c r="J1906" s="8" t="s">
        <v>39</v>
      </c>
      <c r="K1906" s="8" t="s">
        <v>40</v>
      </c>
      <c r="M1906" s="8" t="s">
        <v>55</v>
      </c>
      <c r="O1906" s="8" t="s">
        <v>43</v>
      </c>
      <c r="P1906" s="8" t="b">
        <v>0</v>
      </c>
      <c r="R1906" s="8" t="b">
        <v>1</v>
      </c>
      <c r="S1906" s="8" t="b">
        <v>0</v>
      </c>
      <c r="T1906" s="8" t="b">
        <v>0</v>
      </c>
      <c r="U1906" s="8" t="b">
        <v>0</v>
      </c>
      <c r="V1906" s="8" t="b">
        <v>0</v>
      </c>
      <c r="X1906" s="8" t="b">
        <v>0</v>
      </c>
      <c r="Y1906" s="8" t="b">
        <v>0</v>
      </c>
      <c r="Z1906" s="8" t="b">
        <v>0</v>
      </c>
      <c r="AA1906" s="8" t="b">
        <v>0</v>
      </c>
      <c r="AB1906" s="8" t="b">
        <v>0</v>
      </c>
      <c r="AC1906" s="8" t="b">
        <v>0</v>
      </c>
      <c r="AD1906" s="8" t="b">
        <v>1</v>
      </c>
      <c r="AE1906" s="8" t="b">
        <v>0</v>
      </c>
      <c r="AG1906" s="11" t="b" cm="1">
        <f t="array" ref="AG1906">IF(OR(Y1906:AA1906="TRUE", AE1906="true"), "Threatened")</f>
        <v>0</v>
      </c>
      <c r="AH1906" s="11" t="s">
        <v>4878</v>
      </c>
      <c r="AI1906" s="8" t="b">
        <v>1</v>
      </c>
    </row>
    <row r="1907" spans="1:35" ht="31.2">
      <c r="A1907" s="8">
        <v>-73.970006670000004</v>
      </c>
      <c r="B1907" s="8">
        <v>40.774402879999997</v>
      </c>
      <c r="C1907" s="8" t="s">
        <v>4879</v>
      </c>
      <c r="D1907" s="8" t="s">
        <v>655</v>
      </c>
      <c r="E1907" s="8" t="b">
        <f t="shared" si="29"/>
        <v>0</v>
      </c>
      <c r="F1907" s="8" t="str" cm="1">
        <f t="array" ref="F1907">_xlfn._xlws.FILTER(E1907:E5105, C1907:C5105= "6D-PM-1020-01", "No Squirrels Found")</f>
        <v>No Squirrels Found</v>
      </c>
      <c r="G1907" s="8" t="s">
        <v>34</v>
      </c>
      <c r="H1907" s="10">
        <v>10072018</v>
      </c>
      <c r="I1907" s="10">
        <v>13</v>
      </c>
      <c r="J1907" s="8" t="s">
        <v>39</v>
      </c>
      <c r="K1907" s="8" t="s">
        <v>40</v>
      </c>
      <c r="L1907" s="8" t="s">
        <v>41</v>
      </c>
      <c r="M1907" s="8" t="s">
        <v>42</v>
      </c>
      <c r="O1907" s="8" t="s">
        <v>43</v>
      </c>
      <c r="P1907" s="8" t="b">
        <v>0</v>
      </c>
      <c r="R1907" s="8" t="b">
        <v>0</v>
      </c>
      <c r="S1907" s="8" t="b">
        <v>0</v>
      </c>
      <c r="T1907" s="8" t="b">
        <v>0</v>
      </c>
      <c r="U1907" s="8" t="b">
        <v>1</v>
      </c>
      <c r="V1907" s="8" t="b">
        <v>1</v>
      </c>
      <c r="X1907" s="8" t="b">
        <v>0</v>
      </c>
      <c r="Y1907" s="8" t="b">
        <v>0</v>
      </c>
      <c r="Z1907" s="8" t="b">
        <v>0</v>
      </c>
      <c r="AA1907" s="8" t="b">
        <v>0</v>
      </c>
      <c r="AB1907" s="8" t="b">
        <v>0</v>
      </c>
      <c r="AC1907" s="8" t="b">
        <v>0</v>
      </c>
      <c r="AD1907" s="8" t="b">
        <v>1</v>
      </c>
      <c r="AE1907" s="8" t="b">
        <v>0</v>
      </c>
      <c r="AG1907" s="11" t="b" cm="1">
        <f t="array" ref="AG1907">IF(OR(Y1907:AA1907="TRUE", AE1907="true"), "Threatened")</f>
        <v>0</v>
      </c>
      <c r="AH1907" s="11" t="s">
        <v>4880</v>
      </c>
      <c r="AI1907" s="8" t="b">
        <v>1</v>
      </c>
    </row>
    <row r="1908" spans="1:35" ht="31.2">
      <c r="A1908" s="8">
        <v>-73.968922750000004</v>
      </c>
      <c r="B1908" s="8">
        <v>40.783754160000001</v>
      </c>
      <c r="C1908" s="8" t="s">
        <v>4881</v>
      </c>
      <c r="D1908" s="8" t="s">
        <v>1415</v>
      </c>
      <c r="E1908" s="8" t="b">
        <f t="shared" si="29"/>
        <v>0</v>
      </c>
      <c r="F1908" s="8" t="str" cm="1">
        <f t="array" ref="F1908">_xlfn._xlws.FILTER(E1908:E5106, C1908:C5106= "6D-PM-1020-01", "No Squirrels Found")</f>
        <v>No Squirrels Found</v>
      </c>
      <c r="G1908" s="8" t="s">
        <v>48</v>
      </c>
      <c r="H1908" s="10">
        <v>10192018</v>
      </c>
      <c r="I1908" s="10">
        <v>3</v>
      </c>
      <c r="J1908" s="8" t="s">
        <v>54</v>
      </c>
      <c r="K1908" s="8" t="s">
        <v>40</v>
      </c>
      <c r="L1908" s="8" t="s">
        <v>41</v>
      </c>
      <c r="M1908" s="8" t="s">
        <v>42</v>
      </c>
      <c r="O1908" s="8" t="s">
        <v>43</v>
      </c>
      <c r="P1908" s="8" t="b">
        <v>0</v>
      </c>
      <c r="R1908" s="8" t="b">
        <v>0</v>
      </c>
      <c r="S1908" s="8" t="b">
        <v>0</v>
      </c>
      <c r="T1908" s="8" t="b">
        <v>0</v>
      </c>
      <c r="U1908" s="8" t="b">
        <v>0</v>
      </c>
      <c r="V1908" s="8" t="b">
        <v>1</v>
      </c>
      <c r="X1908" s="8" t="b">
        <v>0</v>
      </c>
      <c r="Y1908" s="8" t="b">
        <v>0</v>
      </c>
      <c r="Z1908" s="8" t="b">
        <v>0</v>
      </c>
      <c r="AA1908" s="8" t="b">
        <v>0</v>
      </c>
      <c r="AB1908" s="8" t="b">
        <v>0</v>
      </c>
      <c r="AC1908" s="8" t="b">
        <v>0</v>
      </c>
      <c r="AD1908" s="8" t="b">
        <v>1</v>
      </c>
      <c r="AE1908" s="8" t="b">
        <v>0</v>
      </c>
      <c r="AG1908" s="11" t="b" cm="1">
        <f t="array" ref="AG1908">IF(OR(Y1908:AA1908="TRUE", AE1908="true"), "Threatened")</f>
        <v>0</v>
      </c>
      <c r="AH1908" s="11" t="s">
        <v>4882</v>
      </c>
      <c r="AI1908" s="8" t="b">
        <v>1</v>
      </c>
    </row>
    <row r="1909" spans="1:35" ht="46.8">
      <c r="A1909" s="8">
        <v>-73.958834550000006</v>
      </c>
      <c r="B1909" s="8">
        <v>40.799183030000002</v>
      </c>
      <c r="C1909" s="8" t="s">
        <v>4883</v>
      </c>
      <c r="D1909" s="8" t="s">
        <v>458</v>
      </c>
      <c r="E1909" s="8" t="b">
        <f t="shared" si="29"/>
        <v>0</v>
      </c>
      <c r="F1909" s="8" t="str" cm="1">
        <f t="array" ref="F1909">_xlfn._xlws.FILTER(E1909:E5107, C1909:C5107= "6D-PM-1020-01", "No Squirrels Found")</f>
        <v>No Squirrels Found</v>
      </c>
      <c r="G1909" s="8" t="s">
        <v>34</v>
      </c>
      <c r="H1909" s="10">
        <v>10142018</v>
      </c>
      <c r="I1909" s="10">
        <v>2</v>
      </c>
      <c r="J1909" s="8" t="s">
        <v>39</v>
      </c>
      <c r="K1909" s="8" t="s">
        <v>40</v>
      </c>
      <c r="M1909" s="8" t="s">
        <v>55</v>
      </c>
      <c r="O1909" s="8" t="s">
        <v>43</v>
      </c>
      <c r="P1909" s="8" t="b">
        <v>0</v>
      </c>
      <c r="R1909" s="8" t="b">
        <v>1</v>
      </c>
      <c r="S1909" s="8" t="b">
        <v>0</v>
      </c>
      <c r="T1909" s="8" t="b">
        <v>0</v>
      </c>
      <c r="U1909" s="8" t="b">
        <v>0</v>
      </c>
      <c r="V1909" s="8" t="b">
        <v>0</v>
      </c>
      <c r="X1909" s="8" t="b">
        <v>0</v>
      </c>
      <c r="Y1909" s="8" t="b">
        <v>0</v>
      </c>
      <c r="Z1909" s="8" t="b">
        <v>0</v>
      </c>
      <c r="AA1909" s="8" t="b">
        <v>0</v>
      </c>
      <c r="AB1909" s="8" t="b">
        <v>0</v>
      </c>
      <c r="AC1909" s="8" t="b">
        <v>0</v>
      </c>
      <c r="AD1909" s="8" t="b">
        <v>0</v>
      </c>
      <c r="AE1909" s="8" t="b">
        <v>1</v>
      </c>
      <c r="AF1909" s="11" t="s">
        <v>4884</v>
      </c>
      <c r="AG1909" s="11" t="b" cm="1">
        <f t="array" ref="AG1909">IF(OR(Y1909:AA1909="TRUE", AE1909="true"), "Threatened")</f>
        <v>0</v>
      </c>
      <c r="AH1909" s="11" t="s">
        <v>4885</v>
      </c>
      <c r="AI1909" s="8" t="b">
        <v>1</v>
      </c>
    </row>
    <row r="1910" spans="1:35" ht="31.2">
      <c r="A1910" s="8">
        <v>-73.977207010000001</v>
      </c>
      <c r="B1910" s="8">
        <v>40.769434339999997</v>
      </c>
      <c r="C1910" s="8" t="s">
        <v>4886</v>
      </c>
      <c r="D1910" s="8" t="s">
        <v>1586</v>
      </c>
      <c r="E1910" s="8" t="b">
        <f t="shared" si="29"/>
        <v>0</v>
      </c>
      <c r="F1910" s="8" t="str" cm="1">
        <f t="array" ref="F1910">_xlfn._xlws.FILTER(E1910:E5108, C1910:C5108= "6D-PM-1020-01", "No Squirrels Found")</f>
        <v>No Squirrels Found</v>
      </c>
      <c r="G1910" s="8" t="s">
        <v>34</v>
      </c>
      <c r="H1910" s="10">
        <v>10102018</v>
      </c>
      <c r="I1910" s="10">
        <v>2</v>
      </c>
      <c r="J1910" s="8" t="s">
        <v>39</v>
      </c>
      <c r="K1910" s="8" t="s">
        <v>41</v>
      </c>
      <c r="L1910" s="8" t="s">
        <v>40</v>
      </c>
      <c r="M1910" s="8" t="s">
        <v>110</v>
      </c>
      <c r="O1910" s="8" t="s">
        <v>43</v>
      </c>
      <c r="P1910" s="8" t="b">
        <v>0</v>
      </c>
      <c r="R1910" s="8" t="b">
        <v>1</v>
      </c>
      <c r="S1910" s="8" t="b">
        <v>0</v>
      </c>
      <c r="T1910" s="8" t="b">
        <v>0</v>
      </c>
      <c r="U1910" s="8" t="b">
        <v>0</v>
      </c>
      <c r="V1910" s="8" t="b">
        <v>1</v>
      </c>
      <c r="X1910" s="8" t="b">
        <v>0</v>
      </c>
      <c r="Y1910" s="8" t="b">
        <v>0</v>
      </c>
      <c r="Z1910" s="8" t="b">
        <v>0</v>
      </c>
      <c r="AA1910" s="8" t="b">
        <v>0</v>
      </c>
      <c r="AB1910" s="8" t="b">
        <v>0</v>
      </c>
      <c r="AC1910" s="8" t="b">
        <v>0</v>
      </c>
      <c r="AD1910" s="8" t="b">
        <v>1</v>
      </c>
      <c r="AE1910" s="8" t="b">
        <v>0</v>
      </c>
      <c r="AG1910" s="11" t="b" cm="1">
        <f t="array" ref="AG1910">IF(OR(Y1910:AA1910="TRUE", AE1910="true"), "Threatened")</f>
        <v>0</v>
      </c>
      <c r="AH1910" s="11" t="s">
        <v>4887</v>
      </c>
      <c r="AI1910" s="8" t="b">
        <v>1</v>
      </c>
    </row>
    <row r="1911" spans="1:35" ht="31.2">
      <c r="A1911" s="8">
        <v>-73.969987649999993</v>
      </c>
      <c r="B1911" s="8">
        <v>40.774248270000001</v>
      </c>
      <c r="C1911" s="8" t="s">
        <v>4888</v>
      </c>
      <c r="D1911" s="8" t="s">
        <v>655</v>
      </c>
      <c r="E1911" s="8" t="b">
        <f t="shared" si="29"/>
        <v>0</v>
      </c>
      <c r="F1911" s="8" t="str" cm="1">
        <f t="array" ref="F1911">_xlfn._xlws.FILTER(E1911:E5109, C1911:C5109= "6D-PM-1020-01", "No Squirrels Found")</f>
        <v>No Squirrels Found</v>
      </c>
      <c r="G1911" s="8" t="s">
        <v>34</v>
      </c>
      <c r="H1911" s="10">
        <v>10072018</v>
      </c>
      <c r="I1911" s="10">
        <v>6</v>
      </c>
      <c r="J1911" s="8" t="s">
        <v>39</v>
      </c>
      <c r="K1911" s="8" t="s">
        <v>40</v>
      </c>
      <c r="L1911" s="8" t="s">
        <v>117</v>
      </c>
      <c r="M1911" s="8" t="s">
        <v>118</v>
      </c>
      <c r="O1911" s="8" t="s">
        <v>43</v>
      </c>
      <c r="P1911" s="8" t="b">
        <v>0</v>
      </c>
      <c r="R1911" s="8" t="b">
        <v>1</v>
      </c>
      <c r="S1911" s="8" t="b">
        <v>1</v>
      </c>
      <c r="T1911" s="8" t="b">
        <v>0</v>
      </c>
      <c r="U1911" s="8" t="b">
        <v>0</v>
      </c>
      <c r="V1911" s="8" t="b">
        <v>1</v>
      </c>
      <c r="X1911" s="8" t="b">
        <v>0</v>
      </c>
      <c r="Y1911" s="8" t="b">
        <v>0</v>
      </c>
      <c r="Z1911" s="8" t="b">
        <v>0</v>
      </c>
      <c r="AA1911" s="8" t="b">
        <v>1</v>
      </c>
      <c r="AB1911" s="8" t="b">
        <v>0</v>
      </c>
      <c r="AC1911" s="8" t="b">
        <v>0</v>
      </c>
      <c r="AD1911" s="8" t="b">
        <v>1</v>
      </c>
      <c r="AE1911" s="8" t="b">
        <v>0</v>
      </c>
      <c r="AG1911" s="11" t="b" cm="1">
        <f t="array" ref="AG1911">IF(OR(Y1911:AA1911="TRUE", AE1911="true"), "Threatened")</f>
        <v>0</v>
      </c>
      <c r="AH1911" s="11" t="s">
        <v>4889</v>
      </c>
      <c r="AI1911" s="8" t="b">
        <v>1</v>
      </c>
    </row>
    <row r="1912" spans="1:35" ht="46.8">
      <c r="A1912" s="8">
        <v>-73.952893770000003</v>
      </c>
      <c r="B1912" s="8">
        <v>40.792291910000003</v>
      </c>
      <c r="C1912" s="8" t="s">
        <v>4890</v>
      </c>
      <c r="D1912" s="8" t="s">
        <v>106</v>
      </c>
      <c r="E1912" s="8" t="b">
        <f t="shared" si="29"/>
        <v>0</v>
      </c>
      <c r="F1912" s="8" t="str" cm="1">
        <f t="array" ref="F1912">_xlfn._xlws.FILTER(E1912:E5110, C1912:C5110= "6D-PM-1020-01", "No Squirrels Found")</f>
        <v>No Squirrels Found</v>
      </c>
      <c r="G1912" s="8" t="s">
        <v>48</v>
      </c>
      <c r="H1912" s="10">
        <v>10172018</v>
      </c>
      <c r="I1912" s="10">
        <v>1</v>
      </c>
      <c r="J1912" s="8" t="s">
        <v>39</v>
      </c>
      <c r="K1912" s="8" t="s">
        <v>40</v>
      </c>
      <c r="L1912" s="8" t="s">
        <v>84</v>
      </c>
      <c r="M1912" s="8" t="s">
        <v>103</v>
      </c>
      <c r="O1912" s="8" t="s">
        <v>43</v>
      </c>
      <c r="P1912" s="8" t="b">
        <v>0</v>
      </c>
      <c r="R1912" s="8" t="b">
        <v>1</v>
      </c>
      <c r="S1912" s="8" t="b">
        <v>0</v>
      </c>
      <c r="T1912" s="8" t="b">
        <v>0</v>
      </c>
      <c r="U1912" s="8" t="b">
        <v>1</v>
      </c>
      <c r="V1912" s="8" t="b">
        <v>1</v>
      </c>
      <c r="X1912" s="8" t="b">
        <v>0</v>
      </c>
      <c r="Y1912" s="8" t="b">
        <v>0</v>
      </c>
      <c r="Z1912" s="8" t="b">
        <v>0</v>
      </c>
      <c r="AA1912" s="8" t="b">
        <v>0</v>
      </c>
      <c r="AB1912" s="8" t="b">
        <v>1</v>
      </c>
      <c r="AC1912" s="8" t="b">
        <v>0</v>
      </c>
      <c r="AD1912" s="8" t="b">
        <v>0</v>
      </c>
      <c r="AE1912" s="8" t="b">
        <v>1</v>
      </c>
      <c r="AF1912" s="11" t="s">
        <v>4891</v>
      </c>
      <c r="AG1912" s="11" t="b" cm="1">
        <f t="array" ref="AG1912">IF(OR(Y1912:AA1912="TRUE", AE1912="true"), "Threatened")</f>
        <v>0</v>
      </c>
      <c r="AH1912" s="11" t="s">
        <v>4892</v>
      </c>
      <c r="AI1912" s="8" t="b">
        <v>1</v>
      </c>
    </row>
    <row r="1913" spans="1:35" ht="31.2">
      <c r="A1913" s="8">
        <v>-73.969806489999996</v>
      </c>
      <c r="B1913" s="8">
        <v>40.784253810000003</v>
      </c>
      <c r="C1913" s="8" t="s">
        <v>4893</v>
      </c>
      <c r="D1913" s="8" t="s">
        <v>2014</v>
      </c>
      <c r="E1913" s="8" t="b">
        <f t="shared" si="29"/>
        <v>0</v>
      </c>
      <c r="F1913" s="8" t="str" cm="1">
        <f t="array" ref="F1913">_xlfn._xlws.FILTER(E1913:E5111, C1913:C5111= "6D-PM-1020-01", "No Squirrels Found")</f>
        <v>No Squirrels Found</v>
      </c>
      <c r="G1913" s="8" t="s">
        <v>48</v>
      </c>
      <c r="H1913" s="10">
        <v>10192018</v>
      </c>
      <c r="I1913" s="10">
        <v>3</v>
      </c>
      <c r="J1913" s="8" t="s">
        <v>39</v>
      </c>
      <c r="K1913" s="8" t="s">
        <v>40</v>
      </c>
      <c r="M1913" s="8" t="s">
        <v>55</v>
      </c>
      <c r="O1913" s="8" t="s">
        <v>43</v>
      </c>
      <c r="P1913" s="8" t="b">
        <v>0</v>
      </c>
      <c r="Q1913" s="8" t="s">
        <v>4894</v>
      </c>
      <c r="R1913" s="8" t="b">
        <v>0</v>
      </c>
      <c r="S1913" s="8" t="b">
        <v>1</v>
      </c>
      <c r="T1913" s="8" t="b">
        <v>0</v>
      </c>
      <c r="U1913" s="8" t="b">
        <v>0</v>
      </c>
      <c r="V1913" s="8" t="b">
        <v>0</v>
      </c>
      <c r="X1913" s="8" t="b">
        <v>0</v>
      </c>
      <c r="Y1913" s="8" t="b">
        <v>0</v>
      </c>
      <c r="Z1913" s="8" t="b">
        <v>0</v>
      </c>
      <c r="AA1913" s="8" t="b">
        <v>0</v>
      </c>
      <c r="AB1913" s="8" t="b">
        <v>0</v>
      </c>
      <c r="AC1913" s="8" t="b">
        <v>0</v>
      </c>
      <c r="AD1913" s="8" t="b">
        <v>1</v>
      </c>
      <c r="AE1913" s="8" t="b">
        <v>0</v>
      </c>
      <c r="AG1913" s="11" t="b" cm="1">
        <f t="array" ref="AG1913">IF(OR(Y1913:AA1913="TRUE", AE1913="true"), "Threatened")</f>
        <v>0</v>
      </c>
      <c r="AH1913" s="11" t="s">
        <v>4895</v>
      </c>
      <c r="AI1913" s="8" t="b">
        <v>1</v>
      </c>
    </row>
    <row r="1914" spans="1:35" ht="31.2">
      <c r="A1914" s="8">
        <v>-73.977463080000007</v>
      </c>
      <c r="B1914" s="8">
        <v>40.768062669999999</v>
      </c>
      <c r="C1914" s="8" t="s">
        <v>4896</v>
      </c>
      <c r="D1914" s="8" t="s">
        <v>512</v>
      </c>
      <c r="E1914" s="8" t="b">
        <f t="shared" si="29"/>
        <v>0</v>
      </c>
      <c r="F1914" s="8" t="str" cm="1">
        <f t="array" ref="F1914">_xlfn._xlws.FILTER(E1914:E5112, C1914:C5112= "6D-PM-1020-01", "No Squirrels Found")</f>
        <v>No Squirrels Found</v>
      </c>
      <c r="G1914" s="8" t="s">
        <v>34</v>
      </c>
      <c r="H1914" s="10">
        <v>10102018</v>
      </c>
      <c r="I1914" s="10">
        <v>11</v>
      </c>
      <c r="J1914" s="8" t="s">
        <v>39</v>
      </c>
      <c r="K1914" s="8" t="s">
        <v>40</v>
      </c>
      <c r="L1914" s="8" t="s">
        <v>84</v>
      </c>
      <c r="M1914" s="8" t="s">
        <v>103</v>
      </c>
      <c r="O1914" s="8" t="s">
        <v>43</v>
      </c>
      <c r="P1914" s="8" t="b">
        <v>0</v>
      </c>
      <c r="R1914" s="8" t="b">
        <v>1</v>
      </c>
      <c r="S1914" s="8" t="b">
        <v>0</v>
      </c>
      <c r="T1914" s="8" t="b">
        <v>0</v>
      </c>
      <c r="U1914" s="8" t="b">
        <v>0</v>
      </c>
      <c r="V1914" s="8" t="b">
        <v>1</v>
      </c>
      <c r="X1914" s="8" t="b">
        <v>0</v>
      </c>
      <c r="Y1914" s="8" t="b">
        <v>0</v>
      </c>
      <c r="Z1914" s="8" t="b">
        <v>0</v>
      </c>
      <c r="AA1914" s="8" t="b">
        <v>0</v>
      </c>
      <c r="AB1914" s="8" t="b">
        <v>0</v>
      </c>
      <c r="AC1914" s="8" t="b">
        <v>0</v>
      </c>
      <c r="AD1914" s="8" t="b">
        <v>0</v>
      </c>
      <c r="AE1914" s="8" t="b">
        <v>0</v>
      </c>
      <c r="AG1914" s="11" t="b" cm="1">
        <f t="array" ref="AG1914">IF(OR(Y1914:AA1914="TRUE", AE1914="true"), "Threatened")</f>
        <v>0</v>
      </c>
      <c r="AH1914" s="11" t="s">
        <v>4897</v>
      </c>
      <c r="AI1914" s="8" t="b">
        <v>1</v>
      </c>
    </row>
    <row r="1915" spans="1:35" ht="31.2">
      <c r="A1915" s="8">
        <v>-73.958871439999996</v>
      </c>
      <c r="B1915" s="8">
        <v>40.789578710000001</v>
      </c>
      <c r="C1915" s="8" t="s">
        <v>4898</v>
      </c>
      <c r="D1915" s="8" t="s">
        <v>896</v>
      </c>
      <c r="E1915" s="8" t="b">
        <f t="shared" si="29"/>
        <v>0</v>
      </c>
      <c r="F1915" s="8" t="str" cm="1">
        <f t="array" ref="F1915">_xlfn._xlws.FILTER(E1915:E5113, C1915:C5113= "6D-PM-1020-01", "No Squirrels Found")</f>
        <v>No Squirrels Found</v>
      </c>
      <c r="G1915" s="8" t="s">
        <v>34</v>
      </c>
      <c r="H1915" s="10">
        <v>10072018</v>
      </c>
      <c r="I1915" s="10">
        <v>3</v>
      </c>
      <c r="J1915" s="8" t="s">
        <v>39</v>
      </c>
      <c r="K1915" s="8" t="s">
        <v>40</v>
      </c>
      <c r="L1915" s="8" t="s">
        <v>84</v>
      </c>
      <c r="M1915" s="8" t="s">
        <v>103</v>
      </c>
      <c r="N1915" s="11" t="s">
        <v>2632</v>
      </c>
      <c r="O1915" s="8" t="s">
        <v>43</v>
      </c>
      <c r="P1915" s="8" t="b">
        <v>0</v>
      </c>
      <c r="R1915" s="8" t="b">
        <v>0</v>
      </c>
      <c r="S1915" s="8" t="b">
        <v>0</v>
      </c>
      <c r="T1915" s="8" t="b">
        <v>0</v>
      </c>
      <c r="U1915" s="8" t="b">
        <v>0</v>
      </c>
      <c r="V1915" s="8" t="b">
        <v>1</v>
      </c>
      <c r="X1915" s="8" t="b">
        <v>0</v>
      </c>
      <c r="Y1915" s="8" t="b">
        <v>0</v>
      </c>
      <c r="Z1915" s="8" t="b">
        <v>0</v>
      </c>
      <c r="AA1915" s="8" t="b">
        <v>0</v>
      </c>
      <c r="AB1915" s="8" t="b">
        <v>1</v>
      </c>
      <c r="AC1915" s="8" t="b">
        <v>0</v>
      </c>
      <c r="AD1915" s="8" t="b">
        <v>0</v>
      </c>
      <c r="AE1915" s="8" t="b">
        <v>1</v>
      </c>
      <c r="AG1915" s="11" t="b" cm="1">
        <f t="array" ref="AG1915">IF(OR(Y1915:AA1915="TRUE", AE1915="true"), "Threatened")</f>
        <v>0</v>
      </c>
      <c r="AH1915" s="11" t="s">
        <v>4899</v>
      </c>
      <c r="AI1915" s="8" t="b">
        <v>1</v>
      </c>
    </row>
    <row r="1916" spans="1:35" ht="31.2">
      <c r="A1916" s="8">
        <v>-73.979711289999997</v>
      </c>
      <c r="B1916" s="8">
        <v>40.768804680000002</v>
      </c>
      <c r="C1916" s="8" t="s">
        <v>4900</v>
      </c>
      <c r="D1916" s="8" t="s">
        <v>219</v>
      </c>
      <c r="E1916" s="8" t="b">
        <f t="shared" si="29"/>
        <v>0</v>
      </c>
      <c r="F1916" s="8" t="str" cm="1">
        <f t="array" ref="F1916">_xlfn._xlws.FILTER(E1916:E5114, C1916:C5114= "6D-PM-1020-01", "No Squirrels Found")</f>
        <v>No Squirrels Found</v>
      </c>
      <c r="G1916" s="8" t="s">
        <v>34</v>
      </c>
      <c r="H1916" s="10">
        <v>10132018</v>
      </c>
      <c r="I1916" s="10">
        <v>9</v>
      </c>
      <c r="J1916" s="8" t="s">
        <v>39</v>
      </c>
      <c r="K1916" s="8" t="s">
        <v>40</v>
      </c>
      <c r="L1916" s="8" t="s">
        <v>84</v>
      </c>
      <c r="M1916" s="8" t="s">
        <v>103</v>
      </c>
      <c r="O1916" s="8" t="s">
        <v>50</v>
      </c>
      <c r="P1916" s="8">
        <v>30</v>
      </c>
      <c r="R1916" s="8" t="b">
        <v>1</v>
      </c>
      <c r="S1916" s="8" t="b">
        <v>0</v>
      </c>
      <c r="T1916" s="8" t="b">
        <v>0</v>
      </c>
      <c r="U1916" s="8" t="b">
        <v>0</v>
      </c>
      <c r="V1916" s="8" t="b">
        <v>0</v>
      </c>
      <c r="X1916" s="8" t="b">
        <v>0</v>
      </c>
      <c r="Y1916" s="8" t="b">
        <v>0</v>
      </c>
      <c r="Z1916" s="8" t="b">
        <v>0</v>
      </c>
      <c r="AA1916" s="8" t="b">
        <v>0</v>
      </c>
      <c r="AB1916" s="8" t="b">
        <v>0</v>
      </c>
      <c r="AC1916" s="8" t="b">
        <v>0</v>
      </c>
      <c r="AD1916" s="8" t="b">
        <v>0</v>
      </c>
      <c r="AE1916" s="8" t="b">
        <v>0</v>
      </c>
      <c r="AG1916" s="11" t="b" cm="1">
        <f t="array" ref="AG1916">IF(OR(Y1916:AA1916="TRUE", AE1916="true"), "Threatened")</f>
        <v>0</v>
      </c>
      <c r="AH1916" s="11" t="s">
        <v>4901</v>
      </c>
      <c r="AI1916" s="8" t="b">
        <v>1</v>
      </c>
    </row>
    <row r="1917" spans="1:35" ht="46.8">
      <c r="A1917" s="8">
        <v>-73.969350460000001</v>
      </c>
      <c r="B1917" s="8">
        <v>40.783067869999996</v>
      </c>
      <c r="C1917" s="8" t="s">
        <v>4902</v>
      </c>
      <c r="D1917" s="8" t="s">
        <v>1415</v>
      </c>
      <c r="E1917" s="8" t="b">
        <f t="shared" si="29"/>
        <v>0</v>
      </c>
      <c r="F1917" s="8" t="str" cm="1">
        <f t="array" ref="F1917">_xlfn._xlws.FILTER(E1917:E5115, C1917:C5115= "6D-PM-1020-01", "No Squirrels Found")</f>
        <v>No Squirrels Found</v>
      </c>
      <c r="G1917" s="8" t="s">
        <v>34</v>
      </c>
      <c r="H1917" s="10">
        <v>10172018</v>
      </c>
      <c r="I1917" s="10">
        <v>2</v>
      </c>
      <c r="J1917" s="8" t="s">
        <v>54</v>
      </c>
      <c r="K1917" s="8" t="s">
        <v>41</v>
      </c>
      <c r="L1917" s="8" t="s">
        <v>84</v>
      </c>
      <c r="M1917" s="8" t="s">
        <v>85</v>
      </c>
      <c r="O1917" s="8" t="s">
        <v>50</v>
      </c>
      <c r="P1917" s="8">
        <v>1</v>
      </c>
      <c r="R1917" s="8" t="b">
        <v>0</v>
      </c>
      <c r="S1917" s="8" t="b">
        <v>1</v>
      </c>
      <c r="T1917" s="8" t="b">
        <v>0</v>
      </c>
      <c r="U1917" s="8" t="b">
        <v>0</v>
      </c>
      <c r="V1917" s="8" t="b">
        <v>0</v>
      </c>
      <c r="X1917" s="8" t="b">
        <v>0</v>
      </c>
      <c r="Y1917" s="8" t="b">
        <v>1</v>
      </c>
      <c r="Z1917" s="8" t="b">
        <v>0</v>
      </c>
      <c r="AA1917" s="8" t="b">
        <v>0</v>
      </c>
      <c r="AB1917" s="8" t="b">
        <v>0</v>
      </c>
      <c r="AC1917" s="8" t="b">
        <v>0</v>
      </c>
      <c r="AD1917" s="8" t="b">
        <v>0</v>
      </c>
      <c r="AE1917" s="8" t="b">
        <v>0</v>
      </c>
      <c r="AF1917" s="11" t="s">
        <v>4903</v>
      </c>
      <c r="AG1917" s="11" t="b" cm="1">
        <f t="array" ref="AG1917">IF(OR(Y1917:AA1917="TRUE", AE1917="true"), "Threatened")</f>
        <v>0</v>
      </c>
      <c r="AH1917" s="11" t="s">
        <v>4904</v>
      </c>
      <c r="AI1917" s="8" t="b">
        <v>1</v>
      </c>
    </row>
    <row r="1918" spans="1:35" ht="31.2">
      <c r="A1918" s="8">
        <v>-73.962781910000004</v>
      </c>
      <c r="B1918" s="8">
        <v>40.78868774</v>
      </c>
      <c r="C1918" s="8" t="s">
        <v>4905</v>
      </c>
      <c r="D1918" s="8" t="s">
        <v>1425</v>
      </c>
      <c r="E1918" s="8" t="b">
        <f t="shared" si="29"/>
        <v>0</v>
      </c>
      <c r="F1918" s="8" t="str" cm="1">
        <f t="array" ref="F1918">_xlfn._xlws.FILTER(E1918:E5116, C1918:C5116= "6D-PM-1020-01", "No Squirrels Found")</f>
        <v>No Squirrels Found</v>
      </c>
      <c r="G1918" s="8" t="s">
        <v>48</v>
      </c>
      <c r="H1918" s="10">
        <v>10142018</v>
      </c>
      <c r="I1918" s="10">
        <v>2</v>
      </c>
      <c r="J1918" s="8" t="s">
        <v>39</v>
      </c>
      <c r="K1918" s="8" t="s">
        <v>40</v>
      </c>
      <c r="M1918" s="8" t="s">
        <v>55</v>
      </c>
      <c r="O1918" s="8" t="s">
        <v>43</v>
      </c>
      <c r="P1918" s="8" t="b">
        <v>0</v>
      </c>
      <c r="R1918" s="8" t="b">
        <v>0</v>
      </c>
      <c r="S1918" s="8" t="b">
        <v>0</v>
      </c>
      <c r="T1918" s="8" t="b">
        <v>0</v>
      </c>
      <c r="U1918" s="8" t="b">
        <v>0</v>
      </c>
      <c r="V1918" s="8" t="b">
        <v>1</v>
      </c>
      <c r="X1918" s="8" t="b">
        <v>0</v>
      </c>
      <c r="Y1918" s="8" t="b">
        <v>0</v>
      </c>
      <c r="Z1918" s="8" t="b">
        <v>0</v>
      </c>
      <c r="AA1918" s="8" t="b">
        <v>0</v>
      </c>
      <c r="AB1918" s="8" t="b">
        <v>0</v>
      </c>
      <c r="AC1918" s="8" t="b">
        <v>0</v>
      </c>
      <c r="AD1918" s="8" t="b">
        <v>1</v>
      </c>
      <c r="AE1918" s="8" t="b">
        <v>0</v>
      </c>
      <c r="AG1918" s="11" t="b" cm="1">
        <f t="array" ref="AG1918">IF(OR(Y1918:AA1918="TRUE", AE1918="true"), "Threatened")</f>
        <v>0</v>
      </c>
      <c r="AH1918" s="11" t="s">
        <v>4906</v>
      </c>
      <c r="AI1918" s="8" t="b">
        <v>1</v>
      </c>
    </row>
    <row r="1919" spans="1:35" ht="31.2">
      <c r="A1919" s="8">
        <v>-73.963286609999997</v>
      </c>
      <c r="B1919" s="8">
        <v>40.789004329999997</v>
      </c>
      <c r="C1919" s="8" t="s">
        <v>4907</v>
      </c>
      <c r="D1919" s="8" t="s">
        <v>188</v>
      </c>
      <c r="E1919" s="8" t="b">
        <f t="shared" si="29"/>
        <v>0</v>
      </c>
      <c r="F1919" s="8" t="str" cm="1">
        <f t="array" ref="F1919">_xlfn._xlws.FILTER(E1919:E5117, C1919:C5117= "6D-PM-1020-01", "No Squirrels Found")</f>
        <v>No Squirrels Found</v>
      </c>
      <c r="G1919" s="8" t="s">
        <v>34</v>
      </c>
      <c r="H1919" s="10">
        <v>10062018</v>
      </c>
      <c r="I1919" s="10">
        <v>1</v>
      </c>
      <c r="J1919" s="8" t="s">
        <v>39</v>
      </c>
      <c r="K1919" s="8" t="s">
        <v>40</v>
      </c>
      <c r="L1919" s="8" t="s">
        <v>41</v>
      </c>
      <c r="M1919" s="8" t="s">
        <v>42</v>
      </c>
      <c r="O1919" s="8" t="s">
        <v>43</v>
      </c>
      <c r="P1919" s="8" t="b">
        <v>0</v>
      </c>
      <c r="R1919" s="8" t="b">
        <v>0</v>
      </c>
      <c r="S1919" s="8" t="b">
        <v>0</v>
      </c>
      <c r="T1919" s="8" t="b">
        <v>1</v>
      </c>
      <c r="U1919" s="8" t="b">
        <v>0</v>
      </c>
      <c r="V1919" s="8" t="b">
        <v>1</v>
      </c>
      <c r="X1919" s="8" t="b">
        <v>0</v>
      </c>
      <c r="Y1919" s="8" t="b">
        <v>0</v>
      </c>
      <c r="Z1919" s="8" t="b">
        <v>0</v>
      </c>
      <c r="AA1919" s="8" t="b">
        <v>0</v>
      </c>
      <c r="AB1919" s="8" t="b">
        <v>0</v>
      </c>
      <c r="AC1919" s="8" t="b">
        <v>0</v>
      </c>
      <c r="AD1919" s="8" t="b">
        <v>0</v>
      </c>
      <c r="AE1919" s="8" t="b">
        <v>0</v>
      </c>
      <c r="AF1919" s="11" t="s">
        <v>4908</v>
      </c>
      <c r="AG1919" s="11" t="b" cm="1">
        <f t="array" ref="AG1919">IF(OR(Y1919:AA1919="TRUE", AE1919="true"), "Threatened")</f>
        <v>0</v>
      </c>
      <c r="AH1919" s="11" t="s">
        <v>4909</v>
      </c>
      <c r="AI1919" s="8" t="b">
        <v>1</v>
      </c>
    </row>
    <row r="1920" spans="1:35" ht="31.2">
      <c r="A1920" s="8">
        <v>-73.963744079999998</v>
      </c>
      <c r="B1920" s="8">
        <v>40.789142740000003</v>
      </c>
      <c r="C1920" s="8" t="s">
        <v>4910</v>
      </c>
      <c r="D1920" s="8" t="s">
        <v>188</v>
      </c>
      <c r="E1920" s="8" t="b">
        <f t="shared" si="29"/>
        <v>0</v>
      </c>
      <c r="F1920" s="8" t="str" cm="1">
        <f t="array" ref="F1920">_xlfn._xlws.FILTER(E1920:E5118, C1920:C5118= "6D-PM-1020-01", "No Squirrels Found")</f>
        <v>No Squirrels Found</v>
      </c>
      <c r="G1920" s="8" t="s">
        <v>48</v>
      </c>
      <c r="H1920" s="10">
        <v>10072018</v>
      </c>
      <c r="I1920" s="10">
        <v>4</v>
      </c>
      <c r="J1920" s="8" t="s">
        <v>39</v>
      </c>
      <c r="K1920" s="8" t="s">
        <v>40</v>
      </c>
      <c r="L1920" s="8" t="s">
        <v>41</v>
      </c>
      <c r="M1920" s="8" t="s">
        <v>42</v>
      </c>
      <c r="O1920" s="8" t="s">
        <v>43</v>
      </c>
      <c r="P1920" s="8" t="b">
        <v>0</v>
      </c>
      <c r="R1920" s="8" t="b">
        <v>0</v>
      </c>
      <c r="S1920" s="8" t="b">
        <v>0</v>
      </c>
      <c r="T1920" s="8" t="b">
        <v>0</v>
      </c>
      <c r="U1920" s="8" t="b">
        <v>0</v>
      </c>
      <c r="V1920" s="8" t="b">
        <v>1</v>
      </c>
      <c r="X1920" s="8" t="b">
        <v>0</v>
      </c>
      <c r="Y1920" s="8" t="b">
        <v>0</v>
      </c>
      <c r="Z1920" s="8" t="b">
        <v>0</v>
      </c>
      <c r="AA1920" s="8" t="b">
        <v>0</v>
      </c>
      <c r="AB1920" s="8" t="b">
        <v>0</v>
      </c>
      <c r="AC1920" s="8" t="b">
        <v>1</v>
      </c>
      <c r="AD1920" s="8" t="b">
        <v>0</v>
      </c>
      <c r="AE1920" s="8" t="b">
        <v>0</v>
      </c>
      <c r="AG1920" s="11" t="b" cm="1">
        <f t="array" ref="AG1920">IF(OR(Y1920:AA1920="TRUE", AE1920="true"), "Threatened")</f>
        <v>0</v>
      </c>
      <c r="AH1920" s="11" t="s">
        <v>4911</v>
      </c>
      <c r="AI1920" s="8" t="b">
        <v>1</v>
      </c>
    </row>
    <row r="1921" spans="1:35" ht="31.2">
      <c r="A1921" s="8">
        <v>-73.954538369999995</v>
      </c>
      <c r="B1921" s="8">
        <v>40.789971129999998</v>
      </c>
      <c r="C1921" s="8" t="s">
        <v>4912</v>
      </c>
      <c r="D1921" s="8" t="s">
        <v>924</v>
      </c>
      <c r="E1921" s="8" t="b">
        <f t="shared" si="29"/>
        <v>0</v>
      </c>
      <c r="F1921" s="8" t="str" cm="1">
        <f t="array" ref="F1921">_xlfn._xlws.FILTER(E1921:E5119, C1921:C5119= "6D-PM-1020-01", "No Squirrels Found")</f>
        <v>No Squirrels Found</v>
      </c>
      <c r="G1921" s="8" t="s">
        <v>34</v>
      </c>
      <c r="H1921" s="10">
        <v>10062018</v>
      </c>
      <c r="I1921" s="10">
        <v>3</v>
      </c>
      <c r="J1921" s="8" t="s">
        <v>39</v>
      </c>
      <c r="K1921" s="8" t="s">
        <v>40</v>
      </c>
      <c r="M1921" s="8" t="s">
        <v>55</v>
      </c>
      <c r="O1921" s="8" t="s">
        <v>43</v>
      </c>
      <c r="P1921" s="8" t="b">
        <v>0</v>
      </c>
      <c r="R1921" s="8" t="b">
        <v>0</v>
      </c>
      <c r="S1921" s="8" t="b">
        <v>0</v>
      </c>
      <c r="T1921" s="8" t="b">
        <v>0</v>
      </c>
      <c r="U1921" s="8" t="b">
        <v>0</v>
      </c>
      <c r="V1921" s="8" t="b">
        <v>1</v>
      </c>
      <c r="X1921" s="8" t="b">
        <v>0</v>
      </c>
      <c r="Y1921" s="8" t="b">
        <v>0</v>
      </c>
      <c r="Z1921" s="8" t="b">
        <v>0</v>
      </c>
      <c r="AA1921" s="8" t="b">
        <v>0</v>
      </c>
      <c r="AB1921" s="8" t="b">
        <v>0</v>
      </c>
      <c r="AC1921" s="8" t="b">
        <v>0</v>
      </c>
      <c r="AD1921" s="8" t="b">
        <v>0</v>
      </c>
      <c r="AE1921" s="8" t="b">
        <v>1</v>
      </c>
      <c r="AG1921" s="11" t="b" cm="1">
        <f t="array" ref="AG1921">IF(OR(Y1921:AA1921="TRUE", AE1921="true"), "Threatened")</f>
        <v>0</v>
      </c>
      <c r="AH1921" s="11" t="s">
        <v>4913</v>
      </c>
      <c r="AI1921" s="8" t="b">
        <v>1</v>
      </c>
    </row>
    <row r="1922" spans="1:35" ht="31.2">
      <c r="A1922" s="8">
        <v>-73.97562782</v>
      </c>
      <c r="B1922" s="8">
        <v>40.766952369999998</v>
      </c>
      <c r="C1922" s="8" t="s">
        <v>4914</v>
      </c>
      <c r="D1922" s="8" t="s">
        <v>481</v>
      </c>
      <c r="E1922" s="8" t="b">
        <f t="shared" si="29"/>
        <v>0</v>
      </c>
      <c r="F1922" s="8" t="str" cm="1">
        <f t="array" ref="F1922">_xlfn._xlws.FILTER(E1922:E5120, C1922:C5120= "6D-PM-1020-01", "No Squirrels Found")</f>
        <v>No Squirrels Found</v>
      </c>
      <c r="G1922" s="8" t="s">
        <v>48</v>
      </c>
      <c r="H1922" s="10">
        <v>10062018</v>
      </c>
      <c r="I1922" s="10">
        <v>2</v>
      </c>
      <c r="J1922" s="8" t="s">
        <v>39</v>
      </c>
      <c r="K1922" s="8" t="s">
        <v>40</v>
      </c>
      <c r="L1922" s="8" t="s">
        <v>41</v>
      </c>
      <c r="M1922" s="8" t="s">
        <v>42</v>
      </c>
      <c r="O1922" s="8" t="s">
        <v>50</v>
      </c>
      <c r="P1922" s="8">
        <v>5</v>
      </c>
      <c r="Q1922" s="8" t="s">
        <v>466</v>
      </c>
      <c r="R1922" s="8" t="b">
        <v>0</v>
      </c>
      <c r="S1922" s="8" t="b">
        <v>0</v>
      </c>
      <c r="T1922" s="8" t="b">
        <v>1</v>
      </c>
      <c r="U1922" s="8" t="b">
        <v>0</v>
      </c>
      <c r="V1922" s="8" t="b">
        <v>0</v>
      </c>
      <c r="X1922" s="8" t="b">
        <v>0</v>
      </c>
      <c r="Y1922" s="8" t="b">
        <v>0</v>
      </c>
      <c r="Z1922" s="8" t="b">
        <v>0</v>
      </c>
      <c r="AA1922" s="8" t="b">
        <v>0</v>
      </c>
      <c r="AB1922" s="8" t="b">
        <v>0</v>
      </c>
      <c r="AC1922" s="8" t="b">
        <v>0</v>
      </c>
      <c r="AD1922" s="8" t="b">
        <v>1</v>
      </c>
      <c r="AE1922" s="8" t="b">
        <v>0</v>
      </c>
      <c r="AG1922" s="11" t="b" cm="1">
        <f t="array" ref="AG1922">IF(OR(Y1922:AA1922="TRUE", AE1922="true"), "Threatened")</f>
        <v>0</v>
      </c>
      <c r="AH1922" s="11" t="s">
        <v>4915</v>
      </c>
      <c r="AI1922" s="8" t="b">
        <v>1</v>
      </c>
    </row>
    <row r="1923" spans="1:35" ht="31.2">
      <c r="A1923" s="8">
        <v>-73.960219780000003</v>
      </c>
      <c r="B1923" s="8">
        <v>40.793685060000001</v>
      </c>
      <c r="C1923" s="8" t="s">
        <v>4916</v>
      </c>
      <c r="D1923" s="8" t="s">
        <v>69</v>
      </c>
      <c r="E1923" s="8" t="b">
        <f t="shared" ref="E1923:E1986" si="30">OR(D1923 = "05D", D1923 = "07D", D1923 = "06C", D1923 = "06E")</f>
        <v>0</v>
      </c>
      <c r="F1923" s="8" t="str" cm="1">
        <f t="array" ref="F1923">_xlfn._xlws.FILTER(E1923:E5121, C1923:C5121= "6D-PM-1020-01", "No Squirrels Found")</f>
        <v>No Squirrels Found</v>
      </c>
      <c r="G1923" s="8" t="s">
        <v>34</v>
      </c>
      <c r="H1923" s="10">
        <v>10132018</v>
      </c>
      <c r="I1923" s="10">
        <v>7</v>
      </c>
      <c r="J1923" s="8" t="s">
        <v>39</v>
      </c>
      <c r="K1923" s="8" t="s">
        <v>40</v>
      </c>
      <c r="M1923" s="8" t="s">
        <v>55</v>
      </c>
      <c r="O1923" s="8" t="s">
        <v>43</v>
      </c>
      <c r="P1923" s="8" t="b">
        <v>0</v>
      </c>
      <c r="R1923" s="8" t="b">
        <v>0</v>
      </c>
      <c r="S1923" s="8" t="b">
        <v>0</v>
      </c>
      <c r="T1923" s="8" t="b">
        <v>0</v>
      </c>
      <c r="U1923" s="8" t="b">
        <v>0</v>
      </c>
      <c r="V1923" s="8" t="b">
        <v>1</v>
      </c>
      <c r="X1923" s="8" t="b">
        <v>0</v>
      </c>
      <c r="Y1923" s="8" t="b">
        <v>0</v>
      </c>
      <c r="Z1923" s="8" t="b">
        <v>0</v>
      </c>
      <c r="AA1923" s="8" t="b">
        <v>0</v>
      </c>
      <c r="AB1923" s="8" t="b">
        <v>0</v>
      </c>
      <c r="AC1923" s="8" t="b">
        <v>0</v>
      </c>
      <c r="AD1923" s="8" t="b">
        <v>0</v>
      </c>
      <c r="AE1923" s="8" t="b">
        <v>0</v>
      </c>
      <c r="AG1923" s="11" t="b" cm="1">
        <f t="array" ref="AG1923">IF(OR(Y1923:AA1923="TRUE", AE1923="true"), "Threatened")</f>
        <v>0</v>
      </c>
      <c r="AH1923" s="11" t="s">
        <v>4917</v>
      </c>
      <c r="AI1923" s="8" t="b">
        <v>1</v>
      </c>
    </row>
    <row r="1924" spans="1:35" ht="31.2">
      <c r="A1924" s="8">
        <v>-73.974379519999999</v>
      </c>
      <c r="B1924" s="8">
        <v>40.769203040000001</v>
      </c>
      <c r="C1924" s="8" t="s">
        <v>4918</v>
      </c>
      <c r="D1924" s="8" t="s">
        <v>259</v>
      </c>
      <c r="E1924" s="8" t="b">
        <f t="shared" si="30"/>
        <v>0</v>
      </c>
      <c r="F1924" s="8" t="str" cm="1">
        <f t="array" ref="F1924">_xlfn._xlws.FILTER(E1924:E5122, C1924:C5122= "6D-PM-1020-01", "No Squirrels Found")</f>
        <v>No Squirrels Found</v>
      </c>
      <c r="G1924" s="8" t="s">
        <v>48</v>
      </c>
      <c r="H1924" s="10">
        <v>10082018</v>
      </c>
      <c r="I1924" s="10">
        <v>5</v>
      </c>
      <c r="J1924" s="8" t="s">
        <v>39</v>
      </c>
      <c r="K1924" s="8" t="s">
        <v>40</v>
      </c>
      <c r="L1924" s="8" t="s">
        <v>41</v>
      </c>
      <c r="M1924" s="8" t="s">
        <v>42</v>
      </c>
      <c r="O1924" s="8" t="s">
        <v>50</v>
      </c>
      <c r="P1924" s="8">
        <v>1</v>
      </c>
      <c r="R1924" s="8" t="b">
        <v>0</v>
      </c>
      <c r="S1924" s="8" t="b">
        <v>0</v>
      </c>
      <c r="T1924" s="8" t="b">
        <v>0</v>
      </c>
      <c r="U1924" s="8" t="b">
        <v>0</v>
      </c>
      <c r="V1924" s="8" t="b">
        <v>1</v>
      </c>
      <c r="X1924" s="8" t="b">
        <v>0</v>
      </c>
      <c r="Y1924" s="8" t="b">
        <v>0</v>
      </c>
      <c r="Z1924" s="8" t="b">
        <v>0</v>
      </c>
      <c r="AA1924" s="8" t="b">
        <v>0</v>
      </c>
      <c r="AB1924" s="8" t="b">
        <v>0</v>
      </c>
      <c r="AC1924" s="8" t="b">
        <v>0</v>
      </c>
      <c r="AD1924" s="8" t="b">
        <v>1</v>
      </c>
      <c r="AE1924" s="8" t="b">
        <v>0</v>
      </c>
      <c r="AG1924" s="11" t="b" cm="1">
        <f t="array" ref="AG1924">IF(OR(Y1924:AA1924="TRUE", AE1924="true"), "Threatened")</f>
        <v>0</v>
      </c>
      <c r="AH1924" s="11" t="s">
        <v>4919</v>
      </c>
      <c r="AI1924" s="8" t="b">
        <v>1</v>
      </c>
    </row>
    <row r="1925" spans="1:35" ht="31.2">
      <c r="A1925" s="8">
        <v>-73.954233250000001</v>
      </c>
      <c r="B1925" s="8">
        <v>40.793347519999998</v>
      </c>
      <c r="C1925" s="8" t="s">
        <v>4920</v>
      </c>
      <c r="D1925" s="8" t="s">
        <v>939</v>
      </c>
      <c r="E1925" s="8" t="b">
        <f t="shared" si="30"/>
        <v>0</v>
      </c>
      <c r="F1925" s="8" t="str" cm="1">
        <f t="array" ref="F1925">_xlfn._xlws.FILTER(E1925:E5123, C1925:C5123= "6D-PM-1020-01", "No Squirrels Found")</f>
        <v>No Squirrels Found</v>
      </c>
      <c r="G1925" s="8" t="s">
        <v>48</v>
      </c>
      <c r="H1925" s="10">
        <v>10142018</v>
      </c>
      <c r="I1925" s="10">
        <v>1</v>
      </c>
      <c r="J1925" s="8" t="s">
        <v>39</v>
      </c>
      <c r="K1925" s="8" t="s">
        <v>40</v>
      </c>
      <c r="L1925" s="8" t="s">
        <v>84</v>
      </c>
      <c r="M1925" s="8" t="s">
        <v>103</v>
      </c>
      <c r="N1925" s="11" t="s">
        <v>1899</v>
      </c>
      <c r="O1925" s="8" t="s">
        <v>50</v>
      </c>
      <c r="P1925" s="8">
        <v>5</v>
      </c>
      <c r="R1925" s="8" t="b">
        <v>0</v>
      </c>
      <c r="S1925" s="8" t="b">
        <v>0</v>
      </c>
      <c r="T1925" s="8" t="b">
        <v>1</v>
      </c>
      <c r="U1925" s="8" t="b">
        <v>0</v>
      </c>
      <c r="V1925" s="8" t="b">
        <v>0</v>
      </c>
      <c r="X1925" s="8" t="b">
        <v>0</v>
      </c>
      <c r="Y1925" s="8" t="b">
        <v>0</v>
      </c>
      <c r="Z1925" s="8" t="b">
        <v>0</v>
      </c>
      <c r="AA1925" s="8" t="b">
        <v>0</v>
      </c>
      <c r="AB1925" s="8" t="b">
        <v>0</v>
      </c>
      <c r="AC1925" s="8" t="b">
        <v>0</v>
      </c>
      <c r="AD1925" s="8" t="b">
        <v>1</v>
      </c>
      <c r="AE1925" s="8" t="b">
        <v>0</v>
      </c>
      <c r="AG1925" s="11" t="b" cm="1">
        <f t="array" ref="AG1925">IF(OR(Y1925:AA1925="TRUE", AE1925="true"), "Threatened")</f>
        <v>0</v>
      </c>
      <c r="AH1925" s="11" t="s">
        <v>4921</v>
      </c>
      <c r="AI1925" s="8" t="b">
        <v>1</v>
      </c>
    </row>
    <row r="1926" spans="1:35" ht="31.2">
      <c r="A1926" s="8">
        <v>-73.958138989999995</v>
      </c>
      <c r="B1926" s="8">
        <v>40.799308109999998</v>
      </c>
      <c r="C1926" s="8" t="s">
        <v>4922</v>
      </c>
      <c r="D1926" s="8" t="s">
        <v>478</v>
      </c>
      <c r="E1926" s="8" t="b">
        <f t="shared" si="30"/>
        <v>0</v>
      </c>
      <c r="F1926" s="8" t="str" cm="1">
        <f t="array" ref="F1926">_xlfn._xlws.FILTER(E1926:E5124, C1926:C5124= "6D-PM-1020-01", "No Squirrels Found")</f>
        <v>No Squirrels Found</v>
      </c>
      <c r="G1926" s="8" t="s">
        <v>34</v>
      </c>
      <c r="H1926" s="10">
        <v>10072018</v>
      </c>
      <c r="I1926" s="10">
        <v>4</v>
      </c>
      <c r="J1926" s="8" t="s">
        <v>39</v>
      </c>
      <c r="K1926" s="8" t="s">
        <v>40</v>
      </c>
      <c r="M1926" s="8" t="s">
        <v>55</v>
      </c>
      <c r="O1926" s="8" t="s">
        <v>50</v>
      </c>
      <c r="P1926" s="8">
        <v>20</v>
      </c>
      <c r="R1926" s="8" t="b">
        <v>1</v>
      </c>
      <c r="S1926" s="8" t="b">
        <v>0</v>
      </c>
      <c r="T1926" s="8" t="b">
        <v>1</v>
      </c>
      <c r="U1926" s="8" t="b">
        <v>0</v>
      </c>
      <c r="V1926" s="8" t="b">
        <v>0</v>
      </c>
      <c r="W1926" s="11" t="s">
        <v>4923</v>
      </c>
      <c r="X1926" s="8" t="b">
        <v>0</v>
      </c>
      <c r="Y1926" s="8" t="b">
        <v>0</v>
      </c>
      <c r="Z1926" s="8" t="b">
        <v>0</v>
      </c>
      <c r="AA1926" s="8" t="b">
        <v>0</v>
      </c>
      <c r="AB1926" s="8" t="b">
        <v>0</v>
      </c>
      <c r="AC1926" s="8" t="b">
        <v>0</v>
      </c>
      <c r="AD1926" s="8" t="b">
        <v>0</v>
      </c>
      <c r="AE1926" s="8" t="b">
        <v>1</v>
      </c>
      <c r="AG1926" s="11" t="b" cm="1">
        <f t="array" ref="AG1926">IF(OR(Y1926:AA1926="TRUE", AE1926="true"), "Threatened")</f>
        <v>0</v>
      </c>
      <c r="AH1926" s="11" t="s">
        <v>4924</v>
      </c>
      <c r="AI1926" s="8" t="b">
        <v>0</v>
      </c>
    </row>
    <row r="1927" spans="1:35" ht="31.2">
      <c r="A1927" s="8">
        <v>-73.974281149999996</v>
      </c>
      <c r="B1927" s="8">
        <v>40.775533619999997</v>
      </c>
      <c r="C1927" s="8" t="s">
        <v>4925</v>
      </c>
      <c r="D1927" s="8" t="s">
        <v>268</v>
      </c>
      <c r="E1927" s="8" t="b">
        <f t="shared" si="30"/>
        <v>0</v>
      </c>
      <c r="F1927" s="8" t="str" cm="1">
        <f t="array" ref="F1927">_xlfn._xlws.FILTER(E1927:E5125, C1927:C5125= "6D-PM-1020-01", "No Squirrels Found")</f>
        <v>No Squirrels Found</v>
      </c>
      <c r="G1927" s="8" t="s">
        <v>34</v>
      </c>
      <c r="H1927" s="10">
        <v>10142018</v>
      </c>
      <c r="I1927" s="10">
        <v>8</v>
      </c>
      <c r="K1927" s="8" t="s">
        <v>40</v>
      </c>
      <c r="M1927" s="8" t="s">
        <v>55</v>
      </c>
      <c r="O1927" s="8" t="s">
        <v>50</v>
      </c>
      <c r="P1927" s="8">
        <v>10</v>
      </c>
      <c r="R1927" s="8" t="b">
        <v>0</v>
      </c>
      <c r="S1927" s="8" t="b">
        <v>1</v>
      </c>
      <c r="T1927" s="8" t="b">
        <v>0</v>
      </c>
      <c r="U1927" s="8" t="b">
        <v>0</v>
      </c>
      <c r="V1927" s="8" t="b">
        <v>0</v>
      </c>
      <c r="X1927" s="8" t="b">
        <v>0</v>
      </c>
      <c r="Y1927" s="8" t="b">
        <v>0</v>
      </c>
      <c r="Z1927" s="8" t="b">
        <v>0</v>
      </c>
      <c r="AA1927" s="8" t="b">
        <v>0</v>
      </c>
      <c r="AB1927" s="8" t="b">
        <v>0</v>
      </c>
      <c r="AC1927" s="8" t="b">
        <v>0</v>
      </c>
      <c r="AD1927" s="8" t="b">
        <v>0</v>
      </c>
      <c r="AE1927" s="8" t="b">
        <v>0</v>
      </c>
      <c r="AG1927" s="11" t="b" cm="1">
        <f t="array" ref="AG1927">IF(OR(Y1927:AA1927="TRUE", AE1927="true"), "Threatened")</f>
        <v>0</v>
      </c>
      <c r="AH1927" s="11" t="s">
        <v>4926</v>
      </c>
      <c r="AI1927" s="8" t="b">
        <v>1</v>
      </c>
    </row>
    <row r="1928" spans="1:35" ht="31.2">
      <c r="A1928" s="8">
        <v>-73.954437229999996</v>
      </c>
      <c r="B1928" s="8">
        <v>40.794211320000002</v>
      </c>
      <c r="C1928" s="8" t="s">
        <v>4927</v>
      </c>
      <c r="D1928" s="8" t="s">
        <v>939</v>
      </c>
      <c r="E1928" s="8" t="b">
        <f t="shared" si="30"/>
        <v>0</v>
      </c>
      <c r="F1928" s="8" t="str" cm="1">
        <f t="array" ref="F1928">_xlfn._xlws.FILTER(E1928:E5126, C1928:C5126= "6D-PM-1020-01", "No Squirrels Found")</f>
        <v>No Squirrels Found</v>
      </c>
      <c r="G1928" s="8" t="s">
        <v>34</v>
      </c>
      <c r="H1928" s="10">
        <v>10072018</v>
      </c>
      <c r="I1928" s="10">
        <v>2</v>
      </c>
      <c r="J1928" s="8" t="s">
        <v>39</v>
      </c>
      <c r="K1928" s="8" t="s">
        <v>40</v>
      </c>
      <c r="M1928" s="8" t="s">
        <v>55</v>
      </c>
      <c r="O1928" s="8" t="s">
        <v>43</v>
      </c>
      <c r="P1928" s="8" t="b">
        <v>0</v>
      </c>
      <c r="Q1928" s="8" t="s">
        <v>4928</v>
      </c>
      <c r="R1928" s="8" t="b">
        <v>0</v>
      </c>
      <c r="S1928" s="8" t="b">
        <v>0</v>
      </c>
      <c r="T1928" s="8" t="b">
        <v>0</v>
      </c>
      <c r="U1928" s="8" t="b">
        <v>0</v>
      </c>
      <c r="V1928" s="8" t="b">
        <v>0</v>
      </c>
      <c r="X1928" s="8" t="b">
        <v>0</v>
      </c>
      <c r="Y1928" s="8" t="b">
        <v>0</v>
      </c>
      <c r="Z1928" s="8" t="b">
        <v>0</v>
      </c>
      <c r="AA1928" s="8" t="b">
        <v>0</v>
      </c>
      <c r="AB1928" s="8" t="b">
        <v>0</v>
      </c>
      <c r="AC1928" s="8" t="b">
        <v>0</v>
      </c>
      <c r="AD1928" s="8" t="b">
        <v>0</v>
      </c>
      <c r="AE1928" s="8" t="b">
        <v>0</v>
      </c>
      <c r="AG1928" s="11" t="b" cm="1">
        <f t="array" ref="AG1928">IF(OR(Y1928:AA1928="TRUE", AE1928="true"), "Threatened")</f>
        <v>0</v>
      </c>
      <c r="AH1928" s="11" t="s">
        <v>4929</v>
      </c>
      <c r="AI1928" s="8" t="b">
        <v>1</v>
      </c>
    </row>
    <row r="1929" spans="1:35" ht="31.2">
      <c r="A1929" s="8">
        <v>-73.972566920000006</v>
      </c>
      <c r="B1929" s="8">
        <v>40.768149700000002</v>
      </c>
      <c r="C1929" s="8" t="s">
        <v>4930</v>
      </c>
      <c r="D1929" s="8" t="s">
        <v>4931</v>
      </c>
      <c r="E1929" s="8" t="b">
        <f t="shared" si="30"/>
        <v>0</v>
      </c>
      <c r="F1929" s="8" t="str" cm="1">
        <f t="array" ref="F1929">_xlfn._xlws.FILTER(E1929:E5127, C1929:C5127= "6D-PM-1020-01", "No Squirrels Found")</f>
        <v>No Squirrels Found</v>
      </c>
      <c r="G1929" s="8" t="s">
        <v>48</v>
      </c>
      <c r="H1929" s="10">
        <v>10072018</v>
      </c>
      <c r="I1929" s="10">
        <v>1</v>
      </c>
      <c r="J1929" s="8" t="s">
        <v>39</v>
      </c>
      <c r="K1929" s="8" t="s">
        <v>40</v>
      </c>
      <c r="L1929" s="8" t="s">
        <v>41</v>
      </c>
      <c r="M1929" s="8" t="s">
        <v>42</v>
      </c>
      <c r="R1929" s="8" t="b">
        <v>0</v>
      </c>
      <c r="S1929" s="8" t="b">
        <v>0</v>
      </c>
      <c r="T1929" s="8" t="b">
        <v>0</v>
      </c>
      <c r="U1929" s="8" t="b">
        <v>0</v>
      </c>
      <c r="V1929" s="8" t="b">
        <v>1</v>
      </c>
      <c r="X1929" s="8" t="b">
        <v>0</v>
      </c>
      <c r="Y1929" s="8" t="b">
        <v>0</v>
      </c>
      <c r="Z1929" s="8" t="b">
        <v>0</v>
      </c>
      <c r="AA1929" s="8" t="b">
        <v>0</v>
      </c>
      <c r="AB1929" s="8" t="b">
        <v>0</v>
      </c>
      <c r="AC1929" s="8" t="b">
        <v>0</v>
      </c>
      <c r="AD1929" s="8" t="b">
        <v>0</v>
      </c>
      <c r="AE1929" s="8" t="b">
        <v>0</v>
      </c>
      <c r="AG1929" s="11" t="b" cm="1">
        <f t="array" ref="AG1929">IF(OR(Y1929:AA1929="TRUE", AE1929="true"), "Threatened")</f>
        <v>0</v>
      </c>
      <c r="AH1929" s="11" t="s">
        <v>4932</v>
      </c>
      <c r="AI1929" s="8" t="b">
        <v>1</v>
      </c>
    </row>
    <row r="1930" spans="1:35" ht="31.2">
      <c r="A1930" s="8">
        <v>-73.964602310000004</v>
      </c>
      <c r="B1930" s="8">
        <v>40.781067999999998</v>
      </c>
      <c r="C1930" s="8" t="s">
        <v>4933</v>
      </c>
      <c r="D1930" s="8" t="s">
        <v>574</v>
      </c>
      <c r="E1930" s="8" t="b">
        <f t="shared" si="30"/>
        <v>0</v>
      </c>
      <c r="F1930" s="8" t="str" cm="1">
        <f t="array" ref="F1930">_xlfn._xlws.FILTER(E1930:E5128, C1930:C5128= "6D-PM-1020-01", "No Squirrels Found")</f>
        <v>No Squirrels Found</v>
      </c>
      <c r="G1930" s="8" t="s">
        <v>34</v>
      </c>
      <c r="H1930" s="10">
        <v>10072018</v>
      </c>
      <c r="I1930" s="10">
        <v>14</v>
      </c>
      <c r="J1930" s="8" t="s">
        <v>39</v>
      </c>
      <c r="K1930" s="8" t="s">
        <v>40</v>
      </c>
      <c r="L1930" s="8" t="s">
        <v>84</v>
      </c>
      <c r="M1930" s="8" t="s">
        <v>103</v>
      </c>
      <c r="O1930" s="8" t="s">
        <v>43</v>
      </c>
      <c r="P1930" s="8" t="b">
        <v>0</v>
      </c>
      <c r="R1930" s="8" t="b">
        <v>0</v>
      </c>
      <c r="S1930" s="8" t="b">
        <v>0</v>
      </c>
      <c r="T1930" s="8" t="b">
        <v>0</v>
      </c>
      <c r="U1930" s="8" t="b">
        <v>1</v>
      </c>
      <c r="V1930" s="8" t="b">
        <v>0</v>
      </c>
      <c r="X1930" s="8" t="b">
        <v>0</v>
      </c>
      <c r="Y1930" s="8" t="b">
        <v>0</v>
      </c>
      <c r="Z1930" s="8" t="b">
        <v>0</v>
      </c>
      <c r="AA1930" s="8" t="b">
        <v>0</v>
      </c>
      <c r="AB1930" s="8" t="b">
        <v>0</v>
      </c>
      <c r="AC1930" s="8" t="b">
        <v>0</v>
      </c>
      <c r="AD1930" s="8" t="b">
        <v>1</v>
      </c>
      <c r="AE1930" s="8" t="b">
        <v>0</v>
      </c>
      <c r="AG1930" s="11" t="b" cm="1">
        <f t="array" ref="AG1930">IF(OR(Y1930:AA1930="TRUE", AE1930="true"), "Threatened")</f>
        <v>0</v>
      </c>
      <c r="AH1930" s="11" t="s">
        <v>4934</v>
      </c>
      <c r="AI1930" s="8" t="b">
        <v>1</v>
      </c>
    </row>
    <row r="1931" spans="1:35" ht="31.2">
      <c r="A1931" s="8">
        <v>-73.97442796</v>
      </c>
      <c r="B1931" s="8">
        <v>40.777776060000001</v>
      </c>
      <c r="C1931" s="8" t="s">
        <v>4935</v>
      </c>
      <c r="D1931" s="8" t="s">
        <v>594</v>
      </c>
      <c r="E1931" s="8" t="b">
        <f t="shared" si="30"/>
        <v>0</v>
      </c>
      <c r="F1931" s="8" t="str" cm="1">
        <f t="array" ref="F1931">_xlfn._xlws.FILTER(E1931:E5129, C1931:C5129= "6D-PM-1020-01", "No Squirrels Found")</f>
        <v>No Squirrels Found</v>
      </c>
      <c r="G1931" s="8" t="s">
        <v>34</v>
      </c>
      <c r="H1931" s="10">
        <v>10142018</v>
      </c>
      <c r="I1931" s="10">
        <v>1</v>
      </c>
      <c r="J1931" s="8" t="s">
        <v>39</v>
      </c>
      <c r="K1931" s="8" t="s">
        <v>40</v>
      </c>
      <c r="M1931" s="8" t="s">
        <v>55</v>
      </c>
      <c r="O1931" s="8" t="s">
        <v>43</v>
      </c>
      <c r="P1931" s="8" t="b">
        <v>0</v>
      </c>
      <c r="R1931" s="8" t="b">
        <v>0</v>
      </c>
      <c r="S1931" s="8" t="b">
        <v>0</v>
      </c>
      <c r="T1931" s="8" t="b">
        <v>0</v>
      </c>
      <c r="U1931" s="8" t="b">
        <v>0</v>
      </c>
      <c r="V1931" s="8" t="b">
        <v>0</v>
      </c>
      <c r="X1931" s="8" t="b">
        <v>0</v>
      </c>
      <c r="Y1931" s="8" t="b">
        <v>0</v>
      </c>
      <c r="Z1931" s="8" t="b">
        <v>0</v>
      </c>
      <c r="AA1931" s="8" t="b">
        <v>0</v>
      </c>
      <c r="AB1931" s="8" t="b">
        <v>0</v>
      </c>
      <c r="AC1931" s="8" t="b">
        <v>0</v>
      </c>
      <c r="AD1931" s="8" t="b">
        <v>1</v>
      </c>
      <c r="AE1931" s="8" t="b">
        <v>0</v>
      </c>
      <c r="AG1931" s="11" t="b" cm="1">
        <f t="array" ref="AG1931">IF(OR(Y1931:AA1931="TRUE", AE1931="true"), "Threatened")</f>
        <v>0</v>
      </c>
      <c r="AH1931" s="11" t="s">
        <v>4936</v>
      </c>
      <c r="AI1931" s="8" t="b">
        <v>1</v>
      </c>
    </row>
    <row r="1932" spans="1:35" ht="31.2">
      <c r="A1932" s="8">
        <v>-73.953308590000006</v>
      </c>
      <c r="B1932" s="8">
        <v>40.79348779</v>
      </c>
      <c r="C1932" s="8" t="s">
        <v>4937</v>
      </c>
      <c r="D1932" s="8" t="s">
        <v>867</v>
      </c>
      <c r="E1932" s="8" t="b">
        <f t="shared" si="30"/>
        <v>0</v>
      </c>
      <c r="F1932" s="8" t="str" cm="1">
        <f t="array" ref="F1932">_xlfn._xlws.FILTER(E1932:E5130, C1932:C5130= "6D-PM-1020-01", "No Squirrels Found")</f>
        <v>No Squirrels Found</v>
      </c>
      <c r="G1932" s="8" t="s">
        <v>34</v>
      </c>
      <c r="H1932" s="10">
        <v>10062018</v>
      </c>
      <c r="I1932" s="10">
        <v>3</v>
      </c>
      <c r="M1932" s="8" t="s">
        <v>35</v>
      </c>
      <c r="O1932" s="8" t="s">
        <v>50</v>
      </c>
      <c r="P1932" s="8">
        <v>43</v>
      </c>
      <c r="Q1932" s="8" t="s">
        <v>206</v>
      </c>
      <c r="R1932" s="8" t="b">
        <v>0</v>
      </c>
      <c r="S1932" s="8" t="b">
        <v>0</v>
      </c>
      <c r="T1932" s="8" t="b">
        <v>1</v>
      </c>
      <c r="U1932" s="8" t="b">
        <v>0</v>
      </c>
      <c r="V1932" s="8" t="b">
        <v>0</v>
      </c>
      <c r="X1932" s="8" t="b">
        <v>1</v>
      </c>
      <c r="Y1932" s="8" t="b">
        <v>0</v>
      </c>
      <c r="Z1932" s="8" t="b">
        <v>0</v>
      </c>
      <c r="AA1932" s="8" t="b">
        <v>0</v>
      </c>
      <c r="AB1932" s="8" t="b">
        <v>0</v>
      </c>
      <c r="AC1932" s="8" t="b">
        <v>0</v>
      </c>
      <c r="AD1932" s="8" t="b">
        <v>0</v>
      </c>
      <c r="AE1932" s="8" t="b">
        <v>0</v>
      </c>
      <c r="AG1932" s="11" t="b" cm="1">
        <f t="array" ref="AG1932">IF(OR(Y1932:AA1932="TRUE", AE1932="true"), "Threatened")</f>
        <v>0</v>
      </c>
      <c r="AH1932" s="11" t="s">
        <v>4938</v>
      </c>
      <c r="AI1932" s="8" t="b">
        <v>1</v>
      </c>
    </row>
    <row r="1933" spans="1:35" ht="31.2">
      <c r="A1933" s="8">
        <v>-73.961697259999994</v>
      </c>
      <c r="B1933" s="8">
        <v>40.79538728</v>
      </c>
      <c r="C1933" s="8" t="s">
        <v>4939</v>
      </c>
      <c r="D1933" s="8" t="s">
        <v>387</v>
      </c>
      <c r="E1933" s="8" t="b">
        <f t="shared" si="30"/>
        <v>0</v>
      </c>
      <c r="F1933" s="8" t="str" cm="1">
        <f t="array" ref="F1933">_xlfn._xlws.FILTER(E1933:E5131, C1933:C5131= "6D-PM-1020-01", "No Squirrels Found")</f>
        <v>No Squirrels Found</v>
      </c>
      <c r="G1933" s="8" t="s">
        <v>34</v>
      </c>
      <c r="H1933" s="10">
        <v>10132018</v>
      </c>
      <c r="I1933" s="10">
        <v>3</v>
      </c>
      <c r="J1933" s="8" t="s">
        <v>54</v>
      </c>
      <c r="K1933" s="8" t="s">
        <v>41</v>
      </c>
      <c r="M1933" s="8" t="s">
        <v>49</v>
      </c>
      <c r="N1933" s="11" t="s">
        <v>4940</v>
      </c>
      <c r="O1933" s="8" t="s">
        <v>43</v>
      </c>
      <c r="P1933" s="8" t="b">
        <v>0</v>
      </c>
      <c r="R1933" s="8" t="b">
        <v>1</v>
      </c>
      <c r="S1933" s="8" t="b">
        <v>0</v>
      </c>
      <c r="T1933" s="8" t="b">
        <v>0</v>
      </c>
      <c r="U1933" s="8" t="b">
        <v>0</v>
      </c>
      <c r="V1933" s="8" t="b">
        <v>0</v>
      </c>
      <c r="X1933" s="8" t="b">
        <v>0</v>
      </c>
      <c r="Y1933" s="8" t="b">
        <v>0</v>
      </c>
      <c r="Z1933" s="8" t="b">
        <v>0</v>
      </c>
      <c r="AA1933" s="8" t="b">
        <v>0</v>
      </c>
      <c r="AB1933" s="8" t="b">
        <v>0</v>
      </c>
      <c r="AC1933" s="8" t="b">
        <v>0</v>
      </c>
      <c r="AD1933" s="8" t="b">
        <v>0</v>
      </c>
      <c r="AE1933" s="8" t="b">
        <v>1</v>
      </c>
      <c r="AG1933" s="11" t="b" cm="1">
        <f t="array" ref="AG1933">IF(OR(Y1933:AA1933="TRUE", AE1933="true"), "Threatened")</f>
        <v>0</v>
      </c>
      <c r="AH1933" s="11" t="s">
        <v>4941</v>
      </c>
      <c r="AI1933" s="8" t="b">
        <v>1</v>
      </c>
    </row>
    <row r="1934" spans="1:35" ht="31.2">
      <c r="A1934" s="8">
        <v>-73.958482439999997</v>
      </c>
      <c r="B1934" s="8">
        <v>40.793424760000001</v>
      </c>
      <c r="C1934" s="8" t="s">
        <v>4942</v>
      </c>
      <c r="D1934" s="8" t="s">
        <v>515</v>
      </c>
      <c r="E1934" s="8" t="b">
        <f t="shared" si="30"/>
        <v>0</v>
      </c>
      <c r="F1934" s="8" t="str" cm="1">
        <f t="array" ref="F1934">_xlfn._xlws.FILTER(E1934:E5132, C1934:C5132= "6D-PM-1020-01", "No Squirrels Found")</f>
        <v>No Squirrels Found</v>
      </c>
      <c r="G1934" s="8" t="s">
        <v>34</v>
      </c>
      <c r="H1934" s="10">
        <v>10132018</v>
      </c>
      <c r="I1934" s="10">
        <v>2</v>
      </c>
      <c r="J1934" s="8" t="s">
        <v>39</v>
      </c>
      <c r="K1934" s="8" t="s">
        <v>40</v>
      </c>
      <c r="L1934" s="8" t="s">
        <v>84</v>
      </c>
      <c r="M1934" s="8" t="s">
        <v>103</v>
      </c>
      <c r="O1934" s="8" t="s">
        <v>50</v>
      </c>
      <c r="P1934" s="8">
        <v>24</v>
      </c>
      <c r="R1934" s="8" t="b">
        <v>0</v>
      </c>
      <c r="S1934" s="8" t="b">
        <v>0</v>
      </c>
      <c r="T1934" s="8" t="b">
        <v>1</v>
      </c>
      <c r="U1934" s="8" t="b">
        <v>0</v>
      </c>
      <c r="V1934" s="8" t="b">
        <v>0</v>
      </c>
      <c r="X1934" s="8" t="b">
        <v>0</v>
      </c>
      <c r="Y1934" s="8" t="b">
        <v>0</v>
      </c>
      <c r="Z1934" s="8" t="b">
        <v>0</v>
      </c>
      <c r="AA1934" s="8" t="b">
        <v>0</v>
      </c>
      <c r="AB1934" s="8" t="b">
        <v>0</v>
      </c>
      <c r="AC1934" s="8" t="b">
        <v>0</v>
      </c>
      <c r="AD1934" s="8" t="b">
        <v>1</v>
      </c>
      <c r="AE1934" s="8" t="b">
        <v>0</v>
      </c>
      <c r="AG1934" s="11" t="b" cm="1">
        <f t="array" ref="AG1934">IF(OR(Y1934:AA1934="TRUE", AE1934="true"), "Threatened")</f>
        <v>0</v>
      </c>
      <c r="AH1934" s="11" t="s">
        <v>4943</v>
      </c>
      <c r="AI1934" s="8" t="b">
        <v>1</v>
      </c>
    </row>
    <row r="1935" spans="1:35" ht="31.2">
      <c r="A1935" s="8">
        <v>-73.969756970000006</v>
      </c>
      <c r="B1935" s="8">
        <v>40.778645509999997</v>
      </c>
      <c r="C1935" s="8" t="s">
        <v>4944</v>
      </c>
      <c r="D1935" s="8" t="s">
        <v>721</v>
      </c>
      <c r="E1935" s="8" t="b">
        <f t="shared" si="30"/>
        <v>0</v>
      </c>
      <c r="F1935" s="8" t="str" cm="1">
        <f t="array" ref="F1935">_xlfn._xlws.FILTER(E1935:E5133, C1935:C5133= "6D-PM-1020-01", "No Squirrels Found")</f>
        <v>No Squirrels Found</v>
      </c>
      <c r="G1935" s="8" t="s">
        <v>34</v>
      </c>
      <c r="H1935" s="10">
        <v>10102018</v>
      </c>
      <c r="I1935" s="10">
        <v>2</v>
      </c>
      <c r="J1935" s="8" t="s">
        <v>39</v>
      </c>
      <c r="K1935" s="8" t="s">
        <v>40</v>
      </c>
      <c r="M1935" s="8" t="s">
        <v>55</v>
      </c>
      <c r="O1935" s="8" t="s">
        <v>43</v>
      </c>
      <c r="P1935" s="8" t="b">
        <v>0</v>
      </c>
      <c r="R1935" s="8" t="b">
        <v>0</v>
      </c>
      <c r="S1935" s="8" t="b">
        <v>0</v>
      </c>
      <c r="T1935" s="8" t="b">
        <v>0</v>
      </c>
      <c r="U1935" s="8" t="b">
        <v>1</v>
      </c>
      <c r="V1935" s="8" t="b">
        <v>1</v>
      </c>
      <c r="X1935" s="8" t="b">
        <v>0</v>
      </c>
      <c r="Y1935" s="8" t="b">
        <v>0</v>
      </c>
      <c r="Z1935" s="8" t="b">
        <v>0</v>
      </c>
      <c r="AA1935" s="8" t="b">
        <v>0</v>
      </c>
      <c r="AB1935" s="8" t="b">
        <v>0</v>
      </c>
      <c r="AC1935" s="8" t="b">
        <v>0</v>
      </c>
      <c r="AD1935" s="8" t="b">
        <v>1</v>
      </c>
      <c r="AE1935" s="8" t="b">
        <v>0</v>
      </c>
      <c r="AG1935" s="11" t="b" cm="1">
        <f t="array" ref="AG1935">IF(OR(Y1935:AA1935="TRUE", AE1935="true"), "Threatened")</f>
        <v>0</v>
      </c>
      <c r="AH1935" s="11" t="s">
        <v>4945</v>
      </c>
      <c r="AI1935" s="8" t="b">
        <v>1</v>
      </c>
    </row>
    <row r="1936" spans="1:35" ht="31.2">
      <c r="A1936" s="8">
        <v>-73.967526890000002</v>
      </c>
      <c r="B1936" s="8">
        <v>40.775040969999999</v>
      </c>
      <c r="C1936" s="8" t="s">
        <v>4946</v>
      </c>
      <c r="D1936" s="8" t="s">
        <v>205</v>
      </c>
      <c r="E1936" s="8" t="b">
        <f t="shared" si="30"/>
        <v>0</v>
      </c>
      <c r="F1936" s="8" t="str" cm="1">
        <f t="array" ref="F1936">_xlfn._xlws.FILTER(E1936:E5134, C1936:C5134= "6D-PM-1020-01", "No Squirrels Found")</f>
        <v>No Squirrels Found</v>
      </c>
      <c r="G1936" s="8" t="s">
        <v>48</v>
      </c>
      <c r="H1936" s="10">
        <v>10132018</v>
      </c>
      <c r="I1936" s="10">
        <v>1</v>
      </c>
      <c r="J1936" s="8" t="s">
        <v>39</v>
      </c>
      <c r="K1936" s="8" t="s">
        <v>40</v>
      </c>
      <c r="L1936" s="8" t="s">
        <v>84</v>
      </c>
      <c r="M1936" s="8" t="s">
        <v>103</v>
      </c>
      <c r="O1936" s="8" t="s">
        <v>50</v>
      </c>
      <c r="P1936" s="8">
        <v>5</v>
      </c>
      <c r="R1936" s="8" t="b">
        <v>0</v>
      </c>
      <c r="S1936" s="8" t="b">
        <v>0</v>
      </c>
      <c r="T1936" s="8" t="b">
        <v>1</v>
      </c>
      <c r="U1936" s="8" t="b">
        <v>0</v>
      </c>
      <c r="V1936" s="8" t="b">
        <v>0</v>
      </c>
      <c r="X1936" s="8" t="b">
        <v>0</v>
      </c>
      <c r="Y1936" s="8" t="b">
        <v>0</v>
      </c>
      <c r="Z1936" s="8" t="b">
        <v>0</v>
      </c>
      <c r="AA1936" s="8" t="b">
        <v>0</v>
      </c>
      <c r="AB1936" s="8" t="b">
        <v>0</v>
      </c>
      <c r="AC1936" s="8" t="b">
        <v>0</v>
      </c>
      <c r="AD1936" s="8" t="b">
        <v>1</v>
      </c>
      <c r="AE1936" s="8" t="b">
        <v>0</v>
      </c>
      <c r="AG1936" s="11" t="b" cm="1">
        <f t="array" ref="AG1936">IF(OR(Y1936:AA1936="TRUE", AE1936="true"), "Threatened")</f>
        <v>0</v>
      </c>
      <c r="AH1936" s="11" t="s">
        <v>4947</v>
      </c>
      <c r="AI1936" s="8" t="b">
        <v>1</v>
      </c>
    </row>
    <row r="1937" spans="1:35" ht="31.2">
      <c r="A1937" s="8">
        <v>-73.96679116</v>
      </c>
      <c r="B1937" s="8">
        <v>40.779321899999999</v>
      </c>
      <c r="C1937" s="8" t="s">
        <v>4948</v>
      </c>
      <c r="D1937" s="8" t="s">
        <v>1526</v>
      </c>
      <c r="E1937" s="8" t="b">
        <f t="shared" si="30"/>
        <v>0</v>
      </c>
      <c r="F1937" s="8" t="str" cm="1">
        <f t="array" ref="F1937">_xlfn._xlws.FILTER(E1937:E5135, C1937:C5135= "6D-PM-1020-01", "No Squirrels Found")</f>
        <v>No Squirrels Found</v>
      </c>
      <c r="G1937" s="8" t="s">
        <v>48</v>
      </c>
      <c r="H1937" s="10">
        <v>10142018</v>
      </c>
      <c r="I1937" s="10">
        <v>2</v>
      </c>
      <c r="J1937" s="8" t="s">
        <v>39</v>
      </c>
      <c r="K1937" s="8" t="s">
        <v>40</v>
      </c>
      <c r="M1937" s="8" t="s">
        <v>55</v>
      </c>
      <c r="O1937" s="8" t="s">
        <v>43</v>
      </c>
      <c r="P1937" s="8" t="b">
        <v>0</v>
      </c>
      <c r="Q1937" s="8" t="s">
        <v>4949</v>
      </c>
      <c r="R1937" s="8" t="b">
        <v>0</v>
      </c>
      <c r="S1937" s="8" t="b">
        <v>0</v>
      </c>
      <c r="T1937" s="8" t="b">
        <v>0</v>
      </c>
      <c r="U1937" s="8" t="b">
        <v>1</v>
      </c>
      <c r="V1937" s="8" t="b">
        <v>1</v>
      </c>
      <c r="X1937" s="8" t="b">
        <v>0</v>
      </c>
      <c r="Y1937" s="8" t="b">
        <v>1</v>
      </c>
      <c r="Z1937" s="8" t="b">
        <v>0</v>
      </c>
      <c r="AA1937" s="8" t="b">
        <v>0</v>
      </c>
      <c r="AB1937" s="8" t="b">
        <v>0</v>
      </c>
      <c r="AC1937" s="8" t="b">
        <v>0</v>
      </c>
      <c r="AD1937" s="8" t="b">
        <v>1</v>
      </c>
      <c r="AE1937" s="8" t="b">
        <v>0</v>
      </c>
      <c r="AG1937" s="11" t="b" cm="1">
        <f t="array" ref="AG1937">IF(OR(Y1937:AA1937="TRUE", AE1937="true"), "Threatened")</f>
        <v>0</v>
      </c>
      <c r="AH1937" s="11" t="s">
        <v>4950</v>
      </c>
      <c r="AI1937" s="8" t="b">
        <v>1</v>
      </c>
    </row>
    <row r="1938" spans="1:35" ht="31.2">
      <c r="A1938" s="8">
        <v>-73.956554949999997</v>
      </c>
      <c r="B1938" s="8">
        <v>40.798982369999997</v>
      </c>
      <c r="C1938" s="8" t="s">
        <v>4951</v>
      </c>
      <c r="D1938" s="8" t="s">
        <v>1133</v>
      </c>
      <c r="E1938" s="8" t="b">
        <f t="shared" si="30"/>
        <v>0</v>
      </c>
      <c r="F1938" s="8" t="str" cm="1">
        <f t="array" ref="F1938">_xlfn._xlws.FILTER(E1938:E5136, C1938:C5136= "6D-PM-1020-01", "No Squirrels Found")</f>
        <v>No Squirrels Found</v>
      </c>
      <c r="G1938" s="8" t="s">
        <v>48</v>
      </c>
      <c r="H1938" s="10">
        <v>10172018</v>
      </c>
      <c r="I1938" s="10">
        <v>3</v>
      </c>
      <c r="J1938" s="8" t="s">
        <v>39</v>
      </c>
      <c r="K1938" s="8" t="s">
        <v>40</v>
      </c>
      <c r="L1938" s="8" t="s">
        <v>84</v>
      </c>
      <c r="M1938" s="8" t="s">
        <v>103</v>
      </c>
      <c r="O1938" s="8" t="s">
        <v>43</v>
      </c>
      <c r="P1938" s="8" t="b">
        <v>0</v>
      </c>
      <c r="R1938" s="8" t="b">
        <v>0</v>
      </c>
      <c r="S1938" s="8" t="b">
        <v>0</v>
      </c>
      <c r="T1938" s="8" t="b">
        <v>0</v>
      </c>
      <c r="U1938" s="8" t="b">
        <v>0</v>
      </c>
      <c r="V1938" s="8" t="b">
        <v>1</v>
      </c>
      <c r="X1938" s="8" t="b">
        <v>0</v>
      </c>
      <c r="Y1938" s="8" t="b">
        <v>0</v>
      </c>
      <c r="Z1938" s="8" t="b">
        <v>0</v>
      </c>
      <c r="AA1938" s="8" t="b">
        <v>0</v>
      </c>
      <c r="AB1938" s="8" t="b">
        <v>0</v>
      </c>
      <c r="AC1938" s="8" t="b">
        <v>0</v>
      </c>
      <c r="AD1938" s="8" t="b">
        <v>1</v>
      </c>
      <c r="AE1938" s="8" t="b">
        <v>0</v>
      </c>
      <c r="AG1938" s="11" t="b" cm="1">
        <f t="array" ref="AG1938">IF(OR(Y1938:AA1938="TRUE", AE1938="true"), "Threatened")</f>
        <v>0</v>
      </c>
      <c r="AH1938" s="11" t="s">
        <v>4952</v>
      </c>
      <c r="AI1938" s="8" t="b">
        <v>1</v>
      </c>
    </row>
    <row r="1939" spans="1:35" ht="31.2">
      <c r="A1939" s="8">
        <v>-73.971987970000001</v>
      </c>
      <c r="B1939" s="8">
        <v>40.77256251</v>
      </c>
      <c r="C1939" s="8" t="s">
        <v>4953</v>
      </c>
      <c r="D1939" s="8" t="s">
        <v>527</v>
      </c>
      <c r="E1939" s="8" t="b">
        <f t="shared" si="30"/>
        <v>0</v>
      </c>
      <c r="F1939" s="8" t="str" cm="1">
        <f t="array" ref="F1939">_xlfn._xlws.FILTER(E1939:E5137, C1939:C5137= "6D-PM-1020-01", "No Squirrels Found")</f>
        <v>No Squirrels Found</v>
      </c>
      <c r="G1939" s="8" t="s">
        <v>48</v>
      </c>
      <c r="H1939" s="10">
        <v>10132018</v>
      </c>
      <c r="I1939" s="10">
        <v>2</v>
      </c>
      <c r="J1939" s="8" t="s">
        <v>39</v>
      </c>
      <c r="K1939" s="8" t="s">
        <v>192</v>
      </c>
      <c r="M1939" s="8" t="s">
        <v>193</v>
      </c>
      <c r="O1939" s="8" t="s">
        <v>50</v>
      </c>
      <c r="P1939" s="8">
        <v>10</v>
      </c>
      <c r="R1939" s="8" t="b">
        <v>0</v>
      </c>
      <c r="S1939" s="8" t="b">
        <v>0</v>
      </c>
      <c r="T1939" s="8" t="b">
        <v>1</v>
      </c>
      <c r="U1939" s="8" t="b">
        <v>0</v>
      </c>
      <c r="V1939" s="8" t="b">
        <v>0</v>
      </c>
      <c r="X1939" s="8" t="b">
        <v>0</v>
      </c>
      <c r="Y1939" s="8" t="b">
        <v>0</v>
      </c>
      <c r="Z1939" s="8" t="b">
        <v>0</v>
      </c>
      <c r="AA1939" s="8" t="b">
        <v>0</v>
      </c>
      <c r="AB1939" s="8" t="b">
        <v>0</v>
      </c>
      <c r="AC1939" s="8" t="b">
        <v>0</v>
      </c>
      <c r="AD1939" s="8" t="b">
        <v>0</v>
      </c>
      <c r="AE1939" s="8" t="b">
        <v>0</v>
      </c>
      <c r="AG1939" s="11" t="b" cm="1">
        <f t="array" ref="AG1939">IF(OR(Y1939:AA1939="TRUE", AE1939="true"), "Threatened")</f>
        <v>0</v>
      </c>
      <c r="AH1939" s="11" t="s">
        <v>4954</v>
      </c>
      <c r="AI1939" s="8" t="b">
        <v>1</v>
      </c>
    </row>
    <row r="1940" spans="1:35" ht="31.2">
      <c r="A1940" s="8">
        <v>-73.954015179999999</v>
      </c>
      <c r="B1940" s="8">
        <v>40.792006620000002</v>
      </c>
      <c r="C1940" s="8" t="s">
        <v>4955</v>
      </c>
      <c r="D1940" s="8" t="s">
        <v>2990</v>
      </c>
      <c r="E1940" s="8" t="b">
        <f t="shared" si="30"/>
        <v>0</v>
      </c>
      <c r="F1940" s="8" t="str" cm="1">
        <f t="array" ref="F1940">_xlfn._xlws.FILTER(E1940:E5138, C1940:C5138= "6D-PM-1020-01", "No Squirrels Found")</f>
        <v>No Squirrels Found</v>
      </c>
      <c r="G1940" s="8" t="s">
        <v>48</v>
      </c>
      <c r="H1940" s="10">
        <v>10132018</v>
      </c>
      <c r="I1940" s="10">
        <v>1</v>
      </c>
      <c r="J1940" s="8" t="s">
        <v>39</v>
      </c>
      <c r="K1940" s="8" t="s">
        <v>41</v>
      </c>
      <c r="L1940" s="8" t="s">
        <v>40</v>
      </c>
      <c r="M1940" s="8" t="s">
        <v>110</v>
      </c>
      <c r="O1940" s="8" t="s">
        <v>50</v>
      </c>
      <c r="P1940" s="8">
        <v>15</v>
      </c>
      <c r="Q1940" s="8" t="s">
        <v>4956</v>
      </c>
      <c r="R1940" s="8" t="b">
        <v>0</v>
      </c>
      <c r="S1940" s="8" t="b">
        <v>0</v>
      </c>
      <c r="T1940" s="8" t="b">
        <v>1</v>
      </c>
      <c r="U1940" s="8" t="b">
        <v>0</v>
      </c>
      <c r="V1940" s="8" t="b">
        <v>0</v>
      </c>
      <c r="X1940" s="8" t="b">
        <v>0</v>
      </c>
      <c r="Y1940" s="8" t="b">
        <v>0</v>
      </c>
      <c r="Z1940" s="8" t="b">
        <v>0</v>
      </c>
      <c r="AA1940" s="8" t="b">
        <v>0</v>
      </c>
      <c r="AB1940" s="8" t="b">
        <v>1</v>
      </c>
      <c r="AC1940" s="8" t="b">
        <v>0</v>
      </c>
      <c r="AD1940" s="8" t="b">
        <v>0</v>
      </c>
      <c r="AE1940" s="8" t="b">
        <v>1</v>
      </c>
      <c r="AG1940" s="11" t="b" cm="1">
        <f t="array" ref="AG1940">IF(OR(Y1940:AA1940="TRUE", AE1940="true"), "Threatened")</f>
        <v>0</v>
      </c>
      <c r="AH1940" s="11" t="s">
        <v>4957</v>
      </c>
      <c r="AI1940" s="8" t="b">
        <v>1</v>
      </c>
    </row>
    <row r="1941" spans="1:35" ht="31.2">
      <c r="A1941" s="8">
        <v>-73.969644560000006</v>
      </c>
      <c r="B1941" s="8">
        <v>40.779148620000001</v>
      </c>
      <c r="C1941" s="8" t="s">
        <v>4958</v>
      </c>
      <c r="D1941" s="8" t="s">
        <v>1996</v>
      </c>
      <c r="E1941" s="8" t="b">
        <f t="shared" si="30"/>
        <v>0</v>
      </c>
      <c r="F1941" s="8" t="str" cm="1">
        <f t="array" ref="F1941">_xlfn._xlws.FILTER(E1941:E5139, C1941:C5139= "6D-PM-1020-01", "No Squirrels Found")</f>
        <v>No Squirrels Found</v>
      </c>
      <c r="G1941" s="8" t="s">
        <v>48</v>
      </c>
      <c r="H1941" s="10">
        <v>10082018</v>
      </c>
      <c r="I1941" s="10">
        <v>5</v>
      </c>
      <c r="J1941" s="8" t="s">
        <v>54</v>
      </c>
      <c r="K1941" s="8" t="s">
        <v>40</v>
      </c>
      <c r="M1941" s="8" t="s">
        <v>55</v>
      </c>
      <c r="O1941" s="8" t="s">
        <v>50</v>
      </c>
      <c r="P1941" s="8">
        <v>2</v>
      </c>
      <c r="R1941" s="8" t="b">
        <v>0</v>
      </c>
      <c r="S1941" s="8" t="b">
        <v>0</v>
      </c>
      <c r="T1941" s="8" t="b">
        <v>1</v>
      </c>
      <c r="U1941" s="8" t="b">
        <v>0</v>
      </c>
      <c r="V1941" s="8" t="b">
        <v>0</v>
      </c>
      <c r="X1941" s="8" t="b">
        <v>0</v>
      </c>
      <c r="Y1941" s="8" t="b">
        <v>0</v>
      </c>
      <c r="Z1941" s="8" t="b">
        <v>0</v>
      </c>
      <c r="AA1941" s="8" t="b">
        <v>0</v>
      </c>
      <c r="AB1941" s="8" t="b">
        <v>0</v>
      </c>
      <c r="AC1941" s="8" t="b">
        <v>0</v>
      </c>
      <c r="AD1941" s="8" t="b">
        <v>1</v>
      </c>
      <c r="AE1941" s="8" t="b">
        <v>0</v>
      </c>
      <c r="AG1941" s="11" t="b" cm="1">
        <f t="array" ref="AG1941">IF(OR(Y1941:AA1941="TRUE", AE1941="true"), "Threatened")</f>
        <v>0</v>
      </c>
      <c r="AH1941" s="11" t="s">
        <v>4959</v>
      </c>
      <c r="AI1941" s="8" t="b">
        <v>1</v>
      </c>
    </row>
    <row r="1942" spans="1:35" ht="31.2">
      <c r="A1942" s="8">
        <v>-73.970479030000007</v>
      </c>
      <c r="B1942" s="8">
        <v>40.776227059999997</v>
      </c>
      <c r="C1942" s="8" t="s">
        <v>4960</v>
      </c>
      <c r="D1942" s="8" t="s">
        <v>79</v>
      </c>
      <c r="E1942" s="8" t="b">
        <f t="shared" si="30"/>
        <v>0</v>
      </c>
      <c r="F1942" s="8" t="str" cm="1">
        <f t="array" ref="F1942">_xlfn._xlws.FILTER(E1942:E5140, C1942:C5140= "6D-PM-1020-01", "No Squirrels Found")</f>
        <v>No Squirrels Found</v>
      </c>
      <c r="G1942" s="8" t="s">
        <v>48</v>
      </c>
      <c r="H1942" s="10">
        <v>10172018</v>
      </c>
      <c r="I1942" s="10">
        <v>1</v>
      </c>
      <c r="J1942" s="8" t="s">
        <v>39</v>
      </c>
      <c r="K1942" s="8" t="s">
        <v>40</v>
      </c>
      <c r="M1942" s="8" t="s">
        <v>55</v>
      </c>
      <c r="O1942" s="8" t="s">
        <v>43</v>
      </c>
      <c r="P1942" s="8" t="b">
        <v>0</v>
      </c>
      <c r="Q1942" s="8" t="s">
        <v>4961</v>
      </c>
      <c r="R1942" s="8" t="b">
        <v>0</v>
      </c>
      <c r="S1942" s="8" t="b">
        <v>0</v>
      </c>
      <c r="T1942" s="8" t="b">
        <v>0</v>
      </c>
      <c r="U1942" s="8" t="b">
        <v>0</v>
      </c>
      <c r="V1942" s="8" t="b">
        <v>1</v>
      </c>
      <c r="X1942" s="8" t="b">
        <v>0</v>
      </c>
      <c r="Y1942" s="8" t="b">
        <v>0</v>
      </c>
      <c r="Z1942" s="8" t="b">
        <v>0</v>
      </c>
      <c r="AA1942" s="8" t="b">
        <v>0</v>
      </c>
      <c r="AB1942" s="8" t="b">
        <v>0</v>
      </c>
      <c r="AC1942" s="8" t="b">
        <v>0</v>
      </c>
      <c r="AD1942" s="8" t="b">
        <v>1</v>
      </c>
      <c r="AE1942" s="8" t="b">
        <v>0</v>
      </c>
      <c r="AG1942" s="11" t="b" cm="1">
        <f t="array" ref="AG1942">IF(OR(Y1942:AA1942="TRUE", AE1942="true"), "Threatened")</f>
        <v>0</v>
      </c>
      <c r="AH1942" s="11" t="s">
        <v>4962</v>
      </c>
      <c r="AI1942" s="8" t="b">
        <v>1</v>
      </c>
    </row>
    <row r="1943" spans="1:35" ht="31.2">
      <c r="A1943" s="8">
        <v>-73.962490540000005</v>
      </c>
      <c r="B1943" s="8">
        <v>40.793538900000001</v>
      </c>
      <c r="C1943" s="8" t="s">
        <v>4963</v>
      </c>
      <c r="D1943" s="8" t="s">
        <v>2439</v>
      </c>
      <c r="E1943" s="8" t="b">
        <f t="shared" si="30"/>
        <v>0</v>
      </c>
      <c r="F1943" s="8" t="str" cm="1">
        <f t="array" ref="F1943">_xlfn._xlws.FILTER(E1943:E5141, C1943:C5141= "6D-PM-1020-01", "No Squirrels Found")</f>
        <v>No Squirrels Found</v>
      </c>
      <c r="G1943" s="8" t="s">
        <v>34</v>
      </c>
      <c r="H1943" s="10">
        <v>10182018</v>
      </c>
      <c r="I1943" s="10">
        <v>1</v>
      </c>
      <c r="J1943" s="8" t="s">
        <v>39</v>
      </c>
      <c r="K1943" s="8" t="s">
        <v>40</v>
      </c>
      <c r="M1943" s="8" t="s">
        <v>55</v>
      </c>
      <c r="O1943" s="8" t="s">
        <v>43</v>
      </c>
      <c r="P1943" s="8" t="b">
        <v>0</v>
      </c>
      <c r="R1943" s="8" t="b">
        <v>0</v>
      </c>
      <c r="S1943" s="8" t="b">
        <v>0</v>
      </c>
      <c r="T1943" s="8" t="b">
        <v>0</v>
      </c>
      <c r="U1943" s="8" t="b">
        <v>0</v>
      </c>
      <c r="V1943" s="8" t="b">
        <v>1</v>
      </c>
      <c r="X1943" s="8" t="b">
        <v>0</v>
      </c>
      <c r="Y1943" s="8" t="b">
        <v>0</v>
      </c>
      <c r="Z1943" s="8" t="b">
        <v>0</v>
      </c>
      <c r="AA1943" s="8" t="b">
        <v>0</v>
      </c>
      <c r="AB1943" s="8" t="b">
        <v>0</v>
      </c>
      <c r="AC1943" s="8" t="b">
        <v>0</v>
      </c>
      <c r="AD1943" s="8" t="b">
        <v>1</v>
      </c>
      <c r="AE1943" s="8" t="b">
        <v>0</v>
      </c>
      <c r="AF1943" s="11" t="s">
        <v>4964</v>
      </c>
      <c r="AG1943" s="11" t="b" cm="1">
        <f t="array" ref="AG1943">IF(OR(Y1943:AA1943="TRUE", AE1943="true"), "Threatened")</f>
        <v>0</v>
      </c>
      <c r="AH1943" s="11" t="s">
        <v>4965</v>
      </c>
      <c r="AI1943" s="8" t="b">
        <v>1</v>
      </c>
    </row>
    <row r="1944" spans="1:35" ht="31.2">
      <c r="A1944" s="8">
        <v>-73.969044749999995</v>
      </c>
      <c r="B1944" s="8">
        <v>40.783913300000002</v>
      </c>
      <c r="C1944" s="8" t="s">
        <v>4966</v>
      </c>
      <c r="D1944" s="8" t="s">
        <v>1415</v>
      </c>
      <c r="E1944" s="8" t="b">
        <f t="shared" si="30"/>
        <v>0</v>
      </c>
      <c r="F1944" s="8" t="str" cm="1">
        <f t="array" ref="F1944">_xlfn._xlws.FILTER(E1944:E5142, C1944:C5142= "6D-PM-1020-01", "No Squirrels Found")</f>
        <v>No Squirrels Found</v>
      </c>
      <c r="G1944" s="8" t="s">
        <v>48</v>
      </c>
      <c r="H1944" s="10">
        <v>10192018</v>
      </c>
      <c r="I1944" s="10">
        <v>6</v>
      </c>
      <c r="J1944" s="8" t="s">
        <v>54</v>
      </c>
      <c r="K1944" s="8" t="s">
        <v>40</v>
      </c>
      <c r="M1944" s="8" t="s">
        <v>55</v>
      </c>
      <c r="O1944" s="8" t="s">
        <v>50</v>
      </c>
      <c r="P1944" s="8">
        <v>7</v>
      </c>
      <c r="R1944" s="8" t="b">
        <v>0</v>
      </c>
      <c r="S1944" s="8" t="b">
        <v>0</v>
      </c>
      <c r="T1944" s="8" t="b">
        <v>1</v>
      </c>
      <c r="U1944" s="8" t="b">
        <v>1</v>
      </c>
      <c r="V1944" s="8" t="b">
        <v>0</v>
      </c>
      <c r="X1944" s="8" t="b">
        <v>0</v>
      </c>
      <c r="Y1944" s="8" t="b">
        <v>0</v>
      </c>
      <c r="Z1944" s="8" t="b">
        <v>0</v>
      </c>
      <c r="AA1944" s="8" t="b">
        <v>0</v>
      </c>
      <c r="AB1944" s="8" t="b">
        <v>0</v>
      </c>
      <c r="AC1944" s="8" t="b">
        <v>0</v>
      </c>
      <c r="AD1944" s="8" t="b">
        <v>1</v>
      </c>
      <c r="AE1944" s="8" t="b">
        <v>0</v>
      </c>
      <c r="AG1944" s="11" t="b" cm="1">
        <f t="array" ref="AG1944">IF(OR(Y1944:AA1944="TRUE", AE1944="true"), "Threatened")</f>
        <v>0</v>
      </c>
      <c r="AH1944" s="11" t="s">
        <v>4967</v>
      </c>
      <c r="AI1944" s="8" t="b">
        <v>1</v>
      </c>
    </row>
    <row r="1945" spans="1:35" ht="31.2">
      <c r="A1945" s="8">
        <v>-73.974329209999993</v>
      </c>
      <c r="B1945" s="8">
        <v>40.775609039999999</v>
      </c>
      <c r="C1945" s="8" t="s">
        <v>4968</v>
      </c>
      <c r="D1945" s="8" t="s">
        <v>268</v>
      </c>
      <c r="E1945" s="8" t="b">
        <f t="shared" si="30"/>
        <v>0</v>
      </c>
      <c r="F1945" s="8" t="str" cm="1">
        <f t="array" ref="F1945">_xlfn._xlws.FILTER(E1945:E5143, C1945:C5143= "6D-PM-1020-01", "No Squirrels Found")</f>
        <v>No Squirrels Found</v>
      </c>
      <c r="G1945" s="8" t="s">
        <v>48</v>
      </c>
      <c r="H1945" s="10">
        <v>10072018</v>
      </c>
      <c r="I1945" s="10">
        <v>5</v>
      </c>
      <c r="J1945" s="8" t="s">
        <v>39</v>
      </c>
      <c r="K1945" s="8" t="s">
        <v>40</v>
      </c>
      <c r="M1945" s="8" t="s">
        <v>55</v>
      </c>
      <c r="O1945" s="8" t="s">
        <v>43</v>
      </c>
      <c r="P1945" s="8" t="b">
        <v>0</v>
      </c>
      <c r="R1945" s="8" t="b">
        <v>0</v>
      </c>
      <c r="S1945" s="8" t="b">
        <v>0</v>
      </c>
      <c r="T1945" s="8" t="b">
        <v>0</v>
      </c>
      <c r="U1945" s="8" t="b">
        <v>1</v>
      </c>
      <c r="V1945" s="8" t="b">
        <v>1</v>
      </c>
      <c r="X1945" s="8" t="b">
        <v>0</v>
      </c>
      <c r="Y1945" s="8" t="b">
        <v>0</v>
      </c>
      <c r="Z1945" s="8" t="b">
        <v>0</v>
      </c>
      <c r="AA1945" s="8" t="b">
        <v>1</v>
      </c>
      <c r="AB1945" s="8" t="b">
        <v>0</v>
      </c>
      <c r="AC1945" s="8" t="b">
        <v>1</v>
      </c>
      <c r="AD1945" s="8" t="b">
        <v>0</v>
      </c>
      <c r="AE1945" s="8" t="b">
        <v>0</v>
      </c>
      <c r="AG1945" s="11" t="b" cm="1">
        <f t="array" ref="AG1945">IF(OR(Y1945:AA1945="TRUE", AE1945="true"), "Threatened")</f>
        <v>0</v>
      </c>
      <c r="AH1945" s="11" t="s">
        <v>4969</v>
      </c>
      <c r="AI1945" s="8" t="b">
        <v>1</v>
      </c>
    </row>
    <row r="1946" spans="1:35" ht="31.2">
      <c r="A1946" s="8">
        <v>-73.953025740000001</v>
      </c>
      <c r="B1946" s="8">
        <v>40.795139740000003</v>
      </c>
      <c r="C1946" s="8" t="s">
        <v>4970</v>
      </c>
      <c r="D1946" s="8" t="s">
        <v>153</v>
      </c>
      <c r="E1946" s="8" t="b">
        <f t="shared" si="30"/>
        <v>0</v>
      </c>
      <c r="F1946" s="8" t="str" cm="1">
        <f t="array" ref="F1946">_xlfn._xlws.FILTER(E1946:E5144, C1946:C5144= "6D-PM-1020-01", "No Squirrels Found")</f>
        <v>No Squirrels Found</v>
      </c>
      <c r="G1946" s="8" t="s">
        <v>34</v>
      </c>
      <c r="H1946" s="10">
        <v>10132018</v>
      </c>
      <c r="I1946" s="10">
        <v>1</v>
      </c>
      <c r="J1946" s="8" t="s">
        <v>39</v>
      </c>
      <c r="K1946" s="8" t="s">
        <v>40</v>
      </c>
      <c r="L1946" s="8" t="s">
        <v>41</v>
      </c>
      <c r="M1946" s="8" t="s">
        <v>42</v>
      </c>
      <c r="O1946" s="8" t="s">
        <v>43</v>
      </c>
      <c r="P1946" s="8" t="b">
        <v>0</v>
      </c>
      <c r="R1946" s="8" t="b">
        <v>1</v>
      </c>
      <c r="S1946" s="8" t="b">
        <v>0</v>
      </c>
      <c r="T1946" s="8" t="b">
        <v>0</v>
      </c>
      <c r="U1946" s="8" t="b">
        <v>0</v>
      </c>
      <c r="V1946" s="8" t="b">
        <v>0</v>
      </c>
      <c r="X1946" s="8" t="b">
        <v>0</v>
      </c>
      <c r="Y1946" s="8" t="b">
        <v>0</v>
      </c>
      <c r="Z1946" s="8" t="b">
        <v>0</v>
      </c>
      <c r="AA1946" s="8" t="b">
        <v>0</v>
      </c>
      <c r="AB1946" s="8" t="b">
        <v>0</v>
      </c>
      <c r="AC1946" s="8" t="b">
        <v>0</v>
      </c>
      <c r="AD1946" s="8" t="b">
        <v>0</v>
      </c>
      <c r="AE1946" s="8" t="b">
        <v>0</v>
      </c>
      <c r="AG1946" s="11" t="b" cm="1">
        <f t="array" ref="AG1946">IF(OR(Y1946:AA1946="TRUE", AE1946="true"), "Threatened")</f>
        <v>0</v>
      </c>
      <c r="AH1946" s="11" t="s">
        <v>4971</v>
      </c>
      <c r="AI1946" s="8" t="b">
        <v>1</v>
      </c>
    </row>
    <row r="1947" spans="1:35" ht="31.2">
      <c r="A1947" s="8">
        <v>-73.969292580000001</v>
      </c>
      <c r="B1947" s="8">
        <v>40.777450610000002</v>
      </c>
      <c r="C1947" s="8" t="s">
        <v>4972</v>
      </c>
      <c r="D1947" s="8" t="s">
        <v>150</v>
      </c>
      <c r="E1947" s="8" t="b">
        <f t="shared" si="30"/>
        <v>0</v>
      </c>
      <c r="F1947" s="8" t="str" cm="1">
        <f t="array" ref="F1947">_xlfn._xlws.FILTER(E1947:E5145, C1947:C5145= "6D-PM-1020-01", "No Squirrels Found")</f>
        <v>No Squirrels Found</v>
      </c>
      <c r="G1947" s="8" t="s">
        <v>34</v>
      </c>
      <c r="H1947" s="10">
        <v>10082018</v>
      </c>
      <c r="I1947" s="10">
        <v>11</v>
      </c>
      <c r="J1947" s="8" t="s">
        <v>39</v>
      </c>
      <c r="K1947" s="8" t="s">
        <v>40</v>
      </c>
      <c r="M1947" s="8" t="s">
        <v>55</v>
      </c>
      <c r="O1947" s="8" t="s">
        <v>43</v>
      </c>
      <c r="P1947" s="8" t="b">
        <v>0</v>
      </c>
      <c r="R1947" s="8" t="b">
        <v>0</v>
      </c>
      <c r="S1947" s="8" t="b">
        <v>0</v>
      </c>
      <c r="T1947" s="8" t="b">
        <v>0</v>
      </c>
      <c r="U1947" s="8" t="b">
        <v>1</v>
      </c>
      <c r="V1947" s="8" t="b">
        <v>1</v>
      </c>
      <c r="X1947" s="8" t="b">
        <v>0</v>
      </c>
      <c r="Y1947" s="8" t="b">
        <v>0</v>
      </c>
      <c r="Z1947" s="8" t="b">
        <v>0</v>
      </c>
      <c r="AA1947" s="8" t="b">
        <v>0</v>
      </c>
      <c r="AB1947" s="8" t="b">
        <v>0</v>
      </c>
      <c r="AC1947" s="8" t="b">
        <v>0</v>
      </c>
      <c r="AD1947" s="8" t="b">
        <v>1</v>
      </c>
      <c r="AE1947" s="8" t="b">
        <v>0</v>
      </c>
      <c r="AG1947" s="11" t="b" cm="1">
        <f t="array" ref="AG1947">IF(OR(Y1947:AA1947="TRUE", AE1947="true"), "Threatened")</f>
        <v>0</v>
      </c>
      <c r="AH1947" s="11" t="s">
        <v>4973</v>
      </c>
      <c r="AI1947" s="8" t="b">
        <v>1</v>
      </c>
    </row>
    <row r="1948" spans="1:35" ht="31.2">
      <c r="A1948" s="8">
        <v>-73.97471754</v>
      </c>
      <c r="B1948" s="8">
        <v>40.769281999999997</v>
      </c>
      <c r="C1948" s="8" t="s">
        <v>4974</v>
      </c>
      <c r="D1948" s="8" t="s">
        <v>259</v>
      </c>
      <c r="E1948" s="8" t="b">
        <f t="shared" si="30"/>
        <v>0</v>
      </c>
      <c r="F1948" s="8" t="str" cm="1">
        <f t="array" ref="F1948">_xlfn._xlws.FILTER(E1948:E5146, C1948:C5146= "6D-PM-1020-01", "No Squirrels Found")</f>
        <v>No Squirrels Found</v>
      </c>
      <c r="G1948" s="8" t="s">
        <v>34</v>
      </c>
      <c r="H1948" s="10">
        <v>10122018</v>
      </c>
      <c r="I1948" s="10">
        <v>5</v>
      </c>
      <c r="J1948" s="8" t="s">
        <v>39</v>
      </c>
      <c r="K1948" s="8" t="s">
        <v>41</v>
      </c>
      <c r="L1948" s="8" t="s">
        <v>135</v>
      </c>
      <c r="M1948" s="8" t="s">
        <v>136</v>
      </c>
      <c r="O1948" s="8" t="s">
        <v>43</v>
      </c>
      <c r="P1948" s="8" t="b">
        <v>0</v>
      </c>
      <c r="R1948" s="8" t="b">
        <v>1</v>
      </c>
      <c r="S1948" s="8" t="b">
        <v>0</v>
      </c>
      <c r="T1948" s="8" t="b">
        <v>0</v>
      </c>
      <c r="U1948" s="8" t="b">
        <v>0</v>
      </c>
      <c r="V1948" s="8" t="b">
        <v>1</v>
      </c>
      <c r="X1948" s="8" t="b">
        <v>0</v>
      </c>
      <c r="Y1948" s="8" t="b">
        <v>0</v>
      </c>
      <c r="Z1948" s="8" t="b">
        <v>0</v>
      </c>
      <c r="AA1948" s="8" t="b">
        <v>0</v>
      </c>
      <c r="AB1948" s="8" t="b">
        <v>0</v>
      </c>
      <c r="AC1948" s="8" t="b">
        <v>1</v>
      </c>
      <c r="AD1948" s="8" t="b">
        <v>0</v>
      </c>
      <c r="AE1948" s="8" t="b">
        <v>0</v>
      </c>
      <c r="AF1948" s="11" t="s">
        <v>447</v>
      </c>
      <c r="AG1948" s="11" t="b" cm="1">
        <f t="array" ref="AG1948">IF(OR(Y1948:AA1948="TRUE", AE1948="true"), "Threatened")</f>
        <v>0</v>
      </c>
      <c r="AH1948" s="11" t="s">
        <v>4975</v>
      </c>
      <c r="AI1948" s="8" t="b">
        <v>1</v>
      </c>
    </row>
    <row r="1949" spans="1:35" ht="31.2">
      <c r="A1949" s="8">
        <v>-73.973841010000001</v>
      </c>
      <c r="B1949" s="8">
        <v>40.769168620000002</v>
      </c>
      <c r="C1949" s="8" t="s">
        <v>4976</v>
      </c>
      <c r="D1949" s="8" t="s">
        <v>264</v>
      </c>
      <c r="E1949" s="8" t="b">
        <f t="shared" si="30"/>
        <v>0</v>
      </c>
      <c r="F1949" s="8" t="str" cm="1">
        <f t="array" ref="F1949">_xlfn._xlws.FILTER(E1949:E5147, C1949:C5147= "6D-PM-1020-01", "No Squirrels Found")</f>
        <v>No Squirrels Found</v>
      </c>
      <c r="G1949" s="8" t="s">
        <v>34</v>
      </c>
      <c r="H1949" s="10">
        <v>10072018</v>
      </c>
      <c r="I1949" s="10">
        <v>6</v>
      </c>
      <c r="J1949" s="8" t="s">
        <v>39</v>
      </c>
      <c r="K1949" s="8" t="s">
        <v>40</v>
      </c>
      <c r="L1949" s="8" t="s">
        <v>41</v>
      </c>
      <c r="M1949" s="8" t="s">
        <v>42</v>
      </c>
      <c r="O1949" s="8" t="s">
        <v>43</v>
      </c>
      <c r="P1949" s="8" t="b">
        <v>0</v>
      </c>
      <c r="R1949" s="8" t="b">
        <v>0</v>
      </c>
      <c r="S1949" s="8" t="b">
        <v>0</v>
      </c>
      <c r="T1949" s="8" t="b">
        <v>0</v>
      </c>
      <c r="U1949" s="8" t="b">
        <v>0</v>
      </c>
      <c r="V1949" s="8" t="b">
        <v>0</v>
      </c>
      <c r="W1949" s="11" t="s">
        <v>4977</v>
      </c>
      <c r="X1949" s="8" t="b">
        <v>0</v>
      </c>
      <c r="Y1949" s="8" t="b">
        <v>0</v>
      </c>
      <c r="Z1949" s="8" t="b">
        <v>0</v>
      </c>
      <c r="AA1949" s="8" t="b">
        <v>0</v>
      </c>
      <c r="AB1949" s="8" t="b">
        <v>1</v>
      </c>
      <c r="AC1949" s="8" t="b">
        <v>0</v>
      </c>
      <c r="AD1949" s="8" t="b">
        <v>1</v>
      </c>
      <c r="AE1949" s="8" t="b">
        <v>0</v>
      </c>
      <c r="AG1949" s="11" t="b" cm="1">
        <f t="array" ref="AG1949">IF(OR(Y1949:AA1949="TRUE", AE1949="true"), "Threatened")</f>
        <v>0</v>
      </c>
      <c r="AH1949" s="11" t="s">
        <v>4978</v>
      </c>
      <c r="AI1949" s="8" t="b">
        <v>0</v>
      </c>
    </row>
    <row r="1950" spans="1:35" ht="31.2">
      <c r="A1950" s="8">
        <v>-73.960536230000002</v>
      </c>
      <c r="B1950" s="8">
        <v>40.793947060000001</v>
      </c>
      <c r="C1950" s="8" t="s">
        <v>4979</v>
      </c>
      <c r="D1950" s="8" t="s">
        <v>69</v>
      </c>
      <c r="E1950" s="8" t="b">
        <f t="shared" si="30"/>
        <v>0</v>
      </c>
      <c r="F1950" s="8" t="str" cm="1">
        <f t="array" ref="F1950">_xlfn._xlws.FILTER(E1950:E5148, C1950:C5148= "6D-PM-1020-01", "No Squirrels Found")</f>
        <v>No Squirrels Found</v>
      </c>
      <c r="G1950" s="8" t="s">
        <v>48</v>
      </c>
      <c r="H1950" s="10">
        <v>10072018</v>
      </c>
      <c r="I1950" s="10">
        <v>2</v>
      </c>
      <c r="J1950" s="8" t="s">
        <v>39</v>
      </c>
      <c r="K1950" s="8" t="s">
        <v>40</v>
      </c>
      <c r="L1950" s="8" t="s">
        <v>41</v>
      </c>
      <c r="M1950" s="8" t="s">
        <v>42</v>
      </c>
      <c r="O1950" s="8" t="s">
        <v>50</v>
      </c>
      <c r="P1950" s="8">
        <v>13</v>
      </c>
      <c r="R1950" s="8" t="b">
        <v>0</v>
      </c>
      <c r="S1950" s="8" t="b">
        <v>0</v>
      </c>
      <c r="T1950" s="8" t="b">
        <v>1</v>
      </c>
      <c r="U1950" s="8" t="b">
        <v>0</v>
      </c>
      <c r="V1950" s="8" t="b">
        <v>0</v>
      </c>
      <c r="X1950" s="8" t="b">
        <v>0</v>
      </c>
      <c r="Y1950" s="8" t="b">
        <v>0</v>
      </c>
      <c r="Z1950" s="8" t="b">
        <v>0</v>
      </c>
      <c r="AA1950" s="8" t="b">
        <v>0</v>
      </c>
      <c r="AB1950" s="8" t="b">
        <v>0</v>
      </c>
      <c r="AC1950" s="8" t="b">
        <v>0</v>
      </c>
      <c r="AD1950" s="8" t="b">
        <v>0</v>
      </c>
      <c r="AE1950" s="8" t="b">
        <v>1</v>
      </c>
      <c r="AG1950" s="11" t="b" cm="1">
        <f t="array" ref="AG1950">IF(OR(Y1950:AA1950="TRUE", AE1950="true"), "Threatened")</f>
        <v>0</v>
      </c>
      <c r="AH1950" s="11" t="s">
        <v>4980</v>
      </c>
      <c r="AI1950" s="8" t="b">
        <v>1</v>
      </c>
    </row>
    <row r="1951" spans="1:35" ht="31.2">
      <c r="A1951" s="8">
        <v>-73.964301610000007</v>
      </c>
      <c r="B1951" s="8">
        <v>40.790479619999999</v>
      </c>
      <c r="C1951" s="8" t="s">
        <v>4981</v>
      </c>
      <c r="D1951" s="8" t="s">
        <v>911</v>
      </c>
      <c r="E1951" s="8" t="b">
        <f t="shared" si="30"/>
        <v>0</v>
      </c>
      <c r="F1951" s="8" t="str" cm="1">
        <f t="array" ref="F1951">_xlfn._xlws.FILTER(E1951:E5149, C1951:C5149= "6D-PM-1020-01", "No Squirrels Found")</f>
        <v>No Squirrels Found</v>
      </c>
      <c r="G1951" s="8" t="s">
        <v>34</v>
      </c>
      <c r="H1951" s="10">
        <v>10192018</v>
      </c>
      <c r="I1951" s="10">
        <v>5</v>
      </c>
      <c r="J1951" s="8" t="s">
        <v>39</v>
      </c>
      <c r="K1951" s="8" t="s">
        <v>40</v>
      </c>
      <c r="L1951" s="8" t="s">
        <v>117</v>
      </c>
      <c r="M1951" s="8" t="s">
        <v>118</v>
      </c>
      <c r="O1951" s="8" t="s">
        <v>43</v>
      </c>
      <c r="P1951" s="8" t="b">
        <v>0</v>
      </c>
      <c r="R1951" s="8" t="b">
        <v>0</v>
      </c>
      <c r="S1951" s="8" t="b">
        <v>0</v>
      </c>
      <c r="T1951" s="8" t="b">
        <v>0</v>
      </c>
      <c r="U1951" s="8" t="b">
        <v>1</v>
      </c>
      <c r="V1951" s="8" t="b">
        <v>1</v>
      </c>
      <c r="W1951" s="11" t="s">
        <v>4982</v>
      </c>
      <c r="X1951" s="8" t="b">
        <v>0</v>
      </c>
      <c r="Y1951" s="8" t="b">
        <v>0</v>
      </c>
      <c r="Z1951" s="8" t="b">
        <v>0</v>
      </c>
      <c r="AA1951" s="8" t="b">
        <v>0</v>
      </c>
      <c r="AB1951" s="8" t="b">
        <v>1</v>
      </c>
      <c r="AC1951" s="8" t="b">
        <v>0</v>
      </c>
      <c r="AD1951" s="8" t="b">
        <v>0</v>
      </c>
      <c r="AE1951" s="8" t="b">
        <v>1</v>
      </c>
      <c r="AG1951" s="11" t="b" cm="1">
        <f t="array" ref="AG1951">IF(OR(Y1951:AA1951="TRUE", AE1951="true"), "Threatened")</f>
        <v>0</v>
      </c>
      <c r="AH1951" s="11" t="s">
        <v>4983</v>
      </c>
      <c r="AI1951" s="8" t="b">
        <v>0</v>
      </c>
    </row>
    <row r="1952" spans="1:35" ht="31.2">
      <c r="A1952" s="8">
        <v>-73.954843159999996</v>
      </c>
      <c r="B1952" s="8">
        <v>40.79063463</v>
      </c>
      <c r="C1952" s="8" t="s">
        <v>4984</v>
      </c>
      <c r="D1952" s="8" t="s">
        <v>1028</v>
      </c>
      <c r="E1952" s="8" t="b">
        <f t="shared" si="30"/>
        <v>0</v>
      </c>
      <c r="F1952" s="8" t="str" cm="1">
        <f t="array" ref="F1952">_xlfn._xlws.FILTER(E1952:E5150, C1952:C5150= "6D-PM-1020-01", "No Squirrels Found")</f>
        <v>No Squirrels Found</v>
      </c>
      <c r="G1952" s="8" t="s">
        <v>34</v>
      </c>
      <c r="H1952" s="10">
        <v>10102018</v>
      </c>
      <c r="I1952" s="10">
        <v>2</v>
      </c>
      <c r="J1952" s="8" t="s">
        <v>39</v>
      </c>
      <c r="K1952" s="8" t="s">
        <v>40</v>
      </c>
      <c r="M1952" s="8" t="s">
        <v>55</v>
      </c>
      <c r="O1952" s="8" t="s">
        <v>50</v>
      </c>
      <c r="P1952" s="8">
        <v>30</v>
      </c>
      <c r="R1952" s="8" t="b">
        <v>0</v>
      </c>
      <c r="S1952" s="8" t="b">
        <v>0</v>
      </c>
      <c r="T1952" s="8" t="b">
        <v>1</v>
      </c>
      <c r="U1952" s="8" t="b">
        <v>0</v>
      </c>
      <c r="V1952" s="8" t="b">
        <v>0</v>
      </c>
      <c r="X1952" s="8" t="b">
        <v>0</v>
      </c>
      <c r="Y1952" s="8" t="b">
        <v>0</v>
      </c>
      <c r="Z1952" s="8" t="b">
        <v>0</v>
      </c>
      <c r="AA1952" s="8" t="b">
        <v>0</v>
      </c>
      <c r="AB1952" s="8" t="b">
        <v>0</v>
      </c>
      <c r="AC1952" s="8" t="b">
        <v>0</v>
      </c>
      <c r="AD1952" s="8" t="b">
        <v>0</v>
      </c>
      <c r="AE1952" s="8" t="b">
        <v>0</v>
      </c>
      <c r="AG1952" s="11" t="b" cm="1">
        <f t="array" ref="AG1952">IF(OR(Y1952:AA1952="TRUE", AE1952="true"), "Threatened")</f>
        <v>0</v>
      </c>
      <c r="AH1952" s="11" t="s">
        <v>4985</v>
      </c>
      <c r="AI1952" s="8" t="b">
        <v>1</v>
      </c>
    </row>
    <row r="1953" spans="1:35" ht="31.2">
      <c r="A1953" s="8">
        <v>-73.968181049999998</v>
      </c>
      <c r="B1953" s="8">
        <v>40.772063840000001</v>
      </c>
      <c r="C1953" s="8" t="s">
        <v>4986</v>
      </c>
      <c r="D1953" s="8" t="s">
        <v>1003</v>
      </c>
      <c r="E1953" s="8" t="b">
        <f t="shared" si="30"/>
        <v>0</v>
      </c>
      <c r="F1953" s="8" t="str" cm="1">
        <f t="array" ref="F1953">_xlfn._xlws.FILTER(E1953:E5151, C1953:C5151= "6D-PM-1020-01", "No Squirrels Found")</f>
        <v>No Squirrels Found</v>
      </c>
      <c r="G1953" s="8" t="s">
        <v>34</v>
      </c>
      <c r="H1953" s="10">
        <v>10132018</v>
      </c>
      <c r="I1953" s="10">
        <v>1</v>
      </c>
      <c r="J1953" s="8" t="s">
        <v>39</v>
      </c>
      <c r="K1953" s="8" t="s">
        <v>40</v>
      </c>
      <c r="L1953" s="8" t="s">
        <v>117</v>
      </c>
      <c r="M1953" s="8" t="s">
        <v>118</v>
      </c>
      <c r="O1953" s="8" t="s">
        <v>43</v>
      </c>
      <c r="P1953" s="8" t="b">
        <v>0</v>
      </c>
      <c r="R1953" s="8" t="b">
        <v>1</v>
      </c>
      <c r="S1953" s="8" t="b">
        <v>0</v>
      </c>
      <c r="T1953" s="8" t="b">
        <v>0</v>
      </c>
      <c r="U1953" s="8" t="b">
        <v>0</v>
      </c>
      <c r="V1953" s="8" t="b">
        <v>0</v>
      </c>
      <c r="X1953" s="8" t="b">
        <v>0</v>
      </c>
      <c r="Y1953" s="8" t="b">
        <v>0</v>
      </c>
      <c r="Z1953" s="8" t="b">
        <v>0</v>
      </c>
      <c r="AA1953" s="8" t="b">
        <v>0</v>
      </c>
      <c r="AB1953" s="8" t="b">
        <v>0</v>
      </c>
      <c r="AC1953" s="8" t="b">
        <v>0</v>
      </c>
      <c r="AD1953" s="8" t="b">
        <v>0</v>
      </c>
      <c r="AE1953" s="8" t="b">
        <v>1</v>
      </c>
      <c r="AG1953" s="11" t="b" cm="1">
        <f t="array" ref="AG1953">IF(OR(Y1953:AA1953="TRUE", AE1953="true"), "Threatened")</f>
        <v>0</v>
      </c>
      <c r="AH1953" s="11" t="s">
        <v>4987</v>
      </c>
      <c r="AI1953" s="8" t="b">
        <v>1</v>
      </c>
    </row>
    <row r="1954" spans="1:35" ht="31.2">
      <c r="A1954" s="8">
        <v>-73.964497420000001</v>
      </c>
      <c r="B1954" s="8">
        <v>40.781002030000003</v>
      </c>
      <c r="C1954" s="8" t="s">
        <v>4988</v>
      </c>
      <c r="D1954" s="8" t="s">
        <v>2206</v>
      </c>
      <c r="E1954" s="8" t="b">
        <f t="shared" si="30"/>
        <v>0</v>
      </c>
      <c r="F1954" s="8" t="str" cm="1">
        <f t="array" ref="F1954">_xlfn._xlws.FILTER(E1954:E5152, C1954:C5152= "6D-PM-1020-01", "No Squirrels Found")</f>
        <v>No Squirrels Found</v>
      </c>
      <c r="G1954" s="8" t="s">
        <v>34</v>
      </c>
      <c r="H1954" s="10">
        <v>10132018</v>
      </c>
      <c r="I1954" s="10">
        <v>2</v>
      </c>
      <c r="J1954" s="8" t="s">
        <v>39</v>
      </c>
      <c r="K1954" s="8" t="s">
        <v>40</v>
      </c>
      <c r="L1954" s="8" t="s">
        <v>117</v>
      </c>
      <c r="M1954" s="8" t="s">
        <v>118</v>
      </c>
      <c r="O1954" s="8" t="s">
        <v>43</v>
      </c>
      <c r="P1954" s="8" t="b">
        <v>0</v>
      </c>
      <c r="R1954" s="8" t="b">
        <v>0</v>
      </c>
      <c r="S1954" s="8" t="b">
        <v>0</v>
      </c>
      <c r="T1954" s="8" t="b">
        <v>0</v>
      </c>
      <c r="U1954" s="8" t="b">
        <v>0</v>
      </c>
      <c r="V1954" s="8" t="b">
        <v>1</v>
      </c>
      <c r="X1954" s="8" t="b">
        <v>0</v>
      </c>
      <c r="Y1954" s="8" t="b">
        <v>0</v>
      </c>
      <c r="Z1954" s="8" t="b">
        <v>0</v>
      </c>
      <c r="AA1954" s="8" t="b">
        <v>0</v>
      </c>
      <c r="AB1954" s="8" t="b">
        <v>0</v>
      </c>
      <c r="AC1954" s="8" t="b">
        <v>0</v>
      </c>
      <c r="AD1954" s="8" t="b">
        <v>0</v>
      </c>
      <c r="AE1954" s="8" t="b">
        <v>1</v>
      </c>
      <c r="AG1954" s="11" t="b" cm="1">
        <f t="array" ref="AG1954">IF(OR(Y1954:AA1954="TRUE", AE1954="true"), "Threatened")</f>
        <v>0</v>
      </c>
      <c r="AH1954" s="11" t="s">
        <v>4989</v>
      </c>
      <c r="AI1954" s="8" t="b">
        <v>1</v>
      </c>
    </row>
    <row r="1955" spans="1:35" ht="31.2">
      <c r="A1955" s="8">
        <v>-73.979484049999996</v>
      </c>
      <c r="B1955" s="8">
        <v>40.77095954</v>
      </c>
      <c r="C1955" s="8" t="s">
        <v>4990</v>
      </c>
      <c r="D1955" s="8" t="s">
        <v>1364</v>
      </c>
      <c r="E1955" s="8" t="b">
        <f t="shared" si="30"/>
        <v>0</v>
      </c>
      <c r="F1955" s="8" t="str" cm="1">
        <f t="array" ref="F1955">_xlfn._xlws.FILTER(E1955:E5153, C1955:C5153= "6D-PM-1020-01", "No Squirrels Found")</f>
        <v>No Squirrels Found</v>
      </c>
      <c r="G1955" s="8" t="s">
        <v>34</v>
      </c>
      <c r="H1955" s="10">
        <v>10072018</v>
      </c>
      <c r="I1955" s="10">
        <v>2</v>
      </c>
      <c r="J1955" s="8" t="s">
        <v>39</v>
      </c>
      <c r="K1955" s="8" t="s">
        <v>40</v>
      </c>
      <c r="L1955" s="8" t="s">
        <v>117</v>
      </c>
      <c r="M1955" s="8" t="s">
        <v>118</v>
      </c>
      <c r="O1955" s="8" t="s">
        <v>43</v>
      </c>
      <c r="P1955" s="8" t="b">
        <v>0</v>
      </c>
      <c r="R1955" s="8" t="b">
        <v>1</v>
      </c>
      <c r="S1955" s="8" t="b">
        <v>0</v>
      </c>
      <c r="T1955" s="8" t="b">
        <v>0</v>
      </c>
      <c r="U1955" s="8" t="b">
        <v>0</v>
      </c>
      <c r="V1955" s="8" t="b">
        <v>0</v>
      </c>
      <c r="X1955" s="8" t="b">
        <v>0</v>
      </c>
      <c r="Y1955" s="8" t="b">
        <v>0</v>
      </c>
      <c r="Z1955" s="8" t="b">
        <v>0</v>
      </c>
      <c r="AA1955" s="8" t="b">
        <v>0</v>
      </c>
      <c r="AB1955" s="8" t="b">
        <v>0</v>
      </c>
      <c r="AC1955" s="8" t="b">
        <v>0</v>
      </c>
      <c r="AD1955" s="8" t="b">
        <v>1</v>
      </c>
      <c r="AE1955" s="8" t="b">
        <v>0</v>
      </c>
      <c r="AG1955" s="11" t="b" cm="1">
        <f t="array" ref="AG1955">IF(OR(Y1955:AA1955="TRUE", AE1955="true"), "Threatened")</f>
        <v>0</v>
      </c>
      <c r="AH1955" s="11" t="s">
        <v>4991</v>
      </c>
      <c r="AI1955" s="8" t="b">
        <v>1</v>
      </c>
    </row>
    <row r="1956" spans="1:35" ht="31.2">
      <c r="A1956" s="8">
        <v>-73.960655930000001</v>
      </c>
      <c r="B1956" s="8">
        <v>40.788952760000001</v>
      </c>
      <c r="C1956" s="8" t="s">
        <v>4992</v>
      </c>
      <c r="D1956" s="8" t="s">
        <v>1102</v>
      </c>
      <c r="E1956" s="8" t="b">
        <f t="shared" si="30"/>
        <v>0</v>
      </c>
      <c r="F1956" s="8" t="str" cm="1">
        <f t="array" ref="F1956">_xlfn._xlws.FILTER(E1956:E5154, C1956:C5154= "6D-PM-1020-01", "No Squirrels Found")</f>
        <v>No Squirrels Found</v>
      </c>
      <c r="G1956" s="8" t="s">
        <v>48</v>
      </c>
      <c r="H1956" s="10">
        <v>10082018</v>
      </c>
      <c r="I1956" s="10">
        <v>2</v>
      </c>
      <c r="J1956" s="8" t="s">
        <v>39</v>
      </c>
      <c r="K1956" s="8" t="s">
        <v>40</v>
      </c>
      <c r="M1956" s="8" t="s">
        <v>55</v>
      </c>
      <c r="O1956" s="8" t="s">
        <v>50</v>
      </c>
      <c r="P1956" s="8">
        <v>5</v>
      </c>
      <c r="R1956" s="8" t="b">
        <v>0</v>
      </c>
      <c r="S1956" s="8" t="b">
        <v>1</v>
      </c>
      <c r="T1956" s="8" t="b">
        <v>0</v>
      </c>
      <c r="U1956" s="8" t="b">
        <v>0</v>
      </c>
      <c r="V1956" s="8" t="b">
        <v>0</v>
      </c>
      <c r="X1956" s="8" t="b">
        <v>1</v>
      </c>
      <c r="Y1956" s="8" t="b">
        <v>0</v>
      </c>
      <c r="Z1956" s="8" t="b">
        <v>0</v>
      </c>
      <c r="AA1956" s="8" t="b">
        <v>0</v>
      </c>
      <c r="AB1956" s="8" t="b">
        <v>0</v>
      </c>
      <c r="AC1956" s="8" t="b">
        <v>0</v>
      </c>
      <c r="AD1956" s="8" t="b">
        <v>1</v>
      </c>
      <c r="AE1956" s="8" t="b">
        <v>0</v>
      </c>
      <c r="AG1956" s="11" t="b" cm="1">
        <f t="array" ref="AG1956">IF(OR(Y1956:AA1956="TRUE", AE1956="true"), "Threatened")</f>
        <v>0</v>
      </c>
      <c r="AH1956" s="11" t="s">
        <v>4993</v>
      </c>
      <c r="AI1956" s="8" t="b">
        <v>1</v>
      </c>
    </row>
    <row r="1957" spans="1:35" ht="31.2">
      <c r="A1957" s="8">
        <v>-73.980897499999998</v>
      </c>
      <c r="B1957" s="8">
        <v>40.769057869999997</v>
      </c>
      <c r="C1957" s="8" t="s">
        <v>4994</v>
      </c>
      <c r="D1957" s="8" t="s">
        <v>1909</v>
      </c>
      <c r="E1957" s="8" t="b">
        <f t="shared" si="30"/>
        <v>0</v>
      </c>
      <c r="F1957" s="8" t="str" cm="1">
        <f t="array" ref="F1957">_xlfn._xlws.FILTER(E1957:E5155, C1957:C5155= "6D-PM-1020-01", "No Squirrels Found")</f>
        <v>No Squirrels Found</v>
      </c>
      <c r="G1957" s="8" t="s">
        <v>34</v>
      </c>
      <c r="H1957" s="10">
        <v>10192018</v>
      </c>
      <c r="I1957" s="10">
        <v>2</v>
      </c>
      <c r="J1957" s="8" t="s">
        <v>39</v>
      </c>
      <c r="K1957" s="8" t="s">
        <v>40</v>
      </c>
      <c r="L1957" s="8" t="s">
        <v>84</v>
      </c>
      <c r="M1957" s="8" t="s">
        <v>103</v>
      </c>
      <c r="O1957" s="8" t="s">
        <v>43</v>
      </c>
      <c r="P1957" s="8" t="b">
        <v>0</v>
      </c>
      <c r="R1957" s="8" t="b">
        <v>1</v>
      </c>
      <c r="S1957" s="8" t="b">
        <v>0</v>
      </c>
      <c r="T1957" s="8" t="b">
        <v>0</v>
      </c>
      <c r="U1957" s="8" t="b">
        <v>0</v>
      </c>
      <c r="V1957" s="8" t="b">
        <v>0</v>
      </c>
      <c r="X1957" s="8" t="b">
        <v>0</v>
      </c>
      <c r="Y1957" s="8" t="b">
        <v>0</v>
      </c>
      <c r="Z1957" s="8" t="b">
        <v>0</v>
      </c>
      <c r="AA1957" s="8" t="b">
        <v>1</v>
      </c>
      <c r="AB1957" s="8" t="b">
        <v>0</v>
      </c>
      <c r="AC1957" s="8" t="b">
        <v>0</v>
      </c>
      <c r="AD1957" s="8" t="b">
        <v>0</v>
      </c>
      <c r="AE1957" s="8" t="b">
        <v>0</v>
      </c>
      <c r="AG1957" s="11" t="b" cm="1">
        <f t="array" ref="AG1957">IF(OR(Y1957:AA1957="TRUE", AE1957="true"), "Threatened")</f>
        <v>0</v>
      </c>
      <c r="AH1957" s="11" t="s">
        <v>4995</v>
      </c>
      <c r="AI1957" s="8" t="b">
        <v>1</v>
      </c>
    </row>
    <row r="1958" spans="1:35" ht="31.2">
      <c r="A1958" s="8">
        <v>-73.968418720000003</v>
      </c>
      <c r="B1958" s="8">
        <v>40.78059279</v>
      </c>
      <c r="C1958" s="8" t="s">
        <v>4996</v>
      </c>
      <c r="D1958" s="8" t="s">
        <v>1079</v>
      </c>
      <c r="E1958" s="8" t="b">
        <f t="shared" si="30"/>
        <v>0</v>
      </c>
      <c r="F1958" s="8" t="str" cm="1">
        <f t="array" ref="F1958">_xlfn._xlws.FILTER(E1958:E5156, C1958:C5156= "6D-PM-1020-01", "No Squirrels Found")</f>
        <v>No Squirrels Found</v>
      </c>
      <c r="G1958" s="8" t="s">
        <v>48</v>
      </c>
      <c r="H1958" s="10">
        <v>10182018</v>
      </c>
      <c r="I1958" s="10">
        <v>1</v>
      </c>
      <c r="J1958" s="8" t="s">
        <v>39</v>
      </c>
      <c r="K1958" s="8" t="s">
        <v>40</v>
      </c>
      <c r="M1958" s="8" t="s">
        <v>55</v>
      </c>
      <c r="O1958" s="8" t="s">
        <v>43</v>
      </c>
      <c r="P1958" s="8" t="b">
        <v>0</v>
      </c>
      <c r="R1958" s="8" t="b">
        <v>0</v>
      </c>
      <c r="S1958" s="8" t="b">
        <v>0</v>
      </c>
      <c r="T1958" s="8" t="b">
        <v>0</v>
      </c>
      <c r="U1958" s="8" t="b">
        <v>0</v>
      </c>
      <c r="V1958" s="8" t="b">
        <v>1</v>
      </c>
      <c r="W1958" s="11" t="s">
        <v>3064</v>
      </c>
      <c r="X1958" s="8" t="b">
        <v>0</v>
      </c>
      <c r="Y1958" s="8" t="b">
        <v>0</v>
      </c>
      <c r="Z1958" s="8" t="b">
        <v>0</v>
      </c>
      <c r="AA1958" s="8" t="b">
        <v>0</v>
      </c>
      <c r="AB1958" s="8" t="b">
        <v>0</v>
      </c>
      <c r="AC1958" s="8" t="b">
        <v>0</v>
      </c>
      <c r="AD1958" s="8" t="b">
        <v>0</v>
      </c>
      <c r="AE1958" s="8" t="b">
        <v>0</v>
      </c>
      <c r="AG1958" s="11" t="b" cm="1">
        <f t="array" ref="AG1958">IF(OR(Y1958:AA1958="TRUE", AE1958="true"), "Threatened")</f>
        <v>0</v>
      </c>
      <c r="AH1958" s="11" t="s">
        <v>4997</v>
      </c>
      <c r="AI1958" s="8" t="b">
        <v>0</v>
      </c>
    </row>
    <row r="1959" spans="1:35" ht="31.2">
      <c r="A1959" s="8">
        <v>-73.969312009999996</v>
      </c>
      <c r="B1959" s="8">
        <v>40.771096100000001</v>
      </c>
      <c r="C1959" s="8" t="s">
        <v>4998</v>
      </c>
      <c r="D1959" s="8" t="s">
        <v>2059</v>
      </c>
      <c r="E1959" s="8" t="b">
        <f t="shared" si="30"/>
        <v>0</v>
      </c>
      <c r="F1959" s="8" t="str" cm="1">
        <f t="array" ref="F1959">_xlfn._xlws.FILTER(E1959:E5157, C1959:C5157= "6D-PM-1020-01", "No Squirrels Found")</f>
        <v>No Squirrels Found</v>
      </c>
      <c r="G1959" s="8" t="s">
        <v>34</v>
      </c>
      <c r="H1959" s="10">
        <v>10182018</v>
      </c>
      <c r="I1959" s="10">
        <v>7</v>
      </c>
      <c r="J1959" s="8" t="s">
        <v>39</v>
      </c>
      <c r="K1959" s="8" t="s">
        <v>40</v>
      </c>
      <c r="M1959" s="8" t="s">
        <v>55</v>
      </c>
      <c r="R1959" s="8" t="b">
        <v>0</v>
      </c>
      <c r="S1959" s="8" t="b">
        <v>0</v>
      </c>
      <c r="T1959" s="8" t="b">
        <v>0</v>
      </c>
      <c r="U1959" s="8" t="b">
        <v>0</v>
      </c>
      <c r="V1959" s="8" t="b">
        <v>1</v>
      </c>
      <c r="X1959" s="8" t="b">
        <v>0</v>
      </c>
      <c r="Y1959" s="8" t="b">
        <v>0</v>
      </c>
      <c r="Z1959" s="8" t="b">
        <v>0</v>
      </c>
      <c r="AA1959" s="8" t="b">
        <v>0</v>
      </c>
      <c r="AB1959" s="8" t="b">
        <v>0</v>
      </c>
      <c r="AC1959" s="8" t="b">
        <v>0</v>
      </c>
      <c r="AD1959" s="8" t="b">
        <v>0</v>
      </c>
      <c r="AE1959" s="8" t="b">
        <v>0</v>
      </c>
      <c r="AG1959" s="11" t="b" cm="1">
        <f t="array" ref="AG1959">IF(OR(Y1959:AA1959="TRUE", AE1959="true"), "Threatened")</f>
        <v>0</v>
      </c>
      <c r="AH1959" s="11" t="s">
        <v>4999</v>
      </c>
      <c r="AI1959" s="8" t="b">
        <v>1</v>
      </c>
    </row>
    <row r="1960" spans="1:35" ht="31.2">
      <c r="A1960" s="8">
        <v>-73.970773710000003</v>
      </c>
      <c r="B1960" s="8">
        <v>40.780037350000001</v>
      </c>
      <c r="C1960" s="8" t="s">
        <v>5000</v>
      </c>
      <c r="D1960" s="8" t="s">
        <v>2417</v>
      </c>
      <c r="E1960" s="8" t="b">
        <f t="shared" si="30"/>
        <v>0</v>
      </c>
      <c r="F1960" s="8" t="str" cm="1">
        <f t="array" ref="F1960">_xlfn._xlws.FILTER(E1960:E5158, C1960:C5158= "6D-PM-1020-01", "No Squirrels Found")</f>
        <v>No Squirrels Found</v>
      </c>
      <c r="G1960" s="8" t="s">
        <v>34</v>
      </c>
      <c r="H1960" s="10">
        <v>10122018</v>
      </c>
      <c r="I1960" s="10">
        <v>2</v>
      </c>
      <c r="J1960" s="8" t="s">
        <v>39</v>
      </c>
      <c r="K1960" s="8" t="s">
        <v>192</v>
      </c>
      <c r="M1960" s="8" t="s">
        <v>193</v>
      </c>
      <c r="O1960" s="8" t="s">
        <v>43</v>
      </c>
      <c r="P1960" s="8" t="b">
        <v>0</v>
      </c>
      <c r="R1960" s="8" t="b">
        <v>1</v>
      </c>
      <c r="S1960" s="8" t="b">
        <v>1</v>
      </c>
      <c r="T1960" s="8" t="b">
        <v>0</v>
      </c>
      <c r="U1960" s="8" t="b">
        <v>0</v>
      </c>
      <c r="V1960" s="8" t="b">
        <v>1</v>
      </c>
      <c r="W1960" s="11" t="s">
        <v>5001</v>
      </c>
      <c r="X1960" s="8" t="b">
        <v>1</v>
      </c>
      <c r="Y1960" s="8" t="b">
        <v>1</v>
      </c>
      <c r="Z1960" s="8" t="b">
        <v>0</v>
      </c>
      <c r="AA1960" s="8" t="b">
        <v>1</v>
      </c>
      <c r="AB1960" s="8" t="b">
        <v>1</v>
      </c>
      <c r="AC1960" s="8" t="b">
        <v>0</v>
      </c>
      <c r="AD1960" s="8" t="b">
        <v>1</v>
      </c>
      <c r="AE1960" s="8" t="b">
        <v>0</v>
      </c>
      <c r="AG1960" s="11" t="b" cm="1">
        <f t="array" ref="AG1960">IF(OR(Y1960:AA1960="TRUE", AE1960="true"), "Threatened")</f>
        <v>0</v>
      </c>
      <c r="AH1960" s="11" t="s">
        <v>5002</v>
      </c>
      <c r="AI1960" s="8" t="b">
        <v>0</v>
      </c>
    </row>
    <row r="1961" spans="1:35" ht="31.2">
      <c r="A1961" s="8">
        <v>-73.973015889999999</v>
      </c>
      <c r="B1961" s="8">
        <v>40.770131069999998</v>
      </c>
      <c r="C1961" s="8" t="s">
        <v>5003</v>
      </c>
      <c r="D1961" s="8" t="s">
        <v>524</v>
      </c>
      <c r="E1961" s="8" t="b">
        <f t="shared" si="30"/>
        <v>0</v>
      </c>
      <c r="F1961" s="8" t="str" cm="1">
        <f t="array" ref="F1961">_xlfn._xlws.FILTER(E1961:E5159, C1961:C5159= "6D-PM-1020-01", "No Squirrels Found")</f>
        <v>No Squirrels Found</v>
      </c>
      <c r="G1961" s="8" t="s">
        <v>34</v>
      </c>
      <c r="H1961" s="10">
        <v>10082018</v>
      </c>
      <c r="I1961" s="10">
        <v>2</v>
      </c>
      <c r="J1961" s="8" t="s">
        <v>39</v>
      </c>
      <c r="K1961" s="8" t="s">
        <v>40</v>
      </c>
      <c r="L1961" s="8" t="s">
        <v>41</v>
      </c>
      <c r="M1961" s="8" t="s">
        <v>42</v>
      </c>
      <c r="O1961" s="8" t="s">
        <v>50</v>
      </c>
      <c r="P1961" s="8">
        <v>10</v>
      </c>
      <c r="R1961" s="8" t="b">
        <v>1</v>
      </c>
      <c r="S1961" s="8" t="b">
        <v>1</v>
      </c>
      <c r="T1961" s="8" t="b">
        <v>0</v>
      </c>
      <c r="U1961" s="8" t="b">
        <v>0</v>
      </c>
      <c r="V1961" s="8" t="b">
        <v>0</v>
      </c>
      <c r="W1961" s="11" t="s">
        <v>4054</v>
      </c>
      <c r="X1961" s="8" t="b">
        <v>0</v>
      </c>
      <c r="Y1961" s="8" t="b">
        <v>0</v>
      </c>
      <c r="Z1961" s="8" t="b">
        <v>0</v>
      </c>
      <c r="AA1961" s="8" t="b">
        <v>0</v>
      </c>
      <c r="AB1961" s="8" t="b">
        <v>0</v>
      </c>
      <c r="AC1961" s="8" t="b">
        <v>0</v>
      </c>
      <c r="AD1961" s="8" t="b">
        <v>0</v>
      </c>
      <c r="AE1961" s="8" t="b">
        <v>0</v>
      </c>
      <c r="AG1961" s="11" t="b" cm="1">
        <f t="array" ref="AG1961">IF(OR(Y1961:AA1961="TRUE", AE1961="true"), "Threatened")</f>
        <v>0</v>
      </c>
      <c r="AH1961" s="11" t="s">
        <v>5004</v>
      </c>
      <c r="AI1961" s="8" t="b">
        <v>0</v>
      </c>
    </row>
    <row r="1962" spans="1:35" ht="31.2">
      <c r="A1962" s="8">
        <v>-73.953664720000006</v>
      </c>
      <c r="B1962" s="8">
        <v>40.798125640000002</v>
      </c>
      <c r="C1962" s="8" t="s">
        <v>5005</v>
      </c>
      <c r="D1962" s="8" t="s">
        <v>1520</v>
      </c>
      <c r="E1962" s="8" t="b">
        <f t="shared" si="30"/>
        <v>0</v>
      </c>
      <c r="F1962" s="8" t="str" cm="1">
        <f t="array" ref="F1962">_xlfn._xlws.FILTER(E1962:E5160, C1962:C5160= "6D-PM-1020-01", "No Squirrels Found")</f>
        <v>No Squirrels Found</v>
      </c>
      <c r="G1962" s="8" t="s">
        <v>34</v>
      </c>
      <c r="H1962" s="10">
        <v>10132018</v>
      </c>
      <c r="I1962" s="10">
        <v>4</v>
      </c>
      <c r="J1962" s="8" t="s">
        <v>39</v>
      </c>
      <c r="K1962" s="8" t="s">
        <v>41</v>
      </c>
      <c r="L1962" s="8" t="s">
        <v>84</v>
      </c>
      <c r="M1962" s="8" t="s">
        <v>85</v>
      </c>
      <c r="O1962" s="8" t="s">
        <v>43</v>
      </c>
      <c r="P1962" s="8" t="b">
        <v>0</v>
      </c>
      <c r="R1962" s="8" t="b">
        <v>1</v>
      </c>
      <c r="S1962" s="8" t="b">
        <v>0</v>
      </c>
      <c r="T1962" s="8" t="b">
        <v>0</v>
      </c>
      <c r="U1962" s="8" t="b">
        <v>0</v>
      </c>
      <c r="V1962" s="8" t="b">
        <v>1</v>
      </c>
      <c r="X1962" s="8" t="b">
        <v>0</v>
      </c>
      <c r="Y1962" s="8" t="b">
        <v>0</v>
      </c>
      <c r="Z1962" s="8" t="b">
        <v>0</v>
      </c>
      <c r="AA1962" s="8" t="b">
        <v>0</v>
      </c>
      <c r="AB1962" s="8" t="b">
        <v>1</v>
      </c>
      <c r="AC1962" s="8" t="b">
        <v>0</v>
      </c>
      <c r="AD1962" s="8" t="b">
        <v>1</v>
      </c>
      <c r="AE1962" s="8" t="b">
        <v>0</v>
      </c>
      <c r="AG1962" s="11" t="b" cm="1">
        <f t="array" ref="AG1962">IF(OR(Y1962:AA1962="TRUE", AE1962="true"), "Threatened")</f>
        <v>0</v>
      </c>
      <c r="AH1962" s="11" t="s">
        <v>5006</v>
      </c>
      <c r="AI1962" s="8" t="b">
        <v>1</v>
      </c>
    </row>
    <row r="1963" spans="1:35" ht="31.2">
      <c r="A1963" s="8">
        <v>-73.964731839999999</v>
      </c>
      <c r="B1963" s="8">
        <v>40.776093619999997</v>
      </c>
      <c r="C1963" s="8" t="s">
        <v>5007</v>
      </c>
      <c r="D1963" s="8" t="s">
        <v>419</v>
      </c>
      <c r="E1963" s="8" t="b">
        <f t="shared" si="30"/>
        <v>0</v>
      </c>
      <c r="F1963" s="8" t="str" cm="1">
        <f t="array" ref="F1963">_xlfn._xlws.FILTER(E1963:E5161, C1963:C5161= "6D-PM-1020-01", "No Squirrels Found")</f>
        <v>No Squirrels Found</v>
      </c>
      <c r="G1963" s="8" t="s">
        <v>34</v>
      </c>
      <c r="H1963" s="10">
        <v>10122018</v>
      </c>
      <c r="I1963" s="10">
        <v>4</v>
      </c>
      <c r="J1963" s="8" t="s">
        <v>39</v>
      </c>
      <c r="K1963" s="8" t="s">
        <v>40</v>
      </c>
      <c r="M1963" s="8" t="s">
        <v>55</v>
      </c>
      <c r="O1963" s="8" t="s">
        <v>43</v>
      </c>
      <c r="P1963" s="8" t="b">
        <v>0</v>
      </c>
      <c r="R1963" s="8" t="b">
        <v>1</v>
      </c>
      <c r="S1963" s="8" t="b">
        <v>0</v>
      </c>
      <c r="T1963" s="8" t="b">
        <v>1</v>
      </c>
      <c r="U1963" s="8" t="b">
        <v>0</v>
      </c>
      <c r="V1963" s="8" t="b">
        <v>1</v>
      </c>
      <c r="X1963" s="8" t="b">
        <v>0</v>
      </c>
      <c r="Y1963" s="8" t="b">
        <v>0</v>
      </c>
      <c r="Z1963" s="8" t="b">
        <v>0</v>
      </c>
      <c r="AA1963" s="8" t="b">
        <v>0</v>
      </c>
      <c r="AB1963" s="8" t="b">
        <v>0</v>
      </c>
      <c r="AC1963" s="8" t="b">
        <v>0</v>
      </c>
      <c r="AD1963" s="8" t="b">
        <v>0</v>
      </c>
      <c r="AE1963" s="8" t="b">
        <v>0</v>
      </c>
      <c r="AG1963" s="11" t="b" cm="1">
        <f t="array" ref="AG1963">IF(OR(Y1963:AA1963="TRUE", AE1963="true"), "Threatened")</f>
        <v>0</v>
      </c>
      <c r="AH1963" s="11" t="s">
        <v>5008</v>
      </c>
      <c r="AI1963" s="8" t="b">
        <v>1</v>
      </c>
    </row>
    <row r="1964" spans="1:35" ht="31.2">
      <c r="A1964" s="8">
        <v>-73.965159189999994</v>
      </c>
      <c r="B1964" s="8">
        <v>40.781183830000003</v>
      </c>
      <c r="C1964" s="8" t="s">
        <v>5009</v>
      </c>
      <c r="D1964" s="8" t="s">
        <v>574</v>
      </c>
      <c r="E1964" s="8" t="b">
        <f t="shared" si="30"/>
        <v>0</v>
      </c>
      <c r="F1964" s="8" t="str" cm="1">
        <f t="array" ref="F1964">_xlfn._xlws.FILTER(E1964:E5162, C1964:C5162= "6D-PM-1020-01", "No Squirrels Found")</f>
        <v>No Squirrels Found</v>
      </c>
      <c r="G1964" s="8" t="s">
        <v>34</v>
      </c>
      <c r="H1964" s="10">
        <v>10072018</v>
      </c>
      <c r="I1964" s="10">
        <v>6</v>
      </c>
      <c r="J1964" s="8" t="s">
        <v>54</v>
      </c>
      <c r="K1964" s="8" t="s">
        <v>40</v>
      </c>
      <c r="L1964" s="8" t="s">
        <v>41</v>
      </c>
      <c r="M1964" s="8" t="s">
        <v>42</v>
      </c>
      <c r="O1964" s="8" t="s">
        <v>43</v>
      </c>
      <c r="P1964" s="8" t="b">
        <v>0</v>
      </c>
      <c r="R1964" s="8" t="b">
        <v>0</v>
      </c>
      <c r="S1964" s="8" t="b">
        <v>0</v>
      </c>
      <c r="T1964" s="8" t="b">
        <v>0</v>
      </c>
      <c r="U1964" s="8" t="b">
        <v>1</v>
      </c>
      <c r="V1964" s="8" t="b">
        <v>0</v>
      </c>
      <c r="X1964" s="8" t="b">
        <v>0</v>
      </c>
      <c r="Y1964" s="8" t="b">
        <v>0</v>
      </c>
      <c r="Z1964" s="8" t="b">
        <v>0</v>
      </c>
      <c r="AA1964" s="8" t="b">
        <v>0</v>
      </c>
      <c r="AB1964" s="8" t="b">
        <v>0</v>
      </c>
      <c r="AC1964" s="8" t="b">
        <v>0</v>
      </c>
      <c r="AD1964" s="8" t="b">
        <v>1</v>
      </c>
      <c r="AE1964" s="8" t="b">
        <v>0</v>
      </c>
      <c r="AG1964" s="11" t="b" cm="1">
        <f t="array" ref="AG1964">IF(OR(Y1964:AA1964="TRUE", AE1964="true"), "Threatened")</f>
        <v>0</v>
      </c>
      <c r="AH1964" s="11" t="s">
        <v>5010</v>
      </c>
      <c r="AI1964" s="8" t="b">
        <v>1</v>
      </c>
    </row>
    <row r="1965" spans="1:35" ht="31.2">
      <c r="A1965" s="8">
        <v>-73.962285910000006</v>
      </c>
      <c r="B1965" s="8">
        <v>40.788616920000003</v>
      </c>
      <c r="C1965" s="8" t="s">
        <v>5011</v>
      </c>
      <c r="D1965" s="8" t="s">
        <v>1425</v>
      </c>
      <c r="E1965" s="8" t="b">
        <f t="shared" si="30"/>
        <v>0</v>
      </c>
      <c r="F1965" s="8" t="str" cm="1">
        <f t="array" ref="F1965">_xlfn._xlws.FILTER(E1965:E5163, C1965:C5163= "6D-PM-1020-01", "No Squirrels Found")</f>
        <v>No Squirrels Found</v>
      </c>
      <c r="G1965" s="8" t="s">
        <v>48</v>
      </c>
      <c r="H1965" s="10">
        <v>10142018</v>
      </c>
      <c r="I1965" s="10">
        <v>6</v>
      </c>
      <c r="J1965" s="8" t="s">
        <v>39</v>
      </c>
      <c r="K1965" s="8" t="s">
        <v>40</v>
      </c>
      <c r="M1965" s="8" t="s">
        <v>55</v>
      </c>
      <c r="O1965" s="8" t="s">
        <v>43</v>
      </c>
      <c r="P1965" s="8" t="b">
        <v>0</v>
      </c>
      <c r="R1965" s="8" t="b">
        <v>0</v>
      </c>
      <c r="S1965" s="8" t="b">
        <v>0</v>
      </c>
      <c r="T1965" s="8" t="b">
        <v>0</v>
      </c>
      <c r="U1965" s="8" t="b">
        <v>0</v>
      </c>
      <c r="V1965" s="8" t="b">
        <v>1</v>
      </c>
      <c r="X1965" s="8" t="b">
        <v>0</v>
      </c>
      <c r="Y1965" s="8" t="b">
        <v>0</v>
      </c>
      <c r="Z1965" s="8" t="b">
        <v>0</v>
      </c>
      <c r="AA1965" s="8" t="b">
        <v>0</v>
      </c>
      <c r="AB1965" s="8" t="b">
        <v>0</v>
      </c>
      <c r="AC1965" s="8" t="b">
        <v>0</v>
      </c>
      <c r="AD1965" s="8" t="b">
        <v>1</v>
      </c>
      <c r="AE1965" s="8" t="b">
        <v>0</v>
      </c>
      <c r="AG1965" s="11" t="b" cm="1">
        <f t="array" ref="AG1965">IF(OR(Y1965:AA1965="TRUE", AE1965="true"), "Threatened")</f>
        <v>0</v>
      </c>
      <c r="AH1965" s="11" t="s">
        <v>5012</v>
      </c>
      <c r="AI1965" s="8" t="b">
        <v>1</v>
      </c>
    </row>
    <row r="1966" spans="1:35" ht="78">
      <c r="A1966" s="8">
        <v>-73.971935959999996</v>
      </c>
      <c r="B1966" s="8">
        <v>40.772699889999998</v>
      </c>
      <c r="C1966" s="8" t="s">
        <v>5013</v>
      </c>
      <c r="D1966" s="8" t="s">
        <v>527</v>
      </c>
      <c r="E1966" s="8" t="b">
        <f t="shared" si="30"/>
        <v>0</v>
      </c>
      <c r="F1966" s="8" t="str" cm="1">
        <f t="array" ref="F1966">_xlfn._xlws.FILTER(E1966:E5164, C1966:C5164= "6D-PM-1020-01", "No Squirrels Found")</f>
        <v>No Squirrels Found</v>
      </c>
      <c r="G1966" s="8" t="s">
        <v>34</v>
      </c>
      <c r="H1966" s="10">
        <v>10142018</v>
      </c>
      <c r="I1966" s="10">
        <v>1</v>
      </c>
      <c r="J1966" s="8" t="s">
        <v>39</v>
      </c>
      <c r="K1966" s="8" t="s">
        <v>40</v>
      </c>
      <c r="L1966" s="8" t="s">
        <v>41</v>
      </c>
      <c r="M1966" s="8" t="s">
        <v>42</v>
      </c>
      <c r="O1966" s="8" t="s">
        <v>43</v>
      </c>
      <c r="P1966" s="8" t="b">
        <v>0</v>
      </c>
      <c r="R1966" s="8" t="b">
        <v>0</v>
      </c>
      <c r="S1966" s="8" t="b">
        <v>0</v>
      </c>
      <c r="T1966" s="8" t="b">
        <v>0</v>
      </c>
      <c r="U1966" s="8" t="b">
        <v>1</v>
      </c>
      <c r="V1966" s="8" t="b">
        <v>0</v>
      </c>
      <c r="X1966" s="8" t="b">
        <v>0</v>
      </c>
      <c r="Y1966" s="8" t="b">
        <v>0</v>
      </c>
      <c r="Z1966" s="8" t="b">
        <v>0</v>
      </c>
      <c r="AA1966" s="8" t="b">
        <v>0</v>
      </c>
      <c r="AB1966" s="8" t="b">
        <v>0</v>
      </c>
      <c r="AC1966" s="8" t="b">
        <v>0</v>
      </c>
      <c r="AD1966" s="8" t="b">
        <v>0</v>
      </c>
      <c r="AE1966" s="8" t="b">
        <v>0</v>
      </c>
      <c r="AF1966" s="11" t="s">
        <v>5014</v>
      </c>
      <c r="AG1966" s="11" t="b" cm="1">
        <f t="array" ref="AG1966">IF(OR(Y1966:AA1966="TRUE", AE1966="true"), "Threatened")</f>
        <v>0</v>
      </c>
      <c r="AH1966" s="11" t="s">
        <v>5015</v>
      </c>
      <c r="AI1966" s="8" t="b">
        <v>1</v>
      </c>
    </row>
    <row r="1967" spans="1:35" ht="31.2">
      <c r="A1967" s="8">
        <v>-73.975091199999994</v>
      </c>
      <c r="B1967" s="8">
        <v>40.772244520000001</v>
      </c>
      <c r="C1967" s="8" t="s">
        <v>5016</v>
      </c>
      <c r="D1967" s="8" t="s">
        <v>805</v>
      </c>
      <c r="E1967" s="8" t="b">
        <f t="shared" si="30"/>
        <v>0</v>
      </c>
      <c r="F1967" s="8" t="str" cm="1">
        <f t="array" ref="F1967">_xlfn._xlws.FILTER(E1967:E5165, C1967:C5165= "6D-PM-1020-01", "No Squirrels Found")</f>
        <v>No Squirrels Found</v>
      </c>
      <c r="G1967" s="8" t="s">
        <v>34</v>
      </c>
      <c r="H1967" s="10">
        <v>10132018</v>
      </c>
      <c r="I1967" s="10">
        <v>6</v>
      </c>
      <c r="K1967" s="8" t="s">
        <v>41</v>
      </c>
      <c r="L1967" s="8" t="s">
        <v>40</v>
      </c>
      <c r="M1967" s="8" t="s">
        <v>110</v>
      </c>
      <c r="O1967" s="8" t="s">
        <v>43</v>
      </c>
      <c r="P1967" s="8" t="b">
        <v>0</v>
      </c>
      <c r="R1967" s="8" t="b">
        <v>0</v>
      </c>
      <c r="S1967" s="8" t="b">
        <v>0</v>
      </c>
      <c r="T1967" s="8" t="b">
        <v>0</v>
      </c>
      <c r="U1967" s="8" t="b">
        <v>1</v>
      </c>
      <c r="V1967" s="8" t="b">
        <v>0</v>
      </c>
      <c r="X1967" s="8" t="b">
        <v>0</v>
      </c>
      <c r="Y1967" s="8" t="b">
        <v>0</v>
      </c>
      <c r="Z1967" s="8" t="b">
        <v>0</v>
      </c>
      <c r="AA1967" s="8" t="b">
        <v>0</v>
      </c>
      <c r="AB1967" s="8" t="b">
        <v>0</v>
      </c>
      <c r="AC1967" s="8" t="b">
        <v>0</v>
      </c>
      <c r="AD1967" s="8" t="b">
        <v>1</v>
      </c>
      <c r="AE1967" s="8" t="b">
        <v>0</v>
      </c>
      <c r="AG1967" s="11" t="b" cm="1">
        <f t="array" ref="AG1967">IF(OR(Y1967:AA1967="TRUE", AE1967="true"), "Threatened")</f>
        <v>0</v>
      </c>
      <c r="AH1967" s="11" t="s">
        <v>5017</v>
      </c>
      <c r="AI1967" s="8" t="b">
        <v>1</v>
      </c>
    </row>
    <row r="1968" spans="1:35" ht="31.2">
      <c r="A1968" s="8">
        <v>-73.96472473</v>
      </c>
      <c r="B1968" s="8">
        <v>40.78061366</v>
      </c>
      <c r="C1968" s="8" t="s">
        <v>5018</v>
      </c>
      <c r="D1968" s="8" t="s">
        <v>2206</v>
      </c>
      <c r="E1968" s="8" t="b">
        <f t="shared" si="30"/>
        <v>0</v>
      </c>
      <c r="F1968" s="8" t="str" cm="1">
        <f t="array" ref="F1968">_xlfn._xlws.FILTER(E1968:E5166, C1968:C5166= "6D-PM-1020-01", "No Squirrels Found")</f>
        <v>No Squirrels Found</v>
      </c>
      <c r="G1968" s="8" t="s">
        <v>34</v>
      </c>
      <c r="H1968" s="10">
        <v>10132018</v>
      </c>
      <c r="I1968" s="10">
        <v>3</v>
      </c>
      <c r="J1968" s="8" t="s">
        <v>39</v>
      </c>
      <c r="K1968" s="8" t="s">
        <v>40</v>
      </c>
      <c r="L1968" s="8" t="s">
        <v>168</v>
      </c>
      <c r="M1968" s="8" t="s">
        <v>169</v>
      </c>
      <c r="O1968" s="8" t="s">
        <v>43</v>
      </c>
      <c r="P1968" s="8" t="b">
        <v>0</v>
      </c>
      <c r="R1968" s="8" t="b">
        <v>0</v>
      </c>
      <c r="S1968" s="8" t="b">
        <v>0</v>
      </c>
      <c r="T1968" s="8" t="b">
        <v>0</v>
      </c>
      <c r="U1968" s="8" t="b">
        <v>1</v>
      </c>
      <c r="V1968" s="8" t="b">
        <v>1</v>
      </c>
      <c r="X1968" s="8" t="b">
        <v>0</v>
      </c>
      <c r="Y1968" s="8" t="b">
        <v>0</v>
      </c>
      <c r="Z1968" s="8" t="b">
        <v>0</v>
      </c>
      <c r="AA1968" s="8" t="b">
        <v>1</v>
      </c>
      <c r="AB1968" s="8" t="b">
        <v>0</v>
      </c>
      <c r="AC1968" s="8" t="b">
        <v>0</v>
      </c>
      <c r="AD1968" s="8" t="b">
        <v>0</v>
      </c>
      <c r="AE1968" s="8" t="b">
        <v>1</v>
      </c>
      <c r="AG1968" s="11" t="b" cm="1">
        <f t="array" ref="AG1968">IF(OR(Y1968:AA1968="TRUE", AE1968="true"), "Threatened")</f>
        <v>0</v>
      </c>
      <c r="AH1968" s="11" t="s">
        <v>5019</v>
      </c>
      <c r="AI1968" s="8" t="b">
        <v>1</v>
      </c>
    </row>
    <row r="1969" spans="1:35" ht="31.2">
      <c r="A1969" s="8">
        <v>-73.969908889999999</v>
      </c>
      <c r="B1969" s="8">
        <v>40.775277840000001</v>
      </c>
      <c r="C1969" s="8" t="s">
        <v>5020</v>
      </c>
      <c r="D1969" s="8" t="s">
        <v>275</v>
      </c>
      <c r="E1969" s="8" t="b">
        <f t="shared" si="30"/>
        <v>0</v>
      </c>
      <c r="F1969" s="8" t="str" cm="1">
        <f t="array" ref="F1969">_xlfn._xlws.FILTER(E1969:E5167, C1969:C5167= "6D-PM-1020-01", "No Squirrels Found")</f>
        <v>No Squirrels Found</v>
      </c>
      <c r="G1969" s="8" t="s">
        <v>48</v>
      </c>
      <c r="H1969" s="10">
        <v>10072018</v>
      </c>
      <c r="I1969" s="10">
        <v>3</v>
      </c>
      <c r="J1969" s="8" t="s">
        <v>39</v>
      </c>
      <c r="K1969" s="8" t="s">
        <v>40</v>
      </c>
      <c r="L1969" s="8" t="s">
        <v>41</v>
      </c>
      <c r="M1969" s="8" t="s">
        <v>42</v>
      </c>
      <c r="O1969" s="8" t="s">
        <v>43</v>
      </c>
      <c r="P1969" s="8" t="b">
        <v>0</v>
      </c>
      <c r="R1969" s="8" t="b">
        <v>1</v>
      </c>
      <c r="S1969" s="8" t="b">
        <v>0</v>
      </c>
      <c r="T1969" s="8" t="b">
        <v>0</v>
      </c>
      <c r="U1969" s="8" t="b">
        <v>0</v>
      </c>
      <c r="V1969" s="8" t="b">
        <v>0</v>
      </c>
      <c r="X1969" s="8" t="b">
        <v>0</v>
      </c>
      <c r="Y1969" s="8" t="b">
        <v>0</v>
      </c>
      <c r="Z1969" s="8" t="b">
        <v>0</v>
      </c>
      <c r="AA1969" s="8" t="b">
        <v>0</v>
      </c>
      <c r="AB1969" s="8" t="b">
        <v>0</v>
      </c>
      <c r="AC1969" s="8" t="b">
        <v>0</v>
      </c>
      <c r="AD1969" s="8" t="b">
        <v>0</v>
      </c>
      <c r="AE1969" s="8" t="b">
        <v>1</v>
      </c>
      <c r="AG1969" s="11" t="b" cm="1">
        <f t="array" ref="AG1969">IF(OR(Y1969:AA1969="TRUE", AE1969="true"), "Threatened")</f>
        <v>0</v>
      </c>
      <c r="AH1969" s="11" t="s">
        <v>5021</v>
      </c>
      <c r="AI1969" s="8" t="b">
        <v>1</v>
      </c>
    </row>
    <row r="1970" spans="1:35" ht="31.2">
      <c r="A1970" s="8">
        <v>-73.968905149999998</v>
      </c>
      <c r="B1970" s="8">
        <v>40.776451129999998</v>
      </c>
      <c r="C1970" s="8" t="s">
        <v>5022</v>
      </c>
      <c r="D1970" s="8" t="s">
        <v>239</v>
      </c>
      <c r="E1970" s="8" t="b">
        <f t="shared" si="30"/>
        <v>0</v>
      </c>
      <c r="F1970" s="8" t="str" cm="1">
        <f t="array" ref="F1970">_xlfn._xlws.FILTER(E1970:E5168, C1970:C5168= "6D-PM-1020-01", "No Squirrels Found")</f>
        <v>No Squirrels Found</v>
      </c>
      <c r="G1970" s="8" t="s">
        <v>48</v>
      </c>
      <c r="H1970" s="10">
        <v>10072018</v>
      </c>
      <c r="I1970" s="10">
        <v>4</v>
      </c>
      <c r="J1970" s="8" t="s">
        <v>39</v>
      </c>
      <c r="K1970" s="8" t="s">
        <v>40</v>
      </c>
      <c r="L1970" s="8" t="s">
        <v>168</v>
      </c>
      <c r="M1970" s="8" t="s">
        <v>169</v>
      </c>
      <c r="O1970" s="8" t="s">
        <v>43</v>
      </c>
      <c r="P1970" s="8" t="b">
        <v>0</v>
      </c>
      <c r="R1970" s="8" t="b">
        <v>1</v>
      </c>
      <c r="S1970" s="8" t="b">
        <v>0</v>
      </c>
      <c r="T1970" s="8" t="b">
        <v>0</v>
      </c>
      <c r="U1970" s="8" t="b">
        <v>0</v>
      </c>
      <c r="V1970" s="8" t="b">
        <v>0</v>
      </c>
      <c r="X1970" s="8" t="b">
        <v>0</v>
      </c>
      <c r="Y1970" s="8" t="b">
        <v>0</v>
      </c>
      <c r="Z1970" s="8" t="b">
        <v>0</v>
      </c>
      <c r="AA1970" s="8" t="b">
        <v>0</v>
      </c>
      <c r="AB1970" s="8" t="b">
        <v>0</v>
      </c>
      <c r="AC1970" s="8" t="b">
        <v>0</v>
      </c>
      <c r="AD1970" s="8" t="b">
        <v>1</v>
      </c>
      <c r="AE1970" s="8" t="b">
        <v>0</v>
      </c>
      <c r="AG1970" s="11" t="b" cm="1">
        <f t="array" ref="AG1970">IF(OR(Y1970:AA1970="TRUE", AE1970="true"), "Threatened")</f>
        <v>0</v>
      </c>
      <c r="AH1970" s="11" t="s">
        <v>5023</v>
      </c>
      <c r="AI1970" s="8" t="b">
        <v>1</v>
      </c>
    </row>
    <row r="1971" spans="1:35" ht="31.2">
      <c r="A1971" s="8">
        <v>-73.963146469999998</v>
      </c>
      <c r="B1971" s="8">
        <v>40.793415660000001</v>
      </c>
      <c r="C1971" s="8" t="s">
        <v>5024</v>
      </c>
      <c r="D1971" s="8" t="s">
        <v>2439</v>
      </c>
      <c r="E1971" s="8" t="b">
        <f t="shared" si="30"/>
        <v>0</v>
      </c>
      <c r="F1971" s="8" t="str" cm="1">
        <f t="array" ref="F1971">_xlfn._xlws.FILTER(E1971:E5169, C1971:C5169= "6D-PM-1020-01", "No Squirrels Found")</f>
        <v>No Squirrels Found</v>
      </c>
      <c r="G1971" s="8" t="s">
        <v>34</v>
      </c>
      <c r="H1971" s="10">
        <v>10182018</v>
      </c>
      <c r="I1971" s="10">
        <v>2</v>
      </c>
      <c r="J1971" s="8" t="s">
        <v>39</v>
      </c>
      <c r="K1971" s="8" t="s">
        <v>40</v>
      </c>
      <c r="L1971" s="8" t="s">
        <v>41</v>
      </c>
      <c r="M1971" s="8" t="s">
        <v>42</v>
      </c>
      <c r="O1971" s="8" t="s">
        <v>50</v>
      </c>
      <c r="P1971" s="8">
        <v>10</v>
      </c>
      <c r="Q1971" s="8" t="s">
        <v>5025</v>
      </c>
      <c r="R1971" s="8" t="b">
        <v>0</v>
      </c>
      <c r="S1971" s="8" t="b">
        <v>0</v>
      </c>
      <c r="T1971" s="8" t="b">
        <v>0</v>
      </c>
      <c r="U1971" s="8" t="b">
        <v>0</v>
      </c>
      <c r="V1971" s="8" t="b">
        <v>0</v>
      </c>
      <c r="W1971" s="11" t="s">
        <v>5026</v>
      </c>
      <c r="X1971" s="8" t="b">
        <v>0</v>
      </c>
      <c r="Y1971" s="8" t="b">
        <v>0</v>
      </c>
      <c r="Z1971" s="8" t="b">
        <v>0</v>
      </c>
      <c r="AA1971" s="8" t="b">
        <v>0</v>
      </c>
      <c r="AB1971" s="8" t="b">
        <v>0</v>
      </c>
      <c r="AC1971" s="8" t="b">
        <v>0</v>
      </c>
      <c r="AD1971" s="8" t="b">
        <v>0</v>
      </c>
      <c r="AE1971" s="8" t="b">
        <v>0</v>
      </c>
      <c r="AF1971" s="11" t="s">
        <v>678</v>
      </c>
      <c r="AG1971" s="11" t="b" cm="1">
        <f t="array" ref="AG1971">IF(OR(Y1971:AA1971="TRUE", AE1971="true"), "Threatened")</f>
        <v>0</v>
      </c>
      <c r="AH1971" s="11" t="s">
        <v>5027</v>
      </c>
      <c r="AI1971" s="8" t="b">
        <v>0</v>
      </c>
    </row>
    <row r="1972" spans="1:35" ht="31.2">
      <c r="A1972" s="8">
        <v>-73.959188040000001</v>
      </c>
      <c r="B1972" s="8">
        <v>40.795007130000002</v>
      </c>
      <c r="C1972" s="8" t="s">
        <v>5028</v>
      </c>
      <c r="D1972" s="8" t="s">
        <v>1262</v>
      </c>
      <c r="E1972" s="8" t="b">
        <f t="shared" si="30"/>
        <v>0</v>
      </c>
      <c r="F1972" s="8" t="str" cm="1">
        <f t="array" ref="F1972">_xlfn._xlws.FILTER(E1972:E5170, C1972:C5170= "6D-PM-1020-01", "No Squirrels Found")</f>
        <v>No Squirrels Found</v>
      </c>
      <c r="G1972" s="8" t="s">
        <v>34</v>
      </c>
      <c r="H1972" s="10">
        <v>10132018</v>
      </c>
      <c r="I1972" s="10">
        <v>2</v>
      </c>
      <c r="J1972" s="8" t="s">
        <v>39</v>
      </c>
      <c r="K1972" s="8" t="s">
        <v>40</v>
      </c>
      <c r="M1972" s="8" t="s">
        <v>55</v>
      </c>
      <c r="O1972" s="8" t="s">
        <v>43</v>
      </c>
      <c r="P1972" s="8" t="b">
        <v>0</v>
      </c>
      <c r="Q1972" s="8" t="s">
        <v>2450</v>
      </c>
      <c r="R1972" s="8" t="b">
        <v>0</v>
      </c>
      <c r="S1972" s="8" t="b">
        <v>1</v>
      </c>
      <c r="T1972" s="8" t="b">
        <v>0</v>
      </c>
      <c r="U1972" s="8" t="b">
        <v>1</v>
      </c>
      <c r="V1972" s="8" t="b">
        <v>1</v>
      </c>
      <c r="X1972" s="8" t="b">
        <v>1</v>
      </c>
      <c r="Y1972" s="8" t="b">
        <v>1</v>
      </c>
      <c r="Z1972" s="8" t="b">
        <v>0</v>
      </c>
      <c r="AA1972" s="8" t="b">
        <v>0</v>
      </c>
      <c r="AB1972" s="8" t="b">
        <v>1</v>
      </c>
      <c r="AC1972" s="8" t="b">
        <v>0</v>
      </c>
      <c r="AD1972" s="8" t="b">
        <v>1</v>
      </c>
      <c r="AE1972" s="8" t="b">
        <v>0</v>
      </c>
      <c r="AG1972" s="11" t="b" cm="1">
        <f t="array" ref="AG1972">IF(OR(Y1972:AA1972="TRUE", AE1972="true"), "Threatened")</f>
        <v>0</v>
      </c>
      <c r="AH1972" s="11" t="s">
        <v>5029</v>
      </c>
      <c r="AI1972" s="8" t="b">
        <v>1</v>
      </c>
    </row>
    <row r="1973" spans="1:35" ht="31.2">
      <c r="A1973" s="8">
        <v>-73.955837029999998</v>
      </c>
      <c r="B1973" s="8">
        <v>40.792197719999997</v>
      </c>
      <c r="C1973" s="8" t="s">
        <v>5030</v>
      </c>
      <c r="D1973" s="8" t="s">
        <v>2230</v>
      </c>
      <c r="E1973" s="8" t="b">
        <f t="shared" si="30"/>
        <v>0</v>
      </c>
      <c r="F1973" s="8" t="str" cm="1">
        <f t="array" ref="F1973">_xlfn._xlws.FILTER(E1973:E5171, C1973:C5171= "6D-PM-1020-01", "No Squirrels Found")</f>
        <v>No Squirrels Found</v>
      </c>
      <c r="G1973" s="8" t="s">
        <v>48</v>
      </c>
      <c r="H1973" s="10">
        <v>10072018</v>
      </c>
      <c r="I1973" s="10">
        <v>2</v>
      </c>
      <c r="J1973" s="8" t="s">
        <v>39</v>
      </c>
      <c r="K1973" s="8" t="s">
        <v>40</v>
      </c>
      <c r="L1973" s="8" t="s">
        <v>84</v>
      </c>
      <c r="M1973" s="8" t="s">
        <v>103</v>
      </c>
      <c r="O1973" s="8" t="s">
        <v>50</v>
      </c>
      <c r="P1973" s="8">
        <v>30</v>
      </c>
      <c r="R1973" s="8" t="b">
        <v>0</v>
      </c>
      <c r="S1973" s="8" t="b">
        <v>0</v>
      </c>
      <c r="T1973" s="8" t="b">
        <v>1</v>
      </c>
      <c r="U1973" s="8" t="b">
        <v>0</v>
      </c>
      <c r="V1973" s="8" t="b">
        <v>0</v>
      </c>
      <c r="X1973" s="8" t="b">
        <v>0</v>
      </c>
      <c r="Y1973" s="8" t="b">
        <v>0</v>
      </c>
      <c r="Z1973" s="8" t="b">
        <v>0</v>
      </c>
      <c r="AA1973" s="8" t="b">
        <v>0</v>
      </c>
      <c r="AB1973" s="8" t="b">
        <v>0</v>
      </c>
      <c r="AC1973" s="8" t="b">
        <v>0</v>
      </c>
      <c r="AD1973" s="8" t="b">
        <v>1</v>
      </c>
      <c r="AE1973" s="8" t="b">
        <v>0</v>
      </c>
      <c r="AG1973" s="11" t="b" cm="1">
        <f t="array" ref="AG1973">IF(OR(Y1973:AA1973="TRUE", AE1973="true"), "Threatened")</f>
        <v>0</v>
      </c>
      <c r="AH1973" s="11" t="s">
        <v>5031</v>
      </c>
      <c r="AI1973" s="8" t="b">
        <v>1</v>
      </c>
    </row>
    <row r="1974" spans="1:35" ht="31.2">
      <c r="A1974" s="8">
        <v>-73.957138760000007</v>
      </c>
      <c r="B1974" s="8">
        <v>40.795592599999999</v>
      </c>
      <c r="C1974" s="8" t="s">
        <v>5032</v>
      </c>
      <c r="D1974" s="8" t="s">
        <v>841</v>
      </c>
      <c r="E1974" s="8" t="b">
        <f t="shared" si="30"/>
        <v>0</v>
      </c>
      <c r="F1974" s="8" t="str" cm="1">
        <f t="array" ref="F1974">_xlfn._xlws.FILTER(E1974:E5172, C1974:C5172= "6D-PM-1020-01", "No Squirrels Found")</f>
        <v>No Squirrels Found</v>
      </c>
      <c r="G1974" s="8" t="s">
        <v>34</v>
      </c>
      <c r="H1974" s="10">
        <v>10062018</v>
      </c>
      <c r="I1974" s="10">
        <v>2</v>
      </c>
      <c r="J1974" s="8" t="s">
        <v>39</v>
      </c>
      <c r="K1974" s="8" t="s">
        <v>40</v>
      </c>
      <c r="L1974" s="8" t="s">
        <v>41</v>
      </c>
      <c r="M1974" s="8" t="s">
        <v>42</v>
      </c>
      <c r="O1974" s="8" t="s">
        <v>43</v>
      </c>
      <c r="P1974" s="8" t="b">
        <v>0</v>
      </c>
      <c r="R1974" s="8" t="b">
        <v>0</v>
      </c>
      <c r="S1974" s="8" t="b">
        <v>0</v>
      </c>
      <c r="T1974" s="8" t="b">
        <v>0</v>
      </c>
      <c r="U1974" s="8" t="b">
        <v>0</v>
      </c>
      <c r="V1974" s="8" t="b">
        <v>1</v>
      </c>
      <c r="X1974" s="8" t="b">
        <v>0</v>
      </c>
      <c r="Y1974" s="8" t="b">
        <v>0</v>
      </c>
      <c r="Z1974" s="8" t="b">
        <v>0</v>
      </c>
      <c r="AA1974" s="8" t="b">
        <v>0</v>
      </c>
      <c r="AB1974" s="8" t="b">
        <v>1</v>
      </c>
      <c r="AC1974" s="8" t="b">
        <v>0</v>
      </c>
      <c r="AD1974" s="8" t="b">
        <v>1</v>
      </c>
      <c r="AE1974" s="8" t="b">
        <v>0</v>
      </c>
      <c r="AG1974" s="11" t="b" cm="1">
        <f t="array" ref="AG1974">IF(OR(Y1974:AA1974="TRUE", AE1974="true"), "Threatened")</f>
        <v>0</v>
      </c>
      <c r="AH1974" s="11" t="s">
        <v>5033</v>
      </c>
      <c r="AI1974" s="8" t="b">
        <v>1</v>
      </c>
    </row>
    <row r="1975" spans="1:35" ht="31.2">
      <c r="A1975" s="8">
        <v>-73.977242070000003</v>
      </c>
      <c r="B1975" s="8">
        <v>40.773002519999999</v>
      </c>
      <c r="C1975" s="8" t="s">
        <v>5034</v>
      </c>
      <c r="D1975" s="8" t="s">
        <v>503</v>
      </c>
      <c r="E1975" s="8" t="b">
        <f t="shared" si="30"/>
        <v>0</v>
      </c>
      <c r="F1975" s="8" t="str" cm="1">
        <f t="array" ref="F1975">_xlfn._xlws.FILTER(E1975:E5173, C1975:C5173= "6D-PM-1020-01", "No Squirrels Found")</f>
        <v>No Squirrels Found</v>
      </c>
      <c r="G1975" s="8" t="s">
        <v>34</v>
      </c>
      <c r="H1975" s="10">
        <v>10072018</v>
      </c>
      <c r="I1975" s="10">
        <v>1</v>
      </c>
      <c r="J1975" s="8" t="s">
        <v>39</v>
      </c>
      <c r="K1975" s="8" t="s">
        <v>40</v>
      </c>
      <c r="M1975" s="8" t="s">
        <v>55</v>
      </c>
      <c r="O1975" s="8" t="s">
        <v>50</v>
      </c>
      <c r="P1975" s="8">
        <v>8</v>
      </c>
      <c r="R1975" s="8" t="b">
        <v>0</v>
      </c>
      <c r="S1975" s="8" t="b">
        <v>0</v>
      </c>
      <c r="T1975" s="8" t="b">
        <v>1</v>
      </c>
      <c r="U1975" s="8" t="b">
        <v>0</v>
      </c>
      <c r="V1975" s="8" t="b">
        <v>0</v>
      </c>
      <c r="X1975" s="8" t="b">
        <v>0</v>
      </c>
      <c r="Y1975" s="8" t="b">
        <v>0</v>
      </c>
      <c r="Z1975" s="8" t="b">
        <v>0</v>
      </c>
      <c r="AA1975" s="8" t="b">
        <v>0</v>
      </c>
      <c r="AB1975" s="8" t="b">
        <v>0</v>
      </c>
      <c r="AC1975" s="8" t="b">
        <v>0</v>
      </c>
      <c r="AD1975" s="8" t="b">
        <v>0</v>
      </c>
      <c r="AE1975" s="8" t="b">
        <v>0</v>
      </c>
      <c r="AG1975" s="11" t="b" cm="1">
        <f t="array" ref="AG1975">IF(OR(Y1975:AA1975="TRUE", AE1975="true"), "Threatened")</f>
        <v>0</v>
      </c>
      <c r="AH1975" s="11" t="s">
        <v>5035</v>
      </c>
      <c r="AI1975" s="8" t="b">
        <v>1</v>
      </c>
    </row>
    <row r="1976" spans="1:35" ht="31.2">
      <c r="A1976" s="8">
        <v>-73.975329160000001</v>
      </c>
      <c r="B1976" s="8">
        <v>40.768737600000001</v>
      </c>
      <c r="C1976" s="8" t="s">
        <v>5036</v>
      </c>
      <c r="D1976" s="8" t="s">
        <v>794</v>
      </c>
      <c r="E1976" s="8" t="b">
        <f t="shared" si="30"/>
        <v>0</v>
      </c>
      <c r="F1976" s="8" t="str" cm="1">
        <f t="array" ref="F1976">_xlfn._xlws.FILTER(E1976:E5174, C1976:C5174= "6D-PM-1020-01", "No Squirrels Found")</f>
        <v>No Squirrels Found</v>
      </c>
      <c r="G1976" s="8" t="s">
        <v>34</v>
      </c>
      <c r="H1976" s="10">
        <v>10082018</v>
      </c>
      <c r="I1976" s="10">
        <v>1</v>
      </c>
      <c r="J1976" s="8" t="s">
        <v>39</v>
      </c>
      <c r="K1976" s="8" t="s">
        <v>40</v>
      </c>
      <c r="L1976" s="8" t="s">
        <v>41</v>
      </c>
      <c r="M1976" s="8" t="s">
        <v>42</v>
      </c>
      <c r="O1976" s="8" t="s">
        <v>43</v>
      </c>
      <c r="P1976" s="8" t="b">
        <v>0</v>
      </c>
      <c r="R1976" s="8" t="b">
        <v>1</v>
      </c>
      <c r="S1976" s="8" t="b">
        <v>0</v>
      </c>
      <c r="T1976" s="8" t="b">
        <v>0</v>
      </c>
      <c r="U1976" s="8" t="b">
        <v>1</v>
      </c>
      <c r="V1976" s="8" t="b">
        <v>1</v>
      </c>
      <c r="X1976" s="8" t="b">
        <v>0</v>
      </c>
      <c r="Y1976" s="8" t="b">
        <v>0</v>
      </c>
      <c r="Z1976" s="8" t="b">
        <v>0</v>
      </c>
      <c r="AA1976" s="8" t="b">
        <v>0</v>
      </c>
      <c r="AB1976" s="8" t="b">
        <v>1</v>
      </c>
      <c r="AC1976" s="8" t="b">
        <v>0</v>
      </c>
      <c r="AD1976" s="8" t="b">
        <v>1</v>
      </c>
      <c r="AE1976" s="8" t="b">
        <v>0</v>
      </c>
      <c r="AG1976" s="11" t="b" cm="1">
        <f t="array" ref="AG1976">IF(OR(Y1976:AA1976="TRUE", AE1976="true"), "Threatened")</f>
        <v>0</v>
      </c>
      <c r="AH1976" s="11" t="s">
        <v>5037</v>
      </c>
      <c r="AI1976" s="8" t="b">
        <v>1</v>
      </c>
    </row>
    <row r="1977" spans="1:35" ht="31.2">
      <c r="A1977" s="8">
        <v>-73.977092089999999</v>
      </c>
      <c r="B1977" s="8">
        <v>40.769469800000003</v>
      </c>
      <c r="C1977" s="8" t="s">
        <v>5038</v>
      </c>
      <c r="D1977" s="8" t="s">
        <v>1586</v>
      </c>
      <c r="E1977" s="8" t="b">
        <f t="shared" si="30"/>
        <v>0</v>
      </c>
      <c r="F1977" s="8" t="str" cm="1">
        <f t="array" ref="F1977">_xlfn._xlws.FILTER(E1977:E5175, C1977:C5175= "6D-PM-1020-01", "No Squirrels Found")</f>
        <v>No Squirrels Found</v>
      </c>
      <c r="G1977" s="8" t="s">
        <v>34</v>
      </c>
      <c r="H1977" s="10">
        <v>10102018</v>
      </c>
      <c r="I1977" s="10">
        <v>1</v>
      </c>
      <c r="J1977" s="8" t="s">
        <v>39</v>
      </c>
      <c r="K1977" s="8" t="s">
        <v>40</v>
      </c>
      <c r="L1977" s="8" t="s">
        <v>41</v>
      </c>
      <c r="M1977" s="8" t="s">
        <v>42</v>
      </c>
      <c r="O1977" s="8" t="s">
        <v>50</v>
      </c>
      <c r="P1977" s="8">
        <v>6</v>
      </c>
      <c r="R1977" s="8" t="b">
        <v>0</v>
      </c>
      <c r="S1977" s="8" t="b">
        <v>0</v>
      </c>
      <c r="T1977" s="8" t="b">
        <v>1</v>
      </c>
      <c r="U1977" s="8" t="b">
        <v>0</v>
      </c>
      <c r="V1977" s="8" t="b">
        <v>0</v>
      </c>
      <c r="X1977" s="8" t="b">
        <v>0</v>
      </c>
      <c r="Y1977" s="8" t="b">
        <v>1</v>
      </c>
      <c r="Z1977" s="8" t="b">
        <v>0</v>
      </c>
      <c r="AA1977" s="8" t="b">
        <v>0</v>
      </c>
      <c r="AB1977" s="8" t="b">
        <v>0</v>
      </c>
      <c r="AC1977" s="8" t="b">
        <v>0</v>
      </c>
      <c r="AD1977" s="8" t="b">
        <v>1</v>
      </c>
      <c r="AE1977" s="8" t="b">
        <v>0</v>
      </c>
      <c r="AG1977" s="11" t="b" cm="1">
        <f t="array" ref="AG1977">IF(OR(Y1977:AA1977="TRUE", AE1977="true"), "Threatened")</f>
        <v>0</v>
      </c>
      <c r="AH1977" s="11" t="s">
        <v>5039</v>
      </c>
      <c r="AI1977" s="8" t="b">
        <v>1</v>
      </c>
    </row>
    <row r="1978" spans="1:35" ht="31.2">
      <c r="A1978" s="8">
        <v>-73.958657049999999</v>
      </c>
      <c r="B1978" s="8">
        <v>40.796349419999999</v>
      </c>
      <c r="C1978" s="8" t="s">
        <v>5040</v>
      </c>
      <c r="D1978" s="8" t="s">
        <v>191</v>
      </c>
      <c r="E1978" s="8" t="b">
        <f t="shared" si="30"/>
        <v>0</v>
      </c>
      <c r="F1978" s="8" t="str" cm="1">
        <f t="array" ref="F1978">_xlfn._xlws.FILTER(E1978:E5176, C1978:C5176= "6D-PM-1020-01", "No Squirrels Found")</f>
        <v>No Squirrels Found</v>
      </c>
      <c r="G1978" s="8" t="s">
        <v>48</v>
      </c>
      <c r="H1978" s="10">
        <v>10192018</v>
      </c>
      <c r="I1978" s="10">
        <v>9</v>
      </c>
      <c r="J1978" s="8" t="s">
        <v>39</v>
      </c>
      <c r="K1978" s="8" t="s">
        <v>40</v>
      </c>
      <c r="L1978" s="8" t="s">
        <v>84</v>
      </c>
      <c r="M1978" s="8" t="s">
        <v>103</v>
      </c>
      <c r="N1978" s="11" t="s">
        <v>5041</v>
      </c>
      <c r="O1978" s="8" t="s">
        <v>50</v>
      </c>
      <c r="P1978" s="8">
        <v>3</v>
      </c>
      <c r="Q1978" s="8" t="s">
        <v>5042</v>
      </c>
      <c r="R1978" s="8" t="b">
        <v>0</v>
      </c>
      <c r="S1978" s="8" t="b">
        <v>0</v>
      </c>
      <c r="T1978" s="8" t="b">
        <v>0</v>
      </c>
      <c r="U1978" s="8" t="b">
        <v>1</v>
      </c>
      <c r="V1978" s="8" t="b">
        <v>1</v>
      </c>
      <c r="X1978" s="8" t="b">
        <v>0</v>
      </c>
      <c r="Y1978" s="8" t="b">
        <v>0</v>
      </c>
      <c r="Z1978" s="8" t="b">
        <v>0</v>
      </c>
      <c r="AA1978" s="8" t="b">
        <v>0</v>
      </c>
      <c r="AB1978" s="8" t="b">
        <v>1</v>
      </c>
      <c r="AC1978" s="8" t="b">
        <v>0</v>
      </c>
      <c r="AD1978" s="8" t="b">
        <v>0</v>
      </c>
      <c r="AE1978" s="8" t="b">
        <v>1</v>
      </c>
      <c r="AG1978" s="11" t="b" cm="1">
        <f t="array" ref="AG1978">IF(OR(Y1978:AA1978="TRUE", AE1978="true"), "Threatened")</f>
        <v>0</v>
      </c>
      <c r="AH1978" s="11" t="s">
        <v>5043</v>
      </c>
      <c r="AI1978" s="8" t="b">
        <v>1</v>
      </c>
    </row>
    <row r="1979" spans="1:35" ht="31.2">
      <c r="A1979" s="8">
        <v>-73.957969000000006</v>
      </c>
      <c r="B1979" s="8">
        <v>40.79493385</v>
      </c>
      <c r="C1979" s="8" t="s">
        <v>5044</v>
      </c>
      <c r="D1979" s="8" t="s">
        <v>405</v>
      </c>
      <c r="E1979" s="8" t="b">
        <f t="shared" si="30"/>
        <v>0</v>
      </c>
      <c r="F1979" s="8" t="str" cm="1">
        <f t="array" ref="F1979">_xlfn._xlws.FILTER(E1979:E5177, C1979:C5177= "6D-PM-1020-01", "No Squirrels Found")</f>
        <v>No Squirrels Found</v>
      </c>
      <c r="G1979" s="8" t="s">
        <v>48</v>
      </c>
      <c r="H1979" s="10">
        <v>10182018</v>
      </c>
      <c r="I1979" s="10">
        <v>2</v>
      </c>
      <c r="J1979" s="8" t="s">
        <v>54</v>
      </c>
      <c r="K1979" s="8" t="s">
        <v>40</v>
      </c>
      <c r="L1979" s="8" t="s">
        <v>84</v>
      </c>
      <c r="M1979" s="8" t="s">
        <v>103</v>
      </c>
      <c r="O1979" s="8" t="s">
        <v>43</v>
      </c>
      <c r="P1979" s="8" t="b">
        <v>0</v>
      </c>
      <c r="R1979" s="8" t="b">
        <v>0</v>
      </c>
      <c r="S1979" s="8" t="b">
        <v>0</v>
      </c>
      <c r="T1979" s="8" t="b">
        <v>0</v>
      </c>
      <c r="U1979" s="8" t="b">
        <v>0</v>
      </c>
      <c r="V1979" s="8" t="b">
        <v>1</v>
      </c>
      <c r="X1979" s="8" t="b">
        <v>0</v>
      </c>
      <c r="Y1979" s="8" t="b">
        <v>0</v>
      </c>
      <c r="Z1979" s="8" t="b">
        <v>0</v>
      </c>
      <c r="AA1979" s="8" t="b">
        <v>0</v>
      </c>
      <c r="AB1979" s="8" t="b">
        <v>0</v>
      </c>
      <c r="AC1979" s="8" t="b">
        <v>0</v>
      </c>
      <c r="AD1979" s="8" t="b">
        <v>1</v>
      </c>
      <c r="AE1979" s="8" t="b">
        <v>0</v>
      </c>
      <c r="AG1979" s="11" t="b" cm="1">
        <f t="array" ref="AG1979">IF(OR(Y1979:AA1979="TRUE", AE1979="true"), "Threatened")</f>
        <v>0</v>
      </c>
      <c r="AH1979" s="11" t="s">
        <v>5045</v>
      </c>
      <c r="AI1979" s="8" t="b">
        <v>1</v>
      </c>
    </row>
    <row r="1980" spans="1:35" ht="31.2">
      <c r="A1980" s="8">
        <v>-73.961275929999999</v>
      </c>
      <c r="B1980" s="8">
        <v>40.793046830000002</v>
      </c>
      <c r="C1980" s="8" t="s">
        <v>5046</v>
      </c>
      <c r="D1980" s="8" t="s">
        <v>931</v>
      </c>
      <c r="E1980" s="8" t="b">
        <f t="shared" si="30"/>
        <v>0</v>
      </c>
      <c r="F1980" s="8" t="str" cm="1">
        <f t="array" ref="F1980">_xlfn._xlws.FILTER(E1980:E5178, C1980:C5178= "6D-PM-1020-01", "No Squirrels Found")</f>
        <v>No Squirrels Found</v>
      </c>
      <c r="G1980" s="8" t="s">
        <v>48</v>
      </c>
      <c r="H1980" s="10">
        <v>10102018</v>
      </c>
      <c r="I1980" s="10">
        <v>3</v>
      </c>
      <c r="J1980" s="8" t="s">
        <v>39</v>
      </c>
      <c r="K1980" s="8" t="s">
        <v>192</v>
      </c>
      <c r="M1980" s="8" t="s">
        <v>193</v>
      </c>
      <c r="O1980" s="8" t="s">
        <v>43</v>
      </c>
      <c r="P1980" s="8" t="b">
        <v>0</v>
      </c>
      <c r="R1980" s="8" t="b">
        <v>0</v>
      </c>
      <c r="S1980" s="8" t="b">
        <v>0</v>
      </c>
      <c r="T1980" s="8" t="b">
        <v>0</v>
      </c>
      <c r="U1980" s="8" t="b">
        <v>0</v>
      </c>
      <c r="V1980" s="8" t="b">
        <v>1</v>
      </c>
      <c r="X1980" s="8" t="b">
        <v>0</v>
      </c>
      <c r="Y1980" s="8" t="b">
        <v>0</v>
      </c>
      <c r="Z1980" s="8" t="b">
        <v>0</v>
      </c>
      <c r="AA1980" s="8" t="b">
        <v>0</v>
      </c>
      <c r="AB1980" s="8" t="b">
        <v>0</v>
      </c>
      <c r="AC1980" s="8" t="b">
        <v>0</v>
      </c>
      <c r="AD1980" s="8" t="b">
        <v>1</v>
      </c>
      <c r="AE1980" s="8" t="b">
        <v>0</v>
      </c>
      <c r="AG1980" s="11" t="b" cm="1">
        <f t="array" ref="AG1980">IF(OR(Y1980:AA1980="TRUE", AE1980="true"), "Threatened")</f>
        <v>0</v>
      </c>
      <c r="AH1980" s="11" t="s">
        <v>5047</v>
      </c>
      <c r="AI1980" s="8" t="b">
        <v>1</v>
      </c>
    </row>
    <row r="1981" spans="1:35" ht="31.2">
      <c r="A1981" s="8">
        <v>-73.968663500000005</v>
      </c>
      <c r="B1981" s="8">
        <v>40.78431767</v>
      </c>
      <c r="C1981" s="8" t="s">
        <v>5048</v>
      </c>
      <c r="D1981" s="8" t="s">
        <v>335</v>
      </c>
      <c r="E1981" s="8" t="b">
        <f t="shared" si="30"/>
        <v>0</v>
      </c>
      <c r="F1981" s="8" t="str" cm="1">
        <f t="array" ref="F1981">_xlfn._xlws.FILTER(E1981:E5179, C1981:C5179= "6D-PM-1020-01", "No Squirrels Found")</f>
        <v>No Squirrels Found</v>
      </c>
      <c r="G1981" s="8" t="s">
        <v>34</v>
      </c>
      <c r="H1981" s="10">
        <v>10142018</v>
      </c>
      <c r="I1981" s="10">
        <v>1</v>
      </c>
      <c r="J1981" s="8" t="s">
        <v>54</v>
      </c>
      <c r="K1981" s="8" t="s">
        <v>40</v>
      </c>
      <c r="L1981" s="8" t="s">
        <v>41</v>
      </c>
      <c r="M1981" s="8" t="s">
        <v>42</v>
      </c>
      <c r="O1981" s="8" t="s">
        <v>43</v>
      </c>
      <c r="P1981" s="8" t="b">
        <v>0</v>
      </c>
      <c r="R1981" s="8" t="b">
        <v>0</v>
      </c>
      <c r="S1981" s="8" t="b">
        <v>0</v>
      </c>
      <c r="T1981" s="8" t="b">
        <v>0</v>
      </c>
      <c r="U1981" s="8" t="b">
        <v>0</v>
      </c>
      <c r="V1981" s="8" t="b">
        <v>1</v>
      </c>
      <c r="X1981" s="8" t="b">
        <v>0</v>
      </c>
      <c r="Y1981" s="8" t="b">
        <v>0</v>
      </c>
      <c r="Z1981" s="8" t="b">
        <v>0</v>
      </c>
      <c r="AA1981" s="8" t="b">
        <v>0</v>
      </c>
      <c r="AB1981" s="8" t="b">
        <v>0</v>
      </c>
      <c r="AC1981" s="8" t="b">
        <v>0</v>
      </c>
      <c r="AD1981" s="8" t="b">
        <v>0</v>
      </c>
      <c r="AE1981" s="8" t="b">
        <v>0</v>
      </c>
      <c r="AG1981" s="11" t="b" cm="1">
        <f t="array" ref="AG1981">IF(OR(Y1981:AA1981="TRUE", AE1981="true"), "Threatened")</f>
        <v>0</v>
      </c>
      <c r="AH1981" s="11" t="s">
        <v>5049</v>
      </c>
      <c r="AI1981" s="8" t="b">
        <v>1</v>
      </c>
    </row>
    <row r="1982" spans="1:35" ht="31.2">
      <c r="A1982" s="8">
        <v>-73.972154070000002</v>
      </c>
      <c r="B1982" s="8">
        <v>40.769012799999999</v>
      </c>
      <c r="C1982" s="8" t="s">
        <v>5050</v>
      </c>
      <c r="D1982" s="8" t="s">
        <v>66</v>
      </c>
      <c r="E1982" s="8" t="b">
        <f t="shared" si="30"/>
        <v>0</v>
      </c>
      <c r="F1982" s="8" t="str" cm="1">
        <f t="array" ref="F1982">_xlfn._xlws.FILTER(E1982:E5180, C1982:C5180= "6D-PM-1020-01", "No Squirrels Found")</f>
        <v>No Squirrels Found</v>
      </c>
      <c r="G1982" s="8" t="s">
        <v>48</v>
      </c>
      <c r="H1982" s="10">
        <v>10082018</v>
      </c>
      <c r="I1982" s="10">
        <v>3</v>
      </c>
      <c r="J1982" s="8" t="s">
        <v>39</v>
      </c>
      <c r="K1982" s="8" t="s">
        <v>40</v>
      </c>
      <c r="L1982" s="8" t="s">
        <v>84</v>
      </c>
      <c r="M1982" s="8" t="s">
        <v>103</v>
      </c>
      <c r="O1982" s="8" t="s">
        <v>43</v>
      </c>
      <c r="P1982" s="8" t="b">
        <v>0</v>
      </c>
      <c r="Q1982" s="8" t="s">
        <v>4572</v>
      </c>
      <c r="R1982" s="8" t="b">
        <v>0</v>
      </c>
      <c r="S1982" s="8" t="b">
        <v>0</v>
      </c>
      <c r="T1982" s="8" t="b">
        <v>0</v>
      </c>
      <c r="U1982" s="8" t="b">
        <v>1</v>
      </c>
      <c r="V1982" s="8" t="b">
        <v>1</v>
      </c>
      <c r="X1982" s="8" t="b">
        <v>0</v>
      </c>
      <c r="Y1982" s="8" t="b">
        <v>0</v>
      </c>
      <c r="Z1982" s="8" t="b">
        <v>0</v>
      </c>
      <c r="AA1982" s="8" t="b">
        <v>1</v>
      </c>
      <c r="AB1982" s="8" t="b">
        <v>0</v>
      </c>
      <c r="AC1982" s="8" t="b">
        <v>0</v>
      </c>
      <c r="AD1982" s="8" t="b">
        <v>1</v>
      </c>
      <c r="AE1982" s="8" t="b">
        <v>0</v>
      </c>
      <c r="AG1982" s="11" t="b" cm="1">
        <f t="array" ref="AG1982">IF(OR(Y1982:AA1982="TRUE", AE1982="true"), "Threatened")</f>
        <v>0</v>
      </c>
      <c r="AH1982" s="11" t="s">
        <v>5051</v>
      </c>
      <c r="AI1982" s="8" t="b">
        <v>1</v>
      </c>
    </row>
    <row r="1983" spans="1:35" ht="31.2">
      <c r="A1983" s="8">
        <v>-73.972997919999997</v>
      </c>
      <c r="B1983" s="8">
        <v>40.774290440000001</v>
      </c>
      <c r="C1983" s="8" t="s">
        <v>5052</v>
      </c>
      <c r="D1983" s="8" t="s">
        <v>2256</v>
      </c>
      <c r="E1983" s="8" t="b">
        <f t="shared" si="30"/>
        <v>0</v>
      </c>
      <c r="F1983" s="8" t="str" cm="1">
        <f t="array" ref="F1983">_xlfn._xlws.FILTER(E1983:E5181, C1983:C5181= "6D-PM-1020-01", "No Squirrels Found")</f>
        <v>No Squirrels Found</v>
      </c>
      <c r="G1983" s="8" t="s">
        <v>34</v>
      </c>
      <c r="H1983" s="10">
        <v>10082018</v>
      </c>
      <c r="I1983" s="10">
        <v>1</v>
      </c>
      <c r="J1983" s="8" t="s">
        <v>39</v>
      </c>
      <c r="K1983" s="8" t="s">
        <v>41</v>
      </c>
      <c r="L1983" s="8" t="s">
        <v>40</v>
      </c>
      <c r="M1983" s="8" t="s">
        <v>110</v>
      </c>
      <c r="O1983" s="8" t="s">
        <v>43</v>
      </c>
      <c r="P1983" s="8" t="b">
        <v>0</v>
      </c>
      <c r="R1983" s="8" t="b">
        <v>0</v>
      </c>
      <c r="S1983" s="8" t="b">
        <v>0</v>
      </c>
      <c r="T1983" s="8" t="b">
        <v>0</v>
      </c>
      <c r="U1983" s="8" t="b">
        <v>0</v>
      </c>
      <c r="V1983" s="8" t="b">
        <v>1</v>
      </c>
      <c r="X1983" s="8" t="b">
        <v>0</v>
      </c>
      <c r="Y1983" s="8" t="b">
        <v>0</v>
      </c>
      <c r="Z1983" s="8" t="b">
        <v>0</v>
      </c>
      <c r="AA1983" s="8" t="b">
        <v>1</v>
      </c>
      <c r="AB1983" s="8" t="b">
        <v>0</v>
      </c>
      <c r="AC1983" s="8" t="b">
        <v>0</v>
      </c>
      <c r="AD1983" s="8" t="b">
        <v>1</v>
      </c>
      <c r="AE1983" s="8" t="b">
        <v>0</v>
      </c>
      <c r="AG1983" s="11" t="b" cm="1">
        <f t="array" ref="AG1983">IF(OR(Y1983:AA1983="TRUE", AE1983="true"), "Threatened")</f>
        <v>0</v>
      </c>
      <c r="AH1983" s="11" t="s">
        <v>5053</v>
      </c>
      <c r="AI1983" s="8" t="b">
        <v>1</v>
      </c>
    </row>
    <row r="1984" spans="1:35" ht="31.2">
      <c r="A1984" s="8">
        <v>-73.978414490000006</v>
      </c>
      <c r="B1984" s="8">
        <v>40.771817769999998</v>
      </c>
      <c r="C1984" s="8" t="s">
        <v>5054</v>
      </c>
      <c r="D1984" s="8" t="s">
        <v>874</v>
      </c>
      <c r="E1984" s="8" t="b">
        <f t="shared" si="30"/>
        <v>0</v>
      </c>
      <c r="F1984" s="8" t="str" cm="1">
        <f t="array" ref="F1984">_xlfn._xlws.FILTER(E1984:E5182, C1984:C5182= "6D-PM-1020-01", "No Squirrels Found")</f>
        <v>No Squirrels Found</v>
      </c>
      <c r="G1984" s="8" t="s">
        <v>48</v>
      </c>
      <c r="H1984" s="10">
        <v>10062018</v>
      </c>
      <c r="I1984" s="10">
        <v>1</v>
      </c>
      <c r="J1984" s="8" t="s">
        <v>39</v>
      </c>
      <c r="K1984" s="8" t="s">
        <v>40</v>
      </c>
      <c r="L1984" s="8" t="s">
        <v>84</v>
      </c>
      <c r="M1984" s="8" t="s">
        <v>103</v>
      </c>
      <c r="O1984" s="8" t="s">
        <v>43</v>
      </c>
      <c r="P1984" s="8" t="b">
        <v>0</v>
      </c>
      <c r="R1984" s="8" t="b">
        <v>0</v>
      </c>
      <c r="S1984" s="8" t="b">
        <v>0</v>
      </c>
      <c r="T1984" s="8" t="b">
        <v>1</v>
      </c>
      <c r="U1984" s="8" t="b">
        <v>1</v>
      </c>
      <c r="V1984" s="8" t="b">
        <v>1</v>
      </c>
      <c r="X1984" s="8" t="b">
        <v>0</v>
      </c>
      <c r="Y1984" s="8" t="b">
        <v>0</v>
      </c>
      <c r="Z1984" s="8" t="b">
        <v>0</v>
      </c>
      <c r="AA1984" s="8" t="b">
        <v>0</v>
      </c>
      <c r="AB1984" s="8" t="b">
        <v>0</v>
      </c>
      <c r="AC1984" s="8" t="b">
        <v>0</v>
      </c>
      <c r="AD1984" s="8" t="b">
        <v>0</v>
      </c>
      <c r="AE1984" s="8" t="b">
        <v>0</v>
      </c>
      <c r="AG1984" s="11" t="b" cm="1">
        <f t="array" ref="AG1984">IF(OR(Y1984:AA1984="TRUE", AE1984="true"), "Threatened")</f>
        <v>0</v>
      </c>
      <c r="AH1984" s="11" t="s">
        <v>5055</v>
      </c>
      <c r="AI1984" s="8" t="b">
        <v>1</v>
      </c>
    </row>
    <row r="1985" spans="1:35" ht="31.2">
      <c r="A1985" s="8">
        <v>-73.973924920000002</v>
      </c>
      <c r="B1985" s="8">
        <v>40.776852839999997</v>
      </c>
      <c r="C1985" s="8" t="s">
        <v>5056</v>
      </c>
      <c r="D1985" s="8" t="s">
        <v>1336</v>
      </c>
      <c r="E1985" s="8" t="b">
        <f t="shared" si="30"/>
        <v>0</v>
      </c>
      <c r="F1985" s="8" t="str" cm="1">
        <f t="array" ref="F1985">_xlfn._xlws.FILTER(E1985:E5183, C1985:C5183= "6D-PM-1020-01", "No Squirrels Found")</f>
        <v>No Squirrels Found</v>
      </c>
      <c r="G1985" s="8" t="s">
        <v>34</v>
      </c>
      <c r="H1985" s="10">
        <v>10082018</v>
      </c>
      <c r="I1985" s="10">
        <v>2</v>
      </c>
      <c r="J1985" s="8" t="s">
        <v>39</v>
      </c>
      <c r="K1985" s="8" t="s">
        <v>40</v>
      </c>
      <c r="L1985" s="8" t="s">
        <v>84</v>
      </c>
      <c r="M1985" s="8" t="s">
        <v>103</v>
      </c>
      <c r="O1985" s="8" t="s">
        <v>43</v>
      </c>
      <c r="P1985" s="8" t="b">
        <v>0</v>
      </c>
      <c r="R1985" s="8" t="b">
        <v>1</v>
      </c>
      <c r="S1985" s="8" t="b">
        <v>0</v>
      </c>
      <c r="T1985" s="8" t="b">
        <v>1</v>
      </c>
      <c r="U1985" s="8" t="b">
        <v>0</v>
      </c>
      <c r="V1985" s="8" t="b">
        <v>0</v>
      </c>
      <c r="X1985" s="8" t="b">
        <v>0</v>
      </c>
      <c r="Y1985" s="8" t="b">
        <v>0</v>
      </c>
      <c r="Z1985" s="8" t="b">
        <v>0</v>
      </c>
      <c r="AA1985" s="8" t="b">
        <v>0</v>
      </c>
      <c r="AB1985" s="8" t="b">
        <v>0</v>
      </c>
      <c r="AC1985" s="8" t="b">
        <v>0</v>
      </c>
      <c r="AD1985" s="8" t="b">
        <v>1</v>
      </c>
      <c r="AE1985" s="8" t="b">
        <v>0</v>
      </c>
      <c r="AG1985" s="11" t="b" cm="1">
        <f t="array" ref="AG1985">IF(OR(Y1985:AA1985="TRUE", AE1985="true"), "Threatened")</f>
        <v>0</v>
      </c>
      <c r="AH1985" s="11" t="s">
        <v>5057</v>
      </c>
      <c r="AI1985" s="8" t="b">
        <v>1</v>
      </c>
    </row>
    <row r="1986" spans="1:35" ht="31.2">
      <c r="A1986" s="8">
        <v>-73.953079160000001</v>
      </c>
      <c r="B1986" s="8">
        <v>40.795988559999998</v>
      </c>
      <c r="C1986" s="8" t="s">
        <v>5058</v>
      </c>
      <c r="D1986" s="8" t="s">
        <v>1292</v>
      </c>
      <c r="E1986" s="8" t="b">
        <f t="shared" si="30"/>
        <v>0</v>
      </c>
      <c r="F1986" s="8" t="str" cm="1">
        <f t="array" ref="F1986">_xlfn._xlws.FILTER(E1986:E5184, C1986:C5184= "6D-PM-1020-01", "No Squirrels Found")</f>
        <v>No Squirrels Found</v>
      </c>
      <c r="G1986" s="8" t="s">
        <v>34</v>
      </c>
      <c r="H1986" s="10">
        <v>10132018</v>
      </c>
      <c r="I1986" s="10">
        <v>3</v>
      </c>
      <c r="J1986" s="8" t="s">
        <v>54</v>
      </c>
      <c r="K1986" s="8" t="s">
        <v>40</v>
      </c>
      <c r="M1986" s="8" t="s">
        <v>55</v>
      </c>
      <c r="O1986" s="8" t="s">
        <v>43</v>
      </c>
      <c r="P1986" s="8" t="b">
        <v>0</v>
      </c>
      <c r="R1986" s="8" t="b">
        <v>1</v>
      </c>
      <c r="S1986" s="8" t="b">
        <v>0</v>
      </c>
      <c r="T1986" s="8" t="b">
        <v>0</v>
      </c>
      <c r="U1986" s="8" t="b">
        <v>0</v>
      </c>
      <c r="V1986" s="8" t="b">
        <v>0</v>
      </c>
      <c r="X1986" s="8" t="b">
        <v>0</v>
      </c>
      <c r="Y1986" s="8" t="b">
        <v>0</v>
      </c>
      <c r="Z1986" s="8" t="b">
        <v>0</v>
      </c>
      <c r="AA1986" s="8" t="b">
        <v>0</v>
      </c>
      <c r="AB1986" s="8" t="b">
        <v>0</v>
      </c>
      <c r="AC1986" s="8" t="b">
        <v>0</v>
      </c>
      <c r="AD1986" s="8" t="b">
        <v>1</v>
      </c>
      <c r="AE1986" s="8" t="b">
        <v>0</v>
      </c>
      <c r="AG1986" s="11" t="b" cm="1">
        <f t="array" ref="AG1986">IF(OR(Y1986:AA1986="TRUE", AE1986="true"), "Threatened")</f>
        <v>0</v>
      </c>
      <c r="AH1986" s="11" t="s">
        <v>5059</v>
      </c>
      <c r="AI1986" s="8" t="b">
        <v>1</v>
      </c>
    </row>
    <row r="1987" spans="1:35" ht="31.2">
      <c r="A1987" s="8">
        <v>-73.958247709999995</v>
      </c>
      <c r="B1987" s="8">
        <v>40.798907909999997</v>
      </c>
      <c r="C1987" s="8" t="s">
        <v>5060</v>
      </c>
      <c r="D1987" s="8" t="s">
        <v>227</v>
      </c>
      <c r="E1987" s="8" t="b">
        <f t="shared" ref="E1987:E2050" si="31">OR(D1987 = "05D", D1987 = "07D", D1987 = "06C", D1987 = "06E")</f>
        <v>0</v>
      </c>
      <c r="F1987" s="8" t="str" cm="1">
        <f t="array" ref="F1987">_xlfn._xlws.FILTER(E1987:E5185, C1987:C5185= "6D-PM-1020-01", "No Squirrels Found")</f>
        <v>No Squirrels Found</v>
      </c>
      <c r="G1987" s="8" t="s">
        <v>48</v>
      </c>
      <c r="H1987" s="10">
        <v>10192018</v>
      </c>
      <c r="I1987" s="10">
        <v>7</v>
      </c>
      <c r="J1987" s="8" t="s">
        <v>39</v>
      </c>
      <c r="K1987" s="8" t="s">
        <v>40</v>
      </c>
      <c r="L1987" s="8" t="s">
        <v>84</v>
      </c>
      <c r="M1987" s="8" t="s">
        <v>103</v>
      </c>
      <c r="O1987" s="8" t="s">
        <v>43</v>
      </c>
      <c r="P1987" s="8" t="b">
        <v>0</v>
      </c>
      <c r="R1987" s="8" t="b">
        <v>0</v>
      </c>
      <c r="S1987" s="8" t="b">
        <v>0</v>
      </c>
      <c r="T1987" s="8" t="b">
        <v>0</v>
      </c>
      <c r="U1987" s="8" t="b">
        <v>0</v>
      </c>
      <c r="V1987" s="8" t="b">
        <v>1</v>
      </c>
      <c r="X1987" s="8" t="b">
        <v>0</v>
      </c>
      <c r="Y1987" s="8" t="b">
        <v>0</v>
      </c>
      <c r="Z1987" s="8" t="b">
        <v>0</v>
      </c>
      <c r="AA1987" s="8" t="b">
        <v>0</v>
      </c>
      <c r="AB1987" s="8" t="b">
        <v>0</v>
      </c>
      <c r="AC1987" s="8" t="b">
        <v>0</v>
      </c>
      <c r="AD1987" s="8" t="b">
        <v>1</v>
      </c>
      <c r="AE1987" s="8" t="b">
        <v>1</v>
      </c>
      <c r="AG1987" s="11" t="b" cm="1">
        <f t="array" ref="AG1987">IF(OR(Y1987:AA1987="TRUE", AE1987="true"), "Threatened")</f>
        <v>0</v>
      </c>
      <c r="AH1987" s="11" t="s">
        <v>5061</v>
      </c>
      <c r="AI1987" s="8" t="b">
        <v>1</v>
      </c>
    </row>
    <row r="1988" spans="1:35" ht="31.2">
      <c r="A1988" s="8">
        <v>-73.957369249999999</v>
      </c>
      <c r="B1988" s="8">
        <v>40.79892529</v>
      </c>
      <c r="C1988" s="8" t="s">
        <v>5062</v>
      </c>
      <c r="D1988" s="8" t="s">
        <v>382</v>
      </c>
      <c r="E1988" s="8" t="b">
        <f t="shared" si="31"/>
        <v>0</v>
      </c>
      <c r="F1988" s="8" t="str" cm="1">
        <f t="array" ref="F1988">_xlfn._xlws.FILTER(E1988:E5186, C1988:C5186= "6D-PM-1020-01", "No Squirrels Found")</f>
        <v>No Squirrels Found</v>
      </c>
      <c r="G1988" s="8" t="s">
        <v>34</v>
      </c>
      <c r="H1988" s="10">
        <v>10142018</v>
      </c>
      <c r="I1988" s="10">
        <v>3</v>
      </c>
      <c r="J1988" s="8" t="s">
        <v>39</v>
      </c>
      <c r="K1988" s="8" t="s">
        <v>40</v>
      </c>
      <c r="L1988" s="8" t="s">
        <v>84</v>
      </c>
      <c r="M1988" s="8" t="s">
        <v>103</v>
      </c>
      <c r="O1988" s="8" t="s">
        <v>50</v>
      </c>
      <c r="P1988" s="8">
        <v>28</v>
      </c>
      <c r="R1988" s="8" t="b">
        <v>0</v>
      </c>
      <c r="S1988" s="8" t="b">
        <v>0</v>
      </c>
      <c r="T1988" s="8" t="b">
        <v>1</v>
      </c>
      <c r="U1988" s="8" t="b">
        <v>0</v>
      </c>
      <c r="V1988" s="8" t="b">
        <v>0</v>
      </c>
      <c r="X1988" s="8" t="b">
        <v>0</v>
      </c>
      <c r="Y1988" s="8" t="b">
        <v>0</v>
      </c>
      <c r="Z1988" s="8" t="b">
        <v>0</v>
      </c>
      <c r="AA1988" s="8" t="b">
        <v>0</v>
      </c>
      <c r="AB1988" s="8" t="b">
        <v>0</v>
      </c>
      <c r="AC1988" s="8" t="b">
        <v>0</v>
      </c>
      <c r="AD1988" s="8" t="b">
        <v>0</v>
      </c>
      <c r="AE1988" s="8" t="b">
        <v>0</v>
      </c>
      <c r="AG1988" s="11" t="b" cm="1">
        <f t="array" ref="AG1988">IF(OR(Y1988:AA1988="TRUE", AE1988="true"), "Threatened")</f>
        <v>0</v>
      </c>
      <c r="AH1988" s="11" t="s">
        <v>5063</v>
      </c>
      <c r="AI1988" s="8" t="b">
        <v>1</v>
      </c>
    </row>
    <row r="1989" spans="1:35" ht="31.2">
      <c r="A1989" s="8">
        <v>-73.957138790000002</v>
      </c>
      <c r="B1989" s="8">
        <v>40.798538979999996</v>
      </c>
      <c r="C1989" s="8" t="s">
        <v>5064</v>
      </c>
      <c r="D1989" s="8" t="s">
        <v>1248</v>
      </c>
      <c r="E1989" s="8" t="b">
        <f t="shared" si="31"/>
        <v>0</v>
      </c>
      <c r="F1989" s="8" t="str" cm="1">
        <f t="array" ref="F1989">_xlfn._xlws.FILTER(E1989:E5187, C1989:C5187= "6D-PM-1020-01", "No Squirrels Found")</f>
        <v>No Squirrels Found</v>
      </c>
      <c r="G1989" s="8" t="s">
        <v>48</v>
      </c>
      <c r="H1989" s="10">
        <v>10172018</v>
      </c>
      <c r="I1989" s="10">
        <v>3</v>
      </c>
      <c r="J1989" s="8" t="s">
        <v>39</v>
      </c>
      <c r="K1989" s="8" t="s">
        <v>40</v>
      </c>
      <c r="L1989" s="8" t="s">
        <v>84</v>
      </c>
      <c r="M1989" s="8" t="s">
        <v>103</v>
      </c>
      <c r="R1989" s="8" t="b">
        <v>1</v>
      </c>
      <c r="S1989" s="8" t="b">
        <v>1</v>
      </c>
      <c r="T1989" s="8" t="b">
        <v>1</v>
      </c>
      <c r="U1989" s="8" t="b">
        <v>0</v>
      </c>
      <c r="V1989" s="8" t="b">
        <v>0</v>
      </c>
      <c r="W1989" s="11" t="s">
        <v>5065</v>
      </c>
      <c r="X1989" s="8" t="b">
        <v>0</v>
      </c>
      <c r="Y1989" s="8" t="b">
        <v>0</v>
      </c>
      <c r="Z1989" s="8" t="b">
        <v>0</v>
      </c>
      <c r="AA1989" s="8" t="b">
        <v>0</v>
      </c>
      <c r="AB1989" s="8" t="b">
        <v>1</v>
      </c>
      <c r="AC1989" s="8" t="b">
        <v>0</v>
      </c>
      <c r="AD1989" s="8" t="b">
        <v>1</v>
      </c>
      <c r="AE1989" s="8" t="b">
        <v>0</v>
      </c>
      <c r="AG1989" s="11" t="b" cm="1">
        <f t="array" ref="AG1989">IF(OR(Y1989:AA1989="TRUE", AE1989="true"), "Threatened")</f>
        <v>0</v>
      </c>
      <c r="AH1989" s="11" t="s">
        <v>5066</v>
      </c>
      <c r="AI1989" s="8" t="b">
        <v>0</v>
      </c>
    </row>
    <row r="1990" spans="1:35" ht="31.2">
      <c r="A1990" s="8">
        <v>-73.963164680000006</v>
      </c>
      <c r="B1990" s="8">
        <v>40.792571680000002</v>
      </c>
      <c r="C1990" s="8" t="s">
        <v>5067</v>
      </c>
      <c r="D1990" s="8" t="s">
        <v>125</v>
      </c>
      <c r="E1990" s="8" t="b">
        <f t="shared" si="31"/>
        <v>0</v>
      </c>
      <c r="F1990" s="8" t="str" cm="1">
        <f t="array" ref="F1990">_xlfn._xlws.FILTER(E1990:E5188, C1990:C5188= "6D-PM-1020-01", "No Squirrels Found")</f>
        <v>No Squirrels Found</v>
      </c>
      <c r="G1990" s="8" t="s">
        <v>48</v>
      </c>
      <c r="H1990" s="10">
        <v>10182018</v>
      </c>
      <c r="I1990" s="10">
        <v>2</v>
      </c>
      <c r="J1990" s="8" t="s">
        <v>39</v>
      </c>
      <c r="K1990" s="8" t="s">
        <v>40</v>
      </c>
      <c r="M1990" s="8" t="s">
        <v>55</v>
      </c>
      <c r="O1990" s="8" t="s">
        <v>50</v>
      </c>
      <c r="P1990" s="8">
        <v>15</v>
      </c>
      <c r="R1990" s="8" t="b">
        <v>1</v>
      </c>
      <c r="S1990" s="8" t="b">
        <v>1</v>
      </c>
      <c r="T1990" s="8" t="b">
        <v>0</v>
      </c>
      <c r="U1990" s="8" t="b">
        <v>0</v>
      </c>
      <c r="V1990" s="8" t="b">
        <v>0</v>
      </c>
      <c r="X1990" s="8" t="b">
        <v>0</v>
      </c>
      <c r="Y1990" s="8" t="b">
        <v>0</v>
      </c>
      <c r="Z1990" s="8" t="b">
        <v>0</v>
      </c>
      <c r="AA1990" s="8" t="b">
        <v>0</v>
      </c>
      <c r="AB1990" s="8" t="b">
        <v>0</v>
      </c>
      <c r="AC1990" s="8" t="b">
        <v>0</v>
      </c>
      <c r="AD1990" s="8" t="b">
        <v>1</v>
      </c>
      <c r="AE1990" s="8" t="b">
        <v>0</v>
      </c>
      <c r="AG1990" s="11" t="b" cm="1">
        <f t="array" ref="AG1990">IF(OR(Y1990:AA1990="TRUE", AE1990="true"), "Threatened")</f>
        <v>0</v>
      </c>
      <c r="AH1990" s="11" t="s">
        <v>5068</v>
      </c>
      <c r="AI1990" s="8" t="b">
        <v>1</v>
      </c>
    </row>
    <row r="1991" spans="1:35" ht="31.2">
      <c r="A1991" s="8">
        <v>-73.977458429999999</v>
      </c>
      <c r="B1991" s="8">
        <v>40.770813400000002</v>
      </c>
      <c r="C1991" s="8" t="s">
        <v>5069</v>
      </c>
      <c r="D1991" s="8" t="s">
        <v>2864</v>
      </c>
      <c r="E1991" s="8" t="b">
        <f t="shared" si="31"/>
        <v>0</v>
      </c>
      <c r="F1991" s="8" t="str" cm="1">
        <f t="array" ref="F1991">_xlfn._xlws.FILTER(E1991:E5189, C1991:C5189= "6D-PM-1020-01", "No Squirrels Found")</f>
        <v>No Squirrels Found</v>
      </c>
      <c r="G1991" s="8" t="s">
        <v>48</v>
      </c>
      <c r="H1991" s="10">
        <v>10082018</v>
      </c>
      <c r="I1991" s="10">
        <v>2</v>
      </c>
      <c r="J1991" s="8" t="s">
        <v>39</v>
      </c>
      <c r="K1991" s="8" t="s">
        <v>40</v>
      </c>
      <c r="L1991" s="8" t="s">
        <v>41</v>
      </c>
      <c r="M1991" s="8" t="s">
        <v>42</v>
      </c>
      <c r="O1991" s="8" t="s">
        <v>43</v>
      </c>
      <c r="P1991" s="8" t="b">
        <v>0</v>
      </c>
      <c r="R1991" s="8" t="b">
        <v>1</v>
      </c>
      <c r="S1991" s="8" t="b">
        <v>0</v>
      </c>
      <c r="T1991" s="8" t="b">
        <v>0</v>
      </c>
      <c r="U1991" s="8" t="b">
        <v>1</v>
      </c>
      <c r="V1991" s="8" t="b">
        <v>0</v>
      </c>
      <c r="X1991" s="8" t="b">
        <v>0</v>
      </c>
      <c r="Y1991" s="8" t="b">
        <v>0</v>
      </c>
      <c r="Z1991" s="8" t="b">
        <v>0</v>
      </c>
      <c r="AA1991" s="8" t="b">
        <v>0</v>
      </c>
      <c r="AB1991" s="8" t="b">
        <v>0</v>
      </c>
      <c r="AC1991" s="8" t="b">
        <v>0</v>
      </c>
      <c r="AD1991" s="8" t="b">
        <v>1</v>
      </c>
      <c r="AE1991" s="8" t="b">
        <v>0</v>
      </c>
      <c r="AG1991" s="11" t="b" cm="1">
        <f t="array" ref="AG1991">IF(OR(Y1991:AA1991="TRUE", AE1991="true"), "Threatened")</f>
        <v>0</v>
      </c>
      <c r="AH1991" s="11" t="s">
        <v>5070</v>
      </c>
      <c r="AI1991" s="8" t="b">
        <v>1</v>
      </c>
    </row>
    <row r="1992" spans="1:35" ht="31.2">
      <c r="A1992" s="8">
        <v>-73.965059909999994</v>
      </c>
      <c r="B1992" s="8">
        <v>40.77621319</v>
      </c>
      <c r="C1992" s="8" t="s">
        <v>5071</v>
      </c>
      <c r="D1992" s="8" t="s">
        <v>419</v>
      </c>
      <c r="E1992" s="8" t="b">
        <f t="shared" si="31"/>
        <v>0</v>
      </c>
      <c r="F1992" s="8" t="str" cm="1">
        <f t="array" ref="F1992">_xlfn._xlws.FILTER(E1992:E5190, C1992:C5190= "6D-PM-1020-01", "No Squirrels Found")</f>
        <v>No Squirrels Found</v>
      </c>
      <c r="G1992" s="8" t="s">
        <v>34</v>
      </c>
      <c r="H1992" s="10">
        <v>10122018</v>
      </c>
      <c r="I1992" s="10">
        <v>6</v>
      </c>
      <c r="J1992" s="8" t="s">
        <v>39</v>
      </c>
      <c r="K1992" s="8" t="s">
        <v>40</v>
      </c>
      <c r="M1992" s="8" t="s">
        <v>55</v>
      </c>
      <c r="O1992" s="8" t="s">
        <v>43</v>
      </c>
      <c r="P1992" s="8" t="b">
        <v>0</v>
      </c>
      <c r="R1992" s="8" t="b">
        <v>1</v>
      </c>
      <c r="S1992" s="8" t="b">
        <v>0</v>
      </c>
      <c r="T1992" s="8" t="b">
        <v>0</v>
      </c>
      <c r="U1992" s="8" t="b">
        <v>0</v>
      </c>
      <c r="V1992" s="8" t="b">
        <v>1</v>
      </c>
      <c r="X1992" s="8" t="b">
        <v>0</v>
      </c>
      <c r="Y1992" s="8" t="b">
        <v>0</v>
      </c>
      <c r="Z1992" s="8" t="b">
        <v>0</v>
      </c>
      <c r="AA1992" s="8" t="b">
        <v>0</v>
      </c>
      <c r="AB1992" s="8" t="b">
        <v>0</v>
      </c>
      <c r="AC1992" s="8" t="b">
        <v>0</v>
      </c>
      <c r="AD1992" s="8" t="b">
        <v>0</v>
      </c>
      <c r="AE1992" s="8" t="b">
        <v>0</v>
      </c>
      <c r="AG1992" s="11" t="b" cm="1">
        <f t="array" ref="AG1992">IF(OR(Y1992:AA1992="TRUE", AE1992="true"), "Threatened")</f>
        <v>0</v>
      </c>
      <c r="AH1992" s="11" t="s">
        <v>5072</v>
      </c>
      <c r="AI1992" s="8" t="b">
        <v>1</v>
      </c>
    </row>
    <row r="1993" spans="1:35" ht="31.2">
      <c r="A1993" s="8">
        <v>-73.958608580000003</v>
      </c>
      <c r="B1993" s="8">
        <v>40.794661769999998</v>
      </c>
      <c r="C1993" s="8" t="s">
        <v>5073</v>
      </c>
      <c r="D1993" s="8" t="s">
        <v>1262</v>
      </c>
      <c r="E1993" s="8" t="b">
        <f t="shared" si="31"/>
        <v>0</v>
      </c>
      <c r="F1993" s="8" t="str" cm="1">
        <f t="array" ref="F1993">_xlfn._xlws.FILTER(E1993:E5191, C1993:C5191= "6D-PM-1020-01", "No Squirrels Found")</f>
        <v>No Squirrels Found</v>
      </c>
      <c r="G1993" s="8" t="s">
        <v>48</v>
      </c>
      <c r="H1993" s="10">
        <v>10142018</v>
      </c>
      <c r="I1993" s="10">
        <v>3</v>
      </c>
      <c r="K1993" s="8" t="s">
        <v>40</v>
      </c>
      <c r="M1993" s="8" t="s">
        <v>55</v>
      </c>
      <c r="O1993" s="8" t="s">
        <v>43</v>
      </c>
      <c r="P1993" s="8" t="b">
        <v>0</v>
      </c>
      <c r="R1993" s="8" t="b">
        <v>0</v>
      </c>
      <c r="S1993" s="8" t="b">
        <v>0</v>
      </c>
      <c r="T1993" s="8" t="b">
        <v>0</v>
      </c>
      <c r="U1993" s="8" t="b">
        <v>0</v>
      </c>
      <c r="V1993" s="8" t="b">
        <v>1</v>
      </c>
      <c r="X1993" s="8" t="b">
        <v>0</v>
      </c>
      <c r="Y1993" s="8" t="b">
        <v>0</v>
      </c>
      <c r="Z1993" s="8" t="b">
        <v>0</v>
      </c>
      <c r="AA1993" s="8" t="b">
        <v>0</v>
      </c>
      <c r="AB1993" s="8" t="b">
        <v>0</v>
      </c>
      <c r="AC1993" s="8" t="b">
        <v>0</v>
      </c>
      <c r="AD1993" s="8" t="b">
        <v>0</v>
      </c>
      <c r="AE1993" s="8" t="b">
        <v>1</v>
      </c>
      <c r="AG1993" s="11" t="b" cm="1">
        <f t="array" ref="AG1993">IF(OR(Y1993:AA1993="TRUE", AE1993="true"), "Threatened")</f>
        <v>0</v>
      </c>
      <c r="AH1993" s="11" t="s">
        <v>5074</v>
      </c>
      <c r="AI1993" s="8" t="b">
        <v>1</v>
      </c>
    </row>
    <row r="1994" spans="1:35" ht="31.2">
      <c r="A1994" s="8">
        <v>-73.95463676</v>
      </c>
      <c r="B1994" s="8">
        <v>40.789840990000002</v>
      </c>
      <c r="C1994" s="8" t="s">
        <v>5075</v>
      </c>
      <c r="D1994" s="8" t="s">
        <v>924</v>
      </c>
      <c r="E1994" s="8" t="b">
        <f t="shared" si="31"/>
        <v>0</v>
      </c>
      <c r="F1994" s="8" t="str" cm="1">
        <f t="array" ref="F1994">_xlfn._xlws.FILTER(E1994:E5192, C1994:C5192= "6D-PM-1020-01", "No Squirrels Found")</f>
        <v>No Squirrels Found</v>
      </c>
      <c r="G1994" s="8" t="s">
        <v>48</v>
      </c>
      <c r="H1994" s="10">
        <v>10082018</v>
      </c>
      <c r="I1994" s="10">
        <v>4</v>
      </c>
      <c r="J1994" s="8" t="s">
        <v>39</v>
      </c>
      <c r="M1994" s="8" t="s">
        <v>35</v>
      </c>
      <c r="O1994" s="8" t="s">
        <v>50</v>
      </c>
      <c r="P1994" s="8">
        <v>100</v>
      </c>
      <c r="R1994" s="8" t="b">
        <v>0</v>
      </c>
      <c r="S1994" s="8" t="b">
        <v>0</v>
      </c>
      <c r="T1994" s="8" t="b">
        <v>1</v>
      </c>
      <c r="U1994" s="8" t="b">
        <v>0</v>
      </c>
      <c r="V1994" s="8" t="b">
        <v>1</v>
      </c>
      <c r="X1994" s="8" t="b">
        <v>0</v>
      </c>
      <c r="Y1994" s="8" t="b">
        <v>0</v>
      </c>
      <c r="Z1994" s="8" t="b">
        <v>0</v>
      </c>
      <c r="AA1994" s="8" t="b">
        <v>0</v>
      </c>
      <c r="AB1994" s="8" t="b">
        <v>0</v>
      </c>
      <c r="AC1994" s="8" t="b">
        <v>0</v>
      </c>
      <c r="AD1994" s="8" t="b">
        <v>1</v>
      </c>
      <c r="AE1994" s="8" t="b">
        <v>0</v>
      </c>
      <c r="AG1994" s="11" t="b" cm="1">
        <f t="array" ref="AG1994">IF(OR(Y1994:AA1994="TRUE", AE1994="true"), "Threatened")</f>
        <v>0</v>
      </c>
      <c r="AH1994" s="11" t="s">
        <v>5076</v>
      </c>
      <c r="AI1994" s="8" t="b">
        <v>1</v>
      </c>
    </row>
    <row r="1995" spans="1:35" ht="31.2">
      <c r="A1995" s="8">
        <v>-73.959846380000002</v>
      </c>
      <c r="B1995" s="8">
        <v>40.78345247</v>
      </c>
      <c r="C1995" s="8" t="s">
        <v>5077</v>
      </c>
      <c r="D1995" s="8" t="s">
        <v>2570</v>
      </c>
      <c r="E1995" s="8" t="b">
        <f t="shared" si="31"/>
        <v>0</v>
      </c>
      <c r="F1995" s="8" t="str" cm="1">
        <f t="array" ref="F1995">_xlfn._xlws.FILTER(E1995:E5193, C1995:C5193= "6D-PM-1020-01", "No Squirrels Found")</f>
        <v>No Squirrels Found</v>
      </c>
      <c r="G1995" s="8" t="s">
        <v>34</v>
      </c>
      <c r="H1995" s="10">
        <v>10072018</v>
      </c>
      <c r="I1995" s="10">
        <v>5</v>
      </c>
      <c r="J1995" s="8" t="s">
        <v>39</v>
      </c>
      <c r="K1995" s="8" t="s">
        <v>40</v>
      </c>
      <c r="M1995" s="8" t="s">
        <v>55</v>
      </c>
      <c r="O1995" s="8" t="s">
        <v>50</v>
      </c>
      <c r="P1995" s="8">
        <v>30</v>
      </c>
      <c r="R1995" s="8" t="b">
        <v>0</v>
      </c>
      <c r="S1995" s="8" t="b">
        <v>0</v>
      </c>
      <c r="T1995" s="8" t="b">
        <v>1</v>
      </c>
      <c r="U1995" s="8" t="b">
        <v>0</v>
      </c>
      <c r="V1995" s="8" t="b">
        <v>0</v>
      </c>
      <c r="X1995" s="8" t="b">
        <v>0</v>
      </c>
      <c r="Y1995" s="8" t="b">
        <v>0</v>
      </c>
      <c r="Z1995" s="8" t="b">
        <v>0</v>
      </c>
      <c r="AA1995" s="8" t="b">
        <v>0</v>
      </c>
      <c r="AB1995" s="8" t="b">
        <v>0</v>
      </c>
      <c r="AC1995" s="8" t="b">
        <v>0</v>
      </c>
      <c r="AD1995" s="8" t="b">
        <v>0</v>
      </c>
      <c r="AE1995" s="8" t="b">
        <v>0</v>
      </c>
      <c r="AG1995" s="11" t="b" cm="1">
        <f t="array" ref="AG1995">IF(OR(Y1995:AA1995="TRUE", AE1995="true"), "Threatened")</f>
        <v>0</v>
      </c>
      <c r="AH1995" s="11" t="s">
        <v>5078</v>
      </c>
      <c r="AI1995" s="8" t="b">
        <v>1</v>
      </c>
    </row>
    <row r="1996" spans="1:35" ht="31.2">
      <c r="A1996" s="8">
        <v>-73.960336699999999</v>
      </c>
      <c r="B1996" s="8">
        <v>40.789961290000001</v>
      </c>
      <c r="C1996" s="8" t="s">
        <v>5079</v>
      </c>
      <c r="D1996" s="8" t="s">
        <v>1409</v>
      </c>
      <c r="E1996" s="8" t="b">
        <f t="shared" si="31"/>
        <v>0</v>
      </c>
      <c r="F1996" s="8" t="str" cm="1">
        <f t="array" ref="F1996">_xlfn._xlws.FILTER(E1996:E5194, C1996:C5194= "6D-PM-1020-01", "No Squirrels Found")</f>
        <v>No Squirrels Found</v>
      </c>
      <c r="G1996" s="8" t="s">
        <v>34</v>
      </c>
      <c r="H1996" s="10">
        <v>10062018</v>
      </c>
      <c r="I1996" s="10">
        <v>5</v>
      </c>
      <c r="J1996" s="8" t="s">
        <v>39</v>
      </c>
      <c r="K1996" s="8" t="s">
        <v>40</v>
      </c>
      <c r="L1996" s="8" t="s">
        <v>41</v>
      </c>
      <c r="M1996" s="8" t="s">
        <v>42</v>
      </c>
      <c r="O1996" s="8" t="s">
        <v>43</v>
      </c>
      <c r="P1996" s="8" t="b">
        <v>0</v>
      </c>
      <c r="R1996" s="8" t="b">
        <v>0</v>
      </c>
      <c r="S1996" s="8" t="b">
        <v>1</v>
      </c>
      <c r="T1996" s="8" t="b">
        <v>0</v>
      </c>
      <c r="U1996" s="8" t="b">
        <v>0</v>
      </c>
      <c r="V1996" s="8" t="b">
        <v>0</v>
      </c>
      <c r="X1996" s="8" t="b">
        <v>0</v>
      </c>
      <c r="Y1996" s="8" t="b">
        <v>0</v>
      </c>
      <c r="Z1996" s="8" t="b">
        <v>0</v>
      </c>
      <c r="AA1996" s="8" t="b">
        <v>1</v>
      </c>
      <c r="AB1996" s="8" t="b">
        <v>0</v>
      </c>
      <c r="AC1996" s="8" t="b">
        <v>0</v>
      </c>
      <c r="AD1996" s="8" t="b">
        <v>1</v>
      </c>
      <c r="AE1996" s="8" t="b">
        <v>0</v>
      </c>
      <c r="AG1996" s="11" t="b" cm="1">
        <f t="array" ref="AG1996">IF(OR(Y1996:AA1996="TRUE", AE1996="true"), "Threatened")</f>
        <v>0</v>
      </c>
      <c r="AH1996" s="11" t="s">
        <v>5080</v>
      </c>
      <c r="AI1996" s="8" t="b">
        <v>1</v>
      </c>
    </row>
    <row r="1997" spans="1:35" ht="31.2">
      <c r="A1997" s="8">
        <v>-73.977641790000007</v>
      </c>
      <c r="B1997" s="8">
        <v>40.76958303</v>
      </c>
      <c r="C1997" s="8" t="s">
        <v>5081</v>
      </c>
      <c r="D1997" s="8" t="s">
        <v>1586</v>
      </c>
      <c r="E1997" s="8" t="b">
        <f t="shared" si="31"/>
        <v>0</v>
      </c>
      <c r="F1997" s="8" t="str" cm="1">
        <f t="array" ref="F1997">_xlfn._xlws.FILTER(E1997:E5195, C1997:C5195= "6D-PM-1020-01", "No Squirrels Found")</f>
        <v>No Squirrels Found</v>
      </c>
      <c r="G1997" s="8" t="s">
        <v>34</v>
      </c>
      <c r="H1997" s="10">
        <v>10102018</v>
      </c>
      <c r="I1997" s="10">
        <v>10</v>
      </c>
      <c r="J1997" s="8" t="s">
        <v>39</v>
      </c>
      <c r="K1997" s="8" t="s">
        <v>40</v>
      </c>
      <c r="L1997" s="8" t="s">
        <v>84</v>
      </c>
      <c r="M1997" s="8" t="s">
        <v>103</v>
      </c>
      <c r="O1997" s="8" t="s">
        <v>43</v>
      </c>
      <c r="P1997" s="8" t="b">
        <v>0</v>
      </c>
      <c r="R1997" s="8" t="b">
        <v>1</v>
      </c>
      <c r="S1997" s="8" t="b">
        <v>0</v>
      </c>
      <c r="T1997" s="8" t="b">
        <v>0</v>
      </c>
      <c r="U1997" s="8" t="b">
        <v>0</v>
      </c>
      <c r="V1997" s="8" t="b">
        <v>1</v>
      </c>
      <c r="X1997" s="8" t="b">
        <v>0</v>
      </c>
      <c r="Y1997" s="8" t="b">
        <v>0</v>
      </c>
      <c r="Z1997" s="8" t="b">
        <v>0</v>
      </c>
      <c r="AA1997" s="8" t="b">
        <v>0</v>
      </c>
      <c r="AB1997" s="8" t="b">
        <v>0</v>
      </c>
      <c r="AC1997" s="8" t="b">
        <v>0</v>
      </c>
      <c r="AD1997" s="8" t="b">
        <v>0</v>
      </c>
      <c r="AE1997" s="8" t="b">
        <v>0</v>
      </c>
      <c r="AG1997" s="11" t="b" cm="1">
        <f t="array" ref="AG1997">IF(OR(Y1997:AA1997="TRUE", AE1997="true"), "Threatened")</f>
        <v>0</v>
      </c>
      <c r="AH1997" s="11" t="s">
        <v>5082</v>
      </c>
      <c r="AI1997" s="8" t="b">
        <v>1</v>
      </c>
    </row>
    <row r="1998" spans="1:35" ht="31.2">
      <c r="A1998" s="8">
        <v>-73.97146377</v>
      </c>
      <c r="B1998" s="8">
        <v>40.776898459999998</v>
      </c>
      <c r="C1998" s="8" t="s">
        <v>5083</v>
      </c>
      <c r="D1998" s="8" t="s">
        <v>741</v>
      </c>
      <c r="E1998" s="8" t="b">
        <f t="shared" si="31"/>
        <v>0</v>
      </c>
      <c r="F1998" s="8" t="str" cm="1">
        <f t="array" ref="F1998">_xlfn._xlws.FILTER(E1998:E5196, C1998:C5196= "6D-PM-1020-01", "No Squirrels Found")</f>
        <v>No Squirrels Found</v>
      </c>
      <c r="G1998" s="8" t="s">
        <v>34</v>
      </c>
      <c r="H1998" s="10">
        <v>10192018</v>
      </c>
      <c r="I1998" s="10">
        <v>1</v>
      </c>
      <c r="J1998" s="8" t="s">
        <v>39</v>
      </c>
      <c r="K1998" s="8" t="s">
        <v>40</v>
      </c>
      <c r="M1998" s="8" t="s">
        <v>55</v>
      </c>
      <c r="O1998" s="8" t="s">
        <v>43</v>
      </c>
      <c r="P1998" s="8" t="b">
        <v>0</v>
      </c>
      <c r="R1998" s="8" t="b">
        <v>0</v>
      </c>
      <c r="S1998" s="8" t="b">
        <v>1</v>
      </c>
      <c r="T1998" s="8" t="b">
        <v>0</v>
      </c>
      <c r="U1998" s="8" t="b">
        <v>0</v>
      </c>
      <c r="V1998" s="8" t="b">
        <v>0</v>
      </c>
      <c r="X1998" s="8" t="b">
        <v>0</v>
      </c>
      <c r="Y1998" s="8" t="b">
        <v>0</v>
      </c>
      <c r="Z1998" s="8" t="b">
        <v>0</v>
      </c>
      <c r="AA1998" s="8" t="b">
        <v>0</v>
      </c>
      <c r="AB1998" s="8" t="b">
        <v>0</v>
      </c>
      <c r="AC1998" s="8" t="b">
        <v>0</v>
      </c>
      <c r="AD1998" s="8" t="b">
        <v>0</v>
      </c>
      <c r="AE1998" s="8" t="b">
        <v>0</v>
      </c>
      <c r="AG1998" s="11" t="b" cm="1">
        <f t="array" ref="AG1998">IF(OR(Y1998:AA1998="TRUE", AE1998="true"), "Threatened")</f>
        <v>0</v>
      </c>
      <c r="AH1998" s="11" t="s">
        <v>5084</v>
      </c>
      <c r="AI1998" s="8" t="b">
        <v>1</v>
      </c>
    </row>
    <row r="1999" spans="1:35" ht="31.2">
      <c r="A1999" s="8">
        <v>-73.959568649999994</v>
      </c>
      <c r="B1999" s="8">
        <v>40.790685969999998</v>
      </c>
      <c r="C1999" s="8" t="s">
        <v>5085</v>
      </c>
      <c r="D1999" s="8" t="s">
        <v>75</v>
      </c>
      <c r="E1999" s="8" t="b">
        <f t="shared" si="31"/>
        <v>0</v>
      </c>
      <c r="F1999" s="8" t="str" cm="1">
        <f t="array" ref="F1999">_xlfn._xlws.FILTER(E1999:E5197, C1999:C5197= "6D-PM-1020-01", "No Squirrels Found")</f>
        <v>No Squirrels Found</v>
      </c>
      <c r="G1999" s="8" t="s">
        <v>48</v>
      </c>
      <c r="H1999" s="10">
        <v>10072018</v>
      </c>
      <c r="I1999" s="10">
        <v>6</v>
      </c>
      <c r="J1999" s="8" t="s">
        <v>39</v>
      </c>
      <c r="K1999" s="8" t="s">
        <v>40</v>
      </c>
      <c r="M1999" s="8" t="s">
        <v>55</v>
      </c>
      <c r="O1999" s="8" t="s">
        <v>50</v>
      </c>
      <c r="P1999" s="8">
        <v>40</v>
      </c>
      <c r="R1999" s="8" t="b">
        <v>0</v>
      </c>
      <c r="S1999" s="8" t="b">
        <v>0</v>
      </c>
      <c r="T1999" s="8" t="b">
        <v>1</v>
      </c>
      <c r="U1999" s="8" t="b">
        <v>0</v>
      </c>
      <c r="V1999" s="8" t="b">
        <v>0</v>
      </c>
      <c r="X1999" s="8" t="b">
        <v>0</v>
      </c>
      <c r="Y1999" s="8" t="b">
        <v>0</v>
      </c>
      <c r="Z1999" s="8" t="b">
        <v>0</v>
      </c>
      <c r="AA1999" s="8" t="b">
        <v>0</v>
      </c>
      <c r="AB1999" s="8" t="b">
        <v>0</v>
      </c>
      <c r="AC1999" s="8" t="b">
        <v>0</v>
      </c>
      <c r="AD1999" s="8" t="b">
        <v>1</v>
      </c>
      <c r="AE1999" s="8" t="b">
        <v>0</v>
      </c>
      <c r="AG1999" s="11" t="b" cm="1">
        <f t="array" ref="AG1999">IF(OR(Y1999:AA1999="TRUE", AE1999="true"), "Threatened")</f>
        <v>0</v>
      </c>
      <c r="AH1999" s="11" t="s">
        <v>5086</v>
      </c>
      <c r="AI1999" s="8" t="b">
        <v>1</v>
      </c>
    </row>
    <row r="2000" spans="1:35" ht="31.2">
      <c r="A2000" s="8">
        <v>-73.954986090000006</v>
      </c>
      <c r="B2000" s="8">
        <v>40.791155029999999</v>
      </c>
      <c r="C2000" s="8" t="s">
        <v>5087</v>
      </c>
      <c r="D2000" s="8" t="s">
        <v>1354</v>
      </c>
      <c r="E2000" s="8" t="b">
        <f t="shared" si="31"/>
        <v>0</v>
      </c>
      <c r="F2000" s="8" t="str" cm="1">
        <f t="array" ref="F2000">_xlfn._xlws.FILTER(E2000:E5198, C2000:C5198= "6D-PM-1020-01", "No Squirrels Found")</f>
        <v>No Squirrels Found</v>
      </c>
      <c r="G2000" s="8" t="s">
        <v>34</v>
      </c>
      <c r="H2000" s="10">
        <v>10062018</v>
      </c>
      <c r="I2000" s="10">
        <v>7</v>
      </c>
      <c r="J2000" s="8" t="s">
        <v>54</v>
      </c>
      <c r="K2000" s="8" t="s">
        <v>40</v>
      </c>
      <c r="L2000" s="8" t="s">
        <v>84</v>
      </c>
      <c r="M2000" s="8" t="s">
        <v>103</v>
      </c>
      <c r="N2000" s="11" t="s">
        <v>2632</v>
      </c>
      <c r="O2000" s="8" t="s">
        <v>50</v>
      </c>
      <c r="P2000" s="8">
        <v>20</v>
      </c>
      <c r="R2000" s="8" t="b">
        <v>0</v>
      </c>
      <c r="S2000" s="8" t="b">
        <v>0</v>
      </c>
      <c r="T2000" s="8" t="b">
        <v>1</v>
      </c>
      <c r="U2000" s="8" t="b">
        <v>0</v>
      </c>
      <c r="V2000" s="8" t="b">
        <v>0</v>
      </c>
      <c r="X2000" s="8" t="b">
        <v>0</v>
      </c>
      <c r="Y2000" s="8" t="b">
        <v>0</v>
      </c>
      <c r="Z2000" s="8" t="b">
        <v>0</v>
      </c>
      <c r="AA2000" s="8" t="b">
        <v>0</v>
      </c>
      <c r="AB2000" s="8" t="b">
        <v>0</v>
      </c>
      <c r="AC2000" s="8" t="b">
        <v>0</v>
      </c>
      <c r="AD2000" s="8" t="b">
        <v>0</v>
      </c>
      <c r="AE2000" s="8" t="b">
        <v>1</v>
      </c>
      <c r="AG2000" s="11" t="b" cm="1">
        <f t="array" ref="AG2000">IF(OR(Y2000:AA2000="TRUE", AE2000="true"), "Threatened")</f>
        <v>0</v>
      </c>
      <c r="AH2000" s="11" t="s">
        <v>5088</v>
      </c>
      <c r="AI2000" s="8" t="b">
        <v>1</v>
      </c>
    </row>
    <row r="2001" spans="1:35" ht="31.2">
      <c r="A2001" s="8">
        <v>-73.959107059999994</v>
      </c>
      <c r="B2001" s="8">
        <v>40.789677679999997</v>
      </c>
      <c r="C2001" s="8" t="s">
        <v>5089</v>
      </c>
      <c r="D2001" s="8" t="s">
        <v>896</v>
      </c>
      <c r="E2001" s="8" t="b">
        <f t="shared" si="31"/>
        <v>0</v>
      </c>
      <c r="F2001" s="8" t="str" cm="1">
        <f t="array" ref="F2001">_xlfn._xlws.FILTER(E2001:E5199, C2001:C5199= "6D-PM-1020-01", "No Squirrels Found")</f>
        <v>No Squirrels Found</v>
      </c>
      <c r="G2001" s="8" t="s">
        <v>34</v>
      </c>
      <c r="H2001" s="10">
        <v>10072018</v>
      </c>
      <c r="I2001" s="10">
        <v>5</v>
      </c>
      <c r="J2001" s="8" t="s">
        <v>39</v>
      </c>
      <c r="K2001" s="8" t="s">
        <v>40</v>
      </c>
      <c r="M2001" s="8" t="s">
        <v>55</v>
      </c>
      <c r="O2001" s="8" t="s">
        <v>43</v>
      </c>
      <c r="P2001" s="8" t="b">
        <v>0</v>
      </c>
      <c r="R2001" s="8" t="b">
        <v>1</v>
      </c>
      <c r="S2001" s="8" t="b">
        <v>0</v>
      </c>
      <c r="T2001" s="8" t="b">
        <v>0</v>
      </c>
      <c r="U2001" s="8" t="b">
        <v>0</v>
      </c>
      <c r="V2001" s="8" t="b">
        <v>1</v>
      </c>
      <c r="X2001" s="8" t="b">
        <v>0</v>
      </c>
      <c r="Y2001" s="8" t="b">
        <v>0</v>
      </c>
      <c r="Z2001" s="8" t="b">
        <v>0</v>
      </c>
      <c r="AA2001" s="8" t="b">
        <v>0</v>
      </c>
      <c r="AB2001" s="8" t="b">
        <v>0</v>
      </c>
      <c r="AC2001" s="8" t="b">
        <v>0</v>
      </c>
      <c r="AD2001" s="8" t="b">
        <v>0</v>
      </c>
      <c r="AE2001" s="8" t="b">
        <v>1</v>
      </c>
      <c r="AG2001" s="11" t="b" cm="1">
        <f t="array" ref="AG2001">IF(OR(Y2001:AA2001="TRUE", AE2001="true"), "Threatened")</f>
        <v>0</v>
      </c>
      <c r="AH2001" s="11" t="s">
        <v>5090</v>
      </c>
      <c r="AI2001" s="8" t="b">
        <v>1</v>
      </c>
    </row>
    <row r="2002" spans="1:35" ht="31.2">
      <c r="A2002" s="8">
        <v>-73.952165539999996</v>
      </c>
      <c r="B2002" s="8">
        <v>40.79487855</v>
      </c>
      <c r="C2002" s="8" t="s">
        <v>5091</v>
      </c>
      <c r="D2002" s="8" t="s">
        <v>559</v>
      </c>
      <c r="E2002" s="8" t="b">
        <f t="shared" si="31"/>
        <v>0</v>
      </c>
      <c r="F2002" s="8" t="str" cm="1">
        <f t="array" ref="F2002">_xlfn._xlws.FILTER(E2002:E5200, C2002:C5200= "6D-PM-1020-01", "No Squirrels Found")</f>
        <v>No Squirrels Found</v>
      </c>
      <c r="G2002" s="8" t="s">
        <v>48</v>
      </c>
      <c r="H2002" s="10">
        <v>10072018</v>
      </c>
      <c r="I2002" s="10">
        <v>4</v>
      </c>
      <c r="J2002" s="8" t="s">
        <v>39</v>
      </c>
      <c r="K2002" s="8" t="s">
        <v>41</v>
      </c>
      <c r="L2002" s="8" t="s">
        <v>40</v>
      </c>
      <c r="M2002" s="8" t="s">
        <v>110</v>
      </c>
      <c r="O2002" s="8" t="s">
        <v>43</v>
      </c>
      <c r="P2002" s="8" t="b">
        <v>0</v>
      </c>
      <c r="R2002" s="8" t="b">
        <v>0</v>
      </c>
      <c r="S2002" s="8" t="b">
        <v>0</v>
      </c>
      <c r="T2002" s="8" t="b">
        <v>0</v>
      </c>
      <c r="U2002" s="8" t="b">
        <v>1</v>
      </c>
      <c r="V2002" s="8" t="b">
        <v>1</v>
      </c>
      <c r="X2002" s="8" t="b">
        <v>0</v>
      </c>
      <c r="Y2002" s="8" t="b">
        <v>0</v>
      </c>
      <c r="Z2002" s="8" t="b">
        <v>0</v>
      </c>
      <c r="AA2002" s="8" t="b">
        <v>0</v>
      </c>
      <c r="AB2002" s="8" t="b">
        <v>0</v>
      </c>
      <c r="AC2002" s="8" t="b">
        <v>0</v>
      </c>
      <c r="AD2002" s="8" t="b">
        <v>0</v>
      </c>
      <c r="AE2002" s="8" t="b">
        <v>0</v>
      </c>
      <c r="AG2002" s="11" t="b" cm="1">
        <f t="array" ref="AG2002">IF(OR(Y2002:AA2002="TRUE", AE2002="true"), "Threatened")</f>
        <v>0</v>
      </c>
      <c r="AH2002" s="11" t="s">
        <v>5092</v>
      </c>
      <c r="AI2002" s="8" t="b">
        <v>1</v>
      </c>
    </row>
    <row r="2003" spans="1:35" ht="31.2">
      <c r="A2003" s="8">
        <v>-73.958170699999997</v>
      </c>
      <c r="B2003" s="8">
        <v>40.79063214</v>
      </c>
      <c r="C2003" s="8" t="s">
        <v>5093</v>
      </c>
      <c r="D2003" s="8" t="s">
        <v>144</v>
      </c>
      <c r="E2003" s="8" t="b">
        <f t="shared" si="31"/>
        <v>0</v>
      </c>
      <c r="F2003" s="8" t="str" cm="1">
        <f t="array" ref="F2003">_xlfn._xlws.FILTER(E2003:E5201, C2003:C5201= "6D-PM-1020-01", "No Squirrels Found")</f>
        <v>No Squirrels Found</v>
      </c>
      <c r="G2003" s="8" t="s">
        <v>48</v>
      </c>
      <c r="H2003" s="10">
        <v>10122018</v>
      </c>
      <c r="I2003" s="10">
        <v>5</v>
      </c>
      <c r="J2003" s="8" t="s">
        <v>39</v>
      </c>
      <c r="K2003" s="8" t="s">
        <v>40</v>
      </c>
      <c r="L2003" s="8" t="s">
        <v>84</v>
      </c>
      <c r="M2003" s="8" t="s">
        <v>103</v>
      </c>
      <c r="O2003" s="8" t="s">
        <v>50</v>
      </c>
      <c r="P2003" s="8">
        <v>10</v>
      </c>
      <c r="R2003" s="8" t="b">
        <v>1</v>
      </c>
      <c r="S2003" s="8" t="b">
        <v>0</v>
      </c>
      <c r="T2003" s="8" t="b">
        <v>1</v>
      </c>
      <c r="U2003" s="8" t="b">
        <v>0</v>
      </c>
      <c r="V2003" s="8" t="b">
        <v>0</v>
      </c>
      <c r="X2003" s="8" t="b">
        <v>0</v>
      </c>
      <c r="Y2003" s="8" t="b">
        <v>0</v>
      </c>
      <c r="Z2003" s="8" t="b">
        <v>0</v>
      </c>
      <c r="AA2003" s="8" t="b">
        <v>0</v>
      </c>
      <c r="AB2003" s="8" t="b">
        <v>0</v>
      </c>
      <c r="AC2003" s="8" t="b">
        <v>0</v>
      </c>
      <c r="AD2003" s="8" t="b">
        <v>0</v>
      </c>
      <c r="AE2003" s="8" t="b">
        <v>0</v>
      </c>
      <c r="AG2003" s="11" t="b" cm="1">
        <f t="array" ref="AG2003">IF(OR(Y2003:AA2003="TRUE", AE2003="true"), "Threatened")</f>
        <v>0</v>
      </c>
      <c r="AH2003" s="11" t="s">
        <v>5094</v>
      </c>
      <c r="AI2003" s="8" t="b">
        <v>1</v>
      </c>
    </row>
    <row r="2004" spans="1:35" ht="31.2">
      <c r="A2004" s="8">
        <v>-73.964052640000006</v>
      </c>
      <c r="B2004" s="8">
        <v>40.790741160000003</v>
      </c>
      <c r="C2004" s="8" t="s">
        <v>5095</v>
      </c>
      <c r="D2004" s="8" t="s">
        <v>911</v>
      </c>
      <c r="E2004" s="8" t="b">
        <f t="shared" si="31"/>
        <v>0</v>
      </c>
      <c r="F2004" s="8" t="str" cm="1">
        <f t="array" ref="F2004">_xlfn._xlws.FILTER(E2004:E5202, C2004:C5202= "6D-PM-1020-01", "No Squirrels Found")</f>
        <v>No Squirrels Found</v>
      </c>
      <c r="G2004" s="8" t="s">
        <v>48</v>
      </c>
      <c r="H2004" s="10">
        <v>10072018</v>
      </c>
      <c r="I2004" s="10">
        <v>1</v>
      </c>
      <c r="J2004" s="8" t="s">
        <v>39</v>
      </c>
      <c r="K2004" s="8" t="s">
        <v>40</v>
      </c>
      <c r="M2004" s="8" t="s">
        <v>55</v>
      </c>
      <c r="O2004" s="8" t="s">
        <v>50</v>
      </c>
      <c r="P2004" s="8">
        <v>35</v>
      </c>
      <c r="R2004" s="8" t="b">
        <v>0</v>
      </c>
      <c r="S2004" s="8" t="b">
        <v>0</v>
      </c>
      <c r="T2004" s="8" t="b">
        <v>1</v>
      </c>
      <c r="U2004" s="8" t="b">
        <v>0</v>
      </c>
      <c r="V2004" s="8" t="b">
        <v>0</v>
      </c>
      <c r="X2004" s="8" t="b">
        <v>0</v>
      </c>
      <c r="Y2004" s="8" t="b">
        <v>0</v>
      </c>
      <c r="Z2004" s="8" t="b">
        <v>0</v>
      </c>
      <c r="AA2004" s="8" t="b">
        <v>0</v>
      </c>
      <c r="AB2004" s="8" t="b">
        <v>0</v>
      </c>
      <c r="AC2004" s="8" t="b">
        <v>0</v>
      </c>
      <c r="AD2004" s="8" t="b">
        <v>0</v>
      </c>
      <c r="AE2004" s="8" t="b">
        <v>0</v>
      </c>
      <c r="AG2004" s="11" t="b" cm="1">
        <f t="array" ref="AG2004">IF(OR(Y2004:AA2004="TRUE", AE2004="true"), "Threatened")</f>
        <v>0</v>
      </c>
      <c r="AH2004" s="11" t="s">
        <v>5096</v>
      </c>
      <c r="AI2004" s="8" t="b">
        <v>1</v>
      </c>
    </row>
    <row r="2005" spans="1:35" ht="31.2">
      <c r="A2005" s="8">
        <v>-73.963583900000003</v>
      </c>
      <c r="B2005" s="8">
        <v>40.791752459999998</v>
      </c>
      <c r="C2005" s="8" t="s">
        <v>5097</v>
      </c>
      <c r="D2005" s="8" t="s">
        <v>2508</v>
      </c>
      <c r="E2005" s="8" t="b">
        <f t="shared" si="31"/>
        <v>0</v>
      </c>
      <c r="F2005" s="8" t="str" cm="1">
        <f t="array" ref="F2005">_xlfn._xlws.FILTER(E2005:E5203, C2005:C5203= "6D-PM-1020-01", "No Squirrels Found")</f>
        <v>No Squirrels Found</v>
      </c>
      <c r="G2005" s="8" t="s">
        <v>48</v>
      </c>
      <c r="H2005" s="10">
        <v>10172018</v>
      </c>
      <c r="I2005" s="10">
        <v>2</v>
      </c>
      <c r="J2005" s="8" t="s">
        <v>39</v>
      </c>
      <c r="K2005" s="8" t="s">
        <v>40</v>
      </c>
      <c r="M2005" s="8" t="s">
        <v>55</v>
      </c>
      <c r="O2005" s="8" t="s">
        <v>43</v>
      </c>
      <c r="P2005" s="8" t="b">
        <v>0</v>
      </c>
      <c r="R2005" s="8" t="b">
        <v>0</v>
      </c>
      <c r="S2005" s="8" t="b">
        <v>0</v>
      </c>
      <c r="T2005" s="8" t="b">
        <v>0</v>
      </c>
      <c r="U2005" s="8" t="b">
        <v>0</v>
      </c>
      <c r="V2005" s="8" t="b">
        <v>1</v>
      </c>
      <c r="X2005" s="8" t="b">
        <v>0</v>
      </c>
      <c r="Y2005" s="8" t="b">
        <v>0</v>
      </c>
      <c r="Z2005" s="8" t="b">
        <v>0</v>
      </c>
      <c r="AA2005" s="8" t="b">
        <v>0</v>
      </c>
      <c r="AB2005" s="8" t="b">
        <v>0</v>
      </c>
      <c r="AC2005" s="8" t="b">
        <v>0</v>
      </c>
      <c r="AD2005" s="8" t="b">
        <v>0</v>
      </c>
      <c r="AE2005" s="8" t="b">
        <v>1</v>
      </c>
      <c r="AG2005" s="11" t="b" cm="1">
        <f t="array" ref="AG2005">IF(OR(Y2005:AA2005="TRUE", AE2005="true"), "Threatened")</f>
        <v>0</v>
      </c>
      <c r="AH2005" s="11" t="s">
        <v>5098</v>
      </c>
      <c r="AI2005" s="8" t="b">
        <v>1</v>
      </c>
    </row>
    <row r="2006" spans="1:35" ht="31.2">
      <c r="A2006" s="8">
        <v>-73.975525910000002</v>
      </c>
      <c r="B2006" s="8">
        <v>40.77072561</v>
      </c>
      <c r="C2006" s="8" t="s">
        <v>5099</v>
      </c>
      <c r="D2006" s="8" t="s">
        <v>734</v>
      </c>
      <c r="E2006" s="8" t="b">
        <f t="shared" si="31"/>
        <v>0</v>
      </c>
      <c r="F2006" s="8" t="str" cm="1">
        <f t="array" ref="F2006">_xlfn._xlws.FILTER(E2006:E5204, C2006:C5204= "6D-PM-1020-01", "No Squirrels Found")</f>
        <v>No Squirrels Found</v>
      </c>
      <c r="G2006" s="8" t="s">
        <v>48</v>
      </c>
      <c r="H2006" s="10">
        <v>10082018</v>
      </c>
      <c r="I2006" s="10">
        <v>1</v>
      </c>
      <c r="J2006" s="8" t="s">
        <v>39</v>
      </c>
      <c r="K2006" s="8" t="s">
        <v>41</v>
      </c>
      <c r="L2006" s="8" t="s">
        <v>84</v>
      </c>
      <c r="M2006" s="8" t="s">
        <v>85</v>
      </c>
      <c r="O2006" s="8" t="s">
        <v>50</v>
      </c>
      <c r="P2006" s="8">
        <v>10</v>
      </c>
      <c r="R2006" s="8" t="b">
        <v>0</v>
      </c>
      <c r="S2006" s="8" t="b">
        <v>0</v>
      </c>
      <c r="T2006" s="8" t="b">
        <v>1</v>
      </c>
      <c r="U2006" s="8" t="b">
        <v>1</v>
      </c>
      <c r="V2006" s="8" t="b">
        <v>0</v>
      </c>
      <c r="X2006" s="8" t="b">
        <v>1</v>
      </c>
      <c r="Y2006" s="8" t="b">
        <v>0</v>
      </c>
      <c r="Z2006" s="8" t="b">
        <v>0</v>
      </c>
      <c r="AA2006" s="8" t="b">
        <v>0</v>
      </c>
      <c r="AB2006" s="8" t="b">
        <v>0</v>
      </c>
      <c r="AC2006" s="8" t="b">
        <v>1</v>
      </c>
      <c r="AD2006" s="8" t="b">
        <v>0</v>
      </c>
      <c r="AE2006" s="8" t="b">
        <v>0</v>
      </c>
      <c r="AG2006" s="11" t="b" cm="1">
        <f t="array" ref="AG2006">IF(OR(Y2006:AA2006="TRUE", AE2006="true"), "Threatened")</f>
        <v>0</v>
      </c>
      <c r="AH2006" s="11" t="s">
        <v>5100</v>
      </c>
      <c r="AI2006" s="8" t="b">
        <v>1</v>
      </c>
    </row>
    <row r="2007" spans="1:35" ht="31.2">
      <c r="A2007" s="8">
        <v>-73.969564109999993</v>
      </c>
      <c r="B2007" s="8">
        <v>40.776956290000001</v>
      </c>
      <c r="C2007" s="8" t="s">
        <v>5101</v>
      </c>
      <c r="D2007" s="8" t="s">
        <v>121</v>
      </c>
      <c r="E2007" s="8" t="b">
        <f t="shared" si="31"/>
        <v>0</v>
      </c>
      <c r="F2007" s="8" t="str" cm="1">
        <f t="array" ref="F2007">_xlfn._xlws.FILTER(E2007:E5205, C2007:C5205= "6D-PM-1020-01", "No Squirrels Found")</f>
        <v>No Squirrels Found</v>
      </c>
      <c r="G2007" s="8" t="s">
        <v>48</v>
      </c>
      <c r="H2007" s="10">
        <v>10082018</v>
      </c>
      <c r="I2007" s="10">
        <v>3</v>
      </c>
      <c r="J2007" s="8" t="s">
        <v>39</v>
      </c>
      <c r="K2007" s="8" t="s">
        <v>40</v>
      </c>
      <c r="M2007" s="8" t="s">
        <v>55</v>
      </c>
      <c r="O2007" s="8" t="s">
        <v>43</v>
      </c>
      <c r="P2007" s="8" t="b">
        <v>0</v>
      </c>
      <c r="R2007" s="8" t="b">
        <v>0</v>
      </c>
      <c r="S2007" s="8" t="b">
        <v>0</v>
      </c>
      <c r="T2007" s="8" t="b">
        <v>0</v>
      </c>
      <c r="U2007" s="8" t="b">
        <v>0</v>
      </c>
      <c r="V2007" s="8" t="b">
        <v>1</v>
      </c>
      <c r="W2007" s="11" t="s">
        <v>122</v>
      </c>
      <c r="X2007" s="8" t="b">
        <v>0</v>
      </c>
      <c r="Y2007" s="8" t="b">
        <v>0</v>
      </c>
      <c r="Z2007" s="8" t="b">
        <v>0</v>
      </c>
      <c r="AA2007" s="8" t="b">
        <v>0</v>
      </c>
      <c r="AB2007" s="8" t="b">
        <v>0</v>
      </c>
      <c r="AC2007" s="8" t="b">
        <v>0</v>
      </c>
      <c r="AD2007" s="8" t="b">
        <v>1</v>
      </c>
      <c r="AE2007" s="8" t="b">
        <v>0</v>
      </c>
      <c r="AF2007" s="11" t="s">
        <v>562</v>
      </c>
      <c r="AG2007" s="11" t="b" cm="1">
        <f t="array" ref="AG2007">IF(OR(Y2007:AA2007="TRUE", AE2007="true"), "Threatened")</f>
        <v>0</v>
      </c>
      <c r="AH2007" s="11" t="s">
        <v>5102</v>
      </c>
      <c r="AI2007" s="8" t="b">
        <v>0</v>
      </c>
    </row>
    <row r="2008" spans="1:35" ht="31.2">
      <c r="A2008" s="8">
        <v>-73.968483410000005</v>
      </c>
      <c r="B2008" s="8">
        <v>40.772428910000002</v>
      </c>
      <c r="C2008" s="8" t="s">
        <v>5103</v>
      </c>
      <c r="D2008" s="8" t="s">
        <v>83</v>
      </c>
      <c r="E2008" s="8" t="b">
        <f t="shared" si="31"/>
        <v>0</v>
      </c>
      <c r="F2008" s="8" t="str" cm="1">
        <f t="array" ref="F2008">_xlfn._xlws.FILTER(E2008:E5206, C2008:C5206= "6D-PM-1020-01", "No Squirrels Found")</f>
        <v>No Squirrels Found</v>
      </c>
      <c r="G2008" s="8" t="s">
        <v>48</v>
      </c>
      <c r="H2008" s="10">
        <v>10102018</v>
      </c>
      <c r="I2008" s="10">
        <v>6</v>
      </c>
      <c r="J2008" s="8" t="s">
        <v>39</v>
      </c>
      <c r="K2008" s="8" t="s">
        <v>41</v>
      </c>
      <c r="L2008" s="8" t="s">
        <v>84</v>
      </c>
      <c r="M2008" s="8" t="s">
        <v>85</v>
      </c>
      <c r="O2008" s="8" t="s">
        <v>43</v>
      </c>
      <c r="P2008" s="8" t="b">
        <v>0</v>
      </c>
      <c r="R2008" s="8" t="b">
        <v>0</v>
      </c>
      <c r="S2008" s="8" t="b">
        <v>1</v>
      </c>
      <c r="T2008" s="8" t="b">
        <v>0</v>
      </c>
      <c r="U2008" s="8" t="b">
        <v>0</v>
      </c>
      <c r="V2008" s="8" t="b">
        <v>0</v>
      </c>
      <c r="X2008" s="8" t="b">
        <v>0</v>
      </c>
      <c r="Y2008" s="8" t="b">
        <v>0</v>
      </c>
      <c r="Z2008" s="8" t="b">
        <v>0</v>
      </c>
      <c r="AA2008" s="8" t="b">
        <v>0</v>
      </c>
      <c r="AB2008" s="8" t="b">
        <v>1</v>
      </c>
      <c r="AC2008" s="8" t="b">
        <v>0</v>
      </c>
      <c r="AD2008" s="8" t="b">
        <v>1</v>
      </c>
      <c r="AE2008" s="8" t="b">
        <v>0</v>
      </c>
      <c r="AG2008" s="11" t="b" cm="1">
        <f t="array" ref="AG2008">IF(OR(Y2008:AA2008="TRUE", AE2008="true"), "Threatened")</f>
        <v>0</v>
      </c>
      <c r="AH2008" s="11" t="s">
        <v>5104</v>
      </c>
      <c r="AI2008" s="8" t="b">
        <v>1</v>
      </c>
    </row>
    <row r="2009" spans="1:35" ht="31.2">
      <c r="A2009" s="8">
        <v>-73.952436410000004</v>
      </c>
      <c r="B2009" s="8">
        <v>40.792846509999997</v>
      </c>
      <c r="C2009" s="8" t="s">
        <v>5105</v>
      </c>
      <c r="D2009" s="8" t="s">
        <v>936</v>
      </c>
      <c r="E2009" s="8" t="b">
        <f t="shared" si="31"/>
        <v>0</v>
      </c>
      <c r="F2009" s="8" t="str" cm="1">
        <f t="array" ref="F2009">_xlfn._xlws.FILTER(E2009:E5207, C2009:C5207= "6D-PM-1020-01", "No Squirrels Found")</f>
        <v>No Squirrels Found</v>
      </c>
      <c r="G2009" s="8" t="s">
        <v>34</v>
      </c>
      <c r="H2009" s="10">
        <v>10062018</v>
      </c>
      <c r="I2009" s="10">
        <v>1</v>
      </c>
      <c r="J2009" s="8" t="s">
        <v>39</v>
      </c>
      <c r="K2009" s="8" t="s">
        <v>41</v>
      </c>
      <c r="L2009" s="8" t="s">
        <v>5106</v>
      </c>
      <c r="M2009" s="8" t="s">
        <v>5107</v>
      </c>
      <c r="O2009" s="8" t="s">
        <v>50</v>
      </c>
      <c r="P2009" s="8">
        <v>5</v>
      </c>
      <c r="R2009" s="8" t="b">
        <v>0</v>
      </c>
      <c r="S2009" s="8" t="b">
        <v>0</v>
      </c>
      <c r="T2009" s="8" t="b">
        <v>0</v>
      </c>
      <c r="U2009" s="8" t="b">
        <v>0</v>
      </c>
      <c r="V2009" s="8" t="b">
        <v>1</v>
      </c>
      <c r="X2009" s="8" t="b">
        <v>0</v>
      </c>
      <c r="Y2009" s="8" t="b">
        <v>0</v>
      </c>
      <c r="Z2009" s="8" t="b">
        <v>0</v>
      </c>
      <c r="AA2009" s="8" t="b">
        <v>0</v>
      </c>
      <c r="AB2009" s="8" t="b">
        <v>0</v>
      </c>
      <c r="AC2009" s="8" t="b">
        <v>0</v>
      </c>
      <c r="AD2009" s="8" t="b">
        <v>1</v>
      </c>
      <c r="AE2009" s="8" t="b">
        <v>0</v>
      </c>
      <c r="AG2009" s="11" t="b" cm="1">
        <f t="array" ref="AG2009">IF(OR(Y2009:AA2009="TRUE", AE2009="true"), "Threatened")</f>
        <v>0</v>
      </c>
      <c r="AH2009" s="11" t="s">
        <v>5108</v>
      </c>
      <c r="AI2009" s="8" t="b">
        <v>1</v>
      </c>
    </row>
    <row r="2010" spans="1:35" ht="31.2">
      <c r="A2010" s="8">
        <v>-73.963950580000002</v>
      </c>
      <c r="B2010" s="8">
        <v>40.789573179999998</v>
      </c>
      <c r="C2010" s="8" t="s">
        <v>5109</v>
      </c>
      <c r="D2010" s="8" t="s">
        <v>1136</v>
      </c>
      <c r="E2010" s="8" t="b">
        <f t="shared" si="31"/>
        <v>0</v>
      </c>
      <c r="F2010" s="8" t="str" cm="1">
        <f t="array" ref="F2010">_xlfn._xlws.FILTER(E2010:E5208, C2010:C5208= "6D-PM-1020-01", "No Squirrels Found")</f>
        <v>No Squirrels Found</v>
      </c>
      <c r="G2010" s="8" t="s">
        <v>34</v>
      </c>
      <c r="H2010" s="10">
        <v>10102018</v>
      </c>
      <c r="I2010" s="10">
        <v>1</v>
      </c>
      <c r="J2010" s="8" t="s">
        <v>39</v>
      </c>
      <c r="K2010" s="8" t="s">
        <v>41</v>
      </c>
      <c r="L2010" s="8" t="s">
        <v>135</v>
      </c>
      <c r="M2010" s="8" t="s">
        <v>136</v>
      </c>
      <c r="O2010" s="8" t="s">
        <v>50</v>
      </c>
      <c r="P2010" s="8">
        <v>4</v>
      </c>
      <c r="Q2010" s="8" t="s">
        <v>5110</v>
      </c>
      <c r="R2010" s="8" t="b">
        <v>0</v>
      </c>
      <c r="S2010" s="8" t="b">
        <v>0</v>
      </c>
      <c r="T2010" s="8" t="b">
        <v>1</v>
      </c>
      <c r="U2010" s="8" t="b">
        <v>1</v>
      </c>
      <c r="V2010" s="8" t="b">
        <v>1</v>
      </c>
      <c r="W2010" s="11" t="s">
        <v>5111</v>
      </c>
      <c r="X2010" s="8" t="b">
        <v>0</v>
      </c>
      <c r="Y2010" s="8" t="b">
        <v>0</v>
      </c>
      <c r="Z2010" s="8" t="b">
        <v>0</v>
      </c>
      <c r="AA2010" s="8" t="b">
        <v>0</v>
      </c>
      <c r="AB2010" s="8" t="b">
        <v>1</v>
      </c>
      <c r="AC2010" s="8" t="b">
        <v>0</v>
      </c>
      <c r="AD2010" s="8" t="b">
        <v>1</v>
      </c>
      <c r="AE2010" s="8" t="b">
        <v>0</v>
      </c>
      <c r="AG2010" s="11" t="b" cm="1">
        <f t="array" ref="AG2010">IF(OR(Y2010:AA2010="TRUE", AE2010="true"), "Threatened")</f>
        <v>0</v>
      </c>
      <c r="AH2010" s="11" t="s">
        <v>5112</v>
      </c>
      <c r="AI2010" s="8" t="b">
        <v>0</v>
      </c>
    </row>
    <row r="2011" spans="1:35" ht="31.2">
      <c r="A2011" s="8">
        <v>-73.96738216</v>
      </c>
      <c r="B2011" s="8">
        <v>40.778637529999997</v>
      </c>
      <c r="C2011" s="8" t="s">
        <v>5113</v>
      </c>
      <c r="D2011" s="8" t="s">
        <v>131</v>
      </c>
      <c r="E2011" s="8" t="b">
        <f t="shared" si="31"/>
        <v>0</v>
      </c>
      <c r="F2011" s="8" t="str" cm="1">
        <f t="array" ref="F2011">_xlfn._xlws.FILTER(E2011:E5209, C2011:C5209= "6D-PM-1020-01", "No Squirrels Found")</f>
        <v>No Squirrels Found</v>
      </c>
      <c r="G2011" s="8" t="s">
        <v>34</v>
      </c>
      <c r="H2011" s="10">
        <v>10202018</v>
      </c>
      <c r="I2011" s="10">
        <v>6</v>
      </c>
      <c r="J2011" s="8" t="s">
        <v>39</v>
      </c>
      <c r="K2011" s="8" t="s">
        <v>40</v>
      </c>
      <c r="M2011" s="8" t="s">
        <v>55</v>
      </c>
      <c r="O2011" s="8" t="s">
        <v>50</v>
      </c>
      <c r="P2011" s="8">
        <v>20</v>
      </c>
      <c r="R2011" s="8" t="b">
        <v>0</v>
      </c>
      <c r="S2011" s="8" t="b">
        <v>0</v>
      </c>
      <c r="T2011" s="8" t="b">
        <v>0</v>
      </c>
      <c r="U2011" s="8" t="b">
        <v>1</v>
      </c>
      <c r="V2011" s="8" t="b">
        <v>0</v>
      </c>
      <c r="X2011" s="8" t="b">
        <v>0</v>
      </c>
      <c r="Y2011" s="8" t="b">
        <v>0</v>
      </c>
      <c r="Z2011" s="8" t="b">
        <v>0</v>
      </c>
      <c r="AA2011" s="8" t="b">
        <v>0</v>
      </c>
      <c r="AB2011" s="8" t="b">
        <v>0</v>
      </c>
      <c r="AC2011" s="8" t="b">
        <v>0</v>
      </c>
      <c r="AD2011" s="8" t="b">
        <v>0</v>
      </c>
      <c r="AE2011" s="8" t="b">
        <v>0</v>
      </c>
      <c r="AG2011" s="11" t="b" cm="1">
        <f t="array" ref="AG2011">IF(OR(Y2011:AA2011="TRUE", AE2011="true"), "Threatened")</f>
        <v>0</v>
      </c>
      <c r="AH2011" s="11" t="s">
        <v>5114</v>
      </c>
      <c r="AI2011" s="8" t="b">
        <v>1</v>
      </c>
    </row>
    <row r="2012" spans="1:35" ht="31.2">
      <c r="A2012" s="8">
        <v>-73.960324580000005</v>
      </c>
      <c r="B2012" s="8">
        <v>40.794271250000001</v>
      </c>
      <c r="C2012" s="8" t="s">
        <v>5115</v>
      </c>
      <c r="D2012" s="8" t="s">
        <v>69</v>
      </c>
      <c r="E2012" s="8" t="b">
        <f t="shared" si="31"/>
        <v>0</v>
      </c>
      <c r="F2012" s="8" t="str" cm="1">
        <f t="array" ref="F2012">_xlfn._xlws.FILTER(E2012:E5210, C2012:C5210= "6D-PM-1020-01", "No Squirrels Found")</f>
        <v>No Squirrels Found</v>
      </c>
      <c r="G2012" s="8" t="s">
        <v>34</v>
      </c>
      <c r="H2012" s="10">
        <v>10132018</v>
      </c>
      <c r="I2012" s="10">
        <v>4</v>
      </c>
      <c r="K2012" s="8" t="s">
        <v>40</v>
      </c>
      <c r="L2012" s="8" t="s">
        <v>41</v>
      </c>
      <c r="M2012" s="8" t="s">
        <v>42</v>
      </c>
      <c r="O2012" s="8" t="s">
        <v>43</v>
      </c>
      <c r="P2012" s="8" t="b">
        <v>0</v>
      </c>
      <c r="R2012" s="8" t="b">
        <v>0</v>
      </c>
      <c r="S2012" s="8" t="b">
        <v>0</v>
      </c>
      <c r="T2012" s="8" t="b">
        <v>0</v>
      </c>
      <c r="U2012" s="8" t="b">
        <v>0</v>
      </c>
      <c r="V2012" s="8" t="b">
        <v>1</v>
      </c>
      <c r="X2012" s="8" t="b">
        <v>0</v>
      </c>
      <c r="Y2012" s="8" t="b">
        <v>0</v>
      </c>
      <c r="Z2012" s="8" t="b">
        <v>0</v>
      </c>
      <c r="AA2012" s="8" t="b">
        <v>0</v>
      </c>
      <c r="AB2012" s="8" t="b">
        <v>0</v>
      </c>
      <c r="AC2012" s="8" t="b">
        <v>0</v>
      </c>
      <c r="AD2012" s="8" t="b">
        <v>0</v>
      </c>
      <c r="AE2012" s="8" t="b">
        <v>1</v>
      </c>
      <c r="AG2012" s="11" t="b" cm="1">
        <f t="array" ref="AG2012">IF(OR(Y2012:AA2012="TRUE", AE2012="true"), "Threatened")</f>
        <v>0</v>
      </c>
      <c r="AH2012" s="11" t="s">
        <v>5116</v>
      </c>
      <c r="AI2012" s="8" t="b">
        <v>1</v>
      </c>
    </row>
    <row r="2013" spans="1:35" ht="31.2">
      <c r="A2013" s="8">
        <v>-73.958746489999996</v>
      </c>
      <c r="B2013" s="8">
        <v>40.793496349999998</v>
      </c>
      <c r="C2013" s="8" t="s">
        <v>5117</v>
      </c>
      <c r="D2013" s="8" t="s">
        <v>515</v>
      </c>
      <c r="E2013" s="8" t="b">
        <f t="shared" si="31"/>
        <v>0</v>
      </c>
      <c r="F2013" s="8" t="str" cm="1">
        <f t="array" ref="F2013">_xlfn._xlws.FILTER(E2013:E5211, C2013:C5211= "6D-PM-1020-01", "No Squirrels Found")</f>
        <v>No Squirrels Found</v>
      </c>
      <c r="G2013" s="8" t="s">
        <v>34</v>
      </c>
      <c r="H2013" s="10">
        <v>10132018</v>
      </c>
      <c r="I2013" s="10">
        <v>5</v>
      </c>
      <c r="J2013" s="8" t="s">
        <v>39</v>
      </c>
      <c r="K2013" s="8" t="s">
        <v>40</v>
      </c>
      <c r="L2013" s="8" t="s">
        <v>84</v>
      </c>
      <c r="M2013" s="8" t="s">
        <v>103</v>
      </c>
      <c r="O2013" s="8" t="s">
        <v>43</v>
      </c>
      <c r="P2013" s="8" t="b">
        <v>0</v>
      </c>
      <c r="R2013" s="8" t="b">
        <v>0</v>
      </c>
      <c r="S2013" s="8" t="b">
        <v>0</v>
      </c>
      <c r="T2013" s="8" t="b">
        <v>0</v>
      </c>
      <c r="U2013" s="8" t="b">
        <v>0</v>
      </c>
      <c r="V2013" s="8" t="b">
        <v>1</v>
      </c>
      <c r="X2013" s="8" t="b">
        <v>0</v>
      </c>
      <c r="Y2013" s="8" t="b">
        <v>0</v>
      </c>
      <c r="Z2013" s="8" t="b">
        <v>0</v>
      </c>
      <c r="AA2013" s="8" t="b">
        <v>0</v>
      </c>
      <c r="AB2013" s="8" t="b">
        <v>0</v>
      </c>
      <c r="AC2013" s="8" t="b">
        <v>0</v>
      </c>
      <c r="AD2013" s="8" t="b">
        <v>1</v>
      </c>
      <c r="AE2013" s="8" t="b">
        <v>0</v>
      </c>
      <c r="AG2013" s="11" t="b" cm="1">
        <f t="array" ref="AG2013">IF(OR(Y2013:AA2013="TRUE", AE2013="true"), "Threatened")</f>
        <v>0</v>
      </c>
      <c r="AH2013" s="11" t="s">
        <v>5118</v>
      </c>
      <c r="AI2013" s="8" t="b">
        <v>1</v>
      </c>
    </row>
    <row r="2014" spans="1:35" ht="31.2">
      <c r="A2014" s="8">
        <v>-73.969534839999994</v>
      </c>
      <c r="B2014" s="8">
        <v>40.770365740000003</v>
      </c>
      <c r="C2014" s="8" t="s">
        <v>5119</v>
      </c>
      <c r="D2014" s="8" t="s">
        <v>1326</v>
      </c>
      <c r="E2014" s="8" t="b">
        <f t="shared" si="31"/>
        <v>0</v>
      </c>
      <c r="F2014" s="8" t="str" cm="1">
        <f t="array" ref="F2014">_xlfn._xlws.FILTER(E2014:E5212, C2014:C5212= "6D-PM-1020-01", "No Squirrels Found")</f>
        <v>No Squirrels Found</v>
      </c>
      <c r="G2014" s="8" t="s">
        <v>34</v>
      </c>
      <c r="H2014" s="10">
        <v>10132018</v>
      </c>
      <c r="I2014" s="10">
        <v>7</v>
      </c>
      <c r="J2014" s="8" t="s">
        <v>39</v>
      </c>
      <c r="K2014" s="8" t="s">
        <v>40</v>
      </c>
      <c r="L2014" s="8" t="s">
        <v>117</v>
      </c>
      <c r="M2014" s="8" t="s">
        <v>118</v>
      </c>
      <c r="O2014" s="8" t="s">
        <v>43</v>
      </c>
      <c r="P2014" s="8" t="b">
        <v>0</v>
      </c>
      <c r="R2014" s="8" t="b">
        <v>0</v>
      </c>
      <c r="S2014" s="8" t="b">
        <v>0</v>
      </c>
      <c r="T2014" s="8" t="b">
        <v>0</v>
      </c>
      <c r="U2014" s="8" t="b">
        <v>0</v>
      </c>
      <c r="V2014" s="8" t="b">
        <v>1</v>
      </c>
      <c r="X2014" s="8" t="b">
        <v>0</v>
      </c>
      <c r="Y2014" s="8" t="b">
        <v>0</v>
      </c>
      <c r="Z2014" s="8" t="b">
        <v>0</v>
      </c>
      <c r="AA2014" s="8" t="b">
        <v>0</v>
      </c>
      <c r="AB2014" s="8" t="b">
        <v>0</v>
      </c>
      <c r="AC2014" s="8" t="b">
        <v>0</v>
      </c>
      <c r="AD2014" s="8" t="b">
        <v>1</v>
      </c>
      <c r="AE2014" s="8" t="b">
        <v>0</v>
      </c>
      <c r="AG2014" s="11" t="b" cm="1">
        <f t="array" ref="AG2014">IF(OR(Y2014:AA2014="TRUE", AE2014="true"), "Threatened")</f>
        <v>0</v>
      </c>
      <c r="AH2014" s="11" t="s">
        <v>5120</v>
      </c>
      <c r="AI2014" s="8" t="b">
        <v>1</v>
      </c>
    </row>
    <row r="2015" spans="1:35" ht="31.2">
      <c r="A2015" s="8">
        <v>-73.978647480000006</v>
      </c>
      <c r="B2015" s="8">
        <v>40.767971529999997</v>
      </c>
      <c r="C2015" s="8" t="s">
        <v>5121</v>
      </c>
      <c r="D2015" s="8" t="s">
        <v>1235</v>
      </c>
      <c r="E2015" s="8" t="b">
        <f t="shared" si="31"/>
        <v>0</v>
      </c>
      <c r="F2015" s="8" t="str" cm="1">
        <f t="array" ref="F2015">_xlfn._xlws.FILTER(E2015:E5213, C2015:C5213= "6D-PM-1020-01", "No Squirrels Found")</f>
        <v>No Squirrels Found</v>
      </c>
      <c r="G2015" s="8" t="s">
        <v>34</v>
      </c>
      <c r="H2015" s="10">
        <v>10132018</v>
      </c>
      <c r="I2015" s="10">
        <v>4</v>
      </c>
      <c r="J2015" s="8" t="s">
        <v>39</v>
      </c>
      <c r="K2015" s="8" t="s">
        <v>40</v>
      </c>
      <c r="L2015" s="8" t="s">
        <v>84</v>
      </c>
      <c r="M2015" s="8" t="s">
        <v>103</v>
      </c>
      <c r="R2015" s="8" t="b">
        <v>0</v>
      </c>
      <c r="S2015" s="8" t="b">
        <v>0</v>
      </c>
      <c r="T2015" s="8" t="b">
        <v>0</v>
      </c>
      <c r="U2015" s="8" t="b">
        <v>0</v>
      </c>
      <c r="V2015" s="8" t="b">
        <v>1</v>
      </c>
      <c r="X2015" s="8" t="b">
        <v>0</v>
      </c>
      <c r="Y2015" s="8" t="b">
        <v>0</v>
      </c>
      <c r="Z2015" s="8" t="b">
        <v>0</v>
      </c>
      <c r="AA2015" s="8" t="b">
        <v>0</v>
      </c>
      <c r="AB2015" s="8" t="b">
        <v>0</v>
      </c>
      <c r="AC2015" s="8" t="b">
        <v>0</v>
      </c>
      <c r="AD2015" s="8" t="b">
        <v>0</v>
      </c>
      <c r="AE2015" s="8" t="b">
        <v>0</v>
      </c>
      <c r="AG2015" s="11" t="b" cm="1">
        <f t="array" ref="AG2015">IF(OR(Y2015:AA2015="TRUE", AE2015="true"), "Threatened")</f>
        <v>0</v>
      </c>
      <c r="AH2015" s="11" t="s">
        <v>5122</v>
      </c>
      <c r="AI2015" s="8" t="b">
        <v>1</v>
      </c>
    </row>
    <row r="2016" spans="1:35" ht="31.2">
      <c r="A2016" s="8">
        <v>-73.957436560000005</v>
      </c>
      <c r="B2016" s="8">
        <v>40.788692470000001</v>
      </c>
      <c r="C2016" s="8" t="s">
        <v>5123</v>
      </c>
      <c r="D2016" s="8" t="s">
        <v>196</v>
      </c>
      <c r="E2016" s="8" t="b">
        <f t="shared" si="31"/>
        <v>0</v>
      </c>
      <c r="F2016" s="8" t="str" cm="1">
        <f t="array" ref="F2016">_xlfn._xlws.FILTER(E2016:E5214, C2016:C5214= "6D-PM-1020-01", "No Squirrels Found")</f>
        <v>No Squirrels Found</v>
      </c>
      <c r="G2016" s="8" t="s">
        <v>34</v>
      </c>
      <c r="H2016" s="10">
        <v>10082018</v>
      </c>
      <c r="I2016" s="10">
        <v>3</v>
      </c>
      <c r="J2016" s="8" t="s">
        <v>39</v>
      </c>
      <c r="K2016" s="8" t="s">
        <v>40</v>
      </c>
      <c r="M2016" s="8" t="s">
        <v>55</v>
      </c>
      <c r="O2016" s="8" t="s">
        <v>50</v>
      </c>
      <c r="Q2016" s="8" t="s">
        <v>5124</v>
      </c>
      <c r="R2016" s="8" t="b">
        <v>0</v>
      </c>
      <c r="S2016" s="8" t="b">
        <v>0</v>
      </c>
      <c r="T2016" s="8" t="b">
        <v>1</v>
      </c>
      <c r="U2016" s="8" t="b">
        <v>0</v>
      </c>
      <c r="V2016" s="8" t="b">
        <v>1</v>
      </c>
      <c r="W2016" s="11" t="s">
        <v>5125</v>
      </c>
      <c r="X2016" s="8" t="b">
        <v>0</v>
      </c>
      <c r="Y2016" s="8" t="b">
        <v>0</v>
      </c>
      <c r="Z2016" s="8" t="b">
        <v>0</v>
      </c>
      <c r="AA2016" s="8" t="b">
        <v>0</v>
      </c>
      <c r="AB2016" s="8" t="b">
        <v>0</v>
      </c>
      <c r="AC2016" s="8" t="b">
        <v>0</v>
      </c>
      <c r="AD2016" s="8" t="b">
        <v>0</v>
      </c>
      <c r="AE2016" s="8" t="b">
        <v>0</v>
      </c>
      <c r="AG2016" s="11" t="b" cm="1">
        <f t="array" ref="AG2016">IF(OR(Y2016:AA2016="TRUE", AE2016="true"), "Threatened")</f>
        <v>0</v>
      </c>
      <c r="AH2016" s="11" t="s">
        <v>5126</v>
      </c>
      <c r="AI2016" s="8" t="b">
        <v>0</v>
      </c>
    </row>
    <row r="2017" spans="1:35" ht="62.4">
      <c r="A2017" s="8">
        <v>-73.958949219999994</v>
      </c>
      <c r="B2017" s="8">
        <v>40.798901119999996</v>
      </c>
      <c r="C2017" s="8" t="s">
        <v>5127</v>
      </c>
      <c r="D2017" s="8" t="s">
        <v>458</v>
      </c>
      <c r="E2017" s="8" t="b">
        <f t="shared" si="31"/>
        <v>0</v>
      </c>
      <c r="F2017" s="8" t="str" cm="1">
        <f t="array" ref="F2017">_xlfn._xlws.FILTER(E2017:E5215, C2017:C5215= "6D-PM-1020-01", "No Squirrels Found")</f>
        <v>No Squirrels Found</v>
      </c>
      <c r="G2017" s="8" t="s">
        <v>34</v>
      </c>
      <c r="H2017" s="10">
        <v>10142018</v>
      </c>
      <c r="I2017" s="10">
        <v>1</v>
      </c>
      <c r="J2017" s="8" t="s">
        <v>39</v>
      </c>
      <c r="K2017" s="8" t="s">
        <v>40</v>
      </c>
      <c r="L2017" s="8" t="s">
        <v>41</v>
      </c>
      <c r="M2017" s="8" t="s">
        <v>42</v>
      </c>
      <c r="O2017" s="8" t="s">
        <v>50</v>
      </c>
      <c r="P2017" s="8">
        <v>30</v>
      </c>
      <c r="R2017" s="8" t="b">
        <v>0</v>
      </c>
      <c r="S2017" s="8" t="b">
        <v>0</v>
      </c>
      <c r="T2017" s="8" t="b">
        <v>1</v>
      </c>
      <c r="U2017" s="8" t="b">
        <v>0</v>
      </c>
      <c r="V2017" s="8" t="b">
        <v>0</v>
      </c>
      <c r="X2017" s="8" t="b">
        <v>0</v>
      </c>
      <c r="Y2017" s="8" t="b">
        <v>0</v>
      </c>
      <c r="Z2017" s="8" t="b">
        <v>0</v>
      </c>
      <c r="AA2017" s="8" t="b">
        <v>0</v>
      </c>
      <c r="AB2017" s="8" t="b">
        <v>1</v>
      </c>
      <c r="AC2017" s="8" t="b">
        <v>0</v>
      </c>
      <c r="AD2017" s="8" t="b">
        <v>1</v>
      </c>
      <c r="AE2017" s="8" t="b">
        <v>0</v>
      </c>
      <c r="AF2017" s="11" t="s">
        <v>5128</v>
      </c>
      <c r="AG2017" s="11" t="b" cm="1">
        <f t="array" ref="AG2017">IF(OR(Y2017:AA2017="TRUE", AE2017="true"), "Threatened")</f>
        <v>0</v>
      </c>
      <c r="AH2017" s="11" t="s">
        <v>5129</v>
      </c>
      <c r="AI2017" s="8" t="b">
        <v>1</v>
      </c>
    </row>
    <row r="2018" spans="1:35" ht="31.2">
      <c r="A2018" s="8">
        <v>-73.977506739999995</v>
      </c>
      <c r="B2018" s="8">
        <v>40.772656609999999</v>
      </c>
      <c r="C2018" s="8" t="s">
        <v>5130</v>
      </c>
      <c r="D2018" s="8" t="s">
        <v>72</v>
      </c>
      <c r="E2018" s="8" t="b">
        <f t="shared" si="31"/>
        <v>0</v>
      </c>
      <c r="F2018" s="8" t="str" cm="1">
        <f t="array" ref="F2018">_xlfn._xlws.FILTER(E2018:E5216, C2018:C5216= "6D-PM-1020-01", "No Squirrels Found")</f>
        <v>No Squirrels Found</v>
      </c>
      <c r="G2018" s="8" t="s">
        <v>48</v>
      </c>
      <c r="H2018" s="10">
        <v>10082018</v>
      </c>
      <c r="I2018" s="10">
        <v>14</v>
      </c>
      <c r="J2018" s="8" t="s">
        <v>39</v>
      </c>
      <c r="K2018" s="8" t="s">
        <v>40</v>
      </c>
      <c r="M2018" s="8" t="s">
        <v>55</v>
      </c>
      <c r="O2018" s="8" t="s">
        <v>50</v>
      </c>
      <c r="Q2018" s="8" t="s">
        <v>760</v>
      </c>
      <c r="R2018" s="8" t="b">
        <v>0</v>
      </c>
      <c r="S2018" s="8" t="b">
        <v>0</v>
      </c>
      <c r="T2018" s="8" t="b">
        <v>1</v>
      </c>
      <c r="U2018" s="8" t="b">
        <v>0</v>
      </c>
      <c r="V2018" s="8" t="b">
        <v>0</v>
      </c>
      <c r="X2018" s="8" t="b">
        <v>0</v>
      </c>
      <c r="Y2018" s="8" t="b">
        <v>0</v>
      </c>
      <c r="Z2018" s="8" t="b">
        <v>0</v>
      </c>
      <c r="AA2018" s="8" t="b">
        <v>0</v>
      </c>
      <c r="AB2018" s="8" t="b">
        <v>0</v>
      </c>
      <c r="AC2018" s="8" t="b">
        <v>0</v>
      </c>
      <c r="AD2018" s="8" t="b">
        <v>1</v>
      </c>
      <c r="AE2018" s="8" t="b">
        <v>0</v>
      </c>
      <c r="AG2018" s="11" t="b" cm="1">
        <f t="array" ref="AG2018">IF(OR(Y2018:AA2018="TRUE", AE2018="true"), "Threatened")</f>
        <v>0</v>
      </c>
      <c r="AH2018" s="11" t="s">
        <v>5131</v>
      </c>
      <c r="AI2018" s="8" t="b">
        <v>1</v>
      </c>
    </row>
    <row r="2019" spans="1:35" ht="31.2">
      <c r="A2019" s="8">
        <v>-73.969792400000003</v>
      </c>
      <c r="B2019" s="8">
        <v>40.780361120000002</v>
      </c>
      <c r="C2019" s="8" t="s">
        <v>5132</v>
      </c>
      <c r="D2019" s="8" t="s">
        <v>631</v>
      </c>
      <c r="E2019" s="8" t="b">
        <f t="shared" si="31"/>
        <v>0</v>
      </c>
      <c r="F2019" s="8" t="str" cm="1">
        <f t="array" ref="F2019">_xlfn._xlws.FILTER(E2019:E5217, C2019:C5217= "6D-PM-1020-01", "No Squirrels Found")</f>
        <v>No Squirrels Found</v>
      </c>
      <c r="G2019" s="8" t="s">
        <v>34</v>
      </c>
      <c r="H2019" s="10">
        <v>10182018</v>
      </c>
      <c r="I2019" s="10">
        <v>4</v>
      </c>
      <c r="J2019" s="8" t="s">
        <v>54</v>
      </c>
      <c r="K2019" s="8" t="s">
        <v>40</v>
      </c>
      <c r="M2019" s="8" t="s">
        <v>55</v>
      </c>
      <c r="O2019" s="8" t="s">
        <v>50</v>
      </c>
      <c r="P2019" s="8">
        <v>1</v>
      </c>
      <c r="R2019" s="8" t="b">
        <v>1</v>
      </c>
      <c r="S2019" s="8" t="b">
        <v>1</v>
      </c>
      <c r="T2019" s="8" t="b">
        <v>0</v>
      </c>
      <c r="U2019" s="8" t="b">
        <v>0</v>
      </c>
      <c r="V2019" s="8" t="b">
        <v>0</v>
      </c>
      <c r="X2019" s="8" t="b">
        <v>0</v>
      </c>
      <c r="Y2019" s="8" t="b">
        <v>0</v>
      </c>
      <c r="Z2019" s="8" t="b">
        <v>0</v>
      </c>
      <c r="AA2019" s="8" t="b">
        <v>0</v>
      </c>
      <c r="AB2019" s="8" t="b">
        <v>0</v>
      </c>
      <c r="AC2019" s="8" t="b">
        <v>0</v>
      </c>
      <c r="AD2019" s="8" t="b">
        <v>0</v>
      </c>
      <c r="AE2019" s="8" t="b">
        <v>1</v>
      </c>
      <c r="AG2019" s="11" t="b" cm="1">
        <f t="array" ref="AG2019">IF(OR(Y2019:AA2019="TRUE", AE2019="true"), "Threatened")</f>
        <v>0</v>
      </c>
      <c r="AH2019" s="11" t="s">
        <v>5133</v>
      </c>
      <c r="AI2019" s="8" t="b">
        <v>1</v>
      </c>
    </row>
    <row r="2020" spans="1:35" ht="31.2">
      <c r="A2020" s="8">
        <v>-73.956670540000005</v>
      </c>
      <c r="B2020" s="8">
        <v>40.79355606</v>
      </c>
      <c r="C2020" s="8" t="s">
        <v>5134</v>
      </c>
      <c r="D2020" s="8" t="s">
        <v>702</v>
      </c>
      <c r="E2020" s="8" t="b">
        <f t="shared" si="31"/>
        <v>0</v>
      </c>
      <c r="F2020" s="8" t="str" cm="1">
        <f t="array" ref="F2020">_xlfn._xlws.FILTER(E2020:E5218, C2020:C5218= "6D-PM-1020-01", "No Squirrels Found")</f>
        <v>No Squirrels Found</v>
      </c>
      <c r="G2020" s="8" t="s">
        <v>34</v>
      </c>
      <c r="H2020" s="10">
        <v>10122018</v>
      </c>
      <c r="I2020" s="10">
        <v>1</v>
      </c>
      <c r="J2020" s="8" t="s">
        <v>39</v>
      </c>
      <c r="K2020" s="8" t="s">
        <v>40</v>
      </c>
      <c r="L2020" s="8" t="s">
        <v>117</v>
      </c>
      <c r="M2020" s="8" t="s">
        <v>118</v>
      </c>
      <c r="O2020" s="8" t="s">
        <v>43</v>
      </c>
      <c r="P2020" s="8" t="b">
        <v>0</v>
      </c>
      <c r="Q2020" s="8" t="s">
        <v>764</v>
      </c>
      <c r="R2020" s="8" t="b">
        <v>0</v>
      </c>
      <c r="S2020" s="8" t="b">
        <v>0</v>
      </c>
      <c r="T2020" s="8" t="b">
        <v>0</v>
      </c>
      <c r="U2020" s="8" t="b">
        <v>0</v>
      </c>
      <c r="V2020" s="8" t="b">
        <v>1</v>
      </c>
      <c r="X2020" s="8" t="b">
        <v>0</v>
      </c>
      <c r="Y2020" s="8" t="b">
        <v>0</v>
      </c>
      <c r="Z2020" s="8" t="b">
        <v>0</v>
      </c>
      <c r="AA2020" s="8" t="b">
        <v>0</v>
      </c>
      <c r="AB2020" s="8" t="b">
        <v>0</v>
      </c>
      <c r="AC2020" s="8" t="b">
        <v>1</v>
      </c>
      <c r="AD2020" s="8" t="b">
        <v>0</v>
      </c>
      <c r="AE2020" s="8" t="b">
        <v>0</v>
      </c>
      <c r="AG2020" s="11" t="b" cm="1">
        <f t="array" ref="AG2020">IF(OR(Y2020:AA2020="TRUE", AE2020="true"), "Threatened")</f>
        <v>0</v>
      </c>
      <c r="AH2020" s="11" t="s">
        <v>5135</v>
      </c>
      <c r="AI2020" s="8" t="b">
        <v>1</v>
      </c>
    </row>
    <row r="2021" spans="1:35" ht="31.2">
      <c r="A2021" s="8">
        <v>-73.969145389999994</v>
      </c>
      <c r="B2021" s="8">
        <v>40.777052410000003</v>
      </c>
      <c r="C2021" s="8" t="s">
        <v>5136</v>
      </c>
      <c r="D2021" s="8" t="s">
        <v>150</v>
      </c>
      <c r="E2021" s="8" t="b">
        <f t="shared" si="31"/>
        <v>0</v>
      </c>
      <c r="F2021" s="8" t="str" cm="1">
        <f t="array" ref="F2021">_xlfn._xlws.FILTER(E2021:E5219, C2021:C5219= "6D-PM-1020-01", "No Squirrels Found")</f>
        <v>No Squirrels Found</v>
      </c>
      <c r="G2021" s="8" t="s">
        <v>34</v>
      </c>
      <c r="H2021" s="10">
        <v>10082018</v>
      </c>
      <c r="I2021" s="10">
        <v>2</v>
      </c>
      <c r="J2021" s="8" t="s">
        <v>39</v>
      </c>
      <c r="K2021" s="8" t="s">
        <v>40</v>
      </c>
      <c r="M2021" s="8" t="s">
        <v>55</v>
      </c>
      <c r="O2021" s="8" t="s">
        <v>43</v>
      </c>
      <c r="P2021" s="8" t="b">
        <v>0</v>
      </c>
      <c r="R2021" s="8" t="b">
        <v>0</v>
      </c>
      <c r="S2021" s="8" t="b">
        <v>0</v>
      </c>
      <c r="T2021" s="8" t="b">
        <v>0</v>
      </c>
      <c r="U2021" s="8" t="b">
        <v>0</v>
      </c>
      <c r="V2021" s="8" t="b">
        <v>1</v>
      </c>
      <c r="X2021" s="8" t="b">
        <v>0</v>
      </c>
      <c r="Y2021" s="8" t="b">
        <v>0</v>
      </c>
      <c r="Z2021" s="8" t="b">
        <v>0</v>
      </c>
      <c r="AA2021" s="8" t="b">
        <v>0</v>
      </c>
      <c r="AB2021" s="8" t="b">
        <v>0</v>
      </c>
      <c r="AC2021" s="8" t="b">
        <v>0</v>
      </c>
      <c r="AD2021" s="8" t="b">
        <v>1</v>
      </c>
      <c r="AE2021" s="8" t="b">
        <v>0</v>
      </c>
      <c r="AG2021" s="11" t="b" cm="1">
        <f t="array" ref="AG2021">IF(OR(Y2021:AA2021="TRUE", AE2021="true"), "Threatened")</f>
        <v>0</v>
      </c>
      <c r="AH2021" s="11" t="s">
        <v>5137</v>
      </c>
      <c r="AI2021" s="8" t="b">
        <v>1</v>
      </c>
    </row>
    <row r="2022" spans="1:35" ht="31.2">
      <c r="A2022" s="8">
        <v>-73.958280029999997</v>
      </c>
      <c r="B2022" s="8">
        <v>40.79894737</v>
      </c>
      <c r="C2022" s="8" t="s">
        <v>5138</v>
      </c>
      <c r="D2022" s="8" t="s">
        <v>227</v>
      </c>
      <c r="E2022" s="8" t="b">
        <f t="shared" si="31"/>
        <v>0</v>
      </c>
      <c r="F2022" s="8" t="str" cm="1">
        <f t="array" ref="F2022">_xlfn._xlws.FILTER(E2022:E5220, C2022:C5220= "6D-PM-1020-01", "No Squirrels Found")</f>
        <v>No Squirrels Found</v>
      </c>
      <c r="G2022" s="8" t="s">
        <v>34</v>
      </c>
      <c r="H2022" s="10">
        <v>10142018</v>
      </c>
      <c r="I2022" s="10">
        <v>3</v>
      </c>
      <c r="J2022" s="8" t="s">
        <v>39</v>
      </c>
      <c r="K2022" s="8" t="s">
        <v>40</v>
      </c>
      <c r="L2022" s="8" t="s">
        <v>41</v>
      </c>
      <c r="M2022" s="8" t="s">
        <v>42</v>
      </c>
      <c r="O2022" s="8" t="s">
        <v>43</v>
      </c>
      <c r="P2022" s="8" t="b">
        <v>0</v>
      </c>
      <c r="R2022" s="8" t="b">
        <v>0</v>
      </c>
      <c r="S2022" s="8" t="b">
        <v>0</v>
      </c>
      <c r="T2022" s="8" t="b">
        <v>0</v>
      </c>
      <c r="U2022" s="8" t="b">
        <v>0</v>
      </c>
      <c r="V2022" s="8" t="b">
        <v>1</v>
      </c>
      <c r="X2022" s="8" t="b">
        <v>0</v>
      </c>
      <c r="Y2022" s="8" t="b">
        <v>0</v>
      </c>
      <c r="Z2022" s="8" t="b">
        <v>0</v>
      </c>
      <c r="AA2022" s="8" t="b">
        <v>0</v>
      </c>
      <c r="AB2022" s="8" t="b">
        <v>0</v>
      </c>
      <c r="AC2022" s="8" t="b">
        <v>0</v>
      </c>
      <c r="AD2022" s="8" t="b">
        <v>1</v>
      </c>
      <c r="AE2022" s="8" t="b">
        <v>0</v>
      </c>
      <c r="AG2022" s="11" t="b" cm="1">
        <f t="array" ref="AG2022">IF(OR(Y2022:AA2022="TRUE", AE2022="true"), "Threatened")</f>
        <v>0</v>
      </c>
      <c r="AH2022" s="11" t="s">
        <v>5139</v>
      </c>
      <c r="AI2022" s="8" t="b">
        <v>1</v>
      </c>
    </row>
    <row r="2023" spans="1:35" ht="31.2">
      <c r="A2023" s="8">
        <v>-73.971958349999994</v>
      </c>
      <c r="B2023" s="8">
        <v>40.776343500000003</v>
      </c>
      <c r="C2023" s="8" t="s">
        <v>5140</v>
      </c>
      <c r="D2023" s="8" t="s">
        <v>426</v>
      </c>
      <c r="E2023" s="8" t="b">
        <f t="shared" si="31"/>
        <v>0</v>
      </c>
      <c r="F2023" s="8" t="str" cm="1">
        <f t="array" ref="F2023">_xlfn._xlws.FILTER(E2023:E5221, C2023:C5221= "6D-PM-1020-01", "No Squirrels Found")</f>
        <v>No Squirrels Found</v>
      </c>
      <c r="G2023" s="8" t="s">
        <v>48</v>
      </c>
      <c r="H2023" s="10">
        <v>10142018</v>
      </c>
      <c r="I2023" s="10">
        <v>11</v>
      </c>
      <c r="J2023" s="8" t="s">
        <v>39</v>
      </c>
      <c r="K2023" s="8" t="s">
        <v>40</v>
      </c>
      <c r="L2023" s="8" t="s">
        <v>41</v>
      </c>
      <c r="M2023" s="8" t="s">
        <v>42</v>
      </c>
      <c r="O2023" s="8" t="s">
        <v>43</v>
      </c>
      <c r="P2023" s="8" t="b">
        <v>0</v>
      </c>
      <c r="R2023" s="8" t="b">
        <v>0</v>
      </c>
      <c r="S2023" s="8" t="b">
        <v>0</v>
      </c>
      <c r="T2023" s="8" t="b">
        <v>0</v>
      </c>
      <c r="U2023" s="8" t="b">
        <v>0</v>
      </c>
      <c r="V2023" s="8" t="b">
        <v>1</v>
      </c>
      <c r="X2023" s="8" t="b">
        <v>0</v>
      </c>
      <c r="Y2023" s="8" t="b">
        <v>0</v>
      </c>
      <c r="Z2023" s="8" t="b">
        <v>0</v>
      </c>
      <c r="AA2023" s="8" t="b">
        <v>0</v>
      </c>
      <c r="AB2023" s="8" t="b">
        <v>0</v>
      </c>
      <c r="AC2023" s="8" t="b">
        <v>0</v>
      </c>
      <c r="AD2023" s="8" t="b">
        <v>1</v>
      </c>
      <c r="AE2023" s="8" t="b">
        <v>0</v>
      </c>
      <c r="AG2023" s="11" t="b" cm="1">
        <f t="array" ref="AG2023">IF(OR(Y2023:AA2023="TRUE", AE2023="true"), "Threatened")</f>
        <v>0</v>
      </c>
      <c r="AH2023" s="11" t="s">
        <v>5141</v>
      </c>
      <c r="AI2023" s="8" t="b">
        <v>1</v>
      </c>
    </row>
    <row r="2024" spans="1:35" ht="31.2">
      <c r="A2024" s="8">
        <v>-73.966397729999997</v>
      </c>
      <c r="B2024" s="8">
        <v>40.775645130000001</v>
      </c>
      <c r="C2024" s="8" t="s">
        <v>5142</v>
      </c>
      <c r="D2024" s="8" t="s">
        <v>1320</v>
      </c>
      <c r="E2024" s="8" t="b">
        <f t="shared" si="31"/>
        <v>0</v>
      </c>
      <c r="F2024" s="8" t="str" cm="1">
        <f t="array" ref="F2024">_xlfn._xlws.FILTER(E2024:E5222, C2024:C5222= "6D-PM-1020-01", "No Squirrels Found")</f>
        <v>No Squirrels Found</v>
      </c>
      <c r="G2024" s="8" t="s">
        <v>34</v>
      </c>
      <c r="H2024" s="10">
        <v>10122018</v>
      </c>
      <c r="I2024" s="10">
        <v>8</v>
      </c>
      <c r="J2024" s="8" t="s">
        <v>39</v>
      </c>
      <c r="K2024" s="8" t="s">
        <v>40</v>
      </c>
      <c r="L2024" s="8" t="s">
        <v>41</v>
      </c>
      <c r="M2024" s="8" t="s">
        <v>42</v>
      </c>
      <c r="O2024" s="8" t="s">
        <v>43</v>
      </c>
      <c r="P2024" s="8" t="b">
        <v>0</v>
      </c>
      <c r="R2024" s="8" t="b">
        <v>0</v>
      </c>
      <c r="S2024" s="8" t="b">
        <v>0</v>
      </c>
      <c r="T2024" s="8" t="b">
        <v>0</v>
      </c>
      <c r="U2024" s="8" t="b">
        <v>1</v>
      </c>
      <c r="V2024" s="8" t="b">
        <v>1</v>
      </c>
      <c r="X2024" s="8" t="b">
        <v>0</v>
      </c>
      <c r="Y2024" s="8" t="b">
        <v>0</v>
      </c>
      <c r="Z2024" s="8" t="b">
        <v>0</v>
      </c>
      <c r="AA2024" s="8" t="b">
        <v>0</v>
      </c>
      <c r="AB2024" s="8" t="b">
        <v>0</v>
      </c>
      <c r="AC2024" s="8" t="b">
        <v>0</v>
      </c>
      <c r="AD2024" s="8" t="b">
        <v>1</v>
      </c>
      <c r="AE2024" s="8" t="b">
        <v>0</v>
      </c>
      <c r="AG2024" s="11" t="b" cm="1">
        <f t="array" ref="AG2024">IF(OR(Y2024:AA2024="TRUE", AE2024="true"), "Threatened")</f>
        <v>0</v>
      </c>
      <c r="AH2024" s="11" t="s">
        <v>5143</v>
      </c>
      <c r="AI2024" s="8" t="b">
        <v>1</v>
      </c>
    </row>
    <row r="2025" spans="1:35" ht="31.2">
      <c r="A2025" s="8">
        <v>-73.972247229999994</v>
      </c>
      <c r="B2025" s="8">
        <v>40.76995505</v>
      </c>
      <c r="C2025" s="8" t="s">
        <v>5144</v>
      </c>
      <c r="D2025" s="8" t="s">
        <v>66</v>
      </c>
      <c r="E2025" s="8" t="b">
        <f t="shared" si="31"/>
        <v>0</v>
      </c>
      <c r="F2025" s="8" t="str" cm="1">
        <f t="array" ref="F2025">_xlfn._xlws.FILTER(E2025:E5223, C2025:C5223= "6D-PM-1020-01", "No Squirrels Found")</f>
        <v>No Squirrels Found</v>
      </c>
      <c r="G2025" s="8" t="s">
        <v>34</v>
      </c>
      <c r="H2025" s="10">
        <v>10202018</v>
      </c>
      <c r="I2025" s="10">
        <v>4</v>
      </c>
      <c r="J2025" s="8" t="s">
        <v>39</v>
      </c>
      <c r="K2025" s="8" t="s">
        <v>40</v>
      </c>
      <c r="M2025" s="8" t="s">
        <v>55</v>
      </c>
      <c r="O2025" s="8" t="s">
        <v>43</v>
      </c>
      <c r="P2025" s="8" t="b">
        <v>0</v>
      </c>
      <c r="R2025" s="8" t="b">
        <v>0</v>
      </c>
      <c r="S2025" s="8" t="b">
        <v>0</v>
      </c>
      <c r="T2025" s="8" t="b">
        <v>0</v>
      </c>
      <c r="U2025" s="8" t="b">
        <v>0</v>
      </c>
      <c r="V2025" s="8" t="b">
        <v>1</v>
      </c>
      <c r="X2025" s="8" t="b">
        <v>0</v>
      </c>
      <c r="Y2025" s="8" t="b">
        <v>0</v>
      </c>
      <c r="Z2025" s="8" t="b">
        <v>0</v>
      </c>
      <c r="AA2025" s="8" t="b">
        <v>0</v>
      </c>
      <c r="AB2025" s="8" t="b">
        <v>0</v>
      </c>
      <c r="AC2025" s="8" t="b">
        <v>0</v>
      </c>
      <c r="AD2025" s="8" t="b">
        <v>0</v>
      </c>
      <c r="AE2025" s="8" t="b">
        <v>0</v>
      </c>
      <c r="AG2025" s="11" t="b" cm="1">
        <f t="array" ref="AG2025">IF(OR(Y2025:AA2025="TRUE", AE2025="true"), "Threatened")</f>
        <v>0</v>
      </c>
      <c r="AH2025" s="11" t="s">
        <v>5145</v>
      </c>
      <c r="AI2025" s="8" t="b">
        <v>1</v>
      </c>
    </row>
    <row r="2026" spans="1:35" ht="31.2">
      <c r="A2026" s="8">
        <v>-73.976654190000005</v>
      </c>
      <c r="B2026" s="8">
        <v>40.767407730000002</v>
      </c>
      <c r="C2026" s="8" t="s">
        <v>5146</v>
      </c>
      <c r="D2026" s="8" t="s">
        <v>47</v>
      </c>
      <c r="E2026" s="8" t="b">
        <f t="shared" si="31"/>
        <v>0</v>
      </c>
      <c r="F2026" s="8" t="str" cm="1">
        <f t="array" ref="F2026">_xlfn._xlws.FILTER(E2026:E5224, C2026:C5224= "6D-PM-1020-01", "No Squirrels Found")</f>
        <v>No Squirrels Found</v>
      </c>
      <c r="G2026" s="8" t="s">
        <v>48</v>
      </c>
      <c r="H2026" s="10">
        <v>10102018</v>
      </c>
      <c r="I2026" s="10">
        <v>6</v>
      </c>
      <c r="J2026" s="8" t="s">
        <v>39</v>
      </c>
      <c r="K2026" s="8" t="s">
        <v>41</v>
      </c>
      <c r="M2026" s="8" t="s">
        <v>49</v>
      </c>
      <c r="O2026" s="8" t="s">
        <v>50</v>
      </c>
      <c r="P2026" s="8">
        <v>35</v>
      </c>
      <c r="R2026" s="8" t="b">
        <v>0</v>
      </c>
      <c r="S2026" s="8" t="b">
        <v>0</v>
      </c>
      <c r="T2026" s="8" t="b">
        <v>0</v>
      </c>
      <c r="U2026" s="8" t="b">
        <v>0</v>
      </c>
      <c r="V2026" s="8" t="b">
        <v>0</v>
      </c>
      <c r="W2026" s="11" t="s">
        <v>5147</v>
      </c>
      <c r="X2026" s="8" t="b">
        <v>0</v>
      </c>
      <c r="Y2026" s="8" t="b">
        <v>0</v>
      </c>
      <c r="Z2026" s="8" t="b">
        <v>0</v>
      </c>
      <c r="AA2026" s="8" t="b">
        <v>0</v>
      </c>
      <c r="AB2026" s="8" t="b">
        <v>0</v>
      </c>
      <c r="AC2026" s="8" t="b">
        <v>0</v>
      </c>
      <c r="AD2026" s="8" t="b">
        <v>1</v>
      </c>
      <c r="AE2026" s="8" t="b">
        <v>0</v>
      </c>
      <c r="AG2026" s="11" t="b" cm="1">
        <f t="array" ref="AG2026">IF(OR(Y2026:AA2026="TRUE", AE2026="true"), "Threatened")</f>
        <v>0</v>
      </c>
      <c r="AH2026" s="11" t="s">
        <v>5148</v>
      </c>
      <c r="AI2026" s="8" t="b">
        <v>0</v>
      </c>
    </row>
    <row r="2027" spans="1:35" ht="31.2">
      <c r="A2027" s="8">
        <v>-73.96227528</v>
      </c>
      <c r="B2027" s="8">
        <v>40.781492190000002</v>
      </c>
      <c r="C2027" s="8" t="s">
        <v>5149</v>
      </c>
      <c r="D2027" s="8" t="s">
        <v>2649</v>
      </c>
      <c r="E2027" s="8" t="b">
        <f t="shared" si="31"/>
        <v>0</v>
      </c>
      <c r="F2027" s="8" t="str" cm="1">
        <f t="array" ref="F2027">_xlfn._xlws.FILTER(E2027:E5225, C2027:C5225= "6D-PM-1020-01", "No Squirrels Found")</f>
        <v>No Squirrels Found</v>
      </c>
      <c r="G2027" s="8" t="s">
        <v>34</v>
      </c>
      <c r="H2027" s="10">
        <v>10072018</v>
      </c>
      <c r="I2027" s="10">
        <v>2</v>
      </c>
      <c r="J2027" s="8" t="s">
        <v>39</v>
      </c>
      <c r="K2027" s="8" t="s">
        <v>41</v>
      </c>
      <c r="L2027" s="8" t="s">
        <v>40</v>
      </c>
      <c r="M2027" s="8" t="s">
        <v>110</v>
      </c>
      <c r="O2027" s="8" t="s">
        <v>50</v>
      </c>
      <c r="P2027" s="8">
        <v>4</v>
      </c>
      <c r="Q2027" s="8" t="s">
        <v>5150</v>
      </c>
      <c r="R2027" s="8" t="b">
        <v>0</v>
      </c>
      <c r="S2027" s="8" t="b">
        <v>0</v>
      </c>
      <c r="T2027" s="8" t="b">
        <v>0</v>
      </c>
      <c r="U2027" s="8" t="b">
        <v>0</v>
      </c>
      <c r="V2027" s="8" t="b">
        <v>0</v>
      </c>
      <c r="W2027" s="11" t="s">
        <v>5151</v>
      </c>
      <c r="X2027" s="8" t="b">
        <v>1</v>
      </c>
      <c r="Y2027" s="8" t="b">
        <v>0</v>
      </c>
      <c r="Z2027" s="8" t="b">
        <v>0</v>
      </c>
      <c r="AA2027" s="8" t="b">
        <v>1</v>
      </c>
      <c r="AB2027" s="8" t="b">
        <v>0</v>
      </c>
      <c r="AC2027" s="8" t="b">
        <v>0</v>
      </c>
      <c r="AD2027" s="8" t="b">
        <v>1</v>
      </c>
      <c r="AE2027" s="8" t="b">
        <v>0</v>
      </c>
      <c r="AG2027" s="11" t="b" cm="1">
        <f t="array" ref="AG2027">IF(OR(Y2027:AA2027="TRUE", AE2027="true"), "Threatened")</f>
        <v>0</v>
      </c>
      <c r="AH2027" s="11" t="s">
        <v>5152</v>
      </c>
      <c r="AI2027" s="8" t="b">
        <v>0</v>
      </c>
    </row>
    <row r="2028" spans="1:35" ht="31.2">
      <c r="A2028" s="8">
        <v>-73.964449990000006</v>
      </c>
      <c r="B2028" s="8">
        <v>40.783002320000001</v>
      </c>
      <c r="C2028" s="8" t="s">
        <v>5153</v>
      </c>
      <c r="D2028" s="8" t="s">
        <v>177</v>
      </c>
      <c r="E2028" s="8" t="b">
        <f t="shared" si="31"/>
        <v>0</v>
      </c>
      <c r="F2028" s="8" t="str" cm="1">
        <f t="array" ref="F2028">_xlfn._xlws.FILTER(E2028:E5226, C2028:C5226= "6D-PM-1020-01", "No Squirrels Found")</f>
        <v>No Squirrels Found</v>
      </c>
      <c r="G2028" s="8" t="s">
        <v>34</v>
      </c>
      <c r="H2028" s="10">
        <v>10142018</v>
      </c>
      <c r="I2028" s="10">
        <v>4</v>
      </c>
      <c r="J2028" s="8" t="s">
        <v>39</v>
      </c>
      <c r="K2028" s="8" t="s">
        <v>40</v>
      </c>
      <c r="M2028" s="8" t="s">
        <v>55</v>
      </c>
      <c r="O2028" s="8" t="s">
        <v>43</v>
      </c>
      <c r="P2028" s="8" t="b">
        <v>0</v>
      </c>
      <c r="R2028" s="8" t="b">
        <v>0</v>
      </c>
      <c r="S2028" s="8" t="b">
        <v>0</v>
      </c>
      <c r="T2028" s="8" t="b">
        <v>0</v>
      </c>
      <c r="U2028" s="8" t="b">
        <v>0</v>
      </c>
      <c r="V2028" s="8" t="b">
        <v>1</v>
      </c>
      <c r="X2028" s="8" t="b">
        <v>0</v>
      </c>
      <c r="Y2028" s="8" t="b">
        <v>0</v>
      </c>
      <c r="Z2028" s="8" t="b">
        <v>0</v>
      </c>
      <c r="AA2028" s="8" t="b">
        <v>0</v>
      </c>
      <c r="AB2028" s="8" t="b">
        <v>0</v>
      </c>
      <c r="AC2028" s="8" t="b">
        <v>0</v>
      </c>
      <c r="AD2028" s="8" t="b">
        <v>1</v>
      </c>
      <c r="AE2028" s="8" t="b">
        <v>0</v>
      </c>
      <c r="AG2028" s="11" t="b" cm="1">
        <f t="array" ref="AG2028">IF(OR(Y2028:AA2028="TRUE", AE2028="true"), "Threatened")</f>
        <v>0</v>
      </c>
      <c r="AH2028" s="11" t="s">
        <v>5154</v>
      </c>
      <c r="AI2028" s="8" t="b">
        <v>1</v>
      </c>
    </row>
    <row r="2029" spans="1:35" ht="31.2">
      <c r="A2029" s="8">
        <v>-73.968734769999998</v>
      </c>
      <c r="B2029" s="8">
        <v>40.771895559999997</v>
      </c>
      <c r="C2029" s="8" t="s">
        <v>5155</v>
      </c>
      <c r="D2029" s="8" t="s">
        <v>1254</v>
      </c>
      <c r="E2029" s="8" t="b">
        <f t="shared" si="31"/>
        <v>0</v>
      </c>
      <c r="F2029" s="8" t="str" cm="1">
        <f t="array" ref="F2029">_xlfn._xlws.FILTER(E2029:E5227, C2029:C5227= "6D-PM-1020-01", "No Squirrels Found")</f>
        <v>No Squirrels Found</v>
      </c>
      <c r="G2029" s="8" t="s">
        <v>48</v>
      </c>
      <c r="H2029" s="10">
        <v>10142018</v>
      </c>
      <c r="I2029" s="10">
        <v>3</v>
      </c>
      <c r="J2029" s="8" t="s">
        <v>54</v>
      </c>
      <c r="M2029" s="8" t="s">
        <v>35</v>
      </c>
      <c r="O2029" s="8" t="s">
        <v>50</v>
      </c>
      <c r="P2029" s="8">
        <v>20</v>
      </c>
      <c r="R2029" s="8" t="b">
        <v>0</v>
      </c>
      <c r="S2029" s="8" t="b">
        <v>0</v>
      </c>
      <c r="T2029" s="8" t="b">
        <v>1</v>
      </c>
      <c r="U2029" s="8" t="b">
        <v>0</v>
      </c>
      <c r="V2029" s="8" t="b">
        <v>0</v>
      </c>
      <c r="X2029" s="8" t="b">
        <v>0</v>
      </c>
      <c r="Y2029" s="8" t="b">
        <v>0</v>
      </c>
      <c r="Z2029" s="8" t="b">
        <v>0</v>
      </c>
      <c r="AA2029" s="8" t="b">
        <v>0</v>
      </c>
      <c r="AB2029" s="8" t="b">
        <v>0</v>
      </c>
      <c r="AC2029" s="8" t="b">
        <v>0</v>
      </c>
      <c r="AD2029" s="8" t="b">
        <v>0</v>
      </c>
      <c r="AE2029" s="8" t="b">
        <v>0</v>
      </c>
      <c r="AG2029" s="11" t="b" cm="1">
        <f t="array" ref="AG2029">IF(OR(Y2029:AA2029="TRUE", AE2029="true"), "Threatened")</f>
        <v>0</v>
      </c>
      <c r="AH2029" s="11" t="s">
        <v>5156</v>
      </c>
      <c r="AI2029" s="8" t="b">
        <v>1</v>
      </c>
    </row>
    <row r="2030" spans="1:35" ht="31.2">
      <c r="A2030" s="8">
        <v>-73.968721380000005</v>
      </c>
      <c r="B2030" s="8">
        <v>40.784358640000001</v>
      </c>
      <c r="C2030" s="8" t="s">
        <v>5157</v>
      </c>
      <c r="D2030" s="8" t="s">
        <v>335</v>
      </c>
      <c r="E2030" s="8" t="b">
        <f t="shared" si="31"/>
        <v>0</v>
      </c>
      <c r="F2030" s="8" t="str" cm="1">
        <f t="array" ref="F2030">_xlfn._xlws.FILTER(E2030:E5228, C2030:C5228= "6D-PM-1020-01", "No Squirrels Found")</f>
        <v>No Squirrels Found</v>
      </c>
      <c r="G2030" s="8" t="s">
        <v>34</v>
      </c>
      <c r="H2030" s="10">
        <v>10142018</v>
      </c>
      <c r="I2030" s="10">
        <v>2</v>
      </c>
      <c r="J2030" s="8" t="s">
        <v>54</v>
      </c>
      <c r="K2030" s="8" t="s">
        <v>40</v>
      </c>
      <c r="L2030" s="8" t="s">
        <v>41</v>
      </c>
      <c r="M2030" s="8" t="s">
        <v>42</v>
      </c>
      <c r="O2030" s="8" t="s">
        <v>50</v>
      </c>
      <c r="P2030" s="8">
        <v>8</v>
      </c>
      <c r="R2030" s="8" t="b">
        <v>1</v>
      </c>
      <c r="S2030" s="8" t="b">
        <v>1</v>
      </c>
      <c r="T2030" s="8" t="b">
        <v>0</v>
      </c>
      <c r="U2030" s="8" t="b">
        <v>0</v>
      </c>
      <c r="V2030" s="8" t="b">
        <v>0</v>
      </c>
      <c r="X2030" s="8" t="b">
        <v>0</v>
      </c>
      <c r="Y2030" s="8" t="b">
        <v>0</v>
      </c>
      <c r="Z2030" s="8" t="b">
        <v>0</v>
      </c>
      <c r="AA2030" s="8" t="b">
        <v>0</v>
      </c>
      <c r="AB2030" s="8" t="b">
        <v>0</v>
      </c>
      <c r="AC2030" s="8" t="b">
        <v>0</v>
      </c>
      <c r="AD2030" s="8" t="b">
        <v>0</v>
      </c>
      <c r="AE2030" s="8" t="b">
        <v>0</v>
      </c>
      <c r="AG2030" s="11" t="b" cm="1">
        <f t="array" ref="AG2030">IF(OR(Y2030:AA2030="TRUE", AE2030="true"), "Threatened")</f>
        <v>0</v>
      </c>
      <c r="AH2030" s="11" t="s">
        <v>5158</v>
      </c>
      <c r="AI2030" s="8" t="b">
        <v>1</v>
      </c>
    </row>
    <row r="2031" spans="1:35" ht="31.2">
      <c r="A2031" s="8">
        <v>-73.974925130000003</v>
      </c>
      <c r="B2031" s="8">
        <v>40.7679112</v>
      </c>
      <c r="C2031" s="8" t="s">
        <v>5159</v>
      </c>
      <c r="D2031" s="8" t="s">
        <v>914</v>
      </c>
      <c r="E2031" s="8" t="b">
        <f t="shared" si="31"/>
        <v>0</v>
      </c>
      <c r="F2031" s="8" t="str" cm="1">
        <f t="array" ref="F2031">_xlfn._xlws.FILTER(E2031:E5229, C2031:C5229= "6D-PM-1020-01", "No Squirrels Found")</f>
        <v>No Squirrels Found</v>
      </c>
      <c r="G2031" s="8" t="s">
        <v>34</v>
      </c>
      <c r="H2031" s="10">
        <v>10132018</v>
      </c>
      <c r="I2031" s="10">
        <v>1</v>
      </c>
      <c r="J2031" s="8" t="s">
        <v>39</v>
      </c>
      <c r="K2031" s="8" t="s">
        <v>41</v>
      </c>
      <c r="L2031" s="8" t="s">
        <v>5106</v>
      </c>
      <c r="M2031" s="8" t="s">
        <v>5107</v>
      </c>
      <c r="O2031" s="8" t="s">
        <v>43</v>
      </c>
      <c r="P2031" s="8" t="b">
        <v>0</v>
      </c>
      <c r="R2031" s="8" t="b">
        <v>0</v>
      </c>
      <c r="S2031" s="8" t="b">
        <v>0</v>
      </c>
      <c r="T2031" s="8" t="b">
        <v>0</v>
      </c>
      <c r="U2031" s="8" t="b">
        <v>1</v>
      </c>
      <c r="V2031" s="8" t="b">
        <v>0</v>
      </c>
      <c r="X2031" s="8" t="b">
        <v>0</v>
      </c>
      <c r="Y2031" s="8" t="b">
        <v>0</v>
      </c>
      <c r="Z2031" s="8" t="b">
        <v>0</v>
      </c>
      <c r="AA2031" s="8" t="b">
        <v>0</v>
      </c>
      <c r="AB2031" s="8" t="b">
        <v>1</v>
      </c>
      <c r="AC2031" s="8" t="b">
        <v>1</v>
      </c>
      <c r="AD2031" s="8" t="b">
        <v>0</v>
      </c>
      <c r="AE2031" s="8" t="b">
        <v>0</v>
      </c>
      <c r="AG2031" s="11" t="b" cm="1">
        <f t="array" ref="AG2031">IF(OR(Y2031:AA2031="TRUE", AE2031="true"), "Threatened")</f>
        <v>0</v>
      </c>
      <c r="AH2031" s="11" t="s">
        <v>5160</v>
      </c>
      <c r="AI2031" s="8" t="b">
        <v>1</v>
      </c>
    </row>
    <row r="2032" spans="1:35" ht="31.2">
      <c r="A2032" s="8">
        <v>-73.979545479999999</v>
      </c>
      <c r="B2032" s="8">
        <v>40.768802690000001</v>
      </c>
      <c r="C2032" s="8" t="s">
        <v>5161</v>
      </c>
      <c r="D2032" s="8" t="s">
        <v>465</v>
      </c>
      <c r="E2032" s="8" t="b">
        <f t="shared" si="31"/>
        <v>0</v>
      </c>
      <c r="F2032" s="8" t="str" cm="1">
        <f t="array" ref="F2032">_xlfn._xlws.FILTER(E2032:E5230, C2032:C5230= "6D-PM-1020-01", "No Squirrels Found")</f>
        <v>No Squirrels Found</v>
      </c>
      <c r="G2032" s="8" t="s">
        <v>34</v>
      </c>
      <c r="H2032" s="10">
        <v>10072018</v>
      </c>
      <c r="I2032" s="10">
        <v>9</v>
      </c>
      <c r="J2032" s="8" t="s">
        <v>39</v>
      </c>
      <c r="M2032" s="8" t="s">
        <v>35</v>
      </c>
      <c r="R2032" s="8" t="b">
        <v>0</v>
      </c>
      <c r="S2032" s="8" t="b">
        <v>0</v>
      </c>
      <c r="T2032" s="8" t="b">
        <v>0</v>
      </c>
      <c r="U2032" s="8" t="b">
        <v>0</v>
      </c>
      <c r="V2032" s="8" t="b">
        <v>0</v>
      </c>
      <c r="X2032" s="8" t="b">
        <v>0</v>
      </c>
      <c r="Y2032" s="8" t="b">
        <v>0</v>
      </c>
      <c r="Z2032" s="8" t="b">
        <v>0</v>
      </c>
      <c r="AA2032" s="8" t="b">
        <v>0</v>
      </c>
      <c r="AB2032" s="8" t="b">
        <v>0</v>
      </c>
      <c r="AC2032" s="8" t="b">
        <v>0</v>
      </c>
      <c r="AD2032" s="8" t="b">
        <v>1</v>
      </c>
      <c r="AE2032" s="8" t="b">
        <v>0</v>
      </c>
      <c r="AG2032" s="11" t="b" cm="1">
        <f t="array" ref="AG2032">IF(OR(Y2032:AA2032="TRUE", AE2032="true"), "Threatened")</f>
        <v>0</v>
      </c>
      <c r="AH2032" s="11" t="s">
        <v>5162</v>
      </c>
      <c r="AI2032" s="8" t="b">
        <v>1</v>
      </c>
    </row>
    <row r="2033" spans="1:35" ht="31.2">
      <c r="A2033" s="8">
        <v>-73.959015710000003</v>
      </c>
      <c r="B2033" s="8">
        <v>40.79568845</v>
      </c>
      <c r="C2033" s="8" t="s">
        <v>5163</v>
      </c>
      <c r="D2033" s="8" t="s">
        <v>928</v>
      </c>
      <c r="E2033" s="8" t="b">
        <f t="shared" si="31"/>
        <v>0</v>
      </c>
      <c r="F2033" s="8" t="str" cm="1">
        <f t="array" ref="F2033">_xlfn._xlws.FILTER(E2033:E5231, C2033:C5231= "6D-PM-1020-01", "No Squirrels Found")</f>
        <v>No Squirrels Found</v>
      </c>
      <c r="G2033" s="8" t="s">
        <v>34</v>
      </c>
      <c r="H2033" s="10">
        <v>10132018</v>
      </c>
      <c r="I2033" s="10">
        <v>5</v>
      </c>
      <c r="J2033" s="8" t="s">
        <v>39</v>
      </c>
      <c r="K2033" s="8" t="s">
        <v>40</v>
      </c>
      <c r="M2033" s="8" t="s">
        <v>55</v>
      </c>
      <c r="O2033" s="8" t="s">
        <v>43</v>
      </c>
      <c r="P2033" s="8" t="b">
        <v>0</v>
      </c>
      <c r="R2033" s="8" t="b">
        <v>1</v>
      </c>
      <c r="S2033" s="8" t="b">
        <v>0</v>
      </c>
      <c r="T2033" s="8" t="b">
        <v>0</v>
      </c>
      <c r="U2033" s="8" t="b">
        <v>0</v>
      </c>
      <c r="V2033" s="8" t="b">
        <v>0</v>
      </c>
      <c r="X2033" s="8" t="b">
        <v>0</v>
      </c>
      <c r="Y2033" s="8" t="b">
        <v>0</v>
      </c>
      <c r="Z2033" s="8" t="b">
        <v>0</v>
      </c>
      <c r="AA2033" s="8" t="b">
        <v>0</v>
      </c>
      <c r="AB2033" s="8" t="b">
        <v>0</v>
      </c>
      <c r="AC2033" s="8" t="b">
        <v>0</v>
      </c>
      <c r="AD2033" s="8" t="b">
        <v>1</v>
      </c>
      <c r="AE2033" s="8" t="b">
        <v>0</v>
      </c>
      <c r="AG2033" s="11" t="b" cm="1">
        <f t="array" ref="AG2033">IF(OR(Y2033:AA2033="TRUE", AE2033="true"), "Threatened")</f>
        <v>0</v>
      </c>
      <c r="AH2033" s="11" t="s">
        <v>5164</v>
      </c>
      <c r="AI2033" s="8" t="b">
        <v>1</v>
      </c>
    </row>
    <row r="2034" spans="1:35" ht="31.2">
      <c r="A2034" s="8">
        <v>-73.950016759999997</v>
      </c>
      <c r="B2034" s="8">
        <v>40.796618580000001</v>
      </c>
      <c r="C2034" s="8" t="s">
        <v>5165</v>
      </c>
      <c r="D2034" s="8" t="s">
        <v>1379</v>
      </c>
      <c r="E2034" s="8" t="b">
        <f t="shared" si="31"/>
        <v>0</v>
      </c>
      <c r="F2034" s="8" t="str" cm="1">
        <f t="array" ref="F2034">_xlfn._xlws.FILTER(E2034:E5232, C2034:C5232= "6D-PM-1020-01", "No Squirrels Found")</f>
        <v>No Squirrels Found</v>
      </c>
      <c r="G2034" s="8" t="s">
        <v>48</v>
      </c>
      <c r="H2034" s="10">
        <v>10182018</v>
      </c>
      <c r="I2034" s="10">
        <v>1</v>
      </c>
      <c r="J2034" s="8" t="s">
        <v>54</v>
      </c>
      <c r="K2034" s="8" t="s">
        <v>41</v>
      </c>
      <c r="L2034" s="8" t="s">
        <v>40</v>
      </c>
      <c r="M2034" s="8" t="s">
        <v>110</v>
      </c>
      <c r="O2034" s="8" t="s">
        <v>43</v>
      </c>
      <c r="P2034" s="8" t="b">
        <v>0</v>
      </c>
      <c r="R2034" s="8" t="b">
        <v>1</v>
      </c>
      <c r="S2034" s="8" t="b">
        <v>0</v>
      </c>
      <c r="T2034" s="8" t="b">
        <v>0</v>
      </c>
      <c r="U2034" s="8" t="b">
        <v>0</v>
      </c>
      <c r="V2034" s="8" t="b">
        <v>0</v>
      </c>
      <c r="X2034" s="8" t="b">
        <v>0</v>
      </c>
      <c r="Y2034" s="8" t="b">
        <v>0</v>
      </c>
      <c r="Z2034" s="8" t="b">
        <v>0</v>
      </c>
      <c r="AA2034" s="8" t="b">
        <v>0</v>
      </c>
      <c r="AB2034" s="8" t="b">
        <v>1</v>
      </c>
      <c r="AC2034" s="8" t="b">
        <v>0</v>
      </c>
      <c r="AD2034" s="8" t="b">
        <v>0</v>
      </c>
      <c r="AE2034" s="8" t="b">
        <v>0</v>
      </c>
      <c r="AF2034" s="11" t="s">
        <v>5166</v>
      </c>
      <c r="AG2034" s="11" t="b" cm="1">
        <f t="array" ref="AG2034">IF(OR(Y2034:AA2034="TRUE", AE2034="true"), "Threatened")</f>
        <v>0</v>
      </c>
      <c r="AH2034" s="11" t="s">
        <v>5167</v>
      </c>
      <c r="AI2034" s="8" t="b">
        <v>1</v>
      </c>
    </row>
    <row r="2035" spans="1:35" ht="31.2">
      <c r="A2035" s="8">
        <v>-73.969913520000006</v>
      </c>
      <c r="B2035" s="8">
        <v>40.778235420000001</v>
      </c>
      <c r="C2035" s="8" t="s">
        <v>5168</v>
      </c>
      <c r="D2035" s="8" t="s">
        <v>721</v>
      </c>
      <c r="E2035" s="8" t="b">
        <f t="shared" si="31"/>
        <v>0</v>
      </c>
      <c r="F2035" s="8" t="str" cm="1">
        <f t="array" ref="F2035">_xlfn._xlws.FILTER(E2035:E5233, C2035:C5233= "6D-PM-1020-01", "No Squirrels Found")</f>
        <v>No Squirrels Found</v>
      </c>
      <c r="G2035" s="8" t="s">
        <v>48</v>
      </c>
      <c r="H2035" s="10">
        <v>10072018</v>
      </c>
      <c r="I2035" s="10">
        <v>3</v>
      </c>
      <c r="J2035" s="8" t="s">
        <v>39</v>
      </c>
      <c r="M2035" s="8" t="s">
        <v>35</v>
      </c>
      <c r="N2035" s="11" t="s">
        <v>5169</v>
      </c>
      <c r="O2035" s="8" t="s">
        <v>50</v>
      </c>
      <c r="P2035" s="8">
        <v>2</v>
      </c>
      <c r="R2035" s="8" t="b">
        <v>0</v>
      </c>
      <c r="S2035" s="8" t="b">
        <v>0</v>
      </c>
      <c r="T2035" s="8" t="b">
        <v>1</v>
      </c>
      <c r="U2035" s="8" t="b">
        <v>0</v>
      </c>
      <c r="V2035" s="8" t="b">
        <v>0</v>
      </c>
      <c r="X2035" s="8" t="b">
        <v>0</v>
      </c>
      <c r="Y2035" s="8" t="b">
        <v>0</v>
      </c>
      <c r="Z2035" s="8" t="b">
        <v>0</v>
      </c>
      <c r="AA2035" s="8" t="b">
        <v>0</v>
      </c>
      <c r="AB2035" s="8" t="b">
        <v>0</v>
      </c>
      <c r="AC2035" s="8" t="b">
        <v>0</v>
      </c>
      <c r="AD2035" s="8" t="b">
        <v>0</v>
      </c>
      <c r="AE2035" s="8" t="b">
        <v>1</v>
      </c>
      <c r="AG2035" s="11" t="b" cm="1">
        <f t="array" ref="AG2035">IF(OR(Y2035:AA2035="TRUE", AE2035="true"), "Threatened")</f>
        <v>0</v>
      </c>
      <c r="AH2035" s="11" t="s">
        <v>5170</v>
      </c>
      <c r="AI2035" s="8" t="b">
        <v>1</v>
      </c>
    </row>
    <row r="2036" spans="1:35" ht="31.2">
      <c r="A2036" s="8">
        <v>-73.952718489999995</v>
      </c>
      <c r="B2036" s="8">
        <v>40.792678590000001</v>
      </c>
      <c r="C2036" s="8" t="s">
        <v>5171</v>
      </c>
      <c r="D2036" s="8" t="s">
        <v>936</v>
      </c>
      <c r="E2036" s="8" t="b">
        <f t="shared" si="31"/>
        <v>0</v>
      </c>
      <c r="F2036" s="8" t="str" cm="1">
        <f t="array" ref="F2036">_xlfn._xlws.FILTER(E2036:E5234, C2036:C5234= "6D-PM-1020-01", "No Squirrels Found")</f>
        <v>No Squirrels Found</v>
      </c>
      <c r="G2036" s="8" t="s">
        <v>34</v>
      </c>
      <c r="H2036" s="10">
        <v>10062018</v>
      </c>
      <c r="I2036" s="10">
        <v>2</v>
      </c>
      <c r="J2036" s="8" t="s">
        <v>39</v>
      </c>
      <c r="K2036" s="8" t="s">
        <v>40</v>
      </c>
      <c r="M2036" s="8" t="s">
        <v>55</v>
      </c>
      <c r="O2036" s="8" t="s">
        <v>43</v>
      </c>
      <c r="P2036" s="8" t="b">
        <v>0</v>
      </c>
      <c r="R2036" s="8" t="b">
        <v>0</v>
      </c>
      <c r="S2036" s="8" t="b">
        <v>0</v>
      </c>
      <c r="T2036" s="8" t="b">
        <v>0</v>
      </c>
      <c r="U2036" s="8" t="b">
        <v>0</v>
      </c>
      <c r="V2036" s="8" t="b">
        <v>1</v>
      </c>
      <c r="X2036" s="8" t="b">
        <v>0</v>
      </c>
      <c r="Y2036" s="8" t="b">
        <v>0</v>
      </c>
      <c r="Z2036" s="8" t="b">
        <v>0</v>
      </c>
      <c r="AA2036" s="8" t="b">
        <v>0</v>
      </c>
      <c r="AB2036" s="8" t="b">
        <v>0</v>
      </c>
      <c r="AC2036" s="8" t="b">
        <v>0</v>
      </c>
      <c r="AD2036" s="8" t="b">
        <v>1</v>
      </c>
      <c r="AE2036" s="8" t="b">
        <v>0</v>
      </c>
      <c r="AG2036" s="11" t="b" cm="1">
        <f t="array" ref="AG2036">IF(OR(Y2036:AA2036="TRUE", AE2036="true"), "Threatened")</f>
        <v>0</v>
      </c>
      <c r="AH2036" s="11" t="s">
        <v>5172</v>
      </c>
      <c r="AI2036" s="8" t="b">
        <v>1</v>
      </c>
    </row>
    <row r="2037" spans="1:35" ht="31.2">
      <c r="A2037" s="8">
        <v>-73.961026669999995</v>
      </c>
      <c r="B2037" s="8">
        <v>40.781751210000003</v>
      </c>
      <c r="C2037" s="8" t="s">
        <v>5173</v>
      </c>
      <c r="D2037" s="8" t="s">
        <v>3112</v>
      </c>
      <c r="E2037" s="8" t="b">
        <f t="shared" si="31"/>
        <v>0</v>
      </c>
      <c r="F2037" s="8" t="str" cm="1">
        <f t="array" ref="F2037">_xlfn._xlws.FILTER(E2037:E5235, C2037:C5235= "6D-PM-1020-01", "No Squirrels Found")</f>
        <v>No Squirrels Found</v>
      </c>
      <c r="G2037" s="8" t="s">
        <v>34</v>
      </c>
      <c r="H2037" s="10">
        <v>10192018</v>
      </c>
      <c r="I2037" s="10">
        <v>3</v>
      </c>
      <c r="J2037" s="8" t="s">
        <v>39</v>
      </c>
      <c r="K2037" s="8" t="s">
        <v>40</v>
      </c>
      <c r="M2037" s="8" t="s">
        <v>55</v>
      </c>
      <c r="O2037" s="8" t="s">
        <v>43</v>
      </c>
      <c r="P2037" s="8" t="b">
        <v>0</v>
      </c>
      <c r="R2037" s="8" t="b">
        <v>0</v>
      </c>
      <c r="S2037" s="8" t="b">
        <v>0</v>
      </c>
      <c r="T2037" s="8" t="b">
        <v>0</v>
      </c>
      <c r="U2037" s="8" t="b">
        <v>0</v>
      </c>
      <c r="V2037" s="8" t="b">
        <v>1</v>
      </c>
      <c r="X2037" s="8" t="b">
        <v>0</v>
      </c>
      <c r="Y2037" s="8" t="b">
        <v>0</v>
      </c>
      <c r="Z2037" s="8" t="b">
        <v>0</v>
      </c>
      <c r="AA2037" s="8" t="b">
        <v>0</v>
      </c>
      <c r="AB2037" s="8" t="b">
        <v>0</v>
      </c>
      <c r="AC2037" s="8" t="b">
        <v>0</v>
      </c>
      <c r="AD2037" s="8" t="b">
        <v>0</v>
      </c>
      <c r="AE2037" s="8" t="b">
        <v>0</v>
      </c>
      <c r="AG2037" s="11" t="b" cm="1">
        <f t="array" ref="AG2037">IF(OR(Y2037:AA2037="TRUE", AE2037="true"), "Threatened")</f>
        <v>0</v>
      </c>
      <c r="AH2037" s="11" t="s">
        <v>5174</v>
      </c>
      <c r="AI2037" s="8" t="b">
        <v>1</v>
      </c>
    </row>
    <row r="2038" spans="1:35" ht="31.2">
      <c r="A2038" s="8">
        <v>-73.968337039999994</v>
      </c>
      <c r="B2038" s="8">
        <v>40.78135984</v>
      </c>
      <c r="C2038" s="8" t="s">
        <v>5175</v>
      </c>
      <c r="D2038" s="8" t="s">
        <v>223</v>
      </c>
      <c r="E2038" s="8" t="b">
        <f t="shared" si="31"/>
        <v>0</v>
      </c>
      <c r="F2038" s="8" t="str" cm="1">
        <f t="array" ref="F2038">_xlfn._xlws.FILTER(E2038:E5236, C2038:C5236= "6D-PM-1020-01", "No Squirrels Found")</f>
        <v>No Squirrels Found</v>
      </c>
      <c r="G2038" s="8" t="s">
        <v>48</v>
      </c>
      <c r="H2038" s="10">
        <v>10072018</v>
      </c>
      <c r="I2038" s="10">
        <v>2</v>
      </c>
      <c r="J2038" s="8" t="s">
        <v>39</v>
      </c>
      <c r="K2038" s="8" t="s">
        <v>40</v>
      </c>
      <c r="L2038" s="8" t="s">
        <v>41</v>
      </c>
      <c r="M2038" s="8" t="s">
        <v>42</v>
      </c>
      <c r="O2038" s="8" t="s">
        <v>50</v>
      </c>
      <c r="P2038" s="8">
        <v>2</v>
      </c>
      <c r="R2038" s="8" t="b">
        <v>0</v>
      </c>
      <c r="S2038" s="8" t="b">
        <v>0</v>
      </c>
      <c r="T2038" s="8" t="b">
        <v>1</v>
      </c>
      <c r="U2038" s="8" t="b">
        <v>0</v>
      </c>
      <c r="V2038" s="8" t="b">
        <v>1</v>
      </c>
      <c r="X2038" s="8" t="b">
        <v>0</v>
      </c>
      <c r="Y2038" s="8" t="b">
        <v>0</v>
      </c>
      <c r="Z2038" s="8" t="b">
        <v>0</v>
      </c>
      <c r="AA2038" s="8" t="b">
        <v>0</v>
      </c>
      <c r="AB2038" s="8" t="b">
        <v>1</v>
      </c>
      <c r="AC2038" s="8" t="b">
        <v>0</v>
      </c>
      <c r="AD2038" s="8" t="b">
        <v>0</v>
      </c>
      <c r="AE2038" s="8" t="b">
        <v>0</v>
      </c>
      <c r="AF2038" s="11" t="s">
        <v>5176</v>
      </c>
      <c r="AG2038" s="11" t="b" cm="1">
        <f t="array" ref="AG2038">IF(OR(Y2038:AA2038="TRUE", AE2038="true"), "Threatened")</f>
        <v>0</v>
      </c>
      <c r="AH2038" s="11" t="s">
        <v>5177</v>
      </c>
      <c r="AI2038" s="8" t="b">
        <v>1</v>
      </c>
    </row>
    <row r="2039" spans="1:35" ht="31.2">
      <c r="A2039" s="8">
        <v>-73.980356209999997</v>
      </c>
      <c r="B2039" s="8">
        <v>40.768578099999999</v>
      </c>
      <c r="C2039" s="8" t="s">
        <v>5178</v>
      </c>
      <c r="D2039" s="8" t="s">
        <v>219</v>
      </c>
      <c r="E2039" s="8" t="b">
        <f t="shared" si="31"/>
        <v>0</v>
      </c>
      <c r="F2039" s="8" t="str" cm="1">
        <f t="array" ref="F2039">_xlfn._xlws.FILTER(E2039:E5237, C2039:C5237= "6D-PM-1020-01", "No Squirrels Found")</f>
        <v>No Squirrels Found</v>
      </c>
      <c r="G2039" s="8" t="s">
        <v>48</v>
      </c>
      <c r="H2039" s="10">
        <v>10102018</v>
      </c>
      <c r="I2039" s="10">
        <v>2</v>
      </c>
      <c r="J2039" s="8" t="s">
        <v>54</v>
      </c>
      <c r="K2039" s="8" t="s">
        <v>40</v>
      </c>
      <c r="M2039" s="8" t="s">
        <v>55</v>
      </c>
      <c r="O2039" s="8" t="s">
        <v>43</v>
      </c>
      <c r="P2039" s="8" t="b">
        <v>0</v>
      </c>
      <c r="R2039" s="8" t="b">
        <v>1</v>
      </c>
      <c r="S2039" s="8" t="b">
        <v>0</v>
      </c>
      <c r="T2039" s="8" t="b">
        <v>0</v>
      </c>
      <c r="U2039" s="8" t="b">
        <v>0</v>
      </c>
      <c r="V2039" s="8" t="b">
        <v>0</v>
      </c>
      <c r="X2039" s="8" t="b">
        <v>0</v>
      </c>
      <c r="Y2039" s="8" t="b">
        <v>0</v>
      </c>
      <c r="Z2039" s="8" t="b">
        <v>0</v>
      </c>
      <c r="AA2039" s="8" t="b">
        <v>1</v>
      </c>
      <c r="AB2039" s="8" t="b">
        <v>0</v>
      </c>
      <c r="AC2039" s="8" t="b">
        <v>0</v>
      </c>
      <c r="AD2039" s="8" t="b">
        <v>0</v>
      </c>
      <c r="AE2039" s="8" t="b">
        <v>1</v>
      </c>
      <c r="AG2039" s="11" t="b" cm="1">
        <f t="array" ref="AG2039">IF(OR(Y2039:AA2039="TRUE", AE2039="true"), "Threatened")</f>
        <v>0</v>
      </c>
      <c r="AH2039" s="11" t="s">
        <v>5179</v>
      </c>
      <c r="AI2039" s="8" t="b">
        <v>1</v>
      </c>
    </row>
    <row r="2040" spans="1:35" ht="31.2">
      <c r="A2040" s="8">
        <v>-73.970837180000004</v>
      </c>
      <c r="B2040" s="8">
        <v>40.776481369999999</v>
      </c>
      <c r="C2040" s="8" t="s">
        <v>5180</v>
      </c>
      <c r="D2040" s="8" t="s">
        <v>741</v>
      </c>
      <c r="E2040" s="8" t="b">
        <f t="shared" si="31"/>
        <v>0</v>
      </c>
      <c r="F2040" s="8" t="str" cm="1">
        <f t="array" ref="F2040">_xlfn._xlws.FILTER(E2040:E5238, C2040:C5238= "6D-PM-1020-01", "No Squirrels Found")</f>
        <v>No Squirrels Found</v>
      </c>
      <c r="G2040" s="8" t="s">
        <v>48</v>
      </c>
      <c r="H2040" s="10">
        <v>10142018</v>
      </c>
      <c r="I2040" s="10">
        <v>14</v>
      </c>
      <c r="J2040" s="8" t="s">
        <v>39</v>
      </c>
      <c r="K2040" s="8" t="s">
        <v>40</v>
      </c>
      <c r="L2040" s="8" t="s">
        <v>117</v>
      </c>
      <c r="M2040" s="8" t="s">
        <v>118</v>
      </c>
      <c r="R2040" s="8" t="b">
        <v>0</v>
      </c>
      <c r="S2040" s="8" t="b">
        <v>0</v>
      </c>
      <c r="T2040" s="8" t="b">
        <v>0</v>
      </c>
      <c r="U2040" s="8" t="b">
        <v>0</v>
      </c>
      <c r="V2040" s="8" t="b">
        <v>1</v>
      </c>
      <c r="X2040" s="8" t="b">
        <v>0</v>
      </c>
      <c r="Y2040" s="8" t="b">
        <v>0</v>
      </c>
      <c r="Z2040" s="8" t="b">
        <v>0</v>
      </c>
      <c r="AA2040" s="8" t="b">
        <v>0</v>
      </c>
      <c r="AB2040" s="8" t="b">
        <v>0</v>
      </c>
      <c r="AC2040" s="8" t="b">
        <v>0</v>
      </c>
      <c r="AD2040" s="8" t="b">
        <v>1</v>
      </c>
      <c r="AE2040" s="8" t="b">
        <v>0</v>
      </c>
      <c r="AG2040" s="11" t="b" cm="1">
        <f t="array" ref="AG2040">IF(OR(Y2040:AA2040="TRUE", AE2040="true"), "Threatened")</f>
        <v>0</v>
      </c>
      <c r="AH2040" s="11" t="s">
        <v>5181</v>
      </c>
      <c r="AI2040" s="8" t="b">
        <v>1</v>
      </c>
    </row>
    <row r="2041" spans="1:35" ht="31.2">
      <c r="A2041" s="8">
        <v>-73.964816729999995</v>
      </c>
      <c r="B2041" s="8">
        <v>40.781116500000003</v>
      </c>
      <c r="C2041" s="8" t="s">
        <v>5182</v>
      </c>
      <c r="D2041" s="8" t="s">
        <v>574</v>
      </c>
      <c r="E2041" s="8" t="b">
        <f t="shared" si="31"/>
        <v>0</v>
      </c>
      <c r="F2041" s="8" t="str" cm="1">
        <f t="array" ref="F2041">_xlfn._xlws.FILTER(E2041:E5239, C2041:C5239= "6D-PM-1020-01", "No Squirrels Found")</f>
        <v>No Squirrels Found</v>
      </c>
      <c r="G2041" s="8" t="s">
        <v>34</v>
      </c>
      <c r="H2041" s="10">
        <v>10072018</v>
      </c>
      <c r="I2041" s="10">
        <v>2</v>
      </c>
      <c r="J2041" s="8" t="s">
        <v>39</v>
      </c>
      <c r="K2041" s="8" t="s">
        <v>40</v>
      </c>
      <c r="L2041" s="8" t="s">
        <v>84</v>
      </c>
      <c r="M2041" s="8" t="s">
        <v>103</v>
      </c>
      <c r="N2041" s="11" t="s">
        <v>5183</v>
      </c>
      <c r="O2041" s="8" t="s">
        <v>43</v>
      </c>
      <c r="P2041" s="8" t="b">
        <v>0</v>
      </c>
      <c r="R2041" s="8" t="b">
        <v>0</v>
      </c>
      <c r="S2041" s="8" t="b">
        <v>0</v>
      </c>
      <c r="T2041" s="8" t="b">
        <v>0</v>
      </c>
      <c r="U2041" s="8" t="b">
        <v>1</v>
      </c>
      <c r="V2041" s="8" t="b">
        <v>1</v>
      </c>
      <c r="W2041" s="11" t="s">
        <v>5184</v>
      </c>
      <c r="X2041" s="8" t="b">
        <v>0</v>
      </c>
      <c r="Y2041" s="8" t="b">
        <v>0</v>
      </c>
      <c r="Z2041" s="8" t="b">
        <v>0</v>
      </c>
      <c r="AA2041" s="8" t="b">
        <v>0</v>
      </c>
      <c r="AB2041" s="8" t="b">
        <v>1</v>
      </c>
      <c r="AC2041" s="8" t="b">
        <v>0</v>
      </c>
      <c r="AD2041" s="8" t="b">
        <v>0</v>
      </c>
      <c r="AE2041" s="8" t="b">
        <v>1</v>
      </c>
      <c r="AG2041" s="11" t="b" cm="1">
        <f t="array" ref="AG2041">IF(OR(Y2041:AA2041="TRUE", AE2041="true"), "Threatened")</f>
        <v>0</v>
      </c>
      <c r="AH2041" s="11" t="s">
        <v>5185</v>
      </c>
      <c r="AI2041" s="8" t="b">
        <v>0</v>
      </c>
    </row>
    <row r="2042" spans="1:35" ht="31.2">
      <c r="A2042" s="8">
        <v>-73.965179669999998</v>
      </c>
      <c r="B2042" s="8">
        <v>40.778557829999997</v>
      </c>
      <c r="C2042" s="8" t="s">
        <v>5186</v>
      </c>
      <c r="D2042" s="8" t="s">
        <v>520</v>
      </c>
      <c r="E2042" s="8" t="b">
        <f t="shared" si="31"/>
        <v>0</v>
      </c>
      <c r="F2042" s="8" t="str" cm="1">
        <f t="array" ref="F2042">_xlfn._xlws.FILTER(E2042:E5240, C2042:C5240= "6D-PM-1020-01", "No Squirrels Found")</f>
        <v>No Squirrels Found</v>
      </c>
      <c r="G2042" s="8" t="s">
        <v>48</v>
      </c>
      <c r="H2042" s="10">
        <v>10142018</v>
      </c>
      <c r="I2042" s="10">
        <v>3</v>
      </c>
      <c r="J2042" s="8" t="s">
        <v>39</v>
      </c>
      <c r="K2042" s="8" t="s">
        <v>40</v>
      </c>
      <c r="L2042" s="8" t="s">
        <v>84</v>
      </c>
      <c r="M2042" s="8" t="s">
        <v>103</v>
      </c>
      <c r="O2042" s="8" t="s">
        <v>43</v>
      </c>
      <c r="P2042" s="8" t="b">
        <v>0</v>
      </c>
      <c r="R2042" s="8" t="b">
        <v>1</v>
      </c>
      <c r="S2042" s="8" t="b">
        <v>0</v>
      </c>
      <c r="T2042" s="8" t="b">
        <v>0</v>
      </c>
      <c r="U2042" s="8" t="b">
        <v>0</v>
      </c>
      <c r="V2042" s="8" t="b">
        <v>0</v>
      </c>
      <c r="X2042" s="8" t="b">
        <v>0</v>
      </c>
      <c r="Y2042" s="8" t="b">
        <v>0</v>
      </c>
      <c r="Z2042" s="8" t="b">
        <v>0</v>
      </c>
      <c r="AA2042" s="8" t="b">
        <v>0</v>
      </c>
      <c r="AB2042" s="8" t="b">
        <v>0</v>
      </c>
      <c r="AC2042" s="8" t="b">
        <v>0</v>
      </c>
      <c r="AD2042" s="8" t="b">
        <v>1</v>
      </c>
      <c r="AE2042" s="8" t="b">
        <v>0</v>
      </c>
      <c r="AG2042" s="11" t="b" cm="1">
        <f t="array" ref="AG2042">IF(OR(Y2042:AA2042="TRUE", AE2042="true"), "Threatened")</f>
        <v>0</v>
      </c>
      <c r="AH2042" s="11" t="s">
        <v>5187</v>
      </c>
      <c r="AI2042" s="8" t="b">
        <v>1</v>
      </c>
    </row>
    <row r="2043" spans="1:35" ht="31.2">
      <c r="A2043" s="8">
        <v>-73.980089660000004</v>
      </c>
      <c r="B2043" s="8">
        <v>40.768437980000002</v>
      </c>
      <c r="C2043" s="8" t="s">
        <v>5188</v>
      </c>
      <c r="D2043" s="8" t="s">
        <v>219</v>
      </c>
      <c r="E2043" s="8" t="b">
        <f t="shared" si="31"/>
        <v>0</v>
      </c>
      <c r="F2043" s="8" t="str" cm="1">
        <f t="array" ref="F2043">_xlfn._xlws.FILTER(E2043:E5241, C2043:C5241= "6D-PM-1020-01", "No Squirrels Found")</f>
        <v>No Squirrels Found</v>
      </c>
      <c r="G2043" s="8" t="s">
        <v>34</v>
      </c>
      <c r="H2043" s="10">
        <v>10132018</v>
      </c>
      <c r="I2043" s="10">
        <v>3</v>
      </c>
      <c r="J2043" s="8" t="s">
        <v>39</v>
      </c>
      <c r="K2043" s="8" t="s">
        <v>40</v>
      </c>
      <c r="L2043" s="8" t="s">
        <v>84</v>
      </c>
      <c r="M2043" s="8" t="s">
        <v>103</v>
      </c>
      <c r="O2043" s="8" t="s">
        <v>43</v>
      </c>
      <c r="P2043" s="8" t="b">
        <v>0</v>
      </c>
      <c r="R2043" s="8" t="b">
        <v>0</v>
      </c>
      <c r="S2043" s="8" t="b">
        <v>0</v>
      </c>
      <c r="T2043" s="8" t="b">
        <v>0</v>
      </c>
      <c r="U2043" s="8" t="b">
        <v>0</v>
      </c>
      <c r="V2043" s="8" t="b">
        <v>0</v>
      </c>
      <c r="X2043" s="8" t="b">
        <v>0</v>
      </c>
      <c r="Y2043" s="8" t="b">
        <v>0</v>
      </c>
      <c r="Z2043" s="8" t="b">
        <v>0</v>
      </c>
      <c r="AA2043" s="8" t="b">
        <v>0</v>
      </c>
      <c r="AB2043" s="8" t="b">
        <v>0</v>
      </c>
      <c r="AC2043" s="8" t="b">
        <v>0</v>
      </c>
      <c r="AD2043" s="8" t="b">
        <v>0</v>
      </c>
      <c r="AE2043" s="8" t="b">
        <v>0</v>
      </c>
      <c r="AG2043" s="11" t="b" cm="1">
        <f t="array" ref="AG2043">IF(OR(Y2043:AA2043="TRUE", AE2043="true"), "Threatened")</f>
        <v>0</v>
      </c>
      <c r="AH2043" s="11" t="s">
        <v>5189</v>
      </c>
      <c r="AI2043" s="8" t="b">
        <v>1</v>
      </c>
    </row>
    <row r="2044" spans="1:35" ht="31.2">
      <c r="A2044" s="8">
        <v>-73.964322300000006</v>
      </c>
      <c r="B2044" s="8">
        <v>40.781431910000002</v>
      </c>
      <c r="C2044" s="8" t="s">
        <v>5190</v>
      </c>
      <c r="D2044" s="8" t="s">
        <v>1202</v>
      </c>
      <c r="E2044" s="8" t="b">
        <f t="shared" si="31"/>
        <v>0</v>
      </c>
      <c r="F2044" s="8" t="str" cm="1">
        <f t="array" ref="F2044">_xlfn._xlws.FILTER(E2044:E5242, C2044:C5242= "6D-PM-1020-01", "No Squirrels Found")</f>
        <v>No Squirrels Found</v>
      </c>
      <c r="G2044" s="8" t="s">
        <v>48</v>
      </c>
      <c r="H2044" s="10">
        <v>10182018</v>
      </c>
      <c r="I2044" s="10">
        <v>3</v>
      </c>
      <c r="J2044" s="8" t="s">
        <v>39</v>
      </c>
      <c r="K2044" s="8" t="s">
        <v>41</v>
      </c>
      <c r="L2044" s="8" t="s">
        <v>40</v>
      </c>
      <c r="M2044" s="8" t="s">
        <v>110</v>
      </c>
      <c r="O2044" s="8" t="s">
        <v>43</v>
      </c>
      <c r="P2044" s="8" t="b">
        <v>0</v>
      </c>
      <c r="R2044" s="8" t="b">
        <v>0</v>
      </c>
      <c r="S2044" s="8" t="b">
        <v>0</v>
      </c>
      <c r="T2044" s="8" t="b">
        <v>0</v>
      </c>
      <c r="U2044" s="8" t="b">
        <v>0</v>
      </c>
      <c r="V2044" s="8" t="b">
        <v>0</v>
      </c>
      <c r="W2044" s="11" t="s">
        <v>5191</v>
      </c>
      <c r="X2044" s="8" t="b">
        <v>0</v>
      </c>
      <c r="Y2044" s="8" t="b">
        <v>0</v>
      </c>
      <c r="Z2044" s="8" t="b">
        <v>0</v>
      </c>
      <c r="AA2044" s="8" t="b">
        <v>0</v>
      </c>
      <c r="AB2044" s="8" t="b">
        <v>0</v>
      </c>
      <c r="AC2044" s="8" t="b">
        <v>0</v>
      </c>
      <c r="AD2044" s="8" t="b">
        <v>0</v>
      </c>
      <c r="AE2044" s="8" t="b">
        <v>1</v>
      </c>
      <c r="AG2044" s="11" t="b" cm="1">
        <f t="array" ref="AG2044">IF(OR(Y2044:AA2044="TRUE", AE2044="true"), "Threatened")</f>
        <v>0</v>
      </c>
      <c r="AH2044" s="11" t="s">
        <v>5192</v>
      </c>
      <c r="AI2044" s="8" t="b">
        <v>0</v>
      </c>
    </row>
    <row r="2045" spans="1:35" ht="31.2">
      <c r="A2045" s="8">
        <v>-73.977155229999994</v>
      </c>
      <c r="B2045" s="8">
        <v>40.770691759999998</v>
      </c>
      <c r="C2045" s="8" t="s">
        <v>5193</v>
      </c>
      <c r="D2045" s="8" t="s">
        <v>109</v>
      </c>
      <c r="E2045" s="8" t="b">
        <f t="shared" si="31"/>
        <v>0</v>
      </c>
      <c r="F2045" s="8" t="str" cm="1">
        <f t="array" ref="F2045">_xlfn._xlws.FILTER(E2045:E5243, C2045:C5243= "6D-PM-1020-01", "No Squirrels Found")</f>
        <v>No Squirrels Found</v>
      </c>
      <c r="G2045" s="8" t="s">
        <v>48</v>
      </c>
      <c r="H2045" s="10">
        <v>10062018</v>
      </c>
      <c r="I2045" s="10">
        <v>1</v>
      </c>
      <c r="J2045" s="8" t="s">
        <v>39</v>
      </c>
      <c r="K2045" s="8" t="s">
        <v>41</v>
      </c>
      <c r="L2045" s="8" t="s">
        <v>84</v>
      </c>
      <c r="M2045" s="8" t="s">
        <v>85</v>
      </c>
      <c r="O2045" s="8" t="s">
        <v>43</v>
      </c>
      <c r="P2045" s="8" t="b">
        <v>0</v>
      </c>
      <c r="R2045" s="8" t="b">
        <v>1</v>
      </c>
      <c r="S2045" s="8" t="b">
        <v>0</v>
      </c>
      <c r="T2045" s="8" t="b">
        <v>1</v>
      </c>
      <c r="U2045" s="8" t="b">
        <v>0</v>
      </c>
      <c r="V2045" s="8" t="b">
        <v>0</v>
      </c>
      <c r="X2045" s="8" t="b">
        <v>0</v>
      </c>
      <c r="Y2045" s="8" t="b">
        <v>0</v>
      </c>
      <c r="Z2045" s="8" t="b">
        <v>0</v>
      </c>
      <c r="AA2045" s="8" t="b">
        <v>1</v>
      </c>
      <c r="AB2045" s="8" t="b">
        <v>0</v>
      </c>
      <c r="AC2045" s="8" t="b">
        <v>1</v>
      </c>
      <c r="AD2045" s="8" t="b">
        <v>0</v>
      </c>
      <c r="AE2045" s="8" t="b">
        <v>0</v>
      </c>
      <c r="AG2045" s="11" t="b" cm="1">
        <f t="array" ref="AG2045">IF(OR(Y2045:AA2045="TRUE", AE2045="true"), "Threatened")</f>
        <v>0</v>
      </c>
      <c r="AH2045" s="11" t="s">
        <v>5194</v>
      </c>
      <c r="AI2045" s="8" t="b">
        <v>1</v>
      </c>
    </row>
    <row r="2046" spans="1:35" ht="31.2">
      <c r="A2046" s="8">
        <v>-73.956417310000006</v>
      </c>
      <c r="B2046" s="8">
        <v>40.799155849999998</v>
      </c>
      <c r="C2046" s="8" t="s">
        <v>5195</v>
      </c>
      <c r="D2046" s="8" t="s">
        <v>350</v>
      </c>
      <c r="E2046" s="8" t="b">
        <f t="shared" si="31"/>
        <v>0</v>
      </c>
      <c r="F2046" s="8" t="str" cm="1">
        <f t="array" ref="F2046">_xlfn._xlws.FILTER(E2046:E5244, C2046:C5244= "6D-PM-1020-01", "No Squirrels Found")</f>
        <v>No Squirrels Found</v>
      </c>
      <c r="G2046" s="8" t="s">
        <v>34</v>
      </c>
      <c r="H2046" s="10">
        <v>10132018</v>
      </c>
      <c r="I2046" s="10">
        <v>2</v>
      </c>
      <c r="J2046" s="8" t="s">
        <v>39</v>
      </c>
      <c r="K2046" s="8" t="s">
        <v>40</v>
      </c>
      <c r="L2046" s="8" t="s">
        <v>41</v>
      </c>
      <c r="M2046" s="8" t="s">
        <v>42</v>
      </c>
      <c r="O2046" s="8" t="s">
        <v>43</v>
      </c>
      <c r="P2046" s="8" t="b">
        <v>0</v>
      </c>
      <c r="R2046" s="8" t="b">
        <v>0</v>
      </c>
      <c r="S2046" s="8" t="b">
        <v>0</v>
      </c>
      <c r="T2046" s="8" t="b">
        <v>0</v>
      </c>
      <c r="U2046" s="8" t="b">
        <v>0</v>
      </c>
      <c r="V2046" s="8" t="b">
        <v>1</v>
      </c>
      <c r="X2046" s="8" t="b">
        <v>0</v>
      </c>
      <c r="Y2046" s="8" t="b">
        <v>0</v>
      </c>
      <c r="Z2046" s="8" t="b">
        <v>0</v>
      </c>
      <c r="AA2046" s="8" t="b">
        <v>0</v>
      </c>
      <c r="AB2046" s="8" t="b">
        <v>0</v>
      </c>
      <c r="AC2046" s="8" t="b">
        <v>0</v>
      </c>
      <c r="AD2046" s="8" t="b">
        <v>1</v>
      </c>
      <c r="AE2046" s="8" t="b">
        <v>0</v>
      </c>
      <c r="AG2046" s="11" t="b" cm="1">
        <f t="array" ref="AG2046">IF(OR(Y2046:AA2046="TRUE", AE2046="true"), "Threatened")</f>
        <v>0</v>
      </c>
      <c r="AH2046" s="11" t="s">
        <v>5196</v>
      </c>
      <c r="AI2046" s="8" t="b">
        <v>1</v>
      </c>
    </row>
    <row r="2047" spans="1:35" ht="31.2">
      <c r="A2047" s="8">
        <v>-73.970641490000006</v>
      </c>
      <c r="B2047" s="8">
        <v>40.773275480000002</v>
      </c>
      <c r="C2047" s="8" t="s">
        <v>5197</v>
      </c>
      <c r="D2047" s="8" t="s">
        <v>1168</v>
      </c>
      <c r="E2047" s="8" t="b">
        <f t="shared" si="31"/>
        <v>0</v>
      </c>
      <c r="F2047" s="8" t="str" cm="1">
        <f t="array" ref="F2047">_xlfn._xlws.FILTER(E2047:E5245, C2047:C5245= "6D-PM-1020-01", "No Squirrels Found")</f>
        <v>No Squirrels Found</v>
      </c>
      <c r="G2047" s="8" t="s">
        <v>34</v>
      </c>
      <c r="H2047" s="10">
        <v>10062018</v>
      </c>
      <c r="I2047" s="10">
        <v>1</v>
      </c>
      <c r="J2047" s="8" t="s">
        <v>39</v>
      </c>
      <c r="K2047" s="8" t="s">
        <v>40</v>
      </c>
      <c r="M2047" s="8" t="s">
        <v>55</v>
      </c>
      <c r="O2047" s="8" t="s">
        <v>43</v>
      </c>
      <c r="P2047" s="8" t="b">
        <v>0</v>
      </c>
      <c r="R2047" s="8" t="b">
        <v>0</v>
      </c>
      <c r="S2047" s="8" t="b">
        <v>0</v>
      </c>
      <c r="T2047" s="8" t="b">
        <v>0</v>
      </c>
      <c r="U2047" s="8" t="b">
        <v>0</v>
      </c>
      <c r="V2047" s="8" t="b">
        <v>0</v>
      </c>
      <c r="W2047" s="11" t="s">
        <v>141</v>
      </c>
      <c r="X2047" s="8" t="b">
        <v>0</v>
      </c>
      <c r="Y2047" s="8" t="b">
        <v>0</v>
      </c>
      <c r="Z2047" s="8" t="b">
        <v>0</v>
      </c>
      <c r="AA2047" s="8" t="b">
        <v>0</v>
      </c>
      <c r="AB2047" s="8" t="b">
        <v>0</v>
      </c>
      <c r="AC2047" s="8" t="b">
        <v>0</v>
      </c>
      <c r="AD2047" s="8" t="b">
        <v>1</v>
      </c>
      <c r="AE2047" s="8" t="b">
        <v>0</v>
      </c>
      <c r="AG2047" s="11" t="b" cm="1">
        <f t="array" ref="AG2047">IF(OR(Y2047:AA2047="TRUE", AE2047="true"), "Threatened")</f>
        <v>0</v>
      </c>
      <c r="AH2047" s="11" t="s">
        <v>5198</v>
      </c>
      <c r="AI2047" s="8" t="b">
        <v>0</v>
      </c>
    </row>
    <row r="2048" spans="1:35" ht="31.2">
      <c r="A2048" s="8">
        <v>-73.97216564</v>
      </c>
      <c r="B2048" s="8">
        <v>40.772286909999998</v>
      </c>
      <c r="C2048" s="8" t="s">
        <v>5199</v>
      </c>
      <c r="D2048" s="8" t="s">
        <v>527</v>
      </c>
      <c r="E2048" s="8" t="b">
        <f t="shared" si="31"/>
        <v>0</v>
      </c>
      <c r="F2048" s="8" t="str" cm="1">
        <f t="array" ref="F2048">_xlfn._xlws.FILTER(E2048:E5246, C2048:C5246= "6D-PM-1020-01", "No Squirrels Found")</f>
        <v>No Squirrels Found</v>
      </c>
      <c r="G2048" s="8" t="s">
        <v>34</v>
      </c>
      <c r="H2048" s="10">
        <v>10142018</v>
      </c>
      <c r="I2048" s="10">
        <v>8</v>
      </c>
      <c r="J2048" s="8" t="s">
        <v>39</v>
      </c>
      <c r="K2048" s="8" t="s">
        <v>40</v>
      </c>
      <c r="L2048" s="8" t="s">
        <v>41</v>
      </c>
      <c r="M2048" s="8" t="s">
        <v>42</v>
      </c>
      <c r="O2048" s="8" t="s">
        <v>43</v>
      </c>
      <c r="P2048" s="8" t="b">
        <v>0</v>
      </c>
      <c r="R2048" s="8" t="b">
        <v>0</v>
      </c>
      <c r="S2048" s="8" t="b">
        <v>0</v>
      </c>
      <c r="T2048" s="8" t="b">
        <v>0</v>
      </c>
      <c r="U2048" s="8" t="b">
        <v>1</v>
      </c>
      <c r="V2048" s="8" t="b">
        <v>0</v>
      </c>
      <c r="X2048" s="8" t="b">
        <v>0</v>
      </c>
      <c r="Y2048" s="8" t="b">
        <v>0</v>
      </c>
      <c r="Z2048" s="8" t="b">
        <v>0</v>
      </c>
      <c r="AA2048" s="8" t="b">
        <v>0</v>
      </c>
      <c r="AB2048" s="8" t="b">
        <v>0</v>
      </c>
      <c r="AC2048" s="8" t="b">
        <v>0</v>
      </c>
      <c r="AD2048" s="8" t="b">
        <v>0</v>
      </c>
      <c r="AE2048" s="8" t="b">
        <v>0</v>
      </c>
      <c r="AF2048" s="11" t="s">
        <v>5200</v>
      </c>
      <c r="AG2048" s="11" t="b" cm="1">
        <f t="array" ref="AG2048">IF(OR(Y2048:AA2048="TRUE", AE2048="true"), "Threatened")</f>
        <v>0</v>
      </c>
      <c r="AH2048" s="11" t="s">
        <v>5201</v>
      </c>
      <c r="AI2048" s="8" t="b">
        <v>1</v>
      </c>
    </row>
    <row r="2049" spans="1:35" ht="31.2">
      <c r="A2049" s="8">
        <v>-73.962766149999993</v>
      </c>
      <c r="B2049" s="8">
        <v>40.781935679999997</v>
      </c>
      <c r="C2049" s="8" t="s">
        <v>5202</v>
      </c>
      <c r="D2049" s="8" t="s">
        <v>1287</v>
      </c>
      <c r="E2049" s="8" t="b">
        <f t="shared" si="31"/>
        <v>0</v>
      </c>
      <c r="F2049" s="8" t="str" cm="1">
        <f t="array" ref="F2049">_xlfn._xlws.FILTER(E2049:E5247, C2049:C5247= "6D-PM-1020-01", "No Squirrels Found")</f>
        <v>No Squirrels Found</v>
      </c>
      <c r="G2049" s="8" t="s">
        <v>34</v>
      </c>
      <c r="H2049" s="10">
        <v>10182018</v>
      </c>
      <c r="I2049" s="10">
        <v>2</v>
      </c>
      <c r="J2049" s="8" t="s">
        <v>39</v>
      </c>
      <c r="K2049" s="8" t="s">
        <v>40</v>
      </c>
      <c r="L2049" s="8" t="s">
        <v>117</v>
      </c>
      <c r="M2049" s="8" t="s">
        <v>118</v>
      </c>
      <c r="O2049" s="8" t="s">
        <v>43</v>
      </c>
      <c r="P2049" s="8" t="b">
        <v>0</v>
      </c>
      <c r="R2049" s="8" t="b">
        <v>0</v>
      </c>
      <c r="S2049" s="8" t="b">
        <v>0</v>
      </c>
      <c r="T2049" s="8" t="b">
        <v>0</v>
      </c>
      <c r="U2049" s="8" t="b">
        <v>1</v>
      </c>
      <c r="V2049" s="8" t="b">
        <v>1</v>
      </c>
      <c r="X2049" s="8" t="b">
        <v>0</v>
      </c>
      <c r="Y2049" s="8" t="b">
        <v>0</v>
      </c>
      <c r="Z2049" s="8" t="b">
        <v>0</v>
      </c>
      <c r="AA2049" s="8" t="b">
        <v>0</v>
      </c>
      <c r="AB2049" s="8" t="b">
        <v>0</v>
      </c>
      <c r="AC2049" s="8" t="b">
        <v>0</v>
      </c>
      <c r="AD2049" s="8" t="b">
        <v>1</v>
      </c>
      <c r="AE2049" s="8" t="b">
        <v>0</v>
      </c>
      <c r="AG2049" s="11" t="b" cm="1">
        <f t="array" ref="AG2049">IF(OR(Y2049:AA2049="TRUE", AE2049="true"), "Threatened")</f>
        <v>0</v>
      </c>
      <c r="AH2049" s="11" t="s">
        <v>5203</v>
      </c>
      <c r="AI2049" s="8" t="b">
        <v>1</v>
      </c>
    </row>
    <row r="2050" spans="1:35" ht="31.2">
      <c r="A2050" s="8">
        <v>-73.969265089999993</v>
      </c>
      <c r="B2050" s="8">
        <v>40.771379379999999</v>
      </c>
      <c r="C2050" s="8" t="s">
        <v>5204</v>
      </c>
      <c r="D2050" s="8" t="s">
        <v>2059</v>
      </c>
      <c r="E2050" s="8" t="b">
        <f t="shared" si="31"/>
        <v>0</v>
      </c>
      <c r="F2050" s="8" t="str" cm="1">
        <f t="array" ref="F2050">_xlfn._xlws.FILTER(E2050:E5248, C2050:C5248= "6D-PM-1020-01", "No Squirrels Found")</f>
        <v>No Squirrels Found</v>
      </c>
      <c r="G2050" s="8" t="s">
        <v>34</v>
      </c>
      <c r="H2050" s="10">
        <v>10182018</v>
      </c>
      <c r="I2050" s="10">
        <v>3</v>
      </c>
      <c r="J2050" s="8" t="s">
        <v>39</v>
      </c>
      <c r="K2050" s="8" t="s">
        <v>40</v>
      </c>
      <c r="M2050" s="8" t="s">
        <v>55</v>
      </c>
      <c r="O2050" s="8" t="s">
        <v>43</v>
      </c>
      <c r="P2050" s="8" t="b">
        <v>0</v>
      </c>
      <c r="R2050" s="8" t="b">
        <v>0</v>
      </c>
      <c r="S2050" s="8" t="b">
        <v>0</v>
      </c>
      <c r="T2050" s="8" t="b">
        <v>0</v>
      </c>
      <c r="U2050" s="8" t="b">
        <v>0</v>
      </c>
      <c r="V2050" s="8" t="b">
        <v>1</v>
      </c>
      <c r="X2050" s="8" t="b">
        <v>0</v>
      </c>
      <c r="Y2050" s="8" t="b">
        <v>0</v>
      </c>
      <c r="Z2050" s="8" t="b">
        <v>0</v>
      </c>
      <c r="AA2050" s="8" t="b">
        <v>0</v>
      </c>
      <c r="AB2050" s="8" t="b">
        <v>0</v>
      </c>
      <c r="AC2050" s="8" t="b">
        <v>0</v>
      </c>
      <c r="AD2050" s="8" t="b">
        <v>0</v>
      </c>
      <c r="AE2050" s="8" t="b">
        <v>0</v>
      </c>
      <c r="AG2050" s="11" t="b" cm="1">
        <f t="array" ref="AG2050">IF(OR(Y2050:AA2050="TRUE", AE2050="true"), "Threatened")</f>
        <v>0</v>
      </c>
      <c r="AH2050" s="11" t="s">
        <v>5205</v>
      </c>
      <c r="AI2050" s="8" t="b">
        <v>1</v>
      </c>
    </row>
    <row r="2051" spans="1:35" ht="31.2">
      <c r="A2051" s="8">
        <v>-73.955525600000001</v>
      </c>
      <c r="B2051" s="8">
        <v>40.797772080000001</v>
      </c>
      <c r="C2051" s="8" t="s">
        <v>5206</v>
      </c>
      <c r="D2051" s="8" t="s">
        <v>439</v>
      </c>
      <c r="E2051" s="8" t="b">
        <f t="shared" ref="E2051:E2114" si="32">OR(D2051 = "05D", D2051 = "07D", D2051 = "06C", D2051 = "06E")</f>
        <v>0</v>
      </c>
      <c r="F2051" s="8" t="str" cm="1">
        <f t="array" ref="F2051">_xlfn._xlws.FILTER(E2051:E5249, C2051:C5249= "6D-PM-1020-01", "No Squirrels Found")</f>
        <v>No Squirrels Found</v>
      </c>
      <c r="G2051" s="8" t="s">
        <v>48</v>
      </c>
      <c r="H2051" s="10">
        <v>10132018</v>
      </c>
      <c r="I2051" s="10">
        <v>4</v>
      </c>
      <c r="J2051" s="8" t="s">
        <v>39</v>
      </c>
      <c r="K2051" s="8" t="s">
        <v>40</v>
      </c>
      <c r="L2051" s="8" t="s">
        <v>41</v>
      </c>
      <c r="M2051" s="8" t="s">
        <v>42</v>
      </c>
      <c r="N2051" s="11" t="s">
        <v>1015</v>
      </c>
      <c r="O2051" s="8" t="s">
        <v>43</v>
      </c>
      <c r="P2051" s="8" t="b">
        <v>0</v>
      </c>
      <c r="R2051" s="8" t="b">
        <v>0</v>
      </c>
      <c r="S2051" s="8" t="b">
        <v>0</v>
      </c>
      <c r="T2051" s="8" t="b">
        <v>0</v>
      </c>
      <c r="U2051" s="8" t="b">
        <v>1</v>
      </c>
      <c r="V2051" s="8" t="b">
        <v>1</v>
      </c>
      <c r="X2051" s="8" t="b">
        <v>0</v>
      </c>
      <c r="Y2051" s="8" t="b">
        <v>0</v>
      </c>
      <c r="Z2051" s="8" t="b">
        <v>0</v>
      </c>
      <c r="AA2051" s="8" t="b">
        <v>0</v>
      </c>
      <c r="AB2051" s="8" t="b">
        <v>0</v>
      </c>
      <c r="AC2051" s="8" t="b">
        <v>0</v>
      </c>
      <c r="AD2051" s="8" t="b">
        <v>1</v>
      </c>
      <c r="AE2051" s="8" t="b">
        <v>0</v>
      </c>
      <c r="AG2051" s="11" t="b" cm="1">
        <f t="array" ref="AG2051">IF(OR(Y2051:AA2051="TRUE", AE2051="true"), "Threatened")</f>
        <v>0</v>
      </c>
      <c r="AH2051" s="11" t="s">
        <v>5207</v>
      </c>
      <c r="AI2051" s="8" t="b">
        <v>1</v>
      </c>
    </row>
    <row r="2052" spans="1:35" ht="31.2">
      <c r="A2052" s="8">
        <v>-73.954480869999998</v>
      </c>
      <c r="B2052" s="8">
        <v>40.790657590000002</v>
      </c>
      <c r="C2052" s="8" t="s">
        <v>5208</v>
      </c>
      <c r="D2052" s="8" t="s">
        <v>1028</v>
      </c>
      <c r="E2052" s="8" t="b">
        <f t="shared" si="32"/>
        <v>0</v>
      </c>
      <c r="F2052" s="8" t="str" cm="1">
        <f t="array" ref="F2052">_xlfn._xlws.FILTER(E2052:E5250, C2052:C5250= "6D-PM-1020-01", "No Squirrels Found")</f>
        <v>No Squirrels Found</v>
      </c>
      <c r="G2052" s="8" t="s">
        <v>48</v>
      </c>
      <c r="H2052" s="10">
        <v>10122018</v>
      </c>
      <c r="I2052" s="10">
        <v>2</v>
      </c>
      <c r="J2052" s="8" t="s">
        <v>39</v>
      </c>
      <c r="K2052" s="8" t="s">
        <v>40</v>
      </c>
      <c r="L2052" s="8" t="s">
        <v>84</v>
      </c>
      <c r="M2052" s="8" t="s">
        <v>103</v>
      </c>
      <c r="N2052" s="11" t="s">
        <v>5209</v>
      </c>
      <c r="O2052" s="8" t="s">
        <v>43</v>
      </c>
      <c r="P2052" s="8" t="b">
        <v>0</v>
      </c>
      <c r="R2052" s="8" t="b">
        <v>0</v>
      </c>
      <c r="S2052" s="8" t="b">
        <v>0</v>
      </c>
      <c r="T2052" s="8" t="b">
        <v>0</v>
      </c>
      <c r="U2052" s="8" t="b">
        <v>0</v>
      </c>
      <c r="V2052" s="8" t="b">
        <v>0</v>
      </c>
      <c r="W2052" s="11" t="s">
        <v>1225</v>
      </c>
      <c r="X2052" s="8" t="b">
        <v>0</v>
      </c>
      <c r="Y2052" s="8" t="b">
        <v>0</v>
      </c>
      <c r="Z2052" s="8" t="b">
        <v>0</v>
      </c>
      <c r="AA2052" s="8" t="b">
        <v>0</v>
      </c>
      <c r="AB2052" s="8" t="b">
        <v>0</v>
      </c>
      <c r="AC2052" s="8" t="b">
        <v>0</v>
      </c>
      <c r="AD2052" s="8" t="b">
        <v>0</v>
      </c>
      <c r="AE2052" s="8" t="b">
        <v>1</v>
      </c>
      <c r="AG2052" s="11" t="b" cm="1">
        <f t="array" ref="AG2052">IF(OR(Y2052:AA2052="TRUE", AE2052="true"), "Threatened")</f>
        <v>0</v>
      </c>
      <c r="AH2052" s="11" t="s">
        <v>5210</v>
      </c>
      <c r="AI2052" s="8" t="b">
        <v>0</v>
      </c>
    </row>
    <row r="2053" spans="1:35" ht="31.2">
      <c r="A2053" s="8">
        <v>-73.974649339999999</v>
      </c>
      <c r="B2053" s="8">
        <v>40.775047870000002</v>
      </c>
      <c r="C2053" s="8" t="s">
        <v>5211</v>
      </c>
      <c r="D2053" s="8" t="s">
        <v>268</v>
      </c>
      <c r="E2053" s="8" t="b">
        <f t="shared" si="32"/>
        <v>0</v>
      </c>
      <c r="F2053" s="8" t="str" cm="1">
        <f t="array" ref="F2053">_xlfn._xlws.FILTER(E2053:E5251, C2053:C5251= "6D-PM-1020-01", "No Squirrels Found")</f>
        <v>No Squirrels Found</v>
      </c>
      <c r="G2053" s="8" t="s">
        <v>34</v>
      </c>
      <c r="H2053" s="10">
        <v>10142018</v>
      </c>
      <c r="I2053" s="10">
        <v>6</v>
      </c>
      <c r="J2053" s="8" t="s">
        <v>39</v>
      </c>
      <c r="K2053" s="8" t="s">
        <v>40</v>
      </c>
      <c r="L2053" s="8" t="s">
        <v>41</v>
      </c>
      <c r="M2053" s="8" t="s">
        <v>42</v>
      </c>
      <c r="O2053" s="8" t="s">
        <v>50</v>
      </c>
      <c r="P2053" s="8">
        <v>15</v>
      </c>
      <c r="R2053" s="8" t="b">
        <v>0</v>
      </c>
      <c r="S2053" s="8" t="b">
        <v>0</v>
      </c>
      <c r="T2053" s="8" t="b">
        <v>0</v>
      </c>
      <c r="U2053" s="8" t="b">
        <v>0</v>
      </c>
      <c r="V2053" s="8" t="b">
        <v>0</v>
      </c>
      <c r="W2053" s="11" t="s">
        <v>3064</v>
      </c>
      <c r="X2053" s="8" t="b">
        <v>0</v>
      </c>
      <c r="Y2053" s="8" t="b">
        <v>0</v>
      </c>
      <c r="Z2053" s="8" t="b">
        <v>0</v>
      </c>
      <c r="AA2053" s="8" t="b">
        <v>0</v>
      </c>
      <c r="AB2053" s="8" t="b">
        <v>0</v>
      </c>
      <c r="AC2053" s="8" t="b">
        <v>0</v>
      </c>
      <c r="AD2053" s="8" t="b">
        <v>1</v>
      </c>
      <c r="AE2053" s="8" t="b">
        <v>0</v>
      </c>
      <c r="AG2053" s="11" t="b" cm="1">
        <f t="array" ref="AG2053">IF(OR(Y2053:AA2053="TRUE", AE2053="true"), "Threatened")</f>
        <v>0</v>
      </c>
      <c r="AH2053" s="11" t="s">
        <v>5212</v>
      </c>
      <c r="AI2053" s="8" t="b">
        <v>0</v>
      </c>
    </row>
    <row r="2054" spans="1:35" ht="31.2">
      <c r="A2054" s="8">
        <v>-73.971181020000003</v>
      </c>
      <c r="B2054" s="8">
        <v>40.777344560000003</v>
      </c>
      <c r="C2054" s="8" t="s">
        <v>5213</v>
      </c>
      <c r="D2054" s="8" t="s">
        <v>741</v>
      </c>
      <c r="E2054" s="8" t="b">
        <f t="shared" si="32"/>
        <v>0</v>
      </c>
      <c r="F2054" s="8" t="str" cm="1">
        <f t="array" ref="F2054">_xlfn._xlws.FILTER(E2054:E5252, C2054:C5252= "6D-PM-1020-01", "No Squirrels Found")</f>
        <v>No Squirrels Found</v>
      </c>
      <c r="G2054" s="8" t="s">
        <v>34</v>
      </c>
      <c r="H2054" s="10">
        <v>10192018</v>
      </c>
      <c r="I2054" s="10">
        <v>5</v>
      </c>
      <c r="J2054" s="8" t="s">
        <v>39</v>
      </c>
      <c r="K2054" s="8" t="s">
        <v>40</v>
      </c>
      <c r="M2054" s="8" t="s">
        <v>55</v>
      </c>
      <c r="O2054" s="8" t="s">
        <v>43</v>
      </c>
      <c r="P2054" s="8" t="b">
        <v>0</v>
      </c>
      <c r="R2054" s="8" t="b">
        <v>1</v>
      </c>
      <c r="S2054" s="8" t="b">
        <v>0</v>
      </c>
      <c r="T2054" s="8" t="b">
        <v>0</v>
      </c>
      <c r="U2054" s="8" t="b">
        <v>0</v>
      </c>
      <c r="V2054" s="8" t="b">
        <v>0</v>
      </c>
      <c r="X2054" s="8" t="b">
        <v>0</v>
      </c>
      <c r="Y2054" s="8" t="b">
        <v>0</v>
      </c>
      <c r="Z2054" s="8" t="b">
        <v>0</v>
      </c>
      <c r="AA2054" s="8" t="b">
        <v>0</v>
      </c>
      <c r="AB2054" s="8" t="b">
        <v>0</v>
      </c>
      <c r="AC2054" s="8" t="b">
        <v>0</v>
      </c>
      <c r="AD2054" s="8" t="b">
        <v>0</v>
      </c>
      <c r="AE2054" s="8" t="b">
        <v>0</v>
      </c>
      <c r="AG2054" s="11" t="b" cm="1">
        <f t="array" ref="AG2054">IF(OR(Y2054:AA2054="TRUE", AE2054="true"), "Threatened")</f>
        <v>0</v>
      </c>
      <c r="AH2054" s="11" t="s">
        <v>5214</v>
      </c>
      <c r="AI2054" s="8" t="b">
        <v>1</v>
      </c>
    </row>
    <row r="2055" spans="1:35" ht="31.2">
      <c r="A2055" s="8">
        <v>-73.972638119999999</v>
      </c>
      <c r="B2055" s="8">
        <v>40.775269479999999</v>
      </c>
      <c r="C2055" s="8" t="s">
        <v>5215</v>
      </c>
      <c r="D2055" s="8" t="s">
        <v>1148</v>
      </c>
      <c r="E2055" s="8" t="b">
        <f t="shared" si="32"/>
        <v>0</v>
      </c>
      <c r="F2055" s="8" t="str" cm="1">
        <f t="array" ref="F2055">_xlfn._xlws.FILTER(E2055:E5253, C2055:C5253= "6D-PM-1020-01", "No Squirrels Found")</f>
        <v>No Squirrels Found</v>
      </c>
      <c r="G2055" s="8" t="s">
        <v>34</v>
      </c>
      <c r="H2055" s="10">
        <v>10142018</v>
      </c>
      <c r="I2055" s="10">
        <v>1</v>
      </c>
      <c r="J2055" s="8" t="s">
        <v>39</v>
      </c>
      <c r="K2055" s="8" t="s">
        <v>40</v>
      </c>
      <c r="L2055" s="8" t="s">
        <v>117</v>
      </c>
      <c r="M2055" s="8" t="s">
        <v>118</v>
      </c>
      <c r="O2055" s="8" t="s">
        <v>50</v>
      </c>
      <c r="P2055" s="8">
        <v>10</v>
      </c>
      <c r="R2055" s="8" t="b">
        <v>0</v>
      </c>
      <c r="S2055" s="8" t="b">
        <v>0</v>
      </c>
      <c r="T2055" s="8" t="b">
        <v>1</v>
      </c>
      <c r="U2055" s="8" t="b">
        <v>0</v>
      </c>
      <c r="V2055" s="8" t="b">
        <v>0</v>
      </c>
      <c r="X2055" s="8" t="b">
        <v>0</v>
      </c>
      <c r="Y2055" s="8" t="b">
        <v>0</v>
      </c>
      <c r="Z2055" s="8" t="b">
        <v>0</v>
      </c>
      <c r="AA2055" s="8" t="b">
        <v>0</v>
      </c>
      <c r="AB2055" s="8" t="b">
        <v>0</v>
      </c>
      <c r="AC2055" s="8" t="b">
        <v>0</v>
      </c>
      <c r="AD2055" s="8" t="b">
        <v>1</v>
      </c>
      <c r="AE2055" s="8" t="b">
        <v>0</v>
      </c>
      <c r="AG2055" s="11" t="b" cm="1">
        <f t="array" ref="AG2055">IF(OR(Y2055:AA2055="TRUE", AE2055="true"), "Threatened")</f>
        <v>0</v>
      </c>
      <c r="AH2055" s="11" t="s">
        <v>5216</v>
      </c>
      <c r="AI2055" s="8" t="b">
        <v>1</v>
      </c>
    </row>
    <row r="2056" spans="1:35" ht="31.2">
      <c r="A2056" s="8">
        <v>-73.9806928</v>
      </c>
      <c r="B2056" s="8">
        <v>40.768255420000003</v>
      </c>
      <c r="C2056" s="8" t="s">
        <v>5217</v>
      </c>
      <c r="D2056" s="8" t="s">
        <v>1780</v>
      </c>
      <c r="E2056" s="8" t="b">
        <f t="shared" si="32"/>
        <v>0</v>
      </c>
      <c r="F2056" s="8" t="str" cm="1">
        <f t="array" ref="F2056">_xlfn._xlws.FILTER(E2056:E5254, C2056:C5254= "6D-PM-1020-01", "No Squirrels Found")</f>
        <v>No Squirrels Found</v>
      </c>
      <c r="G2056" s="8" t="s">
        <v>34</v>
      </c>
      <c r="H2056" s="10">
        <v>10142018</v>
      </c>
      <c r="I2056" s="10">
        <v>3</v>
      </c>
      <c r="J2056" s="8" t="s">
        <v>39</v>
      </c>
      <c r="K2056" s="8" t="s">
        <v>40</v>
      </c>
      <c r="L2056" s="8" t="s">
        <v>192</v>
      </c>
      <c r="M2056" s="8" t="s">
        <v>354</v>
      </c>
      <c r="O2056" s="8" t="s">
        <v>43</v>
      </c>
      <c r="P2056" s="8" t="b">
        <v>0</v>
      </c>
      <c r="R2056" s="8" t="b">
        <v>0</v>
      </c>
      <c r="S2056" s="8" t="b">
        <v>0</v>
      </c>
      <c r="T2056" s="8" t="b">
        <v>0</v>
      </c>
      <c r="U2056" s="8" t="b">
        <v>0</v>
      </c>
      <c r="V2056" s="8" t="b">
        <v>1</v>
      </c>
      <c r="X2056" s="8" t="b">
        <v>0</v>
      </c>
      <c r="Y2056" s="8" t="b">
        <v>0</v>
      </c>
      <c r="Z2056" s="8" t="b">
        <v>0</v>
      </c>
      <c r="AA2056" s="8" t="b">
        <v>0</v>
      </c>
      <c r="AB2056" s="8" t="b">
        <v>0</v>
      </c>
      <c r="AC2056" s="8" t="b">
        <v>0</v>
      </c>
      <c r="AD2056" s="8" t="b">
        <v>0</v>
      </c>
      <c r="AE2056" s="8" t="b">
        <v>1</v>
      </c>
      <c r="AG2056" s="11" t="b" cm="1">
        <f t="array" ref="AG2056">IF(OR(Y2056:AA2056="TRUE", AE2056="true"), "Threatened")</f>
        <v>0</v>
      </c>
      <c r="AH2056" s="11" t="s">
        <v>5218</v>
      </c>
      <c r="AI2056" s="8" t="b">
        <v>1</v>
      </c>
    </row>
    <row r="2057" spans="1:35" ht="31.2">
      <c r="A2057" s="8">
        <v>-73.958960059999995</v>
      </c>
      <c r="B2057" s="8">
        <v>40.791369029999998</v>
      </c>
      <c r="C2057" s="8" t="s">
        <v>5219</v>
      </c>
      <c r="D2057" s="8" t="s">
        <v>1214</v>
      </c>
      <c r="E2057" s="8" t="b">
        <f t="shared" si="32"/>
        <v>0</v>
      </c>
      <c r="F2057" s="8" t="str" cm="1">
        <f t="array" ref="F2057">_xlfn._xlws.FILTER(E2057:E5255, C2057:C5255= "6D-PM-1020-01", "No Squirrels Found")</f>
        <v>No Squirrels Found</v>
      </c>
      <c r="G2057" s="8" t="s">
        <v>48</v>
      </c>
      <c r="H2057" s="10">
        <v>10142018</v>
      </c>
      <c r="I2057" s="10">
        <v>8</v>
      </c>
      <c r="J2057" s="8" t="s">
        <v>39</v>
      </c>
      <c r="K2057" s="8" t="s">
        <v>40</v>
      </c>
      <c r="L2057" s="8" t="s">
        <v>117</v>
      </c>
      <c r="M2057" s="8" t="s">
        <v>118</v>
      </c>
      <c r="O2057" s="8" t="s">
        <v>50</v>
      </c>
      <c r="P2057" s="8">
        <v>5</v>
      </c>
      <c r="R2057" s="8" t="b">
        <v>0</v>
      </c>
      <c r="S2057" s="8" t="b">
        <v>0</v>
      </c>
      <c r="T2057" s="8" t="b">
        <v>1</v>
      </c>
      <c r="U2057" s="8" t="b">
        <v>0</v>
      </c>
      <c r="V2057" s="8" t="b">
        <v>0</v>
      </c>
      <c r="X2057" s="8" t="b">
        <v>1</v>
      </c>
      <c r="Y2057" s="8" t="b">
        <v>0</v>
      </c>
      <c r="Z2057" s="8" t="b">
        <v>0</v>
      </c>
      <c r="AA2057" s="8" t="b">
        <v>0</v>
      </c>
      <c r="AB2057" s="8" t="b">
        <v>0</v>
      </c>
      <c r="AC2057" s="8" t="b">
        <v>0</v>
      </c>
      <c r="AD2057" s="8" t="b">
        <v>1</v>
      </c>
      <c r="AE2057" s="8" t="b">
        <v>0</v>
      </c>
      <c r="AG2057" s="11" t="b" cm="1">
        <f t="array" ref="AG2057">IF(OR(Y2057:AA2057="TRUE", AE2057="true"), "Threatened")</f>
        <v>0</v>
      </c>
      <c r="AH2057" s="11" t="s">
        <v>5220</v>
      </c>
      <c r="AI2057" s="8" t="b">
        <v>1</v>
      </c>
    </row>
    <row r="2058" spans="1:35" ht="31.2">
      <c r="A2058" s="8">
        <v>-73.957965950000002</v>
      </c>
      <c r="B2058" s="8">
        <v>40.790564689999997</v>
      </c>
      <c r="C2058" s="8" t="s">
        <v>5221</v>
      </c>
      <c r="D2058" s="8" t="s">
        <v>144</v>
      </c>
      <c r="E2058" s="8" t="b">
        <f t="shared" si="32"/>
        <v>0</v>
      </c>
      <c r="F2058" s="8" t="str" cm="1">
        <f t="array" ref="F2058">_xlfn._xlws.FILTER(E2058:E5256, C2058:C5256= "6D-PM-1020-01", "No Squirrels Found")</f>
        <v>No Squirrels Found</v>
      </c>
      <c r="G2058" s="8" t="s">
        <v>48</v>
      </c>
      <c r="H2058" s="10">
        <v>10122018</v>
      </c>
      <c r="I2058" s="10">
        <v>7</v>
      </c>
      <c r="J2058" s="8" t="s">
        <v>39</v>
      </c>
      <c r="K2058" s="8" t="s">
        <v>40</v>
      </c>
      <c r="L2058" s="8" t="s">
        <v>84</v>
      </c>
      <c r="M2058" s="8" t="s">
        <v>103</v>
      </c>
      <c r="O2058" s="8" t="s">
        <v>43</v>
      </c>
      <c r="P2058" s="8" t="b">
        <v>0</v>
      </c>
      <c r="R2058" s="8" t="b">
        <v>0</v>
      </c>
      <c r="S2058" s="8" t="b">
        <v>0</v>
      </c>
      <c r="T2058" s="8" t="b">
        <v>0</v>
      </c>
      <c r="U2058" s="8" t="b">
        <v>0</v>
      </c>
      <c r="V2058" s="8" t="b">
        <v>1</v>
      </c>
      <c r="X2058" s="8" t="b">
        <v>0</v>
      </c>
      <c r="Y2058" s="8" t="b">
        <v>0</v>
      </c>
      <c r="Z2058" s="8" t="b">
        <v>0</v>
      </c>
      <c r="AA2058" s="8" t="b">
        <v>0</v>
      </c>
      <c r="AB2058" s="8" t="b">
        <v>0</v>
      </c>
      <c r="AC2058" s="8" t="b">
        <v>0</v>
      </c>
      <c r="AD2058" s="8" t="b">
        <v>0</v>
      </c>
      <c r="AE2058" s="8" t="b">
        <v>0</v>
      </c>
      <c r="AG2058" s="11" t="b" cm="1">
        <f t="array" ref="AG2058">IF(OR(Y2058:AA2058="TRUE", AE2058="true"), "Threatened")</f>
        <v>0</v>
      </c>
      <c r="AH2058" s="11" t="s">
        <v>5222</v>
      </c>
      <c r="AI2058" s="8" t="b">
        <v>1</v>
      </c>
    </row>
    <row r="2059" spans="1:35" ht="31.2">
      <c r="A2059" s="8">
        <v>-73.966901730000004</v>
      </c>
      <c r="B2059" s="8">
        <v>40.7766929</v>
      </c>
      <c r="C2059" s="8" t="s">
        <v>5223</v>
      </c>
      <c r="D2059" s="8" t="s">
        <v>326</v>
      </c>
      <c r="E2059" s="8" t="b">
        <f t="shared" si="32"/>
        <v>0</v>
      </c>
      <c r="F2059" s="8" t="str" cm="1">
        <f t="array" ref="F2059">_xlfn._xlws.FILTER(E2059:E5257, C2059:C5257= "6D-PM-1020-01", "No Squirrels Found")</f>
        <v>No Squirrels Found</v>
      </c>
      <c r="G2059" s="8" t="s">
        <v>48</v>
      </c>
      <c r="H2059" s="10">
        <v>10082018</v>
      </c>
      <c r="I2059" s="10">
        <v>1</v>
      </c>
      <c r="J2059" s="8" t="s">
        <v>39</v>
      </c>
      <c r="K2059" s="8" t="s">
        <v>40</v>
      </c>
      <c r="L2059" s="8" t="s">
        <v>41</v>
      </c>
      <c r="M2059" s="8" t="s">
        <v>42</v>
      </c>
      <c r="O2059" s="8" t="s">
        <v>43</v>
      </c>
      <c r="P2059" s="8" t="b">
        <v>0</v>
      </c>
      <c r="R2059" s="8" t="b">
        <v>1</v>
      </c>
      <c r="S2059" s="8" t="b">
        <v>0</v>
      </c>
      <c r="T2059" s="8" t="b">
        <v>0</v>
      </c>
      <c r="U2059" s="8" t="b">
        <v>0</v>
      </c>
      <c r="V2059" s="8" t="b">
        <v>1</v>
      </c>
      <c r="X2059" s="8" t="b">
        <v>0</v>
      </c>
      <c r="Y2059" s="8" t="b">
        <v>0</v>
      </c>
      <c r="Z2059" s="8" t="b">
        <v>0</v>
      </c>
      <c r="AA2059" s="8" t="b">
        <v>0</v>
      </c>
      <c r="AB2059" s="8" t="b">
        <v>0</v>
      </c>
      <c r="AC2059" s="8" t="b">
        <v>0</v>
      </c>
      <c r="AD2059" s="8" t="b">
        <v>1</v>
      </c>
      <c r="AE2059" s="8" t="b">
        <v>0</v>
      </c>
      <c r="AG2059" s="11" t="b" cm="1">
        <f t="array" ref="AG2059">IF(OR(Y2059:AA2059="TRUE", AE2059="true"), "Threatened")</f>
        <v>0</v>
      </c>
      <c r="AH2059" s="11" t="s">
        <v>5224</v>
      </c>
      <c r="AI2059" s="8" t="b">
        <v>1</v>
      </c>
    </row>
    <row r="2060" spans="1:35" ht="31.2">
      <c r="A2060" s="8">
        <v>-73.971002670000004</v>
      </c>
      <c r="B2060" s="8">
        <v>40.776105280000003</v>
      </c>
      <c r="C2060" s="8" t="s">
        <v>5225</v>
      </c>
      <c r="D2060" s="8" t="s">
        <v>426</v>
      </c>
      <c r="E2060" s="8" t="b">
        <f t="shared" si="32"/>
        <v>0</v>
      </c>
      <c r="F2060" s="8" t="str" cm="1">
        <f t="array" ref="F2060">_xlfn._xlws.FILTER(E2060:E5258, C2060:C5258= "6D-PM-1020-01", "No Squirrels Found")</f>
        <v>No Squirrels Found</v>
      </c>
      <c r="G2060" s="8" t="s">
        <v>48</v>
      </c>
      <c r="H2060" s="10">
        <v>10142018</v>
      </c>
      <c r="I2060" s="10">
        <v>4</v>
      </c>
      <c r="J2060" s="8" t="s">
        <v>39</v>
      </c>
      <c r="K2060" s="8" t="s">
        <v>40</v>
      </c>
      <c r="L2060" s="8" t="s">
        <v>117</v>
      </c>
      <c r="M2060" s="8" t="s">
        <v>118</v>
      </c>
      <c r="N2060" s="11" t="s">
        <v>1383</v>
      </c>
      <c r="O2060" s="8" t="s">
        <v>43</v>
      </c>
      <c r="P2060" s="8" t="b">
        <v>0</v>
      </c>
      <c r="R2060" s="8" t="b">
        <v>0</v>
      </c>
      <c r="S2060" s="8" t="b">
        <v>1</v>
      </c>
      <c r="T2060" s="8" t="b">
        <v>0</v>
      </c>
      <c r="U2060" s="8" t="b">
        <v>0</v>
      </c>
      <c r="V2060" s="8" t="b">
        <v>0</v>
      </c>
      <c r="X2060" s="8" t="b">
        <v>0</v>
      </c>
      <c r="Y2060" s="8" t="b">
        <v>0</v>
      </c>
      <c r="Z2060" s="8" t="b">
        <v>0</v>
      </c>
      <c r="AA2060" s="8" t="b">
        <v>0</v>
      </c>
      <c r="AB2060" s="8" t="b">
        <v>0</v>
      </c>
      <c r="AC2060" s="8" t="b">
        <v>0</v>
      </c>
      <c r="AD2060" s="8" t="b">
        <v>1</v>
      </c>
      <c r="AE2060" s="8" t="b">
        <v>0</v>
      </c>
      <c r="AG2060" s="11" t="b" cm="1">
        <f t="array" ref="AG2060">IF(OR(Y2060:AA2060="TRUE", AE2060="true"), "Threatened")</f>
        <v>0</v>
      </c>
      <c r="AH2060" s="11" t="s">
        <v>5226</v>
      </c>
      <c r="AI2060" s="8" t="b">
        <v>1</v>
      </c>
    </row>
    <row r="2061" spans="1:35" ht="31.2">
      <c r="A2061" s="8">
        <v>-73.957579800000005</v>
      </c>
      <c r="B2061" s="8">
        <v>40.795701399999999</v>
      </c>
      <c r="C2061" s="8" t="s">
        <v>5227</v>
      </c>
      <c r="D2061" s="8" t="s">
        <v>841</v>
      </c>
      <c r="E2061" s="8" t="b">
        <f t="shared" si="32"/>
        <v>0</v>
      </c>
      <c r="F2061" s="8" t="str" cm="1">
        <f t="array" ref="F2061">_xlfn._xlws.FILTER(E2061:E5259, C2061:C5259= "6D-PM-1020-01", "No Squirrels Found")</f>
        <v>No Squirrels Found</v>
      </c>
      <c r="G2061" s="8" t="s">
        <v>34</v>
      </c>
      <c r="H2061" s="10">
        <v>10062018</v>
      </c>
      <c r="I2061" s="10">
        <v>4</v>
      </c>
      <c r="J2061" s="8" t="s">
        <v>39</v>
      </c>
      <c r="K2061" s="8" t="s">
        <v>41</v>
      </c>
      <c r="L2061" s="8" t="s">
        <v>40</v>
      </c>
      <c r="M2061" s="8" t="s">
        <v>110</v>
      </c>
      <c r="O2061" s="8" t="s">
        <v>43</v>
      </c>
      <c r="P2061" s="8" t="b">
        <v>0</v>
      </c>
      <c r="R2061" s="8" t="b">
        <v>1</v>
      </c>
      <c r="S2061" s="8" t="b">
        <v>0</v>
      </c>
      <c r="T2061" s="8" t="b">
        <v>0</v>
      </c>
      <c r="U2061" s="8" t="b">
        <v>0</v>
      </c>
      <c r="V2061" s="8" t="b">
        <v>0</v>
      </c>
      <c r="X2061" s="8" t="b">
        <v>0</v>
      </c>
      <c r="Y2061" s="8" t="b">
        <v>0</v>
      </c>
      <c r="Z2061" s="8" t="b">
        <v>0</v>
      </c>
      <c r="AA2061" s="8" t="b">
        <v>0</v>
      </c>
      <c r="AB2061" s="8" t="b">
        <v>0</v>
      </c>
      <c r="AC2061" s="8" t="b">
        <v>0</v>
      </c>
      <c r="AD2061" s="8" t="b">
        <v>0</v>
      </c>
      <c r="AE2061" s="8" t="b">
        <v>1</v>
      </c>
      <c r="AF2061" s="11" t="s">
        <v>5228</v>
      </c>
      <c r="AG2061" s="11" t="b" cm="1">
        <f t="array" ref="AG2061">IF(OR(Y2061:AA2061="TRUE", AE2061="true"), "Threatened")</f>
        <v>0</v>
      </c>
      <c r="AH2061" s="11" t="s">
        <v>5229</v>
      </c>
      <c r="AI2061" s="8" t="b">
        <v>1</v>
      </c>
    </row>
    <row r="2062" spans="1:35" ht="31.2">
      <c r="A2062" s="8">
        <v>-73.960883409999994</v>
      </c>
      <c r="B2062" s="8">
        <v>40.790624710000003</v>
      </c>
      <c r="C2062" s="8" t="s">
        <v>5230</v>
      </c>
      <c r="D2062" s="8" t="s">
        <v>621</v>
      </c>
      <c r="E2062" s="8" t="b">
        <f t="shared" si="32"/>
        <v>0</v>
      </c>
      <c r="F2062" s="8" t="str" cm="1">
        <f t="array" ref="F2062">_xlfn._xlws.FILTER(E2062:E5260, C2062:C5260= "6D-PM-1020-01", "No Squirrels Found")</f>
        <v>No Squirrels Found</v>
      </c>
      <c r="G2062" s="8" t="s">
        <v>48</v>
      </c>
      <c r="H2062" s="10">
        <v>10142018</v>
      </c>
      <c r="I2062" s="10">
        <v>5</v>
      </c>
      <c r="J2062" s="8" t="s">
        <v>54</v>
      </c>
      <c r="K2062" s="8" t="s">
        <v>40</v>
      </c>
      <c r="L2062" s="8" t="s">
        <v>84</v>
      </c>
      <c r="M2062" s="8" t="s">
        <v>103</v>
      </c>
      <c r="O2062" s="8" t="s">
        <v>43</v>
      </c>
      <c r="P2062" s="8" t="b">
        <v>0</v>
      </c>
      <c r="R2062" s="8" t="b">
        <v>0</v>
      </c>
      <c r="S2062" s="8" t="b">
        <v>0</v>
      </c>
      <c r="T2062" s="8" t="b">
        <v>0</v>
      </c>
      <c r="U2062" s="8" t="b">
        <v>0</v>
      </c>
      <c r="V2062" s="8" t="b">
        <v>1</v>
      </c>
      <c r="X2062" s="8" t="b">
        <v>0</v>
      </c>
      <c r="Y2062" s="8" t="b">
        <v>0</v>
      </c>
      <c r="Z2062" s="8" t="b">
        <v>0</v>
      </c>
      <c r="AA2062" s="8" t="b">
        <v>0</v>
      </c>
      <c r="AB2062" s="8" t="b">
        <v>0</v>
      </c>
      <c r="AC2062" s="8" t="b">
        <v>0</v>
      </c>
      <c r="AD2062" s="8" t="b">
        <v>0</v>
      </c>
      <c r="AE2062" s="8" t="b">
        <v>1</v>
      </c>
      <c r="AG2062" s="11" t="b" cm="1">
        <f t="array" ref="AG2062">IF(OR(Y2062:AA2062="TRUE", AE2062="true"), "Threatened")</f>
        <v>0</v>
      </c>
      <c r="AH2062" s="11" t="s">
        <v>5231</v>
      </c>
      <c r="AI2062" s="8" t="b">
        <v>1</v>
      </c>
    </row>
    <row r="2063" spans="1:35" ht="31.2">
      <c r="A2063" s="8">
        <v>-73.961817310000001</v>
      </c>
      <c r="B2063" s="8">
        <v>40.792580020000003</v>
      </c>
      <c r="C2063" s="8" t="s">
        <v>5232</v>
      </c>
      <c r="D2063" s="8" t="s">
        <v>931</v>
      </c>
      <c r="E2063" s="8" t="b">
        <f t="shared" si="32"/>
        <v>0</v>
      </c>
      <c r="F2063" s="8" t="str" cm="1">
        <f t="array" ref="F2063">_xlfn._xlws.FILTER(E2063:E5261, C2063:C5261= "6D-PM-1020-01", "No Squirrels Found")</f>
        <v>No Squirrels Found</v>
      </c>
      <c r="G2063" s="8" t="s">
        <v>34</v>
      </c>
      <c r="H2063" s="10">
        <v>10102018</v>
      </c>
      <c r="I2063" s="10">
        <v>4</v>
      </c>
      <c r="J2063" s="8" t="s">
        <v>39</v>
      </c>
      <c r="K2063" s="8" t="s">
        <v>40</v>
      </c>
      <c r="L2063" s="8" t="s">
        <v>41</v>
      </c>
      <c r="M2063" s="8" t="s">
        <v>42</v>
      </c>
      <c r="O2063" s="8" t="s">
        <v>43</v>
      </c>
      <c r="P2063" s="8" t="b">
        <v>0</v>
      </c>
      <c r="R2063" s="8" t="b">
        <v>0</v>
      </c>
      <c r="S2063" s="8" t="b">
        <v>0</v>
      </c>
      <c r="T2063" s="8" t="b">
        <v>0</v>
      </c>
      <c r="U2063" s="8" t="b">
        <v>1</v>
      </c>
      <c r="V2063" s="8" t="b">
        <v>0</v>
      </c>
      <c r="X2063" s="8" t="b">
        <v>0</v>
      </c>
      <c r="Y2063" s="8" t="b">
        <v>0</v>
      </c>
      <c r="Z2063" s="8" t="b">
        <v>0</v>
      </c>
      <c r="AA2063" s="8" t="b">
        <v>0</v>
      </c>
      <c r="AB2063" s="8" t="b">
        <v>0</v>
      </c>
      <c r="AC2063" s="8" t="b">
        <v>0</v>
      </c>
      <c r="AD2063" s="8" t="b">
        <v>1</v>
      </c>
      <c r="AE2063" s="8" t="b">
        <v>0</v>
      </c>
      <c r="AG2063" s="11" t="b" cm="1">
        <f t="array" ref="AG2063">IF(OR(Y2063:AA2063="TRUE", AE2063="true"), "Threatened")</f>
        <v>0</v>
      </c>
      <c r="AH2063" s="11" t="s">
        <v>5233</v>
      </c>
      <c r="AI2063" s="8" t="b">
        <v>1</v>
      </c>
    </row>
    <row r="2064" spans="1:35" ht="31.2">
      <c r="A2064" s="8">
        <v>-73.954476330000006</v>
      </c>
      <c r="B2064" s="8">
        <v>40.796964549999998</v>
      </c>
      <c r="C2064" s="8" t="s">
        <v>5234</v>
      </c>
      <c r="D2064" s="8" t="s">
        <v>5235</v>
      </c>
      <c r="E2064" s="8" t="b">
        <f t="shared" si="32"/>
        <v>0</v>
      </c>
      <c r="F2064" s="8" t="str" cm="1">
        <f t="array" ref="F2064">_xlfn._xlws.FILTER(E2064:E5262, C2064:C5262= "6D-PM-1020-01", "No Squirrels Found")</f>
        <v>No Squirrels Found</v>
      </c>
      <c r="G2064" s="8" t="s">
        <v>34</v>
      </c>
      <c r="H2064" s="10">
        <v>10062018</v>
      </c>
      <c r="I2064" s="10">
        <v>3</v>
      </c>
      <c r="J2064" s="8" t="s">
        <v>39</v>
      </c>
      <c r="K2064" s="8" t="s">
        <v>40</v>
      </c>
      <c r="L2064" s="8" t="s">
        <v>41</v>
      </c>
      <c r="M2064" s="8" t="s">
        <v>42</v>
      </c>
      <c r="O2064" s="8" t="s">
        <v>43</v>
      </c>
      <c r="P2064" s="8" t="b">
        <v>0</v>
      </c>
      <c r="R2064" s="8" t="b">
        <v>0</v>
      </c>
      <c r="S2064" s="8" t="b">
        <v>0</v>
      </c>
      <c r="T2064" s="8" t="b">
        <v>0</v>
      </c>
      <c r="U2064" s="8" t="b">
        <v>1</v>
      </c>
      <c r="V2064" s="8" t="b">
        <v>0</v>
      </c>
      <c r="X2064" s="8" t="b">
        <v>0</v>
      </c>
      <c r="Y2064" s="8" t="b">
        <v>0</v>
      </c>
      <c r="Z2064" s="8" t="b">
        <v>0</v>
      </c>
      <c r="AA2064" s="8" t="b">
        <v>0</v>
      </c>
      <c r="AB2064" s="8" t="b">
        <v>0</v>
      </c>
      <c r="AC2064" s="8" t="b">
        <v>0</v>
      </c>
      <c r="AD2064" s="8" t="b">
        <v>1</v>
      </c>
      <c r="AE2064" s="8" t="b">
        <v>0</v>
      </c>
      <c r="AG2064" s="11" t="b" cm="1">
        <f t="array" ref="AG2064">IF(OR(Y2064:AA2064="TRUE", AE2064="true"), "Threatened")</f>
        <v>0</v>
      </c>
      <c r="AH2064" s="11" t="s">
        <v>5236</v>
      </c>
      <c r="AI2064" s="8" t="b">
        <v>1</v>
      </c>
    </row>
    <row r="2065" spans="1:35" ht="31.2">
      <c r="A2065" s="8">
        <v>-73.9702609</v>
      </c>
      <c r="B2065" s="8">
        <v>40.783651720000002</v>
      </c>
      <c r="C2065" s="8" t="s">
        <v>5237</v>
      </c>
      <c r="D2065" s="8" t="s">
        <v>2014</v>
      </c>
      <c r="E2065" s="8" t="b">
        <f t="shared" si="32"/>
        <v>0</v>
      </c>
      <c r="F2065" s="8" t="str" cm="1">
        <f t="array" ref="F2065">_xlfn._xlws.FILTER(E2065:E5263, C2065:C5263= "6D-PM-1020-01", "No Squirrels Found")</f>
        <v>No Squirrels Found</v>
      </c>
      <c r="G2065" s="8" t="s">
        <v>48</v>
      </c>
      <c r="H2065" s="10">
        <v>10192018</v>
      </c>
      <c r="I2065" s="10">
        <v>5</v>
      </c>
      <c r="J2065" s="8" t="s">
        <v>39</v>
      </c>
      <c r="K2065" s="8" t="s">
        <v>40</v>
      </c>
      <c r="M2065" s="8" t="s">
        <v>55</v>
      </c>
      <c r="O2065" s="8" t="s">
        <v>50</v>
      </c>
      <c r="P2065" s="8">
        <v>2</v>
      </c>
      <c r="R2065" s="8" t="b">
        <v>0</v>
      </c>
      <c r="S2065" s="8" t="b">
        <v>0</v>
      </c>
      <c r="T2065" s="8" t="b">
        <v>1</v>
      </c>
      <c r="U2065" s="8" t="b">
        <v>0</v>
      </c>
      <c r="V2065" s="8" t="b">
        <v>0</v>
      </c>
      <c r="X2065" s="8" t="b">
        <v>0</v>
      </c>
      <c r="Y2065" s="8" t="b">
        <v>0</v>
      </c>
      <c r="Z2065" s="8" t="b">
        <v>0</v>
      </c>
      <c r="AA2065" s="8" t="b">
        <v>0</v>
      </c>
      <c r="AB2065" s="8" t="b">
        <v>0</v>
      </c>
      <c r="AC2065" s="8" t="b">
        <v>0</v>
      </c>
      <c r="AD2065" s="8" t="b">
        <v>1</v>
      </c>
      <c r="AE2065" s="8" t="b">
        <v>0</v>
      </c>
      <c r="AG2065" s="11" t="b" cm="1">
        <f t="array" ref="AG2065">IF(OR(Y2065:AA2065="TRUE", AE2065="true"), "Threatened")</f>
        <v>0</v>
      </c>
      <c r="AH2065" s="11" t="s">
        <v>5238</v>
      </c>
      <c r="AI2065" s="8" t="b">
        <v>1</v>
      </c>
    </row>
    <row r="2066" spans="1:35" ht="31.2">
      <c r="A2066" s="8">
        <v>-73.976841149999998</v>
      </c>
      <c r="B2066" s="8">
        <v>40.774137699999997</v>
      </c>
      <c r="C2066" s="8" t="s">
        <v>5239</v>
      </c>
      <c r="D2066" s="8" t="s">
        <v>859</v>
      </c>
      <c r="E2066" s="8" t="b">
        <f t="shared" si="32"/>
        <v>0</v>
      </c>
      <c r="F2066" s="8" t="str" cm="1">
        <f t="array" ref="F2066">_xlfn._xlws.FILTER(E2066:E5264, C2066:C5264= "6D-PM-1020-01", "No Squirrels Found")</f>
        <v>No Squirrels Found</v>
      </c>
      <c r="G2066" s="8" t="s">
        <v>48</v>
      </c>
      <c r="H2066" s="10">
        <v>10132018</v>
      </c>
      <c r="I2066" s="10">
        <v>3</v>
      </c>
      <c r="J2066" s="8" t="s">
        <v>54</v>
      </c>
      <c r="K2066" s="8" t="s">
        <v>40</v>
      </c>
      <c r="L2066" s="8" t="s">
        <v>41</v>
      </c>
      <c r="M2066" s="8" t="s">
        <v>42</v>
      </c>
      <c r="O2066" s="8" t="s">
        <v>43</v>
      </c>
      <c r="P2066" s="8" t="b">
        <v>0</v>
      </c>
      <c r="R2066" s="8" t="b">
        <v>0</v>
      </c>
      <c r="S2066" s="8" t="b">
        <v>0</v>
      </c>
      <c r="T2066" s="8" t="b">
        <v>0</v>
      </c>
      <c r="U2066" s="8" t="b">
        <v>0</v>
      </c>
      <c r="V2066" s="8" t="b">
        <v>1</v>
      </c>
      <c r="X2066" s="8" t="b">
        <v>0</v>
      </c>
      <c r="Y2066" s="8" t="b">
        <v>0</v>
      </c>
      <c r="Z2066" s="8" t="b">
        <v>0</v>
      </c>
      <c r="AA2066" s="8" t="b">
        <v>0</v>
      </c>
      <c r="AB2066" s="8" t="b">
        <v>0</v>
      </c>
      <c r="AC2066" s="8" t="b">
        <v>0</v>
      </c>
      <c r="AD2066" s="8" t="b">
        <v>1</v>
      </c>
      <c r="AE2066" s="8" t="b">
        <v>0</v>
      </c>
      <c r="AG2066" s="11" t="b" cm="1">
        <f t="array" ref="AG2066">IF(OR(Y2066:AA2066="TRUE", AE2066="true"), "Threatened")</f>
        <v>0</v>
      </c>
      <c r="AH2066" s="11" t="s">
        <v>5240</v>
      </c>
      <c r="AI2066" s="8" t="b">
        <v>1</v>
      </c>
    </row>
    <row r="2067" spans="1:35" ht="31.2">
      <c r="A2067" s="8">
        <v>-73.978460999999996</v>
      </c>
      <c r="B2067" s="8">
        <v>40.766883999999997</v>
      </c>
      <c r="C2067" s="8" t="s">
        <v>5241</v>
      </c>
      <c r="D2067" s="8" t="s">
        <v>1278</v>
      </c>
      <c r="E2067" s="8" t="b">
        <f t="shared" si="32"/>
        <v>0</v>
      </c>
      <c r="F2067" s="8" t="str" cm="1">
        <f t="array" ref="F2067">_xlfn._xlws.FILTER(E2067:E5265, C2067:C5265= "6D-PM-1020-01", "No Squirrels Found")</f>
        <v>No Squirrels Found</v>
      </c>
      <c r="G2067" s="8" t="s">
        <v>48</v>
      </c>
      <c r="H2067" s="10">
        <v>10062018</v>
      </c>
      <c r="I2067" s="10">
        <v>7</v>
      </c>
      <c r="J2067" s="8" t="s">
        <v>39</v>
      </c>
      <c r="K2067" s="8" t="s">
        <v>40</v>
      </c>
      <c r="L2067" s="8" t="s">
        <v>117</v>
      </c>
      <c r="M2067" s="8" t="s">
        <v>118</v>
      </c>
      <c r="N2067" s="11" t="s">
        <v>1383</v>
      </c>
      <c r="O2067" s="8" t="s">
        <v>43</v>
      </c>
      <c r="P2067" s="8" t="b">
        <v>0</v>
      </c>
      <c r="R2067" s="8" t="b">
        <v>0</v>
      </c>
      <c r="S2067" s="8" t="b">
        <v>0</v>
      </c>
      <c r="T2067" s="8" t="b">
        <v>0</v>
      </c>
      <c r="U2067" s="8" t="b">
        <v>1</v>
      </c>
      <c r="V2067" s="8" t="b">
        <v>1</v>
      </c>
      <c r="X2067" s="8" t="b">
        <v>0</v>
      </c>
      <c r="Y2067" s="8" t="b">
        <v>0</v>
      </c>
      <c r="Z2067" s="8" t="b">
        <v>0</v>
      </c>
      <c r="AA2067" s="8" t="b">
        <v>0</v>
      </c>
      <c r="AB2067" s="8" t="b">
        <v>1</v>
      </c>
      <c r="AC2067" s="8" t="b">
        <v>0</v>
      </c>
      <c r="AD2067" s="8" t="b">
        <v>0</v>
      </c>
      <c r="AE2067" s="8" t="b">
        <v>0</v>
      </c>
      <c r="AG2067" s="11" t="b" cm="1">
        <f t="array" ref="AG2067">IF(OR(Y2067:AA2067="TRUE", AE2067="true"), "Threatened")</f>
        <v>0</v>
      </c>
      <c r="AH2067" s="11" t="s">
        <v>5242</v>
      </c>
      <c r="AI2067" s="8" t="b">
        <v>1</v>
      </c>
    </row>
    <row r="2068" spans="1:35" ht="31.2">
      <c r="A2068" s="8">
        <v>-73.972507789999995</v>
      </c>
      <c r="B2068" s="8">
        <v>40.765456270000001</v>
      </c>
      <c r="C2068" s="8" t="s">
        <v>5243</v>
      </c>
      <c r="D2068" s="8" t="s">
        <v>2245</v>
      </c>
      <c r="E2068" s="8" t="b">
        <f t="shared" si="32"/>
        <v>0</v>
      </c>
      <c r="F2068" s="8" t="str" cm="1">
        <f t="array" ref="F2068">_xlfn._xlws.FILTER(E2068:E5266, C2068:C5266= "6D-PM-1020-01", "No Squirrels Found")</f>
        <v>No Squirrels Found</v>
      </c>
      <c r="G2068" s="8" t="s">
        <v>34</v>
      </c>
      <c r="H2068" s="10">
        <v>10062018</v>
      </c>
      <c r="I2068" s="10">
        <v>1</v>
      </c>
      <c r="J2068" s="8" t="s">
        <v>39</v>
      </c>
      <c r="K2068" s="8" t="s">
        <v>40</v>
      </c>
      <c r="L2068" s="8" t="s">
        <v>117</v>
      </c>
      <c r="M2068" s="8" t="s">
        <v>118</v>
      </c>
      <c r="O2068" s="8" t="s">
        <v>50</v>
      </c>
      <c r="P2068" s="8">
        <v>2</v>
      </c>
      <c r="Q2068" s="8" t="s">
        <v>5244</v>
      </c>
      <c r="R2068" s="8" t="b">
        <v>0</v>
      </c>
      <c r="S2068" s="8" t="b">
        <v>0</v>
      </c>
      <c r="T2068" s="8" t="b">
        <v>0</v>
      </c>
      <c r="U2068" s="8" t="b">
        <v>0</v>
      </c>
      <c r="V2068" s="8" t="b">
        <v>0</v>
      </c>
      <c r="W2068" s="11" t="s">
        <v>3889</v>
      </c>
      <c r="X2068" s="8" t="b">
        <v>0</v>
      </c>
      <c r="Y2068" s="8" t="b">
        <v>0</v>
      </c>
      <c r="Z2068" s="8" t="b">
        <v>0</v>
      </c>
      <c r="AA2068" s="8" t="b">
        <v>0</v>
      </c>
      <c r="AB2068" s="8" t="b">
        <v>0</v>
      </c>
      <c r="AC2068" s="8" t="b">
        <v>0</v>
      </c>
      <c r="AD2068" s="8" t="b">
        <v>0</v>
      </c>
      <c r="AE2068" s="8" t="b">
        <v>1</v>
      </c>
      <c r="AG2068" s="11" t="b" cm="1">
        <f t="array" ref="AG2068">IF(OR(Y2068:AA2068="TRUE", AE2068="true"), "Threatened")</f>
        <v>0</v>
      </c>
      <c r="AH2068" s="11" t="s">
        <v>5245</v>
      </c>
      <c r="AI2068" s="8" t="b">
        <v>0</v>
      </c>
    </row>
    <row r="2069" spans="1:35" ht="78">
      <c r="A2069" s="8">
        <v>-73.973558760000003</v>
      </c>
      <c r="B2069" s="8">
        <v>40.767234629999997</v>
      </c>
      <c r="C2069" s="8" t="s">
        <v>5246</v>
      </c>
      <c r="D2069" s="8" t="s">
        <v>669</v>
      </c>
      <c r="E2069" s="8" t="b">
        <f t="shared" si="32"/>
        <v>0</v>
      </c>
      <c r="F2069" s="8" t="str" cm="1">
        <f t="array" ref="F2069">_xlfn._xlws.FILTER(E2069:E5267, C2069:C5267= "6D-PM-1020-01", "No Squirrels Found")</f>
        <v>No Squirrels Found</v>
      </c>
      <c r="G2069" s="8" t="s">
        <v>34</v>
      </c>
      <c r="H2069" s="10">
        <v>10132018</v>
      </c>
      <c r="I2069" s="10">
        <v>2</v>
      </c>
      <c r="J2069" s="8" t="s">
        <v>39</v>
      </c>
      <c r="K2069" s="8" t="s">
        <v>40</v>
      </c>
      <c r="L2069" s="8" t="s">
        <v>117</v>
      </c>
      <c r="M2069" s="8" t="s">
        <v>118</v>
      </c>
      <c r="O2069" s="8" t="s">
        <v>43</v>
      </c>
      <c r="P2069" s="8" t="b">
        <v>0</v>
      </c>
      <c r="R2069" s="8" t="b">
        <v>0</v>
      </c>
      <c r="S2069" s="8" t="b">
        <v>0</v>
      </c>
      <c r="T2069" s="8" t="b">
        <v>0</v>
      </c>
      <c r="U2069" s="8" t="b">
        <v>0</v>
      </c>
      <c r="V2069" s="8" t="b">
        <v>0</v>
      </c>
      <c r="W2069" s="11" t="s">
        <v>5247</v>
      </c>
      <c r="X2069" s="8" t="b">
        <v>0</v>
      </c>
      <c r="Y2069" s="8" t="b">
        <v>0</v>
      </c>
      <c r="Z2069" s="8" t="b">
        <v>0</v>
      </c>
      <c r="AA2069" s="8" t="b">
        <v>0</v>
      </c>
      <c r="AB2069" s="8" t="b">
        <v>0</v>
      </c>
      <c r="AC2069" s="8" t="b">
        <v>1</v>
      </c>
      <c r="AD2069" s="8" t="b">
        <v>0</v>
      </c>
      <c r="AE2069" s="8" t="b">
        <v>0</v>
      </c>
      <c r="AF2069" s="11" t="s">
        <v>5248</v>
      </c>
      <c r="AG2069" s="11" t="b" cm="1">
        <f t="array" ref="AG2069">IF(OR(Y2069:AA2069="TRUE", AE2069="true"), "Threatened")</f>
        <v>0</v>
      </c>
      <c r="AH2069" s="11" t="s">
        <v>5249</v>
      </c>
      <c r="AI2069" s="8" t="b">
        <v>0</v>
      </c>
    </row>
    <row r="2070" spans="1:35" ht="31.2">
      <c r="A2070" s="8">
        <v>-73.953837699999994</v>
      </c>
      <c r="B2070" s="8">
        <v>40.798060530000001</v>
      </c>
      <c r="C2070" s="8" t="s">
        <v>5250</v>
      </c>
      <c r="D2070" s="8" t="s">
        <v>332</v>
      </c>
      <c r="E2070" s="8" t="b">
        <f t="shared" si="32"/>
        <v>0</v>
      </c>
      <c r="F2070" s="8" t="str" cm="1">
        <f t="array" ref="F2070">_xlfn._xlws.FILTER(E2070:E5268, C2070:C5268= "6D-PM-1020-01", "No Squirrels Found")</f>
        <v>No Squirrels Found</v>
      </c>
      <c r="G2070" s="8" t="s">
        <v>34</v>
      </c>
      <c r="H2070" s="10">
        <v>10122018</v>
      </c>
      <c r="I2070" s="10">
        <v>3</v>
      </c>
      <c r="J2070" s="8" t="s">
        <v>39</v>
      </c>
      <c r="K2070" s="8" t="s">
        <v>40</v>
      </c>
      <c r="L2070" s="8" t="s">
        <v>84</v>
      </c>
      <c r="M2070" s="8" t="s">
        <v>103</v>
      </c>
      <c r="O2070" s="8" t="s">
        <v>50</v>
      </c>
      <c r="P2070" s="8">
        <v>20</v>
      </c>
      <c r="Q2070" s="8" t="s">
        <v>466</v>
      </c>
      <c r="R2070" s="8" t="b">
        <v>0</v>
      </c>
      <c r="S2070" s="8" t="b">
        <v>0</v>
      </c>
      <c r="T2070" s="8" t="b">
        <v>1</v>
      </c>
      <c r="U2070" s="8" t="b">
        <v>0</v>
      </c>
      <c r="V2070" s="8" t="b">
        <v>1</v>
      </c>
      <c r="X2070" s="8" t="b">
        <v>1</v>
      </c>
      <c r="Y2070" s="8" t="b">
        <v>0</v>
      </c>
      <c r="Z2070" s="8" t="b">
        <v>0</v>
      </c>
      <c r="AA2070" s="8" t="b">
        <v>0</v>
      </c>
      <c r="AB2070" s="8" t="b">
        <v>0</v>
      </c>
      <c r="AC2070" s="8" t="b">
        <v>0</v>
      </c>
      <c r="AD2070" s="8" t="b">
        <v>1</v>
      </c>
      <c r="AE2070" s="8" t="b">
        <v>0</v>
      </c>
      <c r="AG2070" s="11" t="b" cm="1">
        <f t="array" ref="AG2070">IF(OR(Y2070:AA2070="TRUE", AE2070="true"), "Threatened")</f>
        <v>0</v>
      </c>
      <c r="AH2070" s="11" t="s">
        <v>5251</v>
      </c>
      <c r="AI2070" s="8" t="b">
        <v>1</v>
      </c>
    </row>
    <row r="2071" spans="1:35" ht="31.2">
      <c r="A2071" s="8">
        <v>-73.97257003</v>
      </c>
      <c r="B2071" s="8">
        <v>40.766879330000002</v>
      </c>
      <c r="C2071" s="8" t="s">
        <v>5252</v>
      </c>
      <c r="D2071" s="8" t="s">
        <v>1902</v>
      </c>
      <c r="E2071" s="8" t="b">
        <f t="shared" si="32"/>
        <v>0</v>
      </c>
      <c r="F2071" s="8" t="str" cm="1">
        <f t="array" ref="F2071">_xlfn._xlws.FILTER(E2071:E5269, C2071:C5269= "6D-PM-1020-01", "No Squirrels Found")</f>
        <v>No Squirrels Found</v>
      </c>
      <c r="G2071" s="8" t="s">
        <v>34</v>
      </c>
      <c r="H2071" s="10">
        <v>10142018</v>
      </c>
      <c r="I2071" s="10">
        <v>1</v>
      </c>
      <c r="J2071" s="8" t="s">
        <v>39</v>
      </c>
      <c r="K2071" s="8" t="s">
        <v>40</v>
      </c>
      <c r="M2071" s="8" t="s">
        <v>55</v>
      </c>
      <c r="O2071" s="8" t="s">
        <v>43</v>
      </c>
      <c r="P2071" s="8" t="b">
        <v>0</v>
      </c>
      <c r="Q2071" s="8" t="s">
        <v>5253</v>
      </c>
      <c r="R2071" s="8" t="b">
        <v>1</v>
      </c>
      <c r="S2071" s="8" t="b">
        <v>0</v>
      </c>
      <c r="T2071" s="8" t="b">
        <v>0</v>
      </c>
      <c r="U2071" s="8" t="b">
        <v>0</v>
      </c>
      <c r="V2071" s="8" t="b">
        <v>0</v>
      </c>
      <c r="X2071" s="8" t="b">
        <v>0</v>
      </c>
      <c r="Y2071" s="8" t="b">
        <v>0</v>
      </c>
      <c r="Z2071" s="8" t="b">
        <v>0</v>
      </c>
      <c r="AA2071" s="8" t="b">
        <v>0</v>
      </c>
      <c r="AB2071" s="8" t="b">
        <v>0</v>
      </c>
      <c r="AC2071" s="8" t="b">
        <v>0</v>
      </c>
      <c r="AD2071" s="8" t="b">
        <v>0</v>
      </c>
      <c r="AE2071" s="8" t="b">
        <v>1</v>
      </c>
      <c r="AG2071" s="11" t="b" cm="1">
        <f t="array" ref="AG2071">IF(OR(Y2071:AA2071="TRUE", AE2071="true"), "Threatened")</f>
        <v>0</v>
      </c>
      <c r="AH2071" s="11" t="s">
        <v>5254</v>
      </c>
      <c r="AI2071" s="8" t="b">
        <v>1</v>
      </c>
    </row>
    <row r="2072" spans="1:35" ht="31.2">
      <c r="A2072" s="8">
        <v>-73.966769439999993</v>
      </c>
      <c r="B2072" s="8">
        <v>40.777950179999998</v>
      </c>
      <c r="C2072" s="8" t="s">
        <v>5255</v>
      </c>
      <c r="D2072" s="8" t="s">
        <v>2220</v>
      </c>
      <c r="E2072" s="8" t="b">
        <f t="shared" si="32"/>
        <v>0</v>
      </c>
      <c r="F2072" s="8" t="str" cm="1">
        <f t="array" ref="F2072">_xlfn._xlws.FILTER(E2072:E5270, C2072:C5270= "6D-PM-1020-01", "No Squirrels Found")</f>
        <v>No Squirrels Found</v>
      </c>
      <c r="G2072" s="8" t="s">
        <v>34</v>
      </c>
      <c r="H2072" s="10">
        <v>10172018</v>
      </c>
      <c r="I2072" s="10">
        <v>3</v>
      </c>
      <c r="J2072" s="8" t="s">
        <v>39</v>
      </c>
      <c r="K2072" s="8" t="s">
        <v>40</v>
      </c>
      <c r="L2072" s="8" t="s">
        <v>84</v>
      </c>
      <c r="M2072" s="8" t="s">
        <v>103</v>
      </c>
      <c r="O2072" s="8" t="s">
        <v>50</v>
      </c>
      <c r="P2072" s="8">
        <v>10</v>
      </c>
      <c r="Q2072" s="8" t="s">
        <v>3188</v>
      </c>
      <c r="R2072" s="8" t="b">
        <v>1</v>
      </c>
      <c r="S2072" s="8" t="b">
        <v>1</v>
      </c>
      <c r="T2072" s="8" t="b">
        <v>1</v>
      </c>
      <c r="U2072" s="8" t="b">
        <v>0</v>
      </c>
      <c r="V2072" s="8" t="b">
        <v>0</v>
      </c>
      <c r="X2072" s="8" t="b">
        <v>0</v>
      </c>
      <c r="Y2072" s="8" t="b">
        <v>0</v>
      </c>
      <c r="Z2072" s="8" t="b">
        <v>0</v>
      </c>
      <c r="AA2072" s="8" t="b">
        <v>0</v>
      </c>
      <c r="AB2072" s="8" t="b">
        <v>0</v>
      </c>
      <c r="AC2072" s="8" t="b">
        <v>0</v>
      </c>
      <c r="AD2072" s="8" t="b">
        <v>1</v>
      </c>
      <c r="AE2072" s="8" t="b">
        <v>0</v>
      </c>
      <c r="AG2072" s="11" t="b" cm="1">
        <f t="array" ref="AG2072">IF(OR(Y2072:AA2072="TRUE", AE2072="true"), "Threatened")</f>
        <v>0</v>
      </c>
      <c r="AH2072" s="11" t="s">
        <v>5256</v>
      </c>
      <c r="AI2072" s="8" t="b">
        <v>1</v>
      </c>
    </row>
    <row r="2073" spans="1:35" ht="31.2">
      <c r="A2073" s="8">
        <v>-73.961870959999999</v>
      </c>
      <c r="B2073" s="8">
        <v>40.794496909999999</v>
      </c>
      <c r="C2073" s="8" t="s">
        <v>5257</v>
      </c>
      <c r="D2073" s="8" t="s">
        <v>301</v>
      </c>
      <c r="E2073" s="8" t="b">
        <f t="shared" si="32"/>
        <v>0</v>
      </c>
      <c r="F2073" s="8" t="str" cm="1">
        <f t="array" ref="F2073">_xlfn._xlws.FILTER(E2073:E5271, C2073:C5271= "6D-PM-1020-01", "No Squirrels Found")</f>
        <v>No Squirrels Found</v>
      </c>
      <c r="G2073" s="8" t="s">
        <v>34</v>
      </c>
      <c r="H2073" s="10">
        <v>10132018</v>
      </c>
      <c r="I2073" s="10">
        <v>2</v>
      </c>
      <c r="J2073" s="8" t="s">
        <v>39</v>
      </c>
      <c r="K2073" s="8" t="s">
        <v>40</v>
      </c>
      <c r="L2073" s="8" t="s">
        <v>84</v>
      </c>
      <c r="M2073" s="8" t="s">
        <v>103</v>
      </c>
      <c r="O2073" s="8" t="s">
        <v>43</v>
      </c>
      <c r="P2073" s="8" t="b">
        <v>0</v>
      </c>
      <c r="R2073" s="8" t="b">
        <v>0</v>
      </c>
      <c r="S2073" s="8" t="b">
        <v>0</v>
      </c>
      <c r="T2073" s="8" t="b">
        <v>0</v>
      </c>
      <c r="U2073" s="8" t="b">
        <v>0</v>
      </c>
      <c r="V2073" s="8" t="b">
        <v>1</v>
      </c>
      <c r="X2073" s="8" t="b">
        <v>0</v>
      </c>
      <c r="Y2073" s="8" t="b">
        <v>0</v>
      </c>
      <c r="Z2073" s="8" t="b">
        <v>0</v>
      </c>
      <c r="AA2073" s="8" t="b">
        <v>0</v>
      </c>
      <c r="AB2073" s="8" t="b">
        <v>0</v>
      </c>
      <c r="AC2073" s="8" t="b">
        <v>0</v>
      </c>
      <c r="AD2073" s="8" t="b">
        <v>0</v>
      </c>
      <c r="AE2073" s="8" t="b">
        <v>1</v>
      </c>
      <c r="AG2073" s="11" t="b" cm="1">
        <f t="array" ref="AG2073">IF(OR(Y2073:AA2073="TRUE", AE2073="true"), "Threatened")</f>
        <v>0</v>
      </c>
      <c r="AH2073" s="11" t="s">
        <v>5258</v>
      </c>
      <c r="AI2073" s="8" t="b">
        <v>1</v>
      </c>
    </row>
    <row r="2074" spans="1:35" ht="31.2">
      <c r="A2074" s="8">
        <v>-73.966110819999997</v>
      </c>
      <c r="B2074" s="8">
        <v>40.789194510000002</v>
      </c>
      <c r="C2074" s="8" t="s">
        <v>5259</v>
      </c>
      <c r="D2074" s="8" t="s">
        <v>174</v>
      </c>
      <c r="E2074" s="8" t="b">
        <f t="shared" si="32"/>
        <v>0</v>
      </c>
      <c r="F2074" s="8" t="str" cm="1">
        <f t="array" ref="F2074">_xlfn._xlws.FILTER(E2074:E5272, C2074:C5272= "6D-PM-1020-01", "No Squirrels Found")</f>
        <v>No Squirrels Found</v>
      </c>
      <c r="G2074" s="8" t="s">
        <v>48</v>
      </c>
      <c r="H2074" s="10">
        <v>10142018</v>
      </c>
      <c r="I2074" s="10">
        <v>1</v>
      </c>
      <c r="J2074" s="8" t="s">
        <v>39</v>
      </c>
      <c r="K2074" s="8" t="s">
        <v>40</v>
      </c>
      <c r="M2074" s="8" t="s">
        <v>55</v>
      </c>
      <c r="O2074" s="8" t="s">
        <v>43</v>
      </c>
      <c r="P2074" s="8" t="b">
        <v>0</v>
      </c>
      <c r="R2074" s="8" t="b">
        <v>0</v>
      </c>
      <c r="S2074" s="8" t="b">
        <v>0</v>
      </c>
      <c r="T2074" s="8" t="b">
        <v>0</v>
      </c>
      <c r="U2074" s="8" t="b">
        <v>1</v>
      </c>
      <c r="V2074" s="8" t="b">
        <v>1</v>
      </c>
      <c r="X2074" s="8" t="b">
        <v>0</v>
      </c>
      <c r="Y2074" s="8" t="b">
        <v>0</v>
      </c>
      <c r="Z2074" s="8" t="b">
        <v>0</v>
      </c>
      <c r="AA2074" s="8" t="b">
        <v>0</v>
      </c>
      <c r="AB2074" s="8" t="b">
        <v>0</v>
      </c>
      <c r="AC2074" s="8" t="b">
        <v>0</v>
      </c>
      <c r="AD2074" s="8" t="b">
        <v>0</v>
      </c>
      <c r="AE2074" s="8" t="b">
        <v>0</v>
      </c>
      <c r="AG2074" s="11" t="b" cm="1">
        <f t="array" ref="AG2074">IF(OR(Y2074:AA2074="TRUE", AE2074="true"), "Threatened")</f>
        <v>0</v>
      </c>
      <c r="AH2074" s="11" t="s">
        <v>5260</v>
      </c>
      <c r="AI2074" s="8" t="b">
        <v>1</v>
      </c>
    </row>
    <row r="2075" spans="1:35" ht="31.2">
      <c r="A2075" s="8">
        <v>-73.967624599999994</v>
      </c>
      <c r="B2075" s="8">
        <v>40.786355139999998</v>
      </c>
      <c r="C2075" s="8" t="s">
        <v>5261</v>
      </c>
      <c r="D2075" s="8" t="s">
        <v>1444</v>
      </c>
      <c r="E2075" s="8" t="b">
        <f t="shared" si="32"/>
        <v>0</v>
      </c>
      <c r="F2075" s="8" t="str" cm="1">
        <f t="array" ref="F2075">_xlfn._xlws.FILTER(E2075:E5273, C2075:C5273= "6D-PM-1020-01", "No Squirrels Found")</f>
        <v>No Squirrels Found</v>
      </c>
      <c r="G2075" s="8" t="s">
        <v>34</v>
      </c>
      <c r="H2075" s="10">
        <v>10072018</v>
      </c>
      <c r="I2075" s="10">
        <v>5</v>
      </c>
      <c r="J2075" s="8" t="s">
        <v>54</v>
      </c>
      <c r="K2075" s="8" t="s">
        <v>40</v>
      </c>
      <c r="L2075" s="8" t="s">
        <v>41</v>
      </c>
      <c r="M2075" s="8" t="s">
        <v>42</v>
      </c>
      <c r="O2075" s="8" t="s">
        <v>50</v>
      </c>
      <c r="P2075" s="8">
        <v>45</v>
      </c>
      <c r="Q2075" s="8" t="s">
        <v>466</v>
      </c>
      <c r="R2075" s="8" t="b">
        <v>0</v>
      </c>
      <c r="S2075" s="8" t="b">
        <v>0</v>
      </c>
      <c r="T2075" s="8" t="b">
        <v>1</v>
      </c>
      <c r="U2075" s="8" t="b">
        <v>0</v>
      </c>
      <c r="V2075" s="8" t="b">
        <v>0</v>
      </c>
      <c r="X2075" s="8" t="b">
        <v>0</v>
      </c>
      <c r="Y2075" s="8" t="b">
        <v>0</v>
      </c>
      <c r="Z2075" s="8" t="b">
        <v>0</v>
      </c>
      <c r="AA2075" s="8" t="b">
        <v>0</v>
      </c>
      <c r="AB2075" s="8" t="b">
        <v>0</v>
      </c>
      <c r="AC2075" s="8" t="b">
        <v>0</v>
      </c>
      <c r="AD2075" s="8" t="b">
        <v>0</v>
      </c>
      <c r="AE2075" s="8" t="b">
        <v>0</v>
      </c>
      <c r="AG2075" s="11" t="b" cm="1">
        <f t="array" ref="AG2075">IF(OR(Y2075:AA2075="TRUE", AE2075="true"), "Threatened")</f>
        <v>0</v>
      </c>
      <c r="AH2075" s="11" t="s">
        <v>5262</v>
      </c>
      <c r="AI2075" s="8" t="b">
        <v>1</v>
      </c>
    </row>
    <row r="2076" spans="1:35" ht="31.2">
      <c r="A2076" s="8">
        <v>-73.963623499999997</v>
      </c>
      <c r="B2076" s="8">
        <v>40.777513849999998</v>
      </c>
      <c r="C2076" s="8" t="s">
        <v>5263</v>
      </c>
      <c r="D2076" s="8" t="s">
        <v>1144</v>
      </c>
      <c r="E2076" s="8" t="b">
        <f t="shared" si="32"/>
        <v>0</v>
      </c>
      <c r="F2076" s="8" t="str" cm="1">
        <f t="array" ref="F2076">_xlfn._xlws.FILTER(E2076:E5274, C2076:C5274= "6D-PM-1020-01", "No Squirrels Found")</f>
        <v>No Squirrels Found</v>
      </c>
      <c r="G2076" s="8" t="s">
        <v>34</v>
      </c>
      <c r="H2076" s="10">
        <v>10072018</v>
      </c>
      <c r="I2076" s="10">
        <v>6</v>
      </c>
      <c r="J2076" s="8" t="s">
        <v>39</v>
      </c>
      <c r="K2076" s="8" t="s">
        <v>41</v>
      </c>
      <c r="L2076" s="8" t="s">
        <v>40</v>
      </c>
      <c r="M2076" s="8" t="s">
        <v>110</v>
      </c>
      <c r="O2076" s="8" t="s">
        <v>43</v>
      </c>
      <c r="P2076" s="8" t="b">
        <v>0</v>
      </c>
      <c r="R2076" s="8" t="b">
        <v>0</v>
      </c>
      <c r="S2076" s="8" t="b">
        <v>0</v>
      </c>
      <c r="T2076" s="8" t="b">
        <v>0</v>
      </c>
      <c r="U2076" s="8" t="b">
        <v>0</v>
      </c>
      <c r="V2076" s="8" t="b">
        <v>1</v>
      </c>
      <c r="W2076" s="11" t="s">
        <v>355</v>
      </c>
      <c r="X2076" s="8" t="b">
        <v>0</v>
      </c>
      <c r="Y2076" s="8" t="b">
        <v>0</v>
      </c>
      <c r="Z2076" s="8" t="b">
        <v>0</v>
      </c>
      <c r="AA2076" s="8" t="b">
        <v>0</v>
      </c>
      <c r="AB2076" s="8" t="b">
        <v>0</v>
      </c>
      <c r="AC2076" s="8" t="b">
        <v>0</v>
      </c>
      <c r="AD2076" s="8" t="b">
        <v>1</v>
      </c>
      <c r="AE2076" s="8" t="b">
        <v>0</v>
      </c>
      <c r="AG2076" s="11" t="b" cm="1">
        <f t="array" ref="AG2076">IF(OR(Y2076:AA2076="TRUE", AE2076="true"), "Threatened")</f>
        <v>0</v>
      </c>
      <c r="AH2076" s="11" t="s">
        <v>5264</v>
      </c>
      <c r="AI2076" s="8" t="b">
        <v>0</v>
      </c>
    </row>
    <row r="2077" spans="1:35" ht="31.2">
      <c r="A2077" s="8">
        <v>-73.971263690000001</v>
      </c>
      <c r="B2077" s="8">
        <v>40.779980989999999</v>
      </c>
      <c r="C2077" s="8" t="s">
        <v>5265</v>
      </c>
      <c r="D2077" s="8" t="s">
        <v>2417</v>
      </c>
      <c r="E2077" s="8" t="b">
        <f t="shared" si="32"/>
        <v>0</v>
      </c>
      <c r="F2077" s="8" t="str" cm="1">
        <f t="array" ref="F2077">_xlfn._xlws.FILTER(E2077:E5275, C2077:C5275= "6D-PM-1020-01", "No Squirrels Found")</f>
        <v>No Squirrels Found</v>
      </c>
      <c r="G2077" s="8" t="s">
        <v>48</v>
      </c>
      <c r="H2077" s="10">
        <v>10102018</v>
      </c>
      <c r="I2077" s="10">
        <v>3</v>
      </c>
      <c r="J2077" s="8" t="s">
        <v>39</v>
      </c>
      <c r="K2077" s="8" t="s">
        <v>40</v>
      </c>
      <c r="M2077" s="8" t="s">
        <v>55</v>
      </c>
      <c r="O2077" s="8" t="s">
        <v>50</v>
      </c>
      <c r="P2077" s="8">
        <v>25</v>
      </c>
      <c r="R2077" s="8" t="b">
        <v>0</v>
      </c>
      <c r="S2077" s="8" t="b">
        <v>0</v>
      </c>
      <c r="T2077" s="8" t="b">
        <v>1</v>
      </c>
      <c r="U2077" s="8" t="b">
        <v>0</v>
      </c>
      <c r="V2077" s="8" t="b">
        <v>0</v>
      </c>
      <c r="X2077" s="8" t="b">
        <v>0</v>
      </c>
      <c r="Y2077" s="8" t="b">
        <v>0</v>
      </c>
      <c r="Z2077" s="8" t="b">
        <v>0</v>
      </c>
      <c r="AA2077" s="8" t="b">
        <v>0</v>
      </c>
      <c r="AB2077" s="8" t="b">
        <v>0</v>
      </c>
      <c r="AC2077" s="8" t="b">
        <v>0</v>
      </c>
      <c r="AD2077" s="8" t="b">
        <v>0</v>
      </c>
      <c r="AE2077" s="8" t="b">
        <v>0</v>
      </c>
      <c r="AG2077" s="11" t="b" cm="1">
        <f t="array" ref="AG2077">IF(OR(Y2077:AA2077="TRUE", AE2077="true"), "Threatened")</f>
        <v>0</v>
      </c>
      <c r="AH2077" s="11" t="s">
        <v>5266</v>
      </c>
      <c r="AI2077" s="8" t="b">
        <v>1</v>
      </c>
    </row>
    <row r="2078" spans="1:35" ht="31.2">
      <c r="A2078" s="8">
        <v>-73.956273350000004</v>
      </c>
      <c r="B2078" s="8">
        <v>40.799314209999999</v>
      </c>
      <c r="C2078" s="8" t="s">
        <v>5267</v>
      </c>
      <c r="D2078" s="8" t="s">
        <v>350</v>
      </c>
      <c r="E2078" s="8" t="b">
        <f t="shared" si="32"/>
        <v>0</v>
      </c>
      <c r="F2078" s="8" t="str" cm="1">
        <f t="array" ref="F2078">_xlfn._xlws.FILTER(E2078:E5276, C2078:C5276= "6D-PM-1020-01", "No Squirrels Found")</f>
        <v>No Squirrels Found</v>
      </c>
      <c r="G2078" s="8" t="s">
        <v>34</v>
      </c>
      <c r="H2078" s="10">
        <v>10132018</v>
      </c>
      <c r="I2078" s="10">
        <v>3</v>
      </c>
      <c r="J2078" s="8" t="s">
        <v>39</v>
      </c>
      <c r="K2078" s="8" t="s">
        <v>40</v>
      </c>
      <c r="M2078" s="8" t="s">
        <v>55</v>
      </c>
      <c r="O2078" s="8" t="s">
        <v>43</v>
      </c>
      <c r="P2078" s="8" t="b">
        <v>0</v>
      </c>
      <c r="Q2078" s="8" t="s">
        <v>5268</v>
      </c>
      <c r="R2078" s="8" t="b">
        <v>0</v>
      </c>
      <c r="S2078" s="8" t="b">
        <v>0</v>
      </c>
      <c r="T2078" s="8" t="b">
        <v>0</v>
      </c>
      <c r="U2078" s="8" t="b">
        <v>0</v>
      </c>
      <c r="V2078" s="8" t="b">
        <v>1</v>
      </c>
      <c r="X2078" s="8" t="b">
        <v>0</v>
      </c>
      <c r="Y2078" s="8" t="b">
        <v>0</v>
      </c>
      <c r="Z2078" s="8" t="b">
        <v>0</v>
      </c>
      <c r="AA2078" s="8" t="b">
        <v>0</v>
      </c>
      <c r="AB2078" s="8" t="b">
        <v>0</v>
      </c>
      <c r="AC2078" s="8" t="b">
        <v>0</v>
      </c>
      <c r="AD2078" s="8" t="b">
        <v>1</v>
      </c>
      <c r="AE2078" s="8" t="b">
        <v>0</v>
      </c>
      <c r="AG2078" s="11" t="b" cm="1">
        <f t="array" ref="AG2078">IF(OR(Y2078:AA2078="TRUE", AE2078="true"), "Threatened")</f>
        <v>0</v>
      </c>
      <c r="AH2078" s="11" t="s">
        <v>5269</v>
      </c>
      <c r="AI2078" s="8" t="b">
        <v>1</v>
      </c>
    </row>
    <row r="2079" spans="1:35" ht="31.2">
      <c r="A2079" s="8">
        <v>-73.970604120000004</v>
      </c>
      <c r="B2079" s="8">
        <v>40.778015279999998</v>
      </c>
      <c r="C2079" s="8" t="s">
        <v>5270</v>
      </c>
      <c r="D2079" s="8" t="s">
        <v>554</v>
      </c>
      <c r="E2079" s="8" t="b">
        <f t="shared" si="32"/>
        <v>0</v>
      </c>
      <c r="F2079" s="8" t="str" cm="1">
        <f t="array" ref="F2079">_xlfn._xlws.FILTER(E2079:E5277, C2079:C5277= "6D-PM-1020-01", "No Squirrels Found")</f>
        <v>No Squirrels Found</v>
      </c>
      <c r="G2079" s="8" t="s">
        <v>34</v>
      </c>
      <c r="H2079" s="10">
        <v>10172018</v>
      </c>
      <c r="I2079" s="10">
        <v>5</v>
      </c>
      <c r="J2079" s="8" t="s">
        <v>39</v>
      </c>
      <c r="K2079" s="8" t="s">
        <v>40</v>
      </c>
      <c r="L2079" s="8" t="s">
        <v>84</v>
      </c>
      <c r="M2079" s="8" t="s">
        <v>103</v>
      </c>
      <c r="O2079" s="8" t="s">
        <v>43</v>
      </c>
      <c r="P2079" s="8" t="b">
        <v>0</v>
      </c>
      <c r="R2079" s="8" t="b">
        <v>0</v>
      </c>
      <c r="S2079" s="8" t="b">
        <v>0</v>
      </c>
      <c r="T2079" s="8" t="b">
        <v>0</v>
      </c>
      <c r="U2079" s="8" t="b">
        <v>0</v>
      </c>
      <c r="V2079" s="8" t="b">
        <v>1</v>
      </c>
      <c r="X2079" s="8" t="b">
        <v>0</v>
      </c>
      <c r="Y2079" s="8" t="b">
        <v>0</v>
      </c>
      <c r="Z2079" s="8" t="b">
        <v>0</v>
      </c>
      <c r="AA2079" s="8" t="b">
        <v>0</v>
      </c>
      <c r="AB2079" s="8" t="b">
        <v>0</v>
      </c>
      <c r="AC2079" s="8" t="b">
        <v>0</v>
      </c>
      <c r="AD2079" s="8" t="b">
        <v>1</v>
      </c>
      <c r="AE2079" s="8" t="b">
        <v>0</v>
      </c>
      <c r="AG2079" s="11" t="b" cm="1">
        <f t="array" ref="AG2079">IF(OR(Y2079:AA2079="TRUE", AE2079="true"), "Threatened")</f>
        <v>0</v>
      </c>
      <c r="AH2079" s="11" t="s">
        <v>5271</v>
      </c>
      <c r="AI2079" s="8" t="b">
        <v>1</v>
      </c>
    </row>
    <row r="2080" spans="1:35" ht="31.2">
      <c r="A2080" s="8">
        <v>-73.964302520000004</v>
      </c>
      <c r="B2080" s="8">
        <v>40.790570389999999</v>
      </c>
      <c r="C2080" s="8" t="s">
        <v>5272</v>
      </c>
      <c r="D2080" s="8" t="s">
        <v>911</v>
      </c>
      <c r="E2080" s="8" t="b">
        <f t="shared" si="32"/>
        <v>0</v>
      </c>
      <c r="F2080" s="8" t="str" cm="1">
        <f t="array" ref="F2080">_xlfn._xlws.FILTER(E2080:E5278, C2080:C5278= "6D-PM-1020-01", "No Squirrels Found")</f>
        <v>No Squirrels Found</v>
      </c>
      <c r="G2080" s="8" t="s">
        <v>34</v>
      </c>
      <c r="H2080" s="10">
        <v>10192018</v>
      </c>
      <c r="I2080" s="10">
        <v>6</v>
      </c>
      <c r="J2080" s="8" t="s">
        <v>39</v>
      </c>
      <c r="K2080" s="8" t="s">
        <v>40</v>
      </c>
      <c r="L2080" s="8" t="s">
        <v>168</v>
      </c>
      <c r="M2080" s="8" t="s">
        <v>169</v>
      </c>
      <c r="O2080" s="8" t="s">
        <v>43</v>
      </c>
      <c r="P2080" s="8" t="b">
        <v>0</v>
      </c>
      <c r="R2080" s="8" t="b">
        <v>0</v>
      </c>
      <c r="S2080" s="8" t="b">
        <v>0</v>
      </c>
      <c r="T2080" s="8" t="b">
        <v>1</v>
      </c>
      <c r="U2080" s="8" t="b">
        <v>0</v>
      </c>
      <c r="V2080" s="8" t="b">
        <v>1</v>
      </c>
      <c r="X2080" s="8" t="b">
        <v>0</v>
      </c>
      <c r="Y2080" s="8" t="b">
        <v>0</v>
      </c>
      <c r="Z2080" s="8" t="b">
        <v>0</v>
      </c>
      <c r="AA2080" s="8" t="b">
        <v>0</v>
      </c>
      <c r="AB2080" s="8" t="b">
        <v>0</v>
      </c>
      <c r="AC2080" s="8" t="b">
        <v>0</v>
      </c>
      <c r="AD2080" s="8" t="b">
        <v>0</v>
      </c>
      <c r="AE2080" s="8" t="b">
        <v>1</v>
      </c>
      <c r="AG2080" s="11" t="b" cm="1">
        <f t="array" ref="AG2080">IF(OR(Y2080:AA2080="TRUE", AE2080="true"), "Threatened")</f>
        <v>0</v>
      </c>
      <c r="AH2080" s="11" t="s">
        <v>5273</v>
      </c>
      <c r="AI2080" s="8" t="b">
        <v>1</v>
      </c>
    </row>
    <row r="2081" spans="1:35" ht="31.2">
      <c r="A2081" s="8">
        <v>-73.954530250000005</v>
      </c>
      <c r="B2081" s="8">
        <v>40.791024749999998</v>
      </c>
      <c r="C2081" s="8" t="s">
        <v>5274</v>
      </c>
      <c r="D2081" s="8" t="s">
        <v>1028</v>
      </c>
      <c r="E2081" s="8" t="b">
        <f t="shared" si="32"/>
        <v>0</v>
      </c>
      <c r="F2081" s="8" t="str" cm="1">
        <f t="array" ref="F2081">_xlfn._xlws.FILTER(E2081:E5279, C2081:C5279= "6D-PM-1020-01", "No Squirrels Found")</f>
        <v>No Squirrels Found</v>
      </c>
      <c r="G2081" s="8" t="s">
        <v>34</v>
      </c>
      <c r="H2081" s="10">
        <v>10102018</v>
      </c>
      <c r="I2081" s="10">
        <v>7</v>
      </c>
      <c r="J2081" s="8" t="s">
        <v>39</v>
      </c>
      <c r="K2081" s="8" t="s">
        <v>40</v>
      </c>
      <c r="M2081" s="8" t="s">
        <v>55</v>
      </c>
      <c r="R2081" s="8" t="b">
        <v>1</v>
      </c>
      <c r="S2081" s="8" t="b">
        <v>0</v>
      </c>
      <c r="T2081" s="8" t="b">
        <v>0</v>
      </c>
      <c r="U2081" s="8" t="b">
        <v>0</v>
      </c>
      <c r="V2081" s="8" t="b">
        <v>1</v>
      </c>
      <c r="X2081" s="8" t="b">
        <v>0</v>
      </c>
      <c r="Y2081" s="8" t="b">
        <v>0</v>
      </c>
      <c r="Z2081" s="8" t="b">
        <v>0</v>
      </c>
      <c r="AA2081" s="8" t="b">
        <v>0</v>
      </c>
      <c r="AB2081" s="8" t="b">
        <v>0</v>
      </c>
      <c r="AC2081" s="8" t="b">
        <v>0</v>
      </c>
      <c r="AD2081" s="8" t="b">
        <v>0</v>
      </c>
      <c r="AE2081" s="8" t="b">
        <v>0</v>
      </c>
      <c r="AG2081" s="11" t="b" cm="1">
        <f t="array" ref="AG2081">IF(OR(Y2081:AA2081="TRUE", AE2081="true"), "Threatened")</f>
        <v>0</v>
      </c>
      <c r="AH2081" s="11" t="s">
        <v>5275</v>
      </c>
      <c r="AI2081" s="8" t="b">
        <v>1</v>
      </c>
    </row>
    <row r="2082" spans="1:35" ht="31.2">
      <c r="A2082" s="8">
        <v>-73.967571809999995</v>
      </c>
      <c r="B2082" s="8">
        <v>40.778604909999999</v>
      </c>
      <c r="C2082" s="8" t="s">
        <v>5276</v>
      </c>
      <c r="D2082" s="8" t="s">
        <v>131</v>
      </c>
      <c r="E2082" s="8" t="b">
        <f t="shared" si="32"/>
        <v>0</v>
      </c>
      <c r="F2082" s="8" t="str" cm="1">
        <f t="array" ref="F2082">_xlfn._xlws.FILTER(E2082:E5280, C2082:C5280= "6D-PM-1020-01", "No Squirrels Found")</f>
        <v>No Squirrels Found</v>
      </c>
      <c r="G2082" s="8" t="s">
        <v>48</v>
      </c>
      <c r="H2082" s="10">
        <v>10072018</v>
      </c>
      <c r="I2082" s="10">
        <v>6</v>
      </c>
      <c r="J2082" s="8" t="s">
        <v>54</v>
      </c>
      <c r="K2082" s="8" t="s">
        <v>41</v>
      </c>
      <c r="L2082" s="8" t="s">
        <v>84</v>
      </c>
      <c r="M2082" s="8" t="s">
        <v>85</v>
      </c>
      <c r="O2082" s="8" t="s">
        <v>50</v>
      </c>
      <c r="P2082" s="8">
        <v>8</v>
      </c>
      <c r="R2082" s="8" t="b">
        <v>0</v>
      </c>
      <c r="S2082" s="8" t="b">
        <v>0</v>
      </c>
      <c r="T2082" s="8" t="b">
        <v>1</v>
      </c>
      <c r="U2082" s="8" t="b">
        <v>0</v>
      </c>
      <c r="V2082" s="8" t="b">
        <v>0</v>
      </c>
      <c r="X2082" s="8" t="b">
        <v>0</v>
      </c>
      <c r="Y2082" s="8" t="b">
        <v>0</v>
      </c>
      <c r="Z2082" s="8" t="b">
        <v>0</v>
      </c>
      <c r="AA2082" s="8" t="b">
        <v>0</v>
      </c>
      <c r="AB2082" s="8" t="b">
        <v>0</v>
      </c>
      <c r="AC2082" s="8" t="b">
        <v>0</v>
      </c>
      <c r="AD2082" s="8" t="b">
        <v>1</v>
      </c>
      <c r="AE2082" s="8" t="b">
        <v>0</v>
      </c>
      <c r="AG2082" s="11" t="b" cm="1">
        <f t="array" ref="AG2082">IF(OR(Y2082:AA2082="TRUE", AE2082="true"), "Threatened")</f>
        <v>0</v>
      </c>
      <c r="AH2082" s="11" t="s">
        <v>5277</v>
      </c>
      <c r="AI2082" s="8" t="b">
        <v>1</v>
      </c>
    </row>
    <row r="2083" spans="1:35" ht="31.2">
      <c r="A2083" s="8">
        <v>-73.969680210000007</v>
      </c>
      <c r="B2083" s="8">
        <v>40.781605740000003</v>
      </c>
      <c r="C2083" s="8" t="s">
        <v>5278</v>
      </c>
      <c r="D2083" s="8" t="s">
        <v>422</v>
      </c>
      <c r="E2083" s="8" t="b">
        <f t="shared" si="32"/>
        <v>0</v>
      </c>
      <c r="F2083" s="8" t="str" cm="1">
        <f t="array" ref="F2083">_xlfn._xlws.FILTER(E2083:E5281, C2083:C5281= "6D-PM-1020-01", "No Squirrels Found")</f>
        <v>No Squirrels Found</v>
      </c>
      <c r="G2083" s="8" t="s">
        <v>34</v>
      </c>
      <c r="H2083" s="10">
        <v>10182018</v>
      </c>
      <c r="I2083" s="10">
        <v>3</v>
      </c>
      <c r="J2083" s="8" t="s">
        <v>39</v>
      </c>
      <c r="K2083" s="8" t="s">
        <v>40</v>
      </c>
      <c r="L2083" s="8" t="s">
        <v>117</v>
      </c>
      <c r="M2083" s="8" t="s">
        <v>118</v>
      </c>
      <c r="N2083" s="11" t="s">
        <v>4307</v>
      </c>
      <c r="O2083" s="8" t="s">
        <v>43</v>
      </c>
      <c r="P2083" s="8" t="b">
        <v>0</v>
      </c>
      <c r="R2083" s="8" t="b">
        <v>0</v>
      </c>
      <c r="S2083" s="8" t="b">
        <v>0</v>
      </c>
      <c r="T2083" s="8" t="b">
        <v>0</v>
      </c>
      <c r="U2083" s="8" t="b">
        <v>0</v>
      </c>
      <c r="V2083" s="8" t="b">
        <v>1</v>
      </c>
      <c r="X2083" s="8" t="b">
        <v>0</v>
      </c>
      <c r="Y2083" s="8" t="b">
        <v>0</v>
      </c>
      <c r="Z2083" s="8" t="b">
        <v>0</v>
      </c>
      <c r="AA2083" s="8" t="b">
        <v>0</v>
      </c>
      <c r="AB2083" s="8" t="b">
        <v>0</v>
      </c>
      <c r="AC2083" s="8" t="b">
        <v>0</v>
      </c>
      <c r="AD2083" s="8" t="b">
        <v>0</v>
      </c>
      <c r="AE2083" s="8" t="b">
        <v>0</v>
      </c>
      <c r="AG2083" s="11" t="b" cm="1">
        <f t="array" ref="AG2083">IF(OR(Y2083:AA2083="TRUE", AE2083="true"), "Threatened")</f>
        <v>0</v>
      </c>
      <c r="AH2083" s="11" t="s">
        <v>5279</v>
      </c>
      <c r="AI2083" s="8" t="b">
        <v>1</v>
      </c>
    </row>
    <row r="2084" spans="1:35" ht="31.2">
      <c r="A2084" s="8">
        <v>-73.970238230000007</v>
      </c>
      <c r="B2084" s="8">
        <v>40.772175480000001</v>
      </c>
      <c r="C2084" s="8" t="s">
        <v>5280</v>
      </c>
      <c r="D2084" s="8" t="s">
        <v>609</v>
      </c>
      <c r="E2084" s="8" t="b">
        <f t="shared" si="32"/>
        <v>0</v>
      </c>
      <c r="F2084" s="8" t="str" cm="1">
        <f t="array" ref="F2084">_xlfn._xlws.FILTER(E2084:E5282, C2084:C5282= "6D-PM-1020-01", "No Squirrels Found")</f>
        <v>No Squirrels Found</v>
      </c>
      <c r="G2084" s="8" t="s">
        <v>34</v>
      </c>
      <c r="H2084" s="10">
        <v>10172018</v>
      </c>
      <c r="I2084" s="10">
        <v>3</v>
      </c>
      <c r="J2084" s="8" t="s">
        <v>39</v>
      </c>
      <c r="K2084" s="8" t="s">
        <v>40</v>
      </c>
      <c r="M2084" s="8" t="s">
        <v>55</v>
      </c>
      <c r="O2084" s="8" t="s">
        <v>43</v>
      </c>
      <c r="P2084" s="8" t="b">
        <v>0</v>
      </c>
      <c r="R2084" s="8" t="b">
        <v>0</v>
      </c>
      <c r="S2084" s="8" t="b">
        <v>0</v>
      </c>
      <c r="T2084" s="8" t="b">
        <v>0</v>
      </c>
      <c r="U2084" s="8" t="b">
        <v>1</v>
      </c>
      <c r="V2084" s="8" t="b">
        <v>0</v>
      </c>
      <c r="X2084" s="8" t="b">
        <v>0</v>
      </c>
      <c r="Y2084" s="8" t="b">
        <v>0</v>
      </c>
      <c r="Z2084" s="8" t="b">
        <v>0</v>
      </c>
      <c r="AA2084" s="8" t="b">
        <v>0</v>
      </c>
      <c r="AB2084" s="8" t="b">
        <v>0</v>
      </c>
      <c r="AC2084" s="8" t="b">
        <v>0</v>
      </c>
      <c r="AD2084" s="8" t="b">
        <v>1</v>
      </c>
      <c r="AE2084" s="8" t="b">
        <v>0</v>
      </c>
      <c r="AG2084" s="11" t="b" cm="1">
        <f t="array" ref="AG2084">IF(OR(Y2084:AA2084="TRUE", AE2084="true"), "Threatened")</f>
        <v>0</v>
      </c>
      <c r="AH2084" s="11" t="s">
        <v>5281</v>
      </c>
      <c r="AI2084" s="8" t="b">
        <v>1</v>
      </c>
    </row>
    <row r="2085" spans="1:35" ht="46.8">
      <c r="A2085" s="8">
        <v>-73.956725579999997</v>
      </c>
      <c r="B2085" s="8">
        <v>40.793633190000001</v>
      </c>
      <c r="C2085" s="8" t="s">
        <v>5282</v>
      </c>
      <c r="D2085" s="8" t="s">
        <v>702</v>
      </c>
      <c r="E2085" s="8" t="b">
        <f t="shared" si="32"/>
        <v>0</v>
      </c>
      <c r="F2085" s="8" t="str" cm="1">
        <f t="array" ref="F2085">_xlfn._xlws.FILTER(E2085:E5283, C2085:C5283= "6D-PM-1020-01", "No Squirrels Found")</f>
        <v>No Squirrels Found</v>
      </c>
      <c r="G2085" s="8" t="s">
        <v>48</v>
      </c>
      <c r="H2085" s="10">
        <v>10172018</v>
      </c>
      <c r="I2085" s="10">
        <v>5</v>
      </c>
      <c r="J2085" s="8" t="s">
        <v>39</v>
      </c>
      <c r="K2085" s="8" t="s">
        <v>40</v>
      </c>
      <c r="L2085" s="8" t="s">
        <v>84</v>
      </c>
      <c r="M2085" s="8" t="s">
        <v>103</v>
      </c>
      <c r="O2085" s="8" t="s">
        <v>50</v>
      </c>
      <c r="P2085" s="8">
        <v>8</v>
      </c>
      <c r="R2085" s="8" t="b">
        <v>0</v>
      </c>
      <c r="S2085" s="8" t="b">
        <v>0</v>
      </c>
      <c r="T2085" s="8" t="b">
        <v>0</v>
      </c>
      <c r="U2085" s="8" t="b">
        <v>0</v>
      </c>
      <c r="V2085" s="8" t="b">
        <v>0</v>
      </c>
      <c r="W2085" s="11" t="s">
        <v>5283</v>
      </c>
      <c r="X2085" s="8" t="b">
        <v>0</v>
      </c>
      <c r="Y2085" s="8" t="b">
        <v>0</v>
      </c>
      <c r="Z2085" s="8" t="b">
        <v>0</v>
      </c>
      <c r="AA2085" s="8" t="b">
        <v>0</v>
      </c>
      <c r="AB2085" s="8" t="b">
        <v>0</v>
      </c>
      <c r="AC2085" s="8" t="b">
        <v>0</v>
      </c>
      <c r="AD2085" s="8" t="b">
        <v>0</v>
      </c>
      <c r="AE2085" s="8" t="b">
        <v>0</v>
      </c>
      <c r="AF2085" s="11" t="s">
        <v>5284</v>
      </c>
      <c r="AG2085" s="11" t="b" cm="1">
        <f t="array" ref="AG2085">IF(OR(Y2085:AA2085="TRUE", AE2085="true"), "Threatened")</f>
        <v>0</v>
      </c>
      <c r="AH2085" s="11" t="s">
        <v>5285</v>
      </c>
      <c r="AI2085" s="8" t="b">
        <v>0</v>
      </c>
    </row>
    <row r="2086" spans="1:35" ht="31.2">
      <c r="A2086" s="8">
        <v>-73.969055150000003</v>
      </c>
      <c r="B2086" s="8">
        <v>40.782368570000003</v>
      </c>
      <c r="C2086" s="8" t="s">
        <v>5286</v>
      </c>
      <c r="D2086" s="8" t="s">
        <v>102</v>
      </c>
      <c r="E2086" s="8" t="b">
        <f t="shared" si="32"/>
        <v>0</v>
      </c>
      <c r="F2086" s="8" t="str" cm="1">
        <f t="array" ref="F2086">_xlfn._xlws.FILTER(E2086:E5284, C2086:C5284= "6D-PM-1020-01", "No Squirrels Found")</f>
        <v>No Squirrels Found</v>
      </c>
      <c r="G2086" s="8" t="s">
        <v>34</v>
      </c>
      <c r="H2086" s="10">
        <v>10132018</v>
      </c>
      <c r="I2086" s="10">
        <v>7</v>
      </c>
      <c r="J2086" s="8" t="s">
        <v>39</v>
      </c>
      <c r="K2086" s="8" t="s">
        <v>40</v>
      </c>
      <c r="L2086" s="8" t="s">
        <v>84</v>
      </c>
      <c r="M2086" s="8" t="s">
        <v>103</v>
      </c>
      <c r="O2086" s="8" t="s">
        <v>43</v>
      </c>
      <c r="P2086" s="8" t="b">
        <v>0</v>
      </c>
      <c r="R2086" s="8" t="b">
        <v>0</v>
      </c>
      <c r="S2086" s="8" t="b">
        <v>1</v>
      </c>
      <c r="T2086" s="8" t="b">
        <v>0</v>
      </c>
      <c r="U2086" s="8" t="b">
        <v>0</v>
      </c>
      <c r="V2086" s="8" t="b">
        <v>0</v>
      </c>
      <c r="X2086" s="8" t="b">
        <v>0</v>
      </c>
      <c r="Y2086" s="8" t="b">
        <v>0</v>
      </c>
      <c r="Z2086" s="8" t="b">
        <v>0</v>
      </c>
      <c r="AA2086" s="8" t="b">
        <v>0</v>
      </c>
      <c r="AB2086" s="8" t="b">
        <v>0</v>
      </c>
      <c r="AC2086" s="8" t="b">
        <v>0</v>
      </c>
      <c r="AD2086" s="8" t="b">
        <v>1</v>
      </c>
      <c r="AE2086" s="8" t="b">
        <v>0</v>
      </c>
      <c r="AG2086" s="11" t="b" cm="1">
        <f t="array" ref="AG2086">IF(OR(Y2086:AA2086="TRUE", AE2086="true"), "Threatened")</f>
        <v>0</v>
      </c>
      <c r="AH2086" s="11" t="s">
        <v>5287</v>
      </c>
      <c r="AI2086" s="8" t="b">
        <v>1</v>
      </c>
    </row>
    <row r="2087" spans="1:35" ht="31.2">
      <c r="A2087" s="8">
        <v>-73.952562709999995</v>
      </c>
      <c r="B2087" s="8">
        <v>40.793860289999998</v>
      </c>
      <c r="C2087" s="8" t="s">
        <v>5288</v>
      </c>
      <c r="D2087" s="8" t="s">
        <v>2056</v>
      </c>
      <c r="E2087" s="8" t="b">
        <f t="shared" si="32"/>
        <v>0</v>
      </c>
      <c r="F2087" s="8" t="str" cm="1">
        <f t="array" ref="F2087">_xlfn._xlws.FILTER(E2087:E5285, C2087:C5285= "6D-PM-1020-01", "No Squirrels Found")</f>
        <v>No Squirrels Found</v>
      </c>
      <c r="G2087" s="8" t="s">
        <v>34</v>
      </c>
      <c r="H2087" s="10">
        <v>10142018</v>
      </c>
      <c r="I2087" s="10">
        <v>2</v>
      </c>
      <c r="J2087" s="8" t="s">
        <v>39</v>
      </c>
      <c r="K2087" s="8" t="s">
        <v>40</v>
      </c>
      <c r="L2087" s="8" t="s">
        <v>117</v>
      </c>
      <c r="M2087" s="8" t="s">
        <v>118</v>
      </c>
      <c r="O2087" s="8" t="s">
        <v>43</v>
      </c>
      <c r="P2087" s="8" t="b">
        <v>0</v>
      </c>
      <c r="Q2087" s="8" t="s">
        <v>5289</v>
      </c>
      <c r="R2087" s="8" t="b">
        <v>0</v>
      </c>
      <c r="S2087" s="8" t="b">
        <v>0</v>
      </c>
      <c r="T2087" s="8" t="b">
        <v>0</v>
      </c>
      <c r="U2087" s="8" t="b">
        <v>0</v>
      </c>
      <c r="V2087" s="8" t="b">
        <v>0</v>
      </c>
      <c r="W2087" s="11" t="s">
        <v>5290</v>
      </c>
      <c r="X2087" s="8" t="b">
        <v>0</v>
      </c>
      <c r="Y2087" s="8" t="b">
        <v>0</v>
      </c>
      <c r="Z2087" s="8" t="b">
        <v>0</v>
      </c>
      <c r="AA2087" s="8" t="b">
        <v>0</v>
      </c>
      <c r="AB2087" s="8" t="b">
        <v>1</v>
      </c>
      <c r="AC2087" s="8" t="b">
        <v>0</v>
      </c>
      <c r="AD2087" s="8" t="b">
        <v>0</v>
      </c>
      <c r="AE2087" s="8" t="b">
        <v>1</v>
      </c>
      <c r="AG2087" s="11" t="b" cm="1">
        <f t="array" ref="AG2087">IF(OR(Y2087:AA2087="TRUE", AE2087="true"), "Threatened")</f>
        <v>0</v>
      </c>
      <c r="AH2087" s="11" t="s">
        <v>5291</v>
      </c>
      <c r="AI2087" s="8" t="b">
        <v>0</v>
      </c>
    </row>
    <row r="2088" spans="1:35" ht="31.2">
      <c r="A2088" s="8">
        <v>-73.956502659999998</v>
      </c>
      <c r="B2088" s="8">
        <v>40.788160910000002</v>
      </c>
      <c r="C2088" s="8" t="s">
        <v>5292</v>
      </c>
      <c r="D2088" s="8" t="s">
        <v>1915</v>
      </c>
      <c r="E2088" s="8" t="b">
        <f t="shared" si="32"/>
        <v>0</v>
      </c>
      <c r="F2088" s="8" t="str" cm="1">
        <f t="array" ref="F2088">_xlfn._xlws.FILTER(E2088:E5286, C2088:C5286= "6D-PM-1020-01", "No Squirrels Found")</f>
        <v>No Squirrels Found</v>
      </c>
      <c r="G2088" s="8" t="s">
        <v>34</v>
      </c>
      <c r="H2088" s="10">
        <v>10062018</v>
      </c>
      <c r="I2088" s="10">
        <v>5</v>
      </c>
      <c r="J2088" s="8" t="s">
        <v>39</v>
      </c>
      <c r="K2088" s="8" t="s">
        <v>40</v>
      </c>
      <c r="L2088" s="8" t="s">
        <v>84</v>
      </c>
      <c r="M2088" s="8" t="s">
        <v>103</v>
      </c>
      <c r="O2088" s="8" t="s">
        <v>43</v>
      </c>
      <c r="P2088" s="8" t="b">
        <v>0</v>
      </c>
      <c r="R2088" s="8" t="b">
        <v>1</v>
      </c>
      <c r="S2088" s="8" t="b">
        <v>0</v>
      </c>
      <c r="T2088" s="8" t="b">
        <v>0</v>
      </c>
      <c r="U2088" s="8" t="b">
        <v>0</v>
      </c>
      <c r="V2088" s="8" t="b">
        <v>0</v>
      </c>
      <c r="X2088" s="8" t="b">
        <v>0</v>
      </c>
      <c r="Y2088" s="8" t="b">
        <v>0</v>
      </c>
      <c r="Z2088" s="8" t="b">
        <v>0</v>
      </c>
      <c r="AA2088" s="8" t="b">
        <v>0</v>
      </c>
      <c r="AB2088" s="8" t="b">
        <v>0</v>
      </c>
      <c r="AC2088" s="8" t="b">
        <v>1</v>
      </c>
      <c r="AD2088" s="8" t="b">
        <v>0</v>
      </c>
      <c r="AE2088" s="8" t="b">
        <v>0</v>
      </c>
      <c r="AG2088" s="11" t="b" cm="1">
        <f t="array" ref="AG2088">IF(OR(Y2088:AA2088="TRUE", AE2088="true"), "Threatened")</f>
        <v>0</v>
      </c>
      <c r="AH2088" s="11" t="s">
        <v>5293</v>
      </c>
      <c r="AI2088" s="8" t="b">
        <v>1</v>
      </c>
    </row>
    <row r="2089" spans="1:35" ht="31.2">
      <c r="A2089" s="8">
        <v>-73.965115589999996</v>
      </c>
      <c r="B2089" s="8">
        <v>40.790694629999997</v>
      </c>
      <c r="C2089" s="8" t="s">
        <v>5294</v>
      </c>
      <c r="D2089" s="8" t="s">
        <v>1613</v>
      </c>
      <c r="E2089" s="8" t="b">
        <f t="shared" si="32"/>
        <v>0</v>
      </c>
      <c r="F2089" s="8" t="str" cm="1">
        <f t="array" ref="F2089">_xlfn._xlws.FILTER(E2089:E5287, C2089:C5287= "6D-PM-1020-01", "No Squirrels Found")</f>
        <v>No Squirrels Found</v>
      </c>
      <c r="G2089" s="8" t="s">
        <v>34</v>
      </c>
      <c r="H2089" s="10">
        <v>10202018</v>
      </c>
      <c r="I2089" s="10">
        <v>1</v>
      </c>
      <c r="J2089" s="8" t="s">
        <v>39</v>
      </c>
      <c r="K2089" s="8" t="s">
        <v>40</v>
      </c>
      <c r="L2089" s="8" t="s">
        <v>84</v>
      </c>
      <c r="M2089" s="8" t="s">
        <v>103</v>
      </c>
      <c r="O2089" s="8" t="s">
        <v>43</v>
      </c>
      <c r="P2089" s="8" t="b">
        <v>0</v>
      </c>
      <c r="R2089" s="8" t="b">
        <v>0</v>
      </c>
      <c r="S2089" s="8" t="b">
        <v>0</v>
      </c>
      <c r="T2089" s="8" t="b">
        <v>0</v>
      </c>
      <c r="U2089" s="8" t="b">
        <v>0</v>
      </c>
      <c r="V2089" s="8" t="b">
        <v>1</v>
      </c>
      <c r="X2089" s="8" t="b">
        <v>0</v>
      </c>
      <c r="Y2089" s="8" t="b">
        <v>0</v>
      </c>
      <c r="Z2089" s="8" t="b">
        <v>0</v>
      </c>
      <c r="AA2089" s="8" t="b">
        <v>0</v>
      </c>
      <c r="AB2089" s="8" t="b">
        <v>1</v>
      </c>
      <c r="AC2089" s="8" t="b">
        <v>0</v>
      </c>
      <c r="AD2089" s="8" t="b">
        <v>0</v>
      </c>
      <c r="AE2089" s="8" t="b">
        <v>0</v>
      </c>
      <c r="AG2089" s="11" t="b" cm="1">
        <f t="array" ref="AG2089">IF(OR(Y2089:AA2089="TRUE", AE2089="true"), "Threatened")</f>
        <v>0</v>
      </c>
      <c r="AH2089" s="11" t="s">
        <v>5295</v>
      </c>
      <c r="AI2089" s="8" t="b">
        <v>1</v>
      </c>
    </row>
    <row r="2090" spans="1:35" ht="31.2">
      <c r="A2090" s="8">
        <v>-73.953598029999995</v>
      </c>
      <c r="B2090" s="8">
        <v>40.798118680000002</v>
      </c>
      <c r="C2090" s="8" t="s">
        <v>5296</v>
      </c>
      <c r="D2090" s="8" t="s">
        <v>332</v>
      </c>
      <c r="E2090" s="8" t="b">
        <f t="shared" si="32"/>
        <v>0</v>
      </c>
      <c r="F2090" s="8" t="str" cm="1">
        <f t="array" ref="F2090">_xlfn._xlws.FILTER(E2090:E5288, C2090:C5288= "6D-PM-1020-01", "No Squirrels Found")</f>
        <v>No Squirrels Found</v>
      </c>
      <c r="G2090" s="8" t="s">
        <v>34</v>
      </c>
      <c r="H2090" s="10">
        <v>10122018</v>
      </c>
      <c r="I2090" s="10">
        <v>1</v>
      </c>
      <c r="J2090" s="8" t="s">
        <v>39</v>
      </c>
      <c r="K2090" s="8" t="s">
        <v>40</v>
      </c>
      <c r="L2090" s="8" t="s">
        <v>84</v>
      </c>
      <c r="M2090" s="8" t="s">
        <v>103</v>
      </c>
      <c r="O2090" s="8" t="s">
        <v>43</v>
      </c>
      <c r="P2090" s="8" t="b">
        <v>0</v>
      </c>
      <c r="R2090" s="8" t="b">
        <v>0</v>
      </c>
      <c r="S2090" s="8" t="b">
        <v>0</v>
      </c>
      <c r="T2090" s="8" t="b">
        <v>0</v>
      </c>
      <c r="U2090" s="8" t="b">
        <v>0</v>
      </c>
      <c r="V2090" s="8" t="b">
        <v>1</v>
      </c>
      <c r="X2090" s="8" t="b">
        <v>0</v>
      </c>
      <c r="Y2090" s="8" t="b">
        <v>0</v>
      </c>
      <c r="Z2090" s="8" t="b">
        <v>0</v>
      </c>
      <c r="AA2090" s="8" t="b">
        <v>0</v>
      </c>
      <c r="AB2090" s="8" t="b">
        <v>0</v>
      </c>
      <c r="AC2090" s="8" t="b">
        <v>0</v>
      </c>
      <c r="AD2090" s="8" t="b">
        <v>0</v>
      </c>
      <c r="AE2090" s="8" t="b">
        <v>0</v>
      </c>
      <c r="AG2090" s="11" t="b" cm="1">
        <f t="array" ref="AG2090">IF(OR(Y2090:AA2090="TRUE", AE2090="true"), "Threatened")</f>
        <v>0</v>
      </c>
      <c r="AH2090" s="11" t="s">
        <v>5297</v>
      </c>
      <c r="AI2090" s="8" t="b">
        <v>1</v>
      </c>
    </row>
    <row r="2091" spans="1:35" ht="31.2">
      <c r="A2091" s="8">
        <v>-73.956975999999997</v>
      </c>
      <c r="B2091" s="8">
        <v>40.793149749999998</v>
      </c>
      <c r="C2091" s="8" t="s">
        <v>5298</v>
      </c>
      <c r="D2091" s="8" t="s">
        <v>2049</v>
      </c>
      <c r="E2091" s="8" t="b">
        <f t="shared" si="32"/>
        <v>0</v>
      </c>
      <c r="F2091" s="8" t="str" cm="1">
        <f t="array" ref="F2091">_xlfn._xlws.FILTER(E2091:E5289, C2091:C5289= "6D-PM-1020-01", "No Squirrels Found")</f>
        <v>No Squirrels Found</v>
      </c>
      <c r="G2091" s="8" t="s">
        <v>34</v>
      </c>
      <c r="H2091" s="10">
        <v>10122018</v>
      </c>
      <c r="I2091" s="10">
        <v>3</v>
      </c>
      <c r="J2091" s="8" t="s">
        <v>39</v>
      </c>
      <c r="K2091" s="8" t="s">
        <v>40</v>
      </c>
      <c r="L2091" s="8" t="s">
        <v>117</v>
      </c>
      <c r="M2091" s="8" t="s">
        <v>118</v>
      </c>
      <c r="O2091" s="8" t="s">
        <v>50</v>
      </c>
      <c r="P2091" s="8">
        <v>7</v>
      </c>
      <c r="R2091" s="8" t="b">
        <v>0</v>
      </c>
      <c r="S2091" s="8" t="b">
        <v>0</v>
      </c>
      <c r="T2091" s="8" t="b">
        <v>1</v>
      </c>
      <c r="U2091" s="8" t="b">
        <v>1</v>
      </c>
      <c r="V2091" s="8" t="b">
        <v>1</v>
      </c>
      <c r="X2091" s="8" t="b">
        <v>0</v>
      </c>
      <c r="Y2091" s="8" t="b">
        <v>0</v>
      </c>
      <c r="Z2091" s="8" t="b">
        <v>0</v>
      </c>
      <c r="AA2091" s="8" t="b">
        <v>0</v>
      </c>
      <c r="AB2091" s="8" t="b">
        <v>0</v>
      </c>
      <c r="AC2091" s="8" t="b">
        <v>0</v>
      </c>
      <c r="AD2091" s="8" t="b">
        <v>0</v>
      </c>
      <c r="AE2091" s="8" t="b">
        <v>1</v>
      </c>
      <c r="AG2091" s="11" t="b" cm="1">
        <f t="array" ref="AG2091">IF(OR(Y2091:AA2091="TRUE", AE2091="true"), "Threatened")</f>
        <v>0</v>
      </c>
      <c r="AH2091" s="11" t="s">
        <v>5299</v>
      </c>
      <c r="AI2091" s="8" t="b">
        <v>1</v>
      </c>
    </row>
    <row r="2092" spans="1:35" ht="31.2">
      <c r="A2092" s="8">
        <v>-73.967611289999994</v>
      </c>
      <c r="B2092" s="8">
        <v>40.777279210000003</v>
      </c>
      <c r="C2092" s="8" t="s">
        <v>5300</v>
      </c>
      <c r="D2092" s="8" t="s">
        <v>960</v>
      </c>
      <c r="E2092" s="8" t="b">
        <f t="shared" si="32"/>
        <v>0</v>
      </c>
      <c r="F2092" s="8" t="str" cm="1">
        <f t="array" ref="F2092">_xlfn._xlws.FILTER(E2092:E5290, C2092:C5290= "6D-PM-1020-01", "No Squirrels Found")</f>
        <v>No Squirrels Found</v>
      </c>
      <c r="G2092" s="8" t="s">
        <v>48</v>
      </c>
      <c r="H2092" s="10">
        <v>10082018</v>
      </c>
      <c r="I2092" s="10">
        <v>3</v>
      </c>
      <c r="J2092" s="8" t="s">
        <v>39</v>
      </c>
      <c r="K2092" s="8" t="s">
        <v>40</v>
      </c>
      <c r="L2092" s="8" t="s">
        <v>117</v>
      </c>
      <c r="M2092" s="8" t="s">
        <v>118</v>
      </c>
      <c r="O2092" s="8" t="s">
        <v>43</v>
      </c>
      <c r="P2092" s="8" t="b">
        <v>0</v>
      </c>
      <c r="Q2092" s="8" t="s">
        <v>5301</v>
      </c>
      <c r="R2092" s="8" t="b">
        <v>1</v>
      </c>
      <c r="S2092" s="8" t="b">
        <v>0</v>
      </c>
      <c r="T2092" s="8" t="b">
        <v>0</v>
      </c>
      <c r="U2092" s="8" t="b">
        <v>0</v>
      </c>
      <c r="V2092" s="8" t="b">
        <v>0</v>
      </c>
      <c r="X2092" s="8" t="b">
        <v>0</v>
      </c>
      <c r="Y2092" s="8" t="b">
        <v>0</v>
      </c>
      <c r="Z2092" s="8" t="b">
        <v>0</v>
      </c>
      <c r="AA2092" s="8" t="b">
        <v>0</v>
      </c>
      <c r="AB2092" s="8" t="b">
        <v>1</v>
      </c>
      <c r="AC2092" s="8" t="b">
        <v>0</v>
      </c>
      <c r="AD2092" s="8" t="b">
        <v>1</v>
      </c>
      <c r="AE2092" s="8" t="b">
        <v>0</v>
      </c>
      <c r="AG2092" s="11" t="b" cm="1">
        <f t="array" ref="AG2092">IF(OR(Y2092:AA2092="TRUE", AE2092="true"), "Threatened")</f>
        <v>0</v>
      </c>
      <c r="AH2092" s="11" t="s">
        <v>5302</v>
      </c>
      <c r="AI2092" s="8" t="b">
        <v>1</v>
      </c>
    </row>
    <row r="2093" spans="1:35" ht="31.2">
      <c r="A2093" s="8">
        <v>-73.969823149999996</v>
      </c>
      <c r="B2093" s="8">
        <v>40.770204829999997</v>
      </c>
      <c r="C2093" s="8" t="s">
        <v>5303</v>
      </c>
      <c r="D2093" s="8" t="s">
        <v>1326</v>
      </c>
      <c r="E2093" s="8" t="b">
        <f t="shared" si="32"/>
        <v>0</v>
      </c>
      <c r="F2093" s="8" t="str" cm="1">
        <f t="array" ref="F2093">_xlfn._xlws.FILTER(E2093:E5291, C2093:C5291= "6D-PM-1020-01", "No Squirrels Found")</f>
        <v>No Squirrels Found</v>
      </c>
      <c r="G2093" s="8" t="s">
        <v>34</v>
      </c>
      <c r="H2093" s="10">
        <v>10132018</v>
      </c>
      <c r="I2093" s="10">
        <v>4</v>
      </c>
      <c r="J2093" s="8" t="s">
        <v>39</v>
      </c>
      <c r="K2093" s="8" t="s">
        <v>40</v>
      </c>
      <c r="L2093" s="8" t="s">
        <v>117</v>
      </c>
      <c r="M2093" s="8" t="s">
        <v>118</v>
      </c>
      <c r="O2093" s="8" t="s">
        <v>43</v>
      </c>
      <c r="P2093" s="8" t="b">
        <v>0</v>
      </c>
      <c r="R2093" s="8" t="b">
        <v>0</v>
      </c>
      <c r="S2093" s="8" t="b">
        <v>0</v>
      </c>
      <c r="T2093" s="8" t="b">
        <v>0</v>
      </c>
      <c r="U2093" s="8" t="b">
        <v>0</v>
      </c>
      <c r="V2093" s="8" t="b">
        <v>1</v>
      </c>
      <c r="X2093" s="8" t="b">
        <v>0</v>
      </c>
      <c r="Y2093" s="8" t="b">
        <v>0</v>
      </c>
      <c r="Z2093" s="8" t="b">
        <v>0</v>
      </c>
      <c r="AA2093" s="8" t="b">
        <v>0</v>
      </c>
      <c r="AB2093" s="8" t="b">
        <v>0</v>
      </c>
      <c r="AC2093" s="8" t="b">
        <v>0</v>
      </c>
      <c r="AD2093" s="8" t="b">
        <v>1</v>
      </c>
      <c r="AE2093" s="8" t="b">
        <v>0</v>
      </c>
      <c r="AG2093" s="11" t="b" cm="1">
        <f t="array" ref="AG2093">IF(OR(Y2093:AA2093="TRUE", AE2093="true"), "Threatened")</f>
        <v>0</v>
      </c>
      <c r="AH2093" s="11" t="s">
        <v>5304</v>
      </c>
      <c r="AI2093" s="8" t="b">
        <v>1</v>
      </c>
    </row>
    <row r="2094" spans="1:35" ht="31.2">
      <c r="A2094" s="8">
        <v>-73.959799469999993</v>
      </c>
      <c r="B2094" s="8">
        <v>40.797298840000003</v>
      </c>
      <c r="C2094" s="8" t="s">
        <v>5305</v>
      </c>
      <c r="D2094" s="8" t="s">
        <v>689</v>
      </c>
      <c r="E2094" s="8" t="b">
        <f t="shared" si="32"/>
        <v>0</v>
      </c>
      <c r="F2094" s="8" t="str" cm="1">
        <f t="array" ref="F2094">_xlfn._xlws.FILTER(E2094:E5292, C2094:C5292= "6D-PM-1020-01", "No Squirrels Found")</f>
        <v>No Squirrels Found</v>
      </c>
      <c r="G2094" s="8" t="s">
        <v>34</v>
      </c>
      <c r="H2094" s="10">
        <v>10132018</v>
      </c>
      <c r="I2094" s="10">
        <v>2</v>
      </c>
      <c r="J2094" s="8" t="s">
        <v>39</v>
      </c>
      <c r="K2094" s="8" t="s">
        <v>40</v>
      </c>
      <c r="L2094" s="8" t="s">
        <v>41</v>
      </c>
      <c r="M2094" s="8" t="s">
        <v>42</v>
      </c>
      <c r="O2094" s="8" t="s">
        <v>43</v>
      </c>
      <c r="P2094" s="8" t="b">
        <v>0</v>
      </c>
      <c r="R2094" s="8" t="b">
        <v>0</v>
      </c>
      <c r="S2094" s="8" t="b">
        <v>0</v>
      </c>
      <c r="T2094" s="8" t="b">
        <v>0</v>
      </c>
      <c r="U2094" s="8" t="b">
        <v>1</v>
      </c>
      <c r="V2094" s="8" t="b">
        <v>0</v>
      </c>
      <c r="X2094" s="8" t="b">
        <v>0</v>
      </c>
      <c r="Y2094" s="8" t="b">
        <v>0</v>
      </c>
      <c r="Z2094" s="8" t="b">
        <v>0</v>
      </c>
      <c r="AA2094" s="8" t="b">
        <v>0</v>
      </c>
      <c r="AB2094" s="8" t="b">
        <v>0</v>
      </c>
      <c r="AC2094" s="8" t="b">
        <v>0</v>
      </c>
      <c r="AD2094" s="8" t="b">
        <v>1</v>
      </c>
      <c r="AE2094" s="8" t="b">
        <v>0</v>
      </c>
      <c r="AG2094" s="11" t="b" cm="1">
        <f t="array" ref="AG2094">IF(OR(Y2094:AA2094="TRUE", AE2094="true"), "Threatened")</f>
        <v>0</v>
      </c>
      <c r="AH2094" s="11" t="s">
        <v>5306</v>
      </c>
      <c r="AI2094" s="8" t="b">
        <v>1</v>
      </c>
    </row>
    <row r="2095" spans="1:35" ht="31.2">
      <c r="A2095" s="8">
        <v>-73.970163049999996</v>
      </c>
      <c r="B2095" s="8">
        <v>40.777955400000003</v>
      </c>
      <c r="C2095" s="8" t="s">
        <v>5307</v>
      </c>
      <c r="D2095" s="8" t="s">
        <v>554</v>
      </c>
      <c r="E2095" s="8" t="b">
        <f t="shared" si="32"/>
        <v>0</v>
      </c>
      <c r="F2095" s="8" t="str" cm="1">
        <f t="array" ref="F2095">_xlfn._xlws.FILTER(E2095:E5293, C2095:C5293= "6D-PM-1020-01", "No Squirrels Found")</f>
        <v>No Squirrels Found</v>
      </c>
      <c r="G2095" s="8" t="s">
        <v>48</v>
      </c>
      <c r="H2095" s="10">
        <v>10072018</v>
      </c>
      <c r="I2095" s="10">
        <v>4</v>
      </c>
      <c r="J2095" s="8" t="s">
        <v>39</v>
      </c>
      <c r="K2095" s="8" t="s">
        <v>40</v>
      </c>
      <c r="L2095" s="8" t="s">
        <v>84</v>
      </c>
      <c r="M2095" s="8" t="s">
        <v>103</v>
      </c>
      <c r="O2095" s="8" t="s">
        <v>43</v>
      </c>
      <c r="P2095" s="8" t="b">
        <v>0</v>
      </c>
      <c r="R2095" s="8" t="b">
        <v>1</v>
      </c>
      <c r="S2095" s="8" t="b">
        <v>0</v>
      </c>
      <c r="T2095" s="8" t="b">
        <v>0</v>
      </c>
      <c r="U2095" s="8" t="b">
        <v>0</v>
      </c>
      <c r="V2095" s="8" t="b">
        <v>0</v>
      </c>
      <c r="X2095" s="8" t="b">
        <v>0</v>
      </c>
      <c r="Y2095" s="8" t="b">
        <v>0</v>
      </c>
      <c r="Z2095" s="8" t="b">
        <v>0</v>
      </c>
      <c r="AA2095" s="8" t="b">
        <v>0</v>
      </c>
      <c r="AB2095" s="8" t="b">
        <v>0</v>
      </c>
      <c r="AC2095" s="8" t="b">
        <v>0</v>
      </c>
      <c r="AD2095" s="8" t="b">
        <v>0</v>
      </c>
      <c r="AE2095" s="8" t="b">
        <v>1</v>
      </c>
      <c r="AG2095" s="11" t="b" cm="1">
        <f t="array" ref="AG2095">IF(OR(Y2095:AA2095="TRUE", AE2095="true"), "Threatened")</f>
        <v>0</v>
      </c>
      <c r="AH2095" s="11" t="s">
        <v>5308</v>
      </c>
      <c r="AI2095" s="8" t="b">
        <v>1</v>
      </c>
    </row>
    <row r="2096" spans="1:35" ht="31.2">
      <c r="A2096" s="8">
        <v>-73.974776300000002</v>
      </c>
      <c r="B2096" s="8">
        <v>40.776857909999997</v>
      </c>
      <c r="C2096" s="8" t="s">
        <v>5309</v>
      </c>
      <c r="D2096" s="8" t="s">
        <v>1031</v>
      </c>
      <c r="E2096" s="8" t="b">
        <f t="shared" si="32"/>
        <v>0</v>
      </c>
      <c r="F2096" s="8" t="str" cm="1">
        <f t="array" ref="F2096">_xlfn._xlws.FILTER(E2096:E5294, C2096:C5294= "6D-PM-1020-01", "No Squirrels Found")</f>
        <v>No Squirrels Found</v>
      </c>
      <c r="G2096" s="8" t="s">
        <v>48</v>
      </c>
      <c r="H2096" s="10">
        <v>10082018</v>
      </c>
      <c r="I2096" s="10">
        <v>2</v>
      </c>
      <c r="J2096" s="8" t="s">
        <v>39</v>
      </c>
      <c r="K2096" s="8" t="s">
        <v>40</v>
      </c>
      <c r="M2096" s="8" t="s">
        <v>55</v>
      </c>
      <c r="O2096" s="8" t="s">
        <v>50</v>
      </c>
      <c r="P2096" s="8">
        <v>5</v>
      </c>
      <c r="R2096" s="8" t="b">
        <v>0</v>
      </c>
      <c r="S2096" s="8" t="b">
        <v>0</v>
      </c>
      <c r="T2096" s="8" t="b">
        <v>1</v>
      </c>
      <c r="U2096" s="8" t="b">
        <v>0</v>
      </c>
      <c r="V2096" s="8" t="b">
        <v>0</v>
      </c>
      <c r="X2096" s="8" t="b">
        <v>0</v>
      </c>
      <c r="Y2096" s="8" t="b">
        <v>0</v>
      </c>
      <c r="Z2096" s="8" t="b">
        <v>0</v>
      </c>
      <c r="AA2096" s="8" t="b">
        <v>0</v>
      </c>
      <c r="AB2096" s="8" t="b">
        <v>0</v>
      </c>
      <c r="AC2096" s="8" t="b">
        <v>0</v>
      </c>
      <c r="AD2096" s="8" t="b">
        <v>1</v>
      </c>
      <c r="AE2096" s="8" t="b">
        <v>0</v>
      </c>
      <c r="AG2096" s="11" t="b" cm="1">
        <f t="array" ref="AG2096">IF(OR(Y2096:AA2096="TRUE", AE2096="true"), "Threatened")</f>
        <v>0</v>
      </c>
      <c r="AH2096" s="11" t="s">
        <v>5310</v>
      </c>
      <c r="AI2096" s="8" t="b">
        <v>1</v>
      </c>
    </row>
    <row r="2097" spans="1:35" ht="31.2">
      <c r="A2097" s="8">
        <v>-73.970890389999994</v>
      </c>
      <c r="B2097" s="8">
        <v>40.778737069999998</v>
      </c>
      <c r="C2097" s="8" t="s">
        <v>5311</v>
      </c>
      <c r="D2097" s="8" t="s">
        <v>116</v>
      </c>
      <c r="E2097" s="8" t="b">
        <f t="shared" si="32"/>
        <v>0</v>
      </c>
      <c r="F2097" s="8" t="str" cm="1">
        <f t="array" ref="F2097">_xlfn._xlws.FILTER(E2097:E5295, C2097:C5295= "6D-PM-1020-01", "No Squirrels Found")</f>
        <v>No Squirrels Found</v>
      </c>
      <c r="G2097" s="8" t="s">
        <v>48</v>
      </c>
      <c r="H2097" s="10">
        <v>10142018</v>
      </c>
      <c r="I2097" s="10">
        <v>3</v>
      </c>
      <c r="J2097" s="8" t="s">
        <v>39</v>
      </c>
      <c r="K2097" s="8" t="s">
        <v>40</v>
      </c>
      <c r="L2097" s="8" t="s">
        <v>168</v>
      </c>
      <c r="M2097" s="8" t="s">
        <v>169</v>
      </c>
      <c r="O2097" s="8" t="s">
        <v>43</v>
      </c>
      <c r="P2097" s="8" t="b">
        <v>0</v>
      </c>
      <c r="R2097" s="8" t="b">
        <v>0</v>
      </c>
      <c r="S2097" s="8" t="b">
        <v>0</v>
      </c>
      <c r="T2097" s="8" t="b">
        <v>0</v>
      </c>
      <c r="U2097" s="8" t="b">
        <v>0</v>
      </c>
      <c r="V2097" s="8" t="b">
        <v>1</v>
      </c>
      <c r="X2097" s="8" t="b">
        <v>0</v>
      </c>
      <c r="Y2097" s="8" t="b">
        <v>0</v>
      </c>
      <c r="Z2097" s="8" t="b">
        <v>0</v>
      </c>
      <c r="AA2097" s="8" t="b">
        <v>0</v>
      </c>
      <c r="AB2097" s="8" t="b">
        <v>0</v>
      </c>
      <c r="AC2097" s="8" t="b">
        <v>0</v>
      </c>
      <c r="AD2097" s="8" t="b">
        <v>1</v>
      </c>
      <c r="AE2097" s="8" t="b">
        <v>0</v>
      </c>
      <c r="AG2097" s="11" t="b" cm="1">
        <f t="array" ref="AG2097">IF(OR(Y2097:AA2097="TRUE", AE2097="true"), "Threatened")</f>
        <v>0</v>
      </c>
      <c r="AH2097" s="11" t="s">
        <v>5312</v>
      </c>
      <c r="AI2097" s="8" t="b">
        <v>1</v>
      </c>
    </row>
    <row r="2098" spans="1:35" ht="31.2">
      <c r="A2098" s="8">
        <v>-73.977348649999996</v>
      </c>
      <c r="B2098" s="8">
        <v>40.770845489999999</v>
      </c>
      <c r="C2098" s="8" t="s">
        <v>5313</v>
      </c>
      <c r="D2098" s="8" t="s">
        <v>109</v>
      </c>
      <c r="E2098" s="8" t="b">
        <f t="shared" si="32"/>
        <v>0</v>
      </c>
      <c r="F2098" s="8" t="str" cm="1">
        <f t="array" ref="F2098">_xlfn._xlws.FILTER(E2098:E5296, C2098:C5296= "6D-PM-1020-01", "No Squirrels Found")</f>
        <v>No Squirrels Found</v>
      </c>
      <c r="G2098" s="8" t="s">
        <v>34</v>
      </c>
      <c r="H2098" s="10">
        <v>10102018</v>
      </c>
      <c r="I2098" s="10">
        <v>2</v>
      </c>
      <c r="J2098" s="8" t="s">
        <v>39</v>
      </c>
      <c r="K2098" s="8" t="s">
        <v>40</v>
      </c>
      <c r="L2098" s="8" t="s">
        <v>84</v>
      </c>
      <c r="M2098" s="8" t="s">
        <v>103</v>
      </c>
      <c r="O2098" s="8" t="s">
        <v>43</v>
      </c>
      <c r="P2098" s="8" t="b">
        <v>0</v>
      </c>
      <c r="R2098" s="8" t="b">
        <v>0</v>
      </c>
      <c r="S2098" s="8" t="b">
        <v>0</v>
      </c>
      <c r="T2098" s="8" t="b">
        <v>0</v>
      </c>
      <c r="U2098" s="8" t="b">
        <v>0</v>
      </c>
      <c r="V2098" s="8" t="b">
        <v>1</v>
      </c>
      <c r="X2098" s="8" t="b">
        <v>0</v>
      </c>
      <c r="Y2098" s="8" t="b">
        <v>0</v>
      </c>
      <c r="Z2098" s="8" t="b">
        <v>0</v>
      </c>
      <c r="AA2098" s="8" t="b">
        <v>0</v>
      </c>
      <c r="AB2098" s="8" t="b">
        <v>0</v>
      </c>
      <c r="AC2098" s="8" t="b">
        <v>0</v>
      </c>
      <c r="AD2098" s="8" t="b">
        <v>0</v>
      </c>
      <c r="AE2098" s="8" t="b">
        <v>1</v>
      </c>
      <c r="AG2098" s="11" t="b" cm="1">
        <f t="array" ref="AG2098">IF(OR(Y2098:AA2098="TRUE", AE2098="true"), "Threatened")</f>
        <v>0</v>
      </c>
      <c r="AH2098" s="11" t="s">
        <v>5314</v>
      </c>
      <c r="AI2098" s="8" t="b">
        <v>1</v>
      </c>
    </row>
    <row r="2099" spans="1:35" ht="31.2">
      <c r="A2099" s="8">
        <v>-73.970077970000006</v>
      </c>
      <c r="B2099" s="8">
        <v>40.772208630000002</v>
      </c>
      <c r="C2099" s="8" t="s">
        <v>5315</v>
      </c>
      <c r="D2099" s="8" t="s">
        <v>609</v>
      </c>
      <c r="E2099" s="8" t="b">
        <f t="shared" si="32"/>
        <v>0</v>
      </c>
      <c r="F2099" s="8" t="str" cm="1">
        <f t="array" ref="F2099">_xlfn._xlws.FILTER(E2099:E5297, C2099:C5297= "6D-PM-1020-01", "No Squirrels Found")</f>
        <v>No Squirrels Found</v>
      </c>
      <c r="G2099" s="8" t="s">
        <v>48</v>
      </c>
      <c r="H2099" s="10">
        <v>10062018</v>
      </c>
      <c r="I2099" s="10">
        <v>11</v>
      </c>
      <c r="J2099" s="8" t="s">
        <v>54</v>
      </c>
      <c r="K2099" s="8" t="s">
        <v>40</v>
      </c>
      <c r="M2099" s="8" t="s">
        <v>55</v>
      </c>
      <c r="O2099" s="8" t="s">
        <v>50</v>
      </c>
      <c r="P2099" s="8">
        <v>2</v>
      </c>
      <c r="R2099" s="8" t="b">
        <v>0</v>
      </c>
      <c r="S2099" s="8" t="b">
        <v>0</v>
      </c>
      <c r="T2099" s="8" t="b">
        <v>1</v>
      </c>
      <c r="U2099" s="8" t="b">
        <v>0</v>
      </c>
      <c r="V2099" s="8" t="b">
        <v>0</v>
      </c>
      <c r="X2099" s="8" t="b">
        <v>0</v>
      </c>
      <c r="Y2099" s="8" t="b">
        <v>0</v>
      </c>
      <c r="Z2099" s="8" t="b">
        <v>0</v>
      </c>
      <c r="AA2099" s="8" t="b">
        <v>0</v>
      </c>
      <c r="AB2099" s="8" t="b">
        <v>1</v>
      </c>
      <c r="AC2099" s="8" t="b">
        <v>0</v>
      </c>
      <c r="AD2099" s="8" t="b">
        <v>0</v>
      </c>
      <c r="AE2099" s="8" t="b">
        <v>0</v>
      </c>
      <c r="AG2099" s="11" t="b" cm="1">
        <f t="array" ref="AG2099">IF(OR(Y2099:AA2099="TRUE", AE2099="true"), "Threatened")</f>
        <v>0</v>
      </c>
      <c r="AH2099" s="11" t="s">
        <v>5316</v>
      </c>
      <c r="AI2099" s="8" t="b">
        <v>1</v>
      </c>
    </row>
    <row r="2100" spans="1:35" ht="31.2">
      <c r="A2100" s="8">
        <v>-73.968561230000006</v>
      </c>
      <c r="B2100" s="8">
        <v>40.777848880000001</v>
      </c>
      <c r="C2100" s="8" t="s">
        <v>5317</v>
      </c>
      <c r="D2100" s="8" t="s">
        <v>271</v>
      </c>
      <c r="E2100" s="8" t="b">
        <f t="shared" si="32"/>
        <v>0</v>
      </c>
      <c r="F2100" s="8" t="str" cm="1">
        <f t="array" ref="F2100">_xlfn._xlws.FILTER(E2100:E5298, C2100:C5298= "6D-PM-1020-01", "No Squirrels Found")</f>
        <v>No Squirrels Found</v>
      </c>
      <c r="G2100" s="8" t="s">
        <v>34</v>
      </c>
      <c r="H2100" s="10">
        <v>10182018</v>
      </c>
      <c r="I2100" s="10">
        <v>8</v>
      </c>
      <c r="J2100" s="8" t="s">
        <v>39</v>
      </c>
      <c r="K2100" s="8" t="s">
        <v>41</v>
      </c>
      <c r="L2100" s="8" t="s">
        <v>84</v>
      </c>
      <c r="M2100" s="8" t="s">
        <v>85</v>
      </c>
      <c r="O2100" s="8" t="s">
        <v>43</v>
      </c>
      <c r="P2100" s="8" t="b">
        <v>0</v>
      </c>
      <c r="R2100" s="8" t="b">
        <v>0</v>
      </c>
      <c r="S2100" s="8" t="b">
        <v>0</v>
      </c>
      <c r="T2100" s="8" t="b">
        <v>0</v>
      </c>
      <c r="U2100" s="8" t="b">
        <v>0</v>
      </c>
      <c r="V2100" s="8" t="b">
        <v>1</v>
      </c>
      <c r="X2100" s="8" t="b">
        <v>0</v>
      </c>
      <c r="Y2100" s="8" t="b">
        <v>0</v>
      </c>
      <c r="Z2100" s="8" t="b">
        <v>0</v>
      </c>
      <c r="AA2100" s="8" t="b">
        <v>0</v>
      </c>
      <c r="AB2100" s="8" t="b">
        <v>1</v>
      </c>
      <c r="AC2100" s="8" t="b">
        <v>0</v>
      </c>
      <c r="AD2100" s="8" t="b">
        <v>1</v>
      </c>
      <c r="AE2100" s="8" t="b">
        <v>0</v>
      </c>
      <c r="AG2100" s="11" t="b" cm="1">
        <f t="array" ref="AG2100">IF(OR(Y2100:AA2100="TRUE", AE2100="true"), "Threatened")</f>
        <v>0</v>
      </c>
      <c r="AH2100" s="11" t="s">
        <v>5318</v>
      </c>
      <c r="AI2100" s="8" t="b">
        <v>1</v>
      </c>
    </row>
    <row r="2101" spans="1:35" ht="31.2">
      <c r="A2101" s="8">
        <v>-73.963831200000001</v>
      </c>
      <c r="B2101" s="8">
        <v>40.79038267</v>
      </c>
      <c r="C2101" s="8" t="s">
        <v>5319</v>
      </c>
      <c r="D2101" s="8" t="s">
        <v>911</v>
      </c>
      <c r="E2101" s="8" t="b">
        <f t="shared" si="32"/>
        <v>0</v>
      </c>
      <c r="F2101" s="8" t="str" cm="1">
        <f t="array" ref="F2101">_xlfn._xlws.FILTER(E2101:E5299, C2101:C5299= "6D-PM-1020-01", "No Squirrels Found")</f>
        <v>No Squirrels Found</v>
      </c>
      <c r="G2101" s="8" t="s">
        <v>48</v>
      </c>
      <c r="H2101" s="10">
        <v>10072018</v>
      </c>
      <c r="I2101" s="10">
        <v>7</v>
      </c>
      <c r="J2101" s="8" t="s">
        <v>39</v>
      </c>
      <c r="K2101" s="8" t="s">
        <v>40</v>
      </c>
      <c r="M2101" s="8" t="s">
        <v>55</v>
      </c>
      <c r="O2101" s="8" t="s">
        <v>43</v>
      </c>
      <c r="P2101" s="8" t="b">
        <v>0</v>
      </c>
      <c r="R2101" s="8" t="b">
        <v>0</v>
      </c>
      <c r="S2101" s="8" t="b">
        <v>0</v>
      </c>
      <c r="T2101" s="8" t="b">
        <v>0</v>
      </c>
      <c r="U2101" s="8" t="b">
        <v>1</v>
      </c>
      <c r="V2101" s="8" t="b">
        <v>1</v>
      </c>
      <c r="X2101" s="8" t="b">
        <v>0</v>
      </c>
      <c r="Y2101" s="8" t="b">
        <v>0</v>
      </c>
      <c r="Z2101" s="8" t="b">
        <v>0</v>
      </c>
      <c r="AA2101" s="8" t="b">
        <v>0</v>
      </c>
      <c r="AB2101" s="8" t="b">
        <v>0</v>
      </c>
      <c r="AC2101" s="8" t="b">
        <v>0</v>
      </c>
      <c r="AD2101" s="8" t="b">
        <v>0</v>
      </c>
      <c r="AE2101" s="8" t="b">
        <v>1</v>
      </c>
      <c r="AG2101" s="11" t="b" cm="1">
        <f t="array" ref="AG2101">IF(OR(Y2101:AA2101="TRUE", AE2101="true"), "Threatened")</f>
        <v>0</v>
      </c>
      <c r="AH2101" s="11" t="s">
        <v>5320</v>
      </c>
      <c r="AI2101" s="8" t="b">
        <v>1</v>
      </c>
    </row>
    <row r="2102" spans="1:35" ht="31.2">
      <c r="A2102" s="8">
        <v>-73.95760009</v>
      </c>
      <c r="B2102" s="8">
        <v>40.793611159999998</v>
      </c>
      <c r="C2102" s="8" t="s">
        <v>5321</v>
      </c>
      <c r="D2102" s="8" t="s">
        <v>493</v>
      </c>
      <c r="E2102" s="8" t="b">
        <f t="shared" si="32"/>
        <v>0</v>
      </c>
      <c r="F2102" s="8" t="str" cm="1">
        <f t="array" ref="F2102">_xlfn._xlws.FILTER(E2102:E5300, C2102:C5300= "6D-PM-1020-01", "No Squirrels Found")</f>
        <v>No Squirrels Found</v>
      </c>
      <c r="G2102" s="8" t="s">
        <v>34</v>
      </c>
      <c r="H2102" s="10">
        <v>10062018</v>
      </c>
      <c r="I2102" s="10">
        <v>4</v>
      </c>
      <c r="J2102" s="8" t="s">
        <v>39</v>
      </c>
      <c r="K2102" s="8" t="s">
        <v>40</v>
      </c>
      <c r="M2102" s="8" t="s">
        <v>55</v>
      </c>
      <c r="O2102" s="8" t="s">
        <v>43</v>
      </c>
      <c r="P2102" s="8" t="b">
        <v>0</v>
      </c>
      <c r="R2102" s="8" t="b">
        <v>1</v>
      </c>
      <c r="S2102" s="8" t="b">
        <v>0</v>
      </c>
      <c r="T2102" s="8" t="b">
        <v>0</v>
      </c>
      <c r="U2102" s="8" t="b">
        <v>0</v>
      </c>
      <c r="V2102" s="8" t="b">
        <v>0</v>
      </c>
      <c r="X2102" s="8" t="b">
        <v>0</v>
      </c>
      <c r="Y2102" s="8" t="b">
        <v>0</v>
      </c>
      <c r="Z2102" s="8" t="b">
        <v>0</v>
      </c>
      <c r="AA2102" s="8" t="b">
        <v>0</v>
      </c>
      <c r="AB2102" s="8" t="b">
        <v>0</v>
      </c>
      <c r="AC2102" s="8" t="b">
        <v>0</v>
      </c>
      <c r="AD2102" s="8" t="b">
        <v>0</v>
      </c>
      <c r="AE2102" s="8" t="b">
        <v>1</v>
      </c>
      <c r="AG2102" s="11" t="b" cm="1">
        <f t="array" ref="AG2102">IF(OR(Y2102:AA2102="TRUE", AE2102="true"), "Threatened")</f>
        <v>0</v>
      </c>
      <c r="AH2102" s="11" t="s">
        <v>5322</v>
      </c>
      <c r="AI2102" s="8" t="b">
        <v>1</v>
      </c>
    </row>
    <row r="2103" spans="1:35" ht="31.2">
      <c r="A2103" s="8">
        <v>-73.959390940000006</v>
      </c>
      <c r="B2103" s="8">
        <v>40.796103700000003</v>
      </c>
      <c r="C2103" s="8" t="s">
        <v>5323</v>
      </c>
      <c r="D2103" s="8" t="s">
        <v>972</v>
      </c>
      <c r="E2103" s="8" t="b">
        <f t="shared" si="32"/>
        <v>0</v>
      </c>
      <c r="F2103" s="8" t="str" cm="1">
        <f t="array" ref="F2103">_xlfn._xlws.FILTER(E2103:E5301, C2103:C5301= "6D-PM-1020-01", "No Squirrels Found")</f>
        <v>No Squirrels Found</v>
      </c>
      <c r="G2103" s="8" t="s">
        <v>34</v>
      </c>
      <c r="H2103" s="10">
        <v>10132018</v>
      </c>
      <c r="I2103" s="10">
        <v>3</v>
      </c>
      <c r="J2103" s="8" t="s">
        <v>39</v>
      </c>
      <c r="K2103" s="8" t="s">
        <v>41</v>
      </c>
      <c r="L2103" s="8" t="s">
        <v>84</v>
      </c>
      <c r="M2103" s="8" t="s">
        <v>85</v>
      </c>
      <c r="N2103" s="11" t="s">
        <v>5324</v>
      </c>
      <c r="R2103" s="8" t="b">
        <v>0</v>
      </c>
      <c r="S2103" s="8" t="b">
        <v>0</v>
      </c>
      <c r="T2103" s="8" t="b">
        <v>0</v>
      </c>
      <c r="U2103" s="8" t="b">
        <v>1</v>
      </c>
      <c r="V2103" s="8" t="b">
        <v>1</v>
      </c>
      <c r="W2103" s="11" t="s">
        <v>678</v>
      </c>
      <c r="X2103" s="8" t="b">
        <v>0</v>
      </c>
      <c r="Y2103" s="8" t="b">
        <v>0</v>
      </c>
      <c r="Z2103" s="8" t="b">
        <v>0</v>
      </c>
      <c r="AA2103" s="8" t="b">
        <v>0</v>
      </c>
      <c r="AB2103" s="8" t="b">
        <v>0</v>
      </c>
      <c r="AC2103" s="8" t="b">
        <v>0</v>
      </c>
      <c r="AD2103" s="8" t="b">
        <v>0</v>
      </c>
      <c r="AE2103" s="8" t="b">
        <v>1</v>
      </c>
      <c r="AG2103" s="11" t="b" cm="1">
        <f t="array" ref="AG2103">IF(OR(Y2103:AA2103="TRUE", AE2103="true"), "Threatened")</f>
        <v>0</v>
      </c>
      <c r="AH2103" s="11" t="s">
        <v>5325</v>
      </c>
      <c r="AI2103" s="8" t="b">
        <v>0</v>
      </c>
    </row>
    <row r="2104" spans="1:35" ht="31.2">
      <c r="A2104" s="8">
        <v>-73.978298359999997</v>
      </c>
      <c r="B2104" s="8">
        <v>40.766831439999997</v>
      </c>
      <c r="C2104" s="8" t="s">
        <v>5326</v>
      </c>
      <c r="D2104" s="8" t="s">
        <v>1278</v>
      </c>
      <c r="E2104" s="8" t="b">
        <f t="shared" si="32"/>
        <v>0</v>
      </c>
      <c r="F2104" s="8" t="str" cm="1">
        <f t="array" ref="F2104">_xlfn._xlws.FILTER(E2104:E5302, C2104:C5302= "6D-PM-1020-01", "No Squirrels Found")</f>
        <v>No Squirrels Found</v>
      </c>
      <c r="G2104" s="8" t="s">
        <v>48</v>
      </c>
      <c r="H2104" s="10">
        <v>10062018</v>
      </c>
      <c r="I2104" s="10">
        <v>4</v>
      </c>
      <c r="J2104" s="8" t="s">
        <v>39</v>
      </c>
      <c r="K2104" s="8" t="s">
        <v>40</v>
      </c>
      <c r="L2104" s="8" t="s">
        <v>84</v>
      </c>
      <c r="M2104" s="8" t="s">
        <v>103</v>
      </c>
      <c r="O2104" s="8" t="s">
        <v>50</v>
      </c>
      <c r="P2104" s="8">
        <v>30</v>
      </c>
      <c r="R2104" s="8" t="b">
        <v>0</v>
      </c>
      <c r="S2104" s="8" t="b">
        <v>0</v>
      </c>
      <c r="T2104" s="8" t="b">
        <v>1</v>
      </c>
      <c r="U2104" s="8" t="b">
        <v>0</v>
      </c>
      <c r="V2104" s="8" t="b">
        <v>0</v>
      </c>
      <c r="X2104" s="8" t="b">
        <v>0</v>
      </c>
      <c r="Y2104" s="8" t="b">
        <v>0</v>
      </c>
      <c r="Z2104" s="8" t="b">
        <v>0</v>
      </c>
      <c r="AA2104" s="8" t="b">
        <v>0</v>
      </c>
      <c r="AB2104" s="8" t="b">
        <v>0</v>
      </c>
      <c r="AC2104" s="8" t="b">
        <v>0</v>
      </c>
      <c r="AD2104" s="8" t="b">
        <v>0</v>
      </c>
      <c r="AE2104" s="8" t="b">
        <v>0</v>
      </c>
      <c r="AG2104" s="11" t="b" cm="1">
        <f t="array" ref="AG2104">IF(OR(Y2104:AA2104="TRUE", AE2104="true"), "Threatened")</f>
        <v>0</v>
      </c>
      <c r="AH2104" s="11" t="s">
        <v>5327</v>
      </c>
      <c r="AI2104" s="8" t="b">
        <v>1</v>
      </c>
    </row>
    <row r="2105" spans="1:35" ht="31.2">
      <c r="A2105" s="8">
        <v>-73.962241989999995</v>
      </c>
      <c r="B2105" s="8">
        <v>40.794579800000001</v>
      </c>
      <c r="C2105" s="8" t="s">
        <v>5328</v>
      </c>
      <c r="D2105" s="8" t="s">
        <v>301</v>
      </c>
      <c r="E2105" s="8" t="b">
        <f t="shared" si="32"/>
        <v>0</v>
      </c>
      <c r="F2105" s="8" t="str" cm="1">
        <f t="array" ref="F2105">_xlfn._xlws.FILTER(E2105:E5303, C2105:C5303= "6D-PM-1020-01", "No Squirrels Found")</f>
        <v>No Squirrels Found</v>
      </c>
      <c r="G2105" s="8" t="s">
        <v>48</v>
      </c>
      <c r="H2105" s="10">
        <v>10142018</v>
      </c>
      <c r="I2105" s="10">
        <v>7</v>
      </c>
      <c r="J2105" s="8" t="s">
        <v>39</v>
      </c>
      <c r="K2105" s="8" t="s">
        <v>40</v>
      </c>
      <c r="L2105" s="8" t="s">
        <v>84</v>
      </c>
      <c r="M2105" s="8" t="s">
        <v>103</v>
      </c>
      <c r="O2105" s="8" t="s">
        <v>43</v>
      </c>
      <c r="P2105" s="8" t="b">
        <v>0</v>
      </c>
      <c r="R2105" s="8" t="b">
        <v>0</v>
      </c>
      <c r="S2105" s="8" t="b">
        <v>1</v>
      </c>
      <c r="T2105" s="8" t="b">
        <v>0</v>
      </c>
      <c r="U2105" s="8" t="b">
        <v>0</v>
      </c>
      <c r="V2105" s="8" t="b">
        <v>0</v>
      </c>
      <c r="X2105" s="8" t="b">
        <v>0</v>
      </c>
      <c r="Y2105" s="8" t="b">
        <v>0</v>
      </c>
      <c r="Z2105" s="8" t="b">
        <v>0</v>
      </c>
      <c r="AA2105" s="8" t="b">
        <v>0</v>
      </c>
      <c r="AB2105" s="8" t="b">
        <v>0</v>
      </c>
      <c r="AC2105" s="8" t="b">
        <v>0</v>
      </c>
      <c r="AD2105" s="8" t="b">
        <v>1</v>
      </c>
      <c r="AE2105" s="8" t="b">
        <v>0</v>
      </c>
      <c r="AG2105" s="11" t="b" cm="1">
        <f t="array" ref="AG2105">IF(OR(Y2105:AA2105="TRUE", AE2105="true"), "Threatened")</f>
        <v>0</v>
      </c>
      <c r="AH2105" s="11" t="s">
        <v>5329</v>
      </c>
      <c r="AI2105" s="8" t="b">
        <v>1</v>
      </c>
    </row>
    <row r="2106" spans="1:35" ht="31.2">
      <c r="A2106" s="8">
        <v>-73.973872310000004</v>
      </c>
      <c r="B2106" s="8">
        <v>40.778684560000002</v>
      </c>
      <c r="C2106" s="8" t="s">
        <v>5330</v>
      </c>
      <c r="D2106" s="8" t="s">
        <v>797</v>
      </c>
      <c r="E2106" s="8" t="b">
        <f t="shared" si="32"/>
        <v>0</v>
      </c>
      <c r="F2106" s="8" t="str" cm="1">
        <f t="array" ref="F2106">_xlfn._xlws.FILTER(E2106:E5304, C2106:C5304= "6D-PM-1020-01", "No Squirrels Found")</f>
        <v>No Squirrels Found</v>
      </c>
      <c r="G2106" s="8" t="s">
        <v>48</v>
      </c>
      <c r="H2106" s="10">
        <v>10142018</v>
      </c>
      <c r="I2106" s="10">
        <v>1</v>
      </c>
      <c r="J2106" s="8" t="s">
        <v>39</v>
      </c>
      <c r="K2106" s="8" t="s">
        <v>40</v>
      </c>
      <c r="L2106" s="8" t="s">
        <v>84</v>
      </c>
      <c r="M2106" s="8" t="s">
        <v>103</v>
      </c>
      <c r="O2106" s="8" t="s">
        <v>43</v>
      </c>
      <c r="P2106" s="8" t="b">
        <v>0</v>
      </c>
      <c r="R2106" s="8" t="b">
        <v>0</v>
      </c>
      <c r="S2106" s="8" t="b">
        <v>0</v>
      </c>
      <c r="T2106" s="8" t="b">
        <v>0</v>
      </c>
      <c r="U2106" s="8" t="b">
        <v>0</v>
      </c>
      <c r="V2106" s="8" t="b">
        <v>1</v>
      </c>
      <c r="W2106" s="11" t="s">
        <v>5331</v>
      </c>
      <c r="X2106" s="8" t="b">
        <v>0</v>
      </c>
      <c r="Y2106" s="8" t="b">
        <v>0</v>
      </c>
      <c r="Z2106" s="8" t="b">
        <v>0</v>
      </c>
      <c r="AA2106" s="8" t="b">
        <v>0</v>
      </c>
      <c r="AB2106" s="8" t="b">
        <v>0</v>
      </c>
      <c r="AC2106" s="8" t="b">
        <v>0</v>
      </c>
      <c r="AD2106" s="8" t="b">
        <v>1</v>
      </c>
      <c r="AE2106" s="8" t="b">
        <v>1</v>
      </c>
      <c r="AF2106" s="11" t="s">
        <v>5332</v>
      </c>
      <c r="AG2106" s="11" t="b" cm="1">
        <f t="array" ref="AG2106">IF(OR(Y2106:AA2106="TRUE", AE2106="true"), "Threatened")</f>
        <v>0</v>
      </c>
      <c r="AH2106" s="11" t="s">
        <v>5333</v>
      </c>
      <c r="AI2106" s="8" t="b">
        <v>0</v>
      </c>
    </row>
    <row r="2107" spans="1:35" ht="31.2">
      <c r="A2107" s="8">
        <v>-73.980165150000005</v>
      </c>
      <c r="B2107" s="8">
        <v>40.767769870000002</v>
      </c>
      <c r="C2107" s="8" t="s">
        <v>5334</v>
      </c>
      <c r="D2107" s="8" t="s">
        <v>855</v>
      </c>
      <c r="E2107" s="8" t="b">
        <f t="shared" si="32"/>
        <v>0</v>
      </c>
      <c r="F2107" s="8" t="str" cm="1">
        <f t="array" ref="F2107">_xlfn._xlws.FILTER(E2107:E5305, C2107:C5305= "6D-PM-1020-01", "No Squirrels Found")</f>
        <v>No Squirrels Found</v>
      </c>
      <c r="G2107" s="8" t="s">
        <v>48</v>
      </c>
      <c r="H2107" s="10">
        <v>10122018</v>
      </c>
      <c r="I2107" s="10">
        <v>5</v>
      </c>
      <c r="J2107" s="8" t="s">
        <v>39</v>
      </c>
      <c r="K2107" s="8" t="s">
        <v>40</v>
      </c>
      <c r="L2107" s="8" t="s">
        <v>41</v>
      </c>
      <c r="M2107" s="8" t="s">
        <v>42</v>
      </c>
      <c r="O2107" s="8" t="s">
        <v>43</v>
      </c>
      <c r="P2107" s="8" t="b">
        <v>0</v>
      </c>
      <c r="R2107" s="8" t="b">
        <v>0</v>
      </c>
      <c r="S2107" s="8" t="b">
        <v>1</v>
      </c>
      <c r="T2107" s="8" t="b">
        <v>0</v>
      </c>
      <c r="U2107" s="8" t="b">
        <v>1</v>
      </c>
      <c r="V2107" s="8" t="b">
        <v>1</v>
      </c>
      <c r="X2107" s="8" t="b">
        <v>0</v>
      </c>
      <c r="Y2107" s="8" t="b">
        <v>0</v>
      </c>
      <c r="Z2107" s="8" t="b">
        <v>0</v>
      </c>
      <c r="AA2107" s="8" t="b">
        <v>0</v>
      </c>
      <c r="AB2107" s="8" t="b">
        <v>0</v>
      </c>
      <c r="AC2107" s="8" t="b">
        <v>0</v>
      </c>
      <c r="AD2107" s="8" t="b">
        <v>1</v>
      </c>
      <c r="AE2107" s="8" t="b">
        <v>0</v>
      </c>
      <c r="AG2107" s="11" t="b" cm="1">
        <f t="array" ref="AG2107">IF(OR(Y2107:AA2107="TRUE", AE2107="true"), "Threatened")</f>
        <v>0</v>
      </c>
      <c r="AH2107" s="11" t="s">
        <v>5335</v>
      </c>
      <c r="AI2107" s="8" t="b">
        <v>1</v>
      </c>
    </row>
    <row r="2108" spans="1:35" ht="31.2">
      <c r="A2108" s="8">
        <v>-73.977262479999993</v>
      </c>
      <c r="B2108" s="8">
        <v>40.769282189999998</v>
      </c>
      <c r="C2108" s="8" t="s">
        <v>5336</v>
      </c>
      <c r="D2108" s="8" t="s">
        <v>1586</v>
      </c>
      <c r="E2108" s="8" t="b">
        <f t="shared" si="32"/>
        <v>0</v>
      </c>
      <c r="F2108" s="8" t="str" cm="1">
        <f t="array" ref="F2108">_xlfn._xlws.FILTER(E2108:E5306, C2108:C5306= "6D-PM-1020-01", "No Squirrels Found")</f>
        <v>No Squirrels Found</v>
      </c>
      <c r="G2108" s="8" t="s">
        <v>34</v>
      </c>
      <c r="H2108" s="10">
        <v>10102018</v>
      </c>
      <c r="I2108" s="10">
        <v>5</v>
      </c>
      <c r="J2108" s="8" t="s">
        <v>39</v>
      </c>
      <c r="K2108" s="8" t="s">
        <v>40</v>
      </c>
      <c r="L2108" s="8" t="s">
        <v>41</v>
      </c>
      <c r="M2108" s="8" t="s">
        <v>42</v>
      </c>
      <c r="O2108" s="8" t="s">
        <v>43</v>
      </c>
      <c r="P2108" s="8" t="b">
        <v>0</v>
      </c>
      <c r="R2108" s="8" t="b">
        <v>1</v>
      </c>
      <c r="S2108" s="8" t="b">
        <v>0</v>
      </c>
      <c r="T2108" s="8" t="b">
        <v>0</v>
      </c>
      <c r="U2108" s="8" t="b">
        <v>0</v>
      </c>
      <c r="V2108" s="8" t="b">
        <v>0</v>
      </c>
      <c r="X2108" s="8" t="b">
        <v>0</v>
      </c>
      <c r="Y2108" s="8" t="b">
        <v>0</v>
      </c>
      <c r="Z2108" s="8" t="b">
        <v>0</v>
      </c>
      <c r="AA2108" s="8" t="b">
        <v>0</v>
      </c>
      <c r="AB2108" s="8" t="b">
        <v>0</v>
      </c>
      <c r="AC2108" s="8" t="b">
        <v>0</v>
      </c>
      <c r="AD2108" s="8" t="b">
        <v>0</v>
      </c>
      <c r="AE2108" s="8" t="b">
        <v>0</v>
      </c>
      <c r="AG2108" s="11" t="b" cm="1">
        <f t="array" ref="AG2108">IF(OR(Y2108:AA2108="TRUE", AE2108="true"), "Threatened")</f>
        <v>0</v>
      </c>
      <c r="AH2108" s="11" t="s">
        <v>5337</v>
      </c>
      <c r="AI2108" s="8" t="b">
        <v>1</v>
      </c>
    </row>
    <row r="2109" spans="1:35" ht="31.2">
      <c r="A2109" s="8">
        <v>-73.970242010000007</v>
      </c>
      <c r="B2109" s="8">
        <v>40.777272089999997</v>
      </c>
      <c r="C2109" s="8" t="s">
        <v>5338</v>
      </c>
      <c r="D2109" s="8" t="s">
        <v>741</v>
      </c>
      <c r="E2109" s="8" t="b">
        <f t="shared" si="32"/>
        <v>0</v>
      </c>
      <c r="F2109" s="8" t="str" cm="1">
        <f t="array" ref="F2109">_xlfn._xlws.FILTER(E2109:E5307, C2109:C5307= "6D-PM-1020-01", "No Squirrels Found")</f>
        <v>No Squirrels Found</v>
      </c>
      <c r="G2109" s="8" t="s">
        <v>48</v>
      </c>
      <c r="H2109" s="10">
        <v>10142018</v>
      </c>
      <c r="I2109" s="10">
        <v>2</v>
      </c>
      <c r="J2109" s="8" t="s">
        <v>39</v>
      </c>
      <c r="K2109" s="8" t="s">
        <v>40</v>
      </c>
      <c r="L2109" s="8" t="s">
        <v>117</v>
      </c>
      <c r="M2109" s="8" t="s">
        <v>118</v>
      </c>
      <c r="O2109" s="8" t="s">
        <v>43</v>
      </c>
      <c r="P2109" s="8" t="b">
        <v>0</v>
      </c>
      <c r="R2109" s="8" t="b">
        <v>0</v>
      </c>
      <c r="S2109" s="8" t="b">
        <v>0</v>
      </c>
      <c r="T2109" s="8" t="b">
        <v>0</v>
      </c>
      <c r="U2109" s="8" t="b">
        <v>0</v>
      </c>
      <c r="V2109" s="8" t="b">
        <v>1</v>
      </c>
      <c r="X2109" s="8" t="b">
        <v>0</v>
      </c>
      <c r="Y2109" s="8" t="b">
        <v>0</v>
      </c>
      <c r="Z2109" s="8" t="b">
        <v>0</v>
      </c>
      <c r="AA2109" s="8" t="b">
        <v>0</v>
      </c>
      <c r="AB2109" s="8" t="b">
        <v>0</v>
      </c>
      <c r="AC2109" s="8" t="b">
        <v>0</v>
      </c>
      <c r="AD2109" s="8" t="b">
        <v>1</v>
      </c>
      <c r="AE2109" s="8" t="b">
        <v>0</v>
      </c>
      <c r="AG2109" s="11" t="b" cm="1">
        <f t="array" ref="AG2109">IF(OR(Y2109:AA2109="TRUE", AE2109="true"), "Threatened")</f>
        <v>0</v>
      </c>
      <c r="AH2109" s="11" t="s">
        <v>5339</v>
      </c>
      <c r="AI2109" s="8" t="b">
        <v>1</v>
      </c>
    </row>
    <row r="2110" spans="1:35" ht="31.2">
      <c r="A2110" s="8">
        <v>-73.974448859999995</v>
      </c>
      <c r="B2110" s="8">
        <v>40.77416272</v>
      </c>
      <c r="C2110" s="8" t="s">
        <v>5340</v>
      </c>
      <c r="D2110" s="8" t="s">
        <v>845</v>
      </c>
      <c r="E2110" s="8" t="b">
        <f t="shared" si="32"/>
        <v>0</v>
      </c>
      <c r="F2110" s="8" t="str" cm="1">
        <f t="array" ref="F2110">_xlfn._xlws.FILTER(E2110:E5308, C2110:C5308= "6D-PM-1020-01", "No Squirrels Found")</f>
        <v>No Squirrels Found</v>
      </c>
      <c r="G2110" s="8" t="s">
        <v>34</v>
      </c>
      <c r="H2110" s="10">
        <v>10132018</v>
      </c>
      <c r="I2110" s="10">
        <v>3</v>
      </c>
      <c r="J2110" s="8" t="s">
        <v>39</v>
      </c>
      <c r="K2110" s="8" t="s">
        <v>40</v>
      </c>
      <c r="L2110" s="8" t="s">
        <v>41</v>
      </c>
      <c r="M2110" s="8" t="s">
        <v>42</v>
      </c>
      <c r="O2110" s="8" t="s">
        <v>43</v>
      </c>
      <c r="P2110" s="8" t="b">
        <v>0</v>
      </c>
      <c r="R2110" s="8" t="b">
        <v>0</v>
      </c>
      <c r="S2110" s="8" t="b">
        <v>0</v>
      </c>
      <c r="T2110" s="8" t="b">
        <v>0</v>
      </c>
      <c r="U2110" s="8" t="b">
        <v>1</v>
      </c>
      <c r="V2110" s="8" t="b">
        <v>1</v>
      </c>
      <c r="X2110" s="8" t="b">
        <v>0</v>
      </c>
      <c r="Y2110" s="8" t="b">
        <v>0</v>
      </c>
      <c r="Z2110" s="8" t="b">
        <v>0</v>
      </c>
      <c r="AA2110" s="8" t="b">
        <v>0</v>
      </c>
      <c r="AB2110" s="8" t="b">
        <v>1</v>
      </c>
      <c r="AC2110" s="8" t="b">
        <v>0</v>
      </c>
      <c r="AD2110" s="8" t="b">
        <v>1</v>
      </c>
      <c r="AE2110" s="8" t="b">
        <v>0</v>
      </c>
      <c r="AG2110" s="11" t="b" cm="1">
        <f t="array" ref="AG2110">IF(OR(Y2110:AA2110="TRUE", AE2110="true"), "Threatened")</f>
        <v>0</v>
      </c>
      <c r="AH2110" s="11" t="s">
        <v>5341</v>
      </c>
      <c r="AI2110" s="8" t="b">
        <v>1</v>
      </c>
    </row>
    <row r="2111" spans="1:35" ht="31.2">
      <c r="A2111" s="8">
        <v>-73.964715130000002</v>
      </c>
      <c r="B2111" s="8">
        <v>40.791268109999997</v>
      </c>
      <c r="C2111" s="8" t="s">
        <v>5342</v>
      </c>
      <c r="D2111" s="8" t="s">
        <v>1613</v>
      </c>
      <c r="E2111" s="8" t="b">
        <f t="shared" si="32"/>
        <v>0</v>
      </c>
      <c r="F2111" s="8" t="str" cm="1">
        <f t="array" ref="F2111">_xlfn._xlws.FILTER(E2111:E5309, C2111:C5309= "6D-PM-1020-01", "No Squirrels Found")</f>
        <v>No Squirrels Found</v>
      </c>
      <c r="G2111" s="8" t="s">
        <v>34</v>
      </c>
      <c r="H2111" s="10">
        <v>10202018</v>
      </c>
      <c r="I2111" s="10">
        <v>3</v>
      </c>
      <c r="J2111" s="8" t="s">
        <v>39</v>
      </c>
      <c r="K2111" s="8" t="s">
        <v>40</v>
      </c>
      <c r="L2111" s="8" t="s">
        <v>41</v>
      </c>
      <c r="M2111" s="8" t="s">
        <v>42</v>
      </c>
      <c r="O2111" s="8" t="s">
        <v>43</v>
      </c>
      <c r="P2111" s="8" t="b">
        <v>0</v>
      </c>
      <c r="Q2111" s="8" t="s">
        <v>1311</v>
      </c>
      <c r="R2111" s="8" t="b">
        <v>0</v>
      </c>
      <c r="S2111" s="8" t="b">
        <v>0</v>
      </c>
      <c r="T2111" s="8" t="b">
        <v>0</v>
      </c>
      <c r="U2111" s="8" t="b">
        <v>1</v>
      </c>
      <c r="V2111" s="8" t="b">
        <v>0</v>
      </c>
      <c r="X2111" s="8" t="b">
        <v>0</v>
      </c>
      <c r="Y2111" s="8" t="b">
        <v>0</v>
      </c>
      <c r="Z2111" s="8" t="b">
        <v>0</v>
      </c>
      <c r="AA2111" s="8" t="b">
        <v>0</v>
      </c>
      <c r="AB2111" s="8" t="b">
        <v>0</v>
      </c>
      <c r="AC2111" s="8" t="b">
        <v>0</v>
      </c>
      <c r="AD2111" s="8" t="b">
        <v>0</v>
      </c>
      <c r="AE2111" s="8" t="b">
        <v>1</v>
      </c>
      <c r="AG2111" s="11" t="b" cm="1">
        <f t="array" ref="AG2111">IF(OR(Y2111:AA2111="TRUE", AE2111="true"), "Threatened")</f>
        <v>0</v>
      </c>
      <c r="AH2111" s="11" t="s">
        <v>5343</v>
      </c>
      <c r="AI2111" s="8" t="b">
        <v>1</v>
      </c>
    </row>
    <row r="2112" spans="1:35" ht="31.2">
      <c r="A2112" s="8">
        <v>-73.968446060000005</v>
      </c>
      <c r="B2112" s="8">
        <v>40.785824820000002</v>
      </c>
      <c r="C2112" s="8" t="s">
        <v>5344</v>
      </c>
      <c r="D2112" s="8" t="s">
        <v>1444</v>
      </c>
      <c r="E2112" s="8" t="b">
        <f t="shared" si="32"/>
        <v>0</v>
      </c>
      <c r="F2112" s="8" t="str" cm="1">
        <f t="array" ref="F2112">_xlfn._xlws.FILTER(E2112:E5310, C2112:C5310= "6D-PM-1020-01", "No Squirrels Found")</f>
        <v>No Squirrels Found</v>
      </c>
      <c r="G2112" s="8" t="s">
        <v>34</v>
      </c>
      <c r="H2112" s="10">
        <v>10072018</v>
      </c>
      <c r="I2112" s="10">
        <v>1</v>
      </c>
      <c r="J2112" s="8" t="s">
        <v>39</v>
      </c>
      <c r="K2112" s="8" t="s">
        <v>40</v>
      </c>
      <c r="L2112" s="8" t="s">
        <v>84</v>
      </c>
      <c r="M2112" s="8" t="s">
        <v>103</v>
      </c>
      <c r="O2112" s="8" t="s">
        <v>43</v>
      </c>
      <c r="P2112" s="8" t="b">
        <v>0</v>
      </c>
      <c r="R2112" s="8" t="b">
        <v>1</v>
      </c>
      <c r="S2112" s="8" t="b">
        <v>0</v>
      </c>
      <c r="T2112" s="8" t="b">
        <v>0</v>
      </c>
      <c r="U2112" s="8" t="b">
        <v>0</v>
      </c>
      <c r="V2112" s="8" t="b">
        <v>0</v>
      </c>
      <c r="X2112" s="8" t="b">
        <v>0</v>
      </c>
      <c r="Y2112" s="8" t="b">
        <v>0</v>
      </c>
      <c r="Z2112" s="8" t="b">
        <v>0</v>
      </c>
      <c r="AA2112" s="8" t="b">
        <v>0</v>
      </c>
      <c r="AB2112" s="8" t="b">
        <v>0</v>
      </c>
      <c r="AC2112" s="8" t="b">
        <v>0</v>
      </c>
      <c r="AD2112" s="8" t="b">
        <v>1</v>
      </c>
      <c r="AE2112" s="8" t="b">
        <v>0</v>
      </c>
      <c r="AG2112" s="11" t="b" cm="1">
        <f t="array" ref="AG2112">IF(OR(Y2112:AA2112="TRUE", AE2112="true"), "Threatened")</f>
        <v>0</v>
      </c>
      <c r="AH2112" s="11" t="s">
        <v>5345</v>
      </c>
      <c r="AI2112" s="8" t="b">
        <v>1</v>
      </c>
    </row>
    <row r="2113" spans="1:35" ht="31.2">
      <c r="A2113" s="8">
        <v>-73.965520659999996</v>
      </c>
      <c r="B2113" s="8">
        <v>40.77648516</v>
      </c>
      <c r="C2113" s="8" t="s">
        <v>5346</v>
      </c>
      <c r="D2113" s="8" t="s">
        <v>1530</v>
      </c>
      <c r="E2113" s="8" t="b">
        <f t="shared" si="32"/>
        <v>0</v>
      </c>
      <c r="F2113" s="8" t="str" cm="1">
        <f t="array" ref="F2113">_xlfn._xlws.FILTER(E2113:E5311, C2113:C5311= "6D-PM-1020-01", "No Squirrels Found")</f>
        <v>No Squirrels Found</v>
      </c>
      <c r="G2113" s="8" t="s">
        <v>34</v>
      </c>
      <c r="H2113" s="10">
        <v>10142018</v>
      </c>
      <c r="I2113" s="10">
        <v>2</v>
      </c>
      <c r="J2113" s="8" t="s">
        <v>39</v>
      </c>
      <c r="K2113" s="8" t="s">
        <v>40</v>
      </c>
      <c r="L2113" s="8" t="s">
        <v>84</v>
      </c>
      <c r="M2113" s="8" t="s">
        <v>103</v>
      </c>
      <c r="O2113" s="8" t="s">
        <v>43</v>
      </c>
      <c r="P2113" s="8" t="b">
        <v>0</v>
      </c>
      <c r="R2113" s="8" t="b">
        <v>1</v>
      </c>
      <c r="S2113" s="8" t="b">
        <v>0</v>
      </c>
      <c r="T2113" s="8" t="b">
        <v>0</v>
      </c>
      <c r="U2113" s="8" t="b">
        <v>0</v>
      </c>
      <c r="V2113" s="8" t="b">
        <v>0</v>
      </c>
      <c r="X2113" s="8" t="b">
        <v>0</v>
      </c>
      <c r="Y2113" s="8" t="b">
        <v>0</v>
      </c>
      <c r="Z2113" s="8" t="b">
        <v>0</v>
      </c>
      <c r="AA2113" s="8" t="b">
        <v>0</v>
      </c>
      <c r="AB2113" s="8" t="b">
        <v>0</v>
      </c>
      <c r="AC2113" s="8" t="b">
        <v>0</v>
      </c>
      <c r="AD2113" s="8" t="b">
        <v>1</v>
      </c>
      <c r="AE2113" s="8" t="b">
        <v>0</v>
      </c>
      <c r="AG2113" s="11" t="b" cm="1">
        <f t="array" ref="AG2113">IF(OR(Y2113:AA2113="TRUE", AE2113="true"), "Threatened")</f>
        <v>0</v>
      </c>
      <c r="AH2113" s="11" t="s">
        <v>5347</v>
      </c>
      <c r="AI2113" s="8" t="b">
        <v>1</v>
      </c>
    </row>
    <row r="2114" spans="1:35" ht="31.2">
      <c r="A2114" s="8">
        <v>-73.958290480000002</v>
      </c>
      <c r="B2114" s="8">
        <v>40.790591569999997</v>
      </c>
      <c r="C2114" s="8" t="s">
        <v>5348</v>
      </c>
      <c r="D2114" s="8" t="s">
        <v>144</v>
      </c>
      <c r="E2114" s="8" t="b">
        <f t="shared" si="32"/>
        <v>0</v>
      </c>
      <c r="F2114" s="8" t="str" cm="1">
        <f t="array" ref="F2114">_xlfn._xlws.FILTER(E2114:E5312, C2114:C5312= "6D-PM-1020-01", "No Squirrels Found")</f>
        <v>No Squirrels Found</v>
      </c>
      <c r="G2114" s="8" t="s">
        <v>48</v>
      </c>
      <c r="H2114" s="10">
        <v>10122018</v>
      </c>
      <c r="I2114" s="10">
        <v>4</v>
      </c>
      <c r="J2114" s="8" t="s">
        <v>39</v>
      </c>
      <c r="K2114" s="8" t="s">
        <v>192</v>
      </c>
      <c r="M2114" s="8" t="s">
        <v>193</v>
      </c>
      <c r="O2114" s="8" t="s">
        <v>43</v>
      </c>
      <c r="P2114" s="8" t="b">
        <v>0</v>
      </c>
      <c r="R2114" s="8" t="b">
        <v>1</v>
      </c>
      <c r="S2114" s="8" t="b">
        <v>0</v>
      </c>
      <c r="T2114" s="8" t="b">
        <v>0</v>
      </c>
      <c r="U2114" s="8" t="b">
        <v>0</v>
      </c>
      <c r="V2114" s="8" t="b">
        <v>0</v>
      </c>
      <c r="X2114" s="8" t="b">
        <v>0</v>
      </c>
      <c r="Y2114" s="8" t="b">
        <v>0</v>
      </c>
      <c r="Z2114" s="8" t="b">
        <v>0</v>
      </c>
      <c r="AA2114" s="8" t="b">
        <v>0</v>
      </c>
      <c r="AB2114" s="8" t="b">
        <v>0</v>
      </c>
      <c r="AC2114" s="8" t="b">
        <v>0</v>
      </c>
      <c r="AD2114" s="8" t="b">
        <v>0</v>
      </c>
      <c r="AE2114" s="8" t="b">
        <v>0</v>
      </c>
      <c r="AG2114" s="11" t="b" cm="1">
        <f t="array" ref="AG2114">IF(OR(Y2114:AA2114="TRUE", AE2114="true"), "Threatened")</f>
        <v>0</v>
      </c>
      <c r="AH2114" s="11" t="s">
        <v>5349</v>
      </c>
      <c r="AI2114" s="8" t="b">
        <v>1</v>
      </c>
    </row>
    <row r="2115" spans="1:35" ht="31.2">
      <c r="A2115" s="8">
        <v>-73.965154139999996</v>
      </c>
      <c r="B2115" s="8">
        <v>40.77982832</v>
      </c>
      <c r="C2115" s="8" t="s">
        <v>5350</v>
      </c>
      <c r="D2115" s="8" t="s">
        <v>1432</v>
      </c>
      <c r="E2115" s="8" t="b">
        <f t="shared" ref="E2115:E2178" si="33">OR(D2115 = "05D", D2115 = "07D", D2115 = "06C", D2115 = "06E")</f>
        <v>0</v>
      </c>
      <c r="F2115" s="8" t="str" cm="1">
        <f t="array" ref="F2115">_xlfn._xlws.FILTER(E2115:E5313, C2115:C5313= "6D-PM-1020-01", "No Squirrels Found")</f>
        <v>No Squirrels Found</v>
      </c>
      <c r="G2115" s="8" t="s">
        <v>34</v>
      </c>
      <c r="H2115" s="10">
        <v>10172018</v>
      </c>
      <c r="I2115" s="10">
        <v>1</v>
      </c>
      <c r="J2115" s="8" t="s">
        <v>39</v>
      </c>
      <c r="K2115" s="8" t="s">
        <v>41</v>
      </c>
      <c r="L2115" s="8" t="s">
        <v>84</v>
      </c>
      <c r="M2115" s="8" t="s">
        <v>85</v>
      </c>
      <c r="O2115" s="8" t="s">
        <v>50</v>
      </c>
      <c r="P2115" s="8">
        <v>12</v>
      </c>
      <c r="R2115" s="8" t="b">
        <v>0</v>
      </c>
      <c r="S2115" s="8" t="b">
        <v>0</v>
      </c>
      <c r="T2115" s="8" t="b">
        <v>0</v>
      </c>
      <c r="U2115" s="8" t="b">
        <v>0</v>
      </c>
      <c r="V2115" s="8" t="b">
        <v>0</v>
      </c>
      <c r="W2115" s="11" t="s">
        <v>678</v>
      </c>
      <c r="X2115" s="8" t="b">
        <v>0</v>
      </c>
      <c r="Y2115" s="8" t="b">
        <v>0</v>
      </c>
      <c r="Z2115" s="8" t="b">
        <v>0</v>
      </c>
      <c r="AA2115" s="8" t="b">
        <v>0</v>
      </c>
      <c r="AB2115" s="8" t="b">
        <v>0</v>
      </c>
      <c r="AC2115" s="8" t="b">
        <v>1</v>
      </c>
      <c r="AD2115" s="8" t="b">
        <v>0</v>
      </c>
      <c r="AE2115" s="8" t="b">
        <v>0</v>
      </c>
      <c r="AG2115" s="11" t="b" cm="1">
        <f t="array" ref="AG2115">IF(OR(Y2115:AA2115="TRUE", AE2115="true"), "Threatened")</f>
        <v>0</v>
      </c>
      <c r="AH2115" s="11" t="s">
        <v>5351</v>
      </c>
      <c r="AI2115" s="8" t="b">
        <v>0</v>
      </c>
    </row>
    <row r="2116" spans="1:35" ht="31.2">
      <c r="A2116" s="8">
        <v>-73.965820399999998</v>
      </c>
      <c r="B2116" s="8">
        <v>40.777587400000002</v>
      </c>
      <c r="C2116" s="8" t="s">
        <v>5352</v>
      </c>
      <c r="D2116" s="8" t="s">
        <v>2220</v>
      </c>
      <c r="E2116" s="8" t="b">
        <f t="shared" si="33"/>
        <v>0</v>
      </c>
      <c r="F2116" s="8" t="str" cm="1">
        <f t="array" ref="F2116">_xlfn._xlws.FILTER(E2116:E5314, C2116:C5314= "6D-PM-1020-01", "No Squirrels Found")</f>
        <v>No Squirrels Found</v>
      </c>
      <c r="G2116" s="8" t="s">
        <v>34</v>
      </c>
      <c r="H2116" s="10">
        <v>10172018</v>
      </c>
      <c r="I2116" s="10">
        <v>1</v>
      </c>
      <c r="J2116" s="8" t="s">
        <v>39</v>
      </c>
      <c r="K2116" s="8" t="s">
        <v>40</v>
      </c>
      <c r="M2116" s="8" t="s">
        <v>55</v>
      </c>
      <c r="O2116" s="8" t="s">
        <v>43</v>
      </c>
      <c r="P2116" s="8" t="b">
        <v>0</v>
      </c>
      <c r="Q2116" s="8" t="s">
        <v>4711</v>
      </c>
      <c r="R2116" s="8" t="b">
        <v>0</v>
      </c>
      <c r="S2116" s="8" t="b">
        <v>0</v>
      </c>
      <c r="T2116" s="8" t="b">
        <v>0</v>
      </c>
      <c r="U2116" s="8" t="b">
        <v>0</v>
      </c>
      <c r="V2116" s="8" t="b">
        <v>1</v>
      </c>
      <c r="X2116" s="8" t="b">
        <v>0</v>
      </c>
      <c r="Y2116" s="8" t="b">
        <v>0</v>
      </c>
      <c r="Z2116" s="8" t="b">
        <v>0</v>
      </c>
      <c r="AA2116" s="8" t="b">
        <v>0</v>
      </c>
      <c r="AB2116" s="8" t="b">
        <v>0</v>
      </c>
      <c r="AC2116" s="8" t="b">
        <v>0</v>
      </c>
      <c r="AD2116" s="8" t="b">
        <v>1</v>
      </c>
      <c r="AE2116" s="8" t="b">
        <v>0</v>
      </c>
      <c r="AG2116" s="11" t="b" cm="1">
        <f t="array" ref="AG2116">IF(OR(Y2116:AA2116="TRUE", AE2116="true"), "Threatened")</f>
        <v>0</v>
      </c>
      <c r="AH2116" s="11" t="s">
        <v>5353</v>
      </c>
      <c r="AI2116" s="8" t="b">
        <v>1</v>
      </c>
    </row>
    <row r="2117" spans="1:35" ht="31.2">
      <c r="A2117" s="8">
        <v>-73.980156249999993</v>
      </c>
      <c r="B2117" s="8">
        <v>40.768726729999997</v>
      </c>
      <c r="C2117" s="8" t="s">
        <v>5354</v>
      </c>
      <c r="D2117" s="8" t="s">
        <v>219</v>
      </c>
      <c r="E2117" s="8" t="b">
        <f t="shared" si="33"/>
        <v>0</v>
      </c>
      <c r="F2117" s="8" t="str" cm="1">
        <f t="array" ref="F2117">_xlfn._xlws.FILTER(E2117:E5315, C2117:C5315= "6D-PM-1020-01", "No Squirrels Found")</f>
        <v>No Squirrels Found</v>
      </c>
      <c r="G2117" s="8" t="s">
        <v>48</v>
      </c>
      <c r="H2117" s="10">
        <v>10102018</v>
      </c>
      <c r="I2117" s="10">
        <v>1</v>
      </c>
      <c r="J2117" s="8" t="s">
        <v>54</v>
      </c>
      <c r="K2117" s="8" t="s">
        <v>40</v>
      </c>
      <c r="L2117" s="8" t="s">
        <v>84</v>
      </c>
      <c r="M2117" s="8" t="s">
        <v>103</v>
      </c>
      <c r="O2117" s="8" t="s">
        <v>43</v>
      </c>
      <c r="P2117" s="8" t="b">
        <v>0</v>
      </c>
      <c r="R2117" s="8" t="b">
        <v>0</v>
      </c>
      <c r="S2117" s="8" t="b">
        <v>0</v>
      </c>
      <c r="T2117" s="8" t="b">
        <v>0</v>
      </c>
      <c r="U2117" s="8" t="b">
        <v>1</v>
      </c>
      <c r="V2117" s="8" t="b">
        <v>1</v>
      </c>
      <c r="X2117" s="8" t="b">
        <v>0</v>
      </c>
      <c r="Y2117" s="8" t="b">
        <v>0</v>
      </c>
      <c r="Z2117" s="8" t="b">
        <v>0</v>
      </c>
      <c r="AA2117" s="8" t="b">
        <v>0</v>
      </c>
      <c r="AB2117" s="8" t="b">
        <v>0</v>
      </c>
      <c r="AC2117" s="8" t="b">
        <v>0</v>
      </c>
      <c r="AD2117" s="8" t="b">
        <v>1</v>
      </c>
      <c r="AE2117" s="8" t="b">
        <v>0</v>
      </c>
      <c r="AG2117" s="11" t="b" cm="1">
        <f t="array" ref="AG2117">IF(OR(Y2117:AA2117="TRUE", AE2117="true"), "Threatened")</f>
        <v>0</v>
      </c>
      <c r="AH2117" s="11" t="s">
        <v>5355</v>
      </c>
      <c r="AI2117" s="8" t="b">
        <v>1</v>
      </c>
    </row>
    <row r="2118" spans="1:35" ht="31.2">
      <c r="A2118" s="8">
        <v>-73.959719250000006</v>
      </c>
      <c r="B2118" s="8">
        <v>40.797331620000001</v>
      </c>
      <c r="C2118" s="8" t="s">
        <v>5356</v>
      </c>
      <c r="D2118" s="8" t="s">
        <v>689</v>
      </c>
      <c r="E2118" s="8" t="b">
        <f t="shared" si="33"/>
        <v>0</v>
      </c>
      <c r="F2118" s="8" t="str" cm="1">
        <f t="array" ref="F2118">_xlfn._xlws.FILTER(E2118:E5316, C2118:C5316= "6D-PM-1020-01", "No Squirrels Found")</f>
        <v>No Squirrels Found</v>
      </c>
      <c r="G2118" s="8" t="s">
        <v>48</v>
      </c>
      <c r="H2118" s="10">
        <v>10192018</v>
      </c>
      <c r="I2118" s="10">
        <v>3</v>
      </c>
      <c r="J2118" s="8" t="s">
        <v>39</v>
      </c>
      <c r="K2118" s="8" t="s">
        <v>40</v>
      </c>
      <c r="L2118" s="8" t="s">
        <v>84</v>
      </c>
      <c r="M2118" s="8" t="s">
        <v>103</v>
      </c>
      <c r="N2118" s="11" t="s">
        <v>2381</v>
      </c>
      <c r="O2118" s="8" t="s">
        <v>43</v>
      </c>
      <c r="P2118" s="8" t="b">
        <v>0</v>
      </c>
      <c r="R2118" s="8" t="b">
        <v>0</v>
      </c>
      <c r="S2118" s="8" t="b">
        <v>0</v>
      </c>
      <c r="T2118" s="8" t="b">
        <v>0</v>
      </c>
      <c r="U2118" s="8" t="b">
        <v>0</v>
      </c>
      <c r="V2118" s="8" t="b">
        <v>1</v>
      </c>
      <c r="W2118" s="11" t="s">
        <v>5357</v>
      </c>
      <c r="X2118" s="8" t="b">
        <v>0</v>
      </c>
      <c r="Y2118" s="8" t="b">
        <v>0</v>
      </c>
      <c r="Z2118" s="8" t="b">
        <v>0</v>
      </c>
      <c r="AA2118" s="8" t="b">
        <v>0</v>
      </c>
      <c r="AB2118" s="8" t="b">
        <v>0</v>
      </c>
      <c r="AC2118" s="8" t="b">
        <v>1</v>
      </c>
      <c r="AD2118" s="8" t="b">
        <v>1</v>
      </c>
      <c r="AE2118" s="8" t="b">
        <v>1</v>
      </c>
      <c r="AG2118" s="11" t="b" cm="1">
        <f t="array" ref="AG2118">IF(OR(Y2118:AA2118="TRUE", AE2118="true"), "Threatened")</f>
        <v>0</v>
      </c>
      <c r="AH2118" s="11" t="s">
        <v>5358</v>
      </c>
      <c r="AI2118" s="8" t="b">
        <v>0</v>
      </c>
    </row>
    <row r="2119" spans="1:35" ht="31.2">
      <c r="A2119" s="8">
        <v>-73.958369700000006</v>
      </c>
      <c r="B2119" s="8">
        <v>40.790245669999997</v>
      </c>
      <c r="C2119" s="8" t="s">
        <v>5359</v>
      </c>
      <c r="D2119" s="8" t="s">
        <v>144</v>
      </c>
      <c r="E2119" s="8" t="b">
        <f t="shared" si="33"/>
        <v>0</v>
      </c>
      <c r="F2119" s="8" t="str" cm="1">
        <f t="array" ref="F2119">_xlfn._xlws.FILTER(E2119:E5317, C2119:C5317= "6D-PM-1020-01", "No Squirrels Found")</f>
        <v>No Squirrels Found</v>
      </c>
      <c r="G2119" s="8" t="s">
        <v>34</v>
      </c>
      <c r="H2119" s="10">
        <v>10082018</v>
      </c>
      <c r="I2119" s="10">
        <v>1</v>
      </c>
      <c r="J2119" s="8" t="s">
        <v>39</v>
      </c>
      <c r="K2119" s="8" t="s">
        <v>40</v>
      </c>
      <c r="M2119" s="8" t="s">
        <v>55</v>
      </c>
      <c r="O2119" s="8" t="s">
        <v>43</v>
      </c>
      <c r="P2119" s="8" t="b">
        <v>0</v>
      </c>
      <c r="R2119" s="8" t="b">
        <v>1</v>
      </c>
      <c r="S2119" s="8" t="b">
        <v>1</v>
      </c>
      <c r="T2119" s="8" t="b">
        <v>1</v>
      </c>
      <c r="U2119" s="8" t="b">
        <v>1</v>
      </c>
      <c r="V2119" s="8" t="b">
        <v>1</v>
      </c>
      <c r="X2119" s="8" t="b">
        <v>0</v>
      </c>
      <c r="Y2119" s="8" t="b">
        <v>0</v>
      </c>
      <c r="Z2119" s="8" t="b">
        <v>0</v>
      </c>
      <c r="AA2119" s="8" t="b">
        <v>0</v>
      </c>
      <c r="AB2119" s="8" t="b">
        <v>0</v>
      </c>
      <c r="AC2119" s="8" t="b">
        <v>0</v>
      </c>
      <c r="AD2119" s="8" t="b">
        <v>1</v>
      </c>
      <c r="AE2119" s="8" t="b">
        <v>0</v>
      </c>
      <c r="AG2119" s="11" t="b" cm="1">
        <f t="array" ref="AG2119">IF(OR(Y2119:AA2119="TRUE", AE2119="true"), "Threatened")</f>
        <v>0</v>
      </c>
      <c r="AH2119" s="11" t="s">
        <v>5360</v>
      </c>
      <c r="AI2119" s="8" t="b">
        <v>1</v>
      </c>
    </row>
    <row r="2120" spans="1:35" ht="31.2">
      <c r="A2120" s="8">
        <v>-73.964158440000006</v>
      </c>
      <c r="B2120" s="8">
        <v>40.781657160000002</v>
      </c>
      <c r="C2120" s="8" t="s">
        <v>5361</v>
      </c>
      <c r="D2120" s="8" t="s">
        <v>358</v>
      </c>
      <c r="E2120" s="8" t="b">
        <f t="shared" si="33"/>
        <v>0</v>
      </c>
      <c r="F2120" s="8" t="str" cm="1">
        <f t="array" ref="F2120">_xlfn._xlws.FILTER(E2120:E5318, C2120:C5318= "6D-PM-1020-01", "No Squirrels Found")</f>
        <v>No Squirrels Found</v>
      </c>
      <c r="G2120" s="8" t="s">
        <v>48</v>
      </c>
      <c r="H2120" s="10">
        <v>10142018</v>
      </c>
      <c r="I2120" s="10">
        <v>1</v>
      </c>
      <c r="J2120" s="8" t="s">
        <v>39</v>
      </c>
      <c r="K2120" s="8" t="s">
        <v>40</v>
      </c>
      <c r="L2120" s="8" t="s">
        <v>84</v>
      </c>
      <c r="M2120" s="8" t="s">
        <v>103</v>
      </c>
      <c r="O2120" s="8" t="s">
        <v>43</v>
      </c>
      <c r="P2120" s="8" t="b">
        <v>0</v>
      </c>
      <c r="R2120" s="8" t="b">
        <v>0</v>
      </c>
      <c r="S2120" s="8" t="b">
        <v>0</v>
      </c>
      <c r="T2120" s="8" t="b">
        <v>0</v>
      </c>
      <c r="U2120" s="8" t="b">
        <v>0</v>
      </c>
      <c r="V2120" s="8" t="b">
        <v>1</v>
      </c>
      <c r="X2120" s="8" t="b">
        <v>0</v>
      </c>
      <c r="Y2120" s="8" t="b">
        <v>0</v>
      </c>
      <c r="Z2120" s="8" t="b">
        <v>0</v>
      </c>
      <c r="AA2120" s="8" t="b">
        <v>0</v>
      </c>
      <c r="AB2120" s="8" t="b">
        <v>0</v>
      </c>
      <c r="AC2120" s="8" t="b">
        <v>0</v>
      </c>
      <c r="AD2120" s="8" t="b">
        <v>1</v>
      </c>
      <c r="AE2120" s="8" t="b">
        <v>0</v>
      </c>
      <c r="AG2120" s="11" t="b" cm="1">
        <f t="array" ref="AG2120">IF(OR(Y2120:AA2120="TRUE", AE2120="true"), "Threatened")</f>
        <v>0</v>
      </c>
      <c r="AH2120" s="11" t="s">
        <v>5362</v>
      </c>
      <c r="AI2120" s="8" t="b">
        <v>1</v>
      </c>
    </row>
    <row r="2121" spans="1:35" ht="31.2">
      <c r="A2121" s="8">
        <v>-73.973390550000005</v>
      </c>
      <c r="B2121" s="8">
        <v>40.765633710000003</v>
      </c>
      <c r="C2121" s="8" t="s">
        <v>5363</v>
      </c>
      <c r="D2121" s="8" t="s">
        <v>779</v>
      </c>
      <c r="E2121" s="8" t="b">
        <f t="shared" si="33"/>
        <v>0</v>
      </c>
      <c r="F2121" s="8" t="str" cm="1">
        <f t="array" ref="F2121">_xlfn._xlws.FILTER(E2121:E5319, C2121:C5319= "6D-PM-1020-01", "No Squirrels Found")</f>
        <v>No Squirrels Found</v>
      </c>
      <c r="G2121" s="8" t="s">
        <v>34</v>
      </c>
      <c r="H2121" s="10">
        <v>10062018</v>
      </c>
      <c r="I2121" s="10">
        <v>3</v>
      </c>
      <c r="J2121" s="8" t="s">
        <v>39</v>
      </c>
      <c r="K2121" s="8" t="s">
        <v>192</v>
      </c>
      <c r="M2121" s="8" t="s">
        <v>193</v>
      </c>
      <c r="O2121" s="8" t="s">
        <v>43</v>
      </c>
      <c r="P2121" s="8" t="b">
        <v>0</v>
      </c>
      <c r="R2121" s="8" t="b">
        <v>0</v>
      </c>
      <c r="S2121" s="8" t="b">
        <v>0</v>
      </c>
      <c r="T2121" s="8" t="b">
        <v>0</v>
      </c>
      <c r="U2121" s="8" t="b">
        <v>1</v>
      </c>
      <c r="V2121" s="8" t="b">
        <v>0</v>
      </c>
      <c r="X2121" s="8" t="b">
        <v>0</v>
      </c>
      <c r="Y2121" s="8" t="b">
        <v>0</v>
      </c>
      <c r="Z2121" s="8" t="b">
        <v>0</v>
      </c>
      <c r="AA2121" s="8" t="b">
        <v>0</v>
      </c>
      <c r="AB2121" s="8" t="b">
        <v>0</v>
      </c>
      <c r="AC2121" s="8" t="b">
        <v>0</v>
      </c>
      <c r="AD2121" s="8" t="b">
        <v>1</v>
      </c>
      <c r="AE2121" s="8" t="b">
        <v>0</v>
      </c>
      <c r="AG2121" s="11" t="b" cm="1">
        <f t="array" ref="AG2121">IF(OR(Y2121:AA2121="TRUE", AE2121="true"), "Threatened")</f>
        <v>0</v>
      </c>
      <c r="AH2121" s="11" t="s">
        <v>5364</v>
      </c>
      <c r="AI2121" s="8" t="b">
        <v>1</v>
      </c>
    </row>
    <row r="2122" spans="1:35" ht="31.2">
      <c r="A2122" s="8">
        <v>-73.969346239999993</v>
      </c>
      <c r="B2122" s="8">
        <v>40.776444439999999</v>
      </c>
      <c r="C2122" s="8" t="s">
        <v>5365</v>
      </c>
      <c r="D2122" s="8" t="s">
        <v>121</v>
      </c>
      <c r="E2122" s="8" t="b">
        <f t="shared" si="33"/>
        <v>0</v>
      </c>
      <c r="F2122" s="8" t="str" cm="1">
        <f t="array" ref="F2122">_xlfn._xlws.FILTER(E2122:E5320, C2122:C5320= "6D-PM-1020-01", "No Squirrels Found")</f>
        <v>No Squirrels Found</v>
      </c>
      <c r="G2122" s="8" t="s">
        <v>34</v>
      </c>
      <c r="H2122" s="10">
        <v>10172018</v>
      </c>
      <c r="I2122" s="10">
        <v>1</v>
      </c>
      <c r="J2122" s="8" t="s">
        <v>54</v>
      </c>
      <c r="K2122" s="8" t="s">
        <v>40</v>
      </c>
      <c r="L2122" s="8" t="s">
        <v>41</v>
      </c>
      <c r="M2122" s="8" t="s">
        <v>42</v>
      </c>
      <c r="O2122" s="8" t="s">
        <v>43</v>
      </c>
      <c r="P2122" s="8" t="b">
        <v>0</v>
      </c>
      <c r="R2122" s="8" t="b">
        <v>0</v>
      </c>
      <c r="S2122" s="8" t="b">
        <v>0</v>
      </c>
      <c r="T2122" s="8" t="b">
        <v>0</v>
      </c>
      <c r="U2122" s="8" t="b">
        <v>1</v>
      </c>
      <c r="V2122" s="8" t="b">
        <v>1</v>
      </c>
      <c r="X2122" s="8" t="b">
        <v>0</v>
      </c>
      <c r="Y2122" s="8" t="b">
        <v>0</v>
      </c>
      <c r="Z2122" s="8" t="b">
        <v>0</v>
      </c>
      <c r="AA2122" s="8" t="b">
        <v>0</v>
      </c>
      <c r="AB2122" s="8" t="b">
        <v>0</v>
      </c>
      <c r="AC2122" s="8" t="b">
        <v>0</v>
      </c>
      <c r="AD2122" s="8" t="b">
        <v>1</v>
      </c>
      <c r="AE2122" s="8" t="b">
        <v>0</v>
      </c>
      <c r="AG2122" s="11" t="b" cm="1">
        <f t="array" ref="AG2122">IF(OR(Y2122:AA2122="TRUE", AE2122="true"), "Threatened")</f>
        <v>0</v>
      </c>
      <c r="AH2122" s="11" t="s">
        <v>5366</v>
      </c>
      <c r="AI2122" s="8" t="b">
        <v>1</v>
      </c>
    </row>
    <row r="2123" spans="1:35" ht="31.2">
      <c r="A2123" s="8">
        <v>-73.969294689999998</v>
      </c>
      <c r="B2123" s="8">
        <v>40.776738979999998</v>
      </c>
      <c r="C2123" s="8" t="s">
        <v>5367</v>
      </c>
      <c r="D2123" s="8" t="s">
        <v>121</v>
      </c>
      <c r="E2123" s="8" t="b">
        <f t="shared" si="33"/>
        <v>0</v>
      </c>
      <c r="F2123" s="8" t="str" cm="1">
        <f t="array" ref="F2123">_xlfn._xlws.FILTER(E2123:E5321, C2123:C5321= "6D-PM-1020-01", "No Squirrels Found")</f>
        <v>No Squirrels Found</v>
      </c>
      <c r="G2123" s="8" t="s">
        <v>48</v>
      </c>
      <c r="H2123" s="10">
        <v>10082018</v>
      </c>
      <c r="I2123" s="10">
        <v>13</v>
      </c>
      <c r="J2123" s="8" t="s">
        <v>39</v>
      </c>
      <c r="K2123" s="8" t="s">
        <v>40</v>
      </c>
      <c r="M2123" s="8" t="s">
        <v>55</v>
      </c>
      <c r="O2123" s="8" t="s">
        <v>50</v>
      </c>
      <c r="P2123" s="8">
        <v>1</v>
      </c>
      <c r="R2123" s="8" t="b">
        <v>0</v>
      </c>
      <c r="S2123" s="8" t="b">
        <v>0</v>
      </c>
      <c r="T2123" s="8" t="b">
        <v>1</v>
      </c>
      <c r="U2123" s="8" t="b">
        <v>1</v>
      </c>
      <c r="V2123" s="8" t="b">
        <v>1</v>
      </c>
      <c r="X2123" s="8" t="b">
        <v>0</v>
      </c>
      <c r="Y2123" s="8" t="b">
        <v>0</v>
      </c>
      <c r="Z2123" s="8" t="b">
        <v>0</v>
      </c>
      <c r="AA2123" s="8" t="b">
        <v>0</v>
      </c>
      <c r="AB2123" s="8" t="b">
        <v>0</v>
      </c>
      <c r="AC2123" s="8" t="b">
        <v>0</v>
      </c>
      <c r="AD2123" s="8" t="b">
        <v>1</v>
      </c>
      <c r="AE2123" s="8" t="b">
        <v>0</v>
      </c>
      <c r="AF2123" s="11" t="s">
        <v>1751</v>
      </c>
      <c r="AG2123" s="11" t="b" cm="1">
        <f t="array" ref="AG2123">IF(OR(Y2123:AA2123="TRUE", AE2123="true"), "Threatened")</f>
        <v>0</v>
      </c>
      <c r="AH2123" s="11" t="s">
        <v>5368</v>
      </c>
      <c r="AI2123" s="8" t="b">
        <v>1</v>
      </c>
    </row>
    <row r="2124" spans="1:35" ht="31.2">
      <c r="A2124" s="8">
        <v>-73.959874670000005</v>
      </c>
      <c r="B2124" s="8">
        <v>40.79070042</v>
      </c>
      <c r="C2124" s="8" t="s">
        <v>5369</v>
      </c>
      <c r="D2124" s="8" t="s">
        <v>75</v>
      </c>
      <c r="E2124" s="8" t="b">
        <f t="shared" si="33"/>
        <v>0</v>
      </c>
      <c r="F2124" s="8" t="str" cm="1">
        <f t="array" ref="F2124">_xlfn._xlws.FILTER(E2124:E5322, C2124:C5322= "6D-PM-1020-01", "No Squirrels Found")</f>
        <v>No Squirrels Found</v>
      </c>
      <c r="G2124" s="8" t="s">
        <v>48</v>
      </c>
      <c r="H2124" s="10">
        <v>10072018</v>
      </c>
      <c r="I2124" s="10">
        <v>9</v>
      </c>
      <c r="J2124" s="8" t="s">
        <v>39</v>
      </c>
      <c r="K2124" s="8" t="s">
        <v>40</v>
      </c>
      <c r="L2124" s="8" t="s">
        <v>84</v>
      </c>
      <c r="M2124" s="8" t="s">
        <v>103</v>
      </c>
      <c r="O2124" s="8" t="s">
        <v>43</v>
      </c>
      <c r="P2124" s="8" t="b">
        <v>0</v>
      </c>
      <c r="R2124" s="8" t="b">
        <v>0</v>
      </c>
      <c r="S2124" s="8" t="b">
        <v>0</v>
      </c>
      <c r="T2124" s="8" t="b">
        <v>1</v>
      </c>
      <c r="U2124" s="8" t="b">
        <v>0</v>
      </c>
      <c r="V2124" s="8" t="b">
        <v>0</v>
      </c>
      <c r="X2124" s="8" t="b">
        <v>0</v>
      </c>
      <c r="Y2124" s="8" t="b">
        <v>0</v>
      </c>
      <c r="Z2124" s="8" t="b">
        <v>0</v>
      </c>
      <c r="AA2124" s="8" t="b">
        <v>0</v>
      </c>
      <c r="AB2124" s="8" t="b">
        <v>0</v>
      </c>
      <c r="AC2124" s="8" t="b">
        <v>1</v>
      </c>
      <c r="AD2124" s="8" t="b">
        <v>0</v>
      </c>
      <c r="AE2124" s="8" t="b">
        <v>0</v>
      </c>
      <c r="AG2124" s="11" t="b" cm="1">
        <f t="array" ref="AG2124">IF(OR(Y2124:AA2124="TRUE", AE2124="true"), "Threatened")</f>
        <v>0</v>
      </c>
      <c r="AH2124" s="11" t="s">
        <v>5370</v>
      </c>
      <c r="AI2124" s="8" t="b">
        <v>1</v>
      </c>
    </row>
    <row r="2125" spans="1:35" ht="31.2">
      <c r="A2125" s="8">
        <v>-73.97300396</v>
      </c>
      <c r="B2125" s="8">
        <v>40.773068840000001</v>
      </c>
      <c r="C2125" s="8" t="s">
        <v>5371</v>
      </c>
      <c r="D2125" s="8" t="s">
        <v>1923</v>
      </c>
      <c r="E2125" s="8" t="b">
        <f t="shared" si="33"/>
        <v>0</v>
      </c>
      <c r="F2125" s="8" t="str" cm="1">
        <f t="array" ref="F2125">_xlfn._xlws.FILTER(E2125:E5323, C2125:C5323= "6D-PM-1020-01", "No Squirrels Found")</f>
        <v>No Squirrels Found</v>
      </c>
      <c r="G2125" s="8" t="s">
        <v>34</v>
      </c>
      <c r="H2125" s="10">
        <v>10142018</v>
      </c>
      <c r="I2125" s="10">
        <v>3</v>
      </c>
      <c r="J2125" s="8" t="s">
        <v>39</v>
      </c>
      <c r="K2125" s="8" t="s">
        <v>40</v>
      </c>
      <c r="L2125" s="8" t="s">
        <v>168</v>
      </c>
      <c r="M2125" s="8" t="s">
        <v>169</v>
      </c>
      <c r="O2125" s="8" t="s">
        <v>43</v>
      </c>
      <c r="P2125" s="8" t="b">
        <v>0</v>
      </c>
      <c r="Q2125" s="8" t="s">
        <v>5372</v>
      </c>
      <c r="R2125" s="8" t="b">
        <v>0</v>
      </c>
      <c r="S2125" s="8" t="b">
        <v>0</v>
      </c>
      <c r="T2125" s="8" t="b">
        <v>0</v>
      </c>
      <c r="U2125" s="8" t="b">
        <v>1</v>
      </c>
      <c r="V2125" s="8" t="b">
        <v>1</v>
      </c>
      <c r="X2125" s="8" t="b">
        <v>0</v>
      </c>
      <c r="Y2125" s="8" t="b">
        <v>0</v>
      </c>
      <c r="Z2125" s="8" t="b">
        <v>0</v>
      </c>
      <c r="AA2125" s="8" t="b">
        <v>0</v>
      </c>
      <c r="AB2125" s="8" t="b">
        <v>1</v>
      </c>
      <c r="AC2125" s="8" t="b">
        <v>0</v>
      </c>
      <c r="AD2125" s="8" t="b">
        <v>0</v>
      </c>
      <c r="AE2125" s="8" t="b">
        <v>0</v>
      </c>
      <c r="AG2125" s="11" t="b" cm="1">
        <f t="array" ref="AG2125">IF(OR(Y2125:AA2125="TRUE", AE2125="true"), "Threatened")</f>
        <v>0</v>
      </c>
      <c r="AH2125" s="11" t="s">
        <v>5373</v>
      </c>
      <c r="AI2125" s="8" t="b">
        <v>1</v>
      </c>
    </row>
    <row r="2126" spans="1:35" ht="31.2">
      <c r="A2126" s="8">
        <v>-73.968793320000003</v>
      </c>
      <c r="B2126" s="8">
        <v>40.778860020000003</v>
      </c>
      <c r="C2126" s="8" t="s">
        <v>5374</v>
      </c>
      <c r="D2126" s="8" t="s">
        <v>215</v>
      </c>
      <c r="E2126" s="8" t="b">
        <f t="shared" si="33"/>
        <v>0</v>
      </c>
      <c r="F2126" s="8" t="str" cm="1">
        <f t="array" ref="F2126">_xlfn._xlws.FILTER(E2126:E5324, C2126:C5324= "6D-PM-1020-01", "No Squirrels Found")</f>
        <v>No Squirrels Found</v>
      </c>
      <c r="G2126" s="8" t="s">
        <v>34</v>
      </c>
      <c r="H2126" s="10">
        <v>10182018</v>
      </c>
      <c r="I2126" s="10">
        <v>1</v>
      </c>
      <c r="J2126" s="8" t="s">
        <v>39</v>
      </c>
      <c r="K2126" s="8" t="s">
        <v>40</v>
      </c>
      <c r="L2126" s="8" t="s">
        <v>84</v>
      </c>
      <c r="M2126" s="8" t="s">
        <v>103</v>
      </c>
      <c r="O2126" s="8" t="s">
        <v>43</v>
      </c>
      <c r="P2126" s="8" t="b">
        <v>0</v>
      </c>
      <c r="R2126" s="8" t="b">
        <v>0</v>
      </c>
      <c r="S2126" s="8" t="b">
        <v>0</v>
      </c>
      <c r="T2126" s="8" t="b">
        <v>0</v>
      </c>
      <c r="U2126" s="8" t="b">
        <v>1</v>
      </c>
      <c r="V2126" s="8" t="b">
        <v>1</v>
      </c>
      <c r="X2126" s="8" t="b">
        <v>0</v>
      </c>
      <c r="Y2126" s="8" t="b">
        <v>0</v>
      </c>
      <c r="Z2126" s="8" t="b">
        <v>0</v>
      </c>
      <c r="AA2126" s="8" t="b">
        <v>0</v>
      </c>
      <c r="AB2126" s="8" t="b">
        <v>0</v>
      </c>
      <c r="AC2126" s="8" t="b">
        <v>0</v>
      </c>
      <c r="AD2126" s="8" t="b">
        <v>1</v>
      </c>
      <c r="AE2126" s="8" t="b">
        <v>0</v>
      </c>
      <c r="AG2126" s="11" t="b" cm="1">
        <f t="array" ref="AG2126">IF(OR(Y2126:AA2126="TRUE", AE2126="true"), "Threatened")</f>
        <v>0</v>
      </c>
      <c r="AH2126" s="11" t="s">
        <v>5375</v>
      </c>
      <c r="AI2126" s="8" t="b">
        <v>1</v>
      </c>
    </row>
    <row r="2127" spans="1:35" ht="31.2">
      <c r="A2127" s="8">
        <v>-73.961262360000006</v>
      </c>
      <c r="B2127" s="8">
        <v>40.791155869999997</v>
      </c>
      <c r="C2127" s="8" t="s">
        <v>5376</v>
      </c>
      <c r="D2127" s="8" t="s">
        <v>309</v>
      </c>
      <c r="E2127" s="8" t="b">
        <f t="shared" si="33"/>
        <v>0</v>
      </c>
      <c r="F2127" s="8" t="str" cm="1">
        <f t="array" ref="F2127">_xlfn._xlws.FILTER(E2127:E5325, C2127:C5325= "6D-PM-1020-01", "No Squirrels Found")</f>
        <v>No Squirrels Found</v>
      </c>
      <c r="G2127" s="8" t="s">
        <v>48</v>
      </c>
      <c r="H2127" s="10">
        <v>10132018</v>
      </c>
      <c r="I2127" s="10">
        <v>2</v>
      </c>
      <c r="J2127" s="8" t="s">
        <v>39</v>
      </c>
      <c r="K2127" s="8" t="s">
        <v>40</v>
      </c>
      <c r="L2127" s="8" t="s">
        <v>41</v>
      </c>
      <c r="M2127" s="8" t="s">
        <v>42</v>
      </c>
      <c r="O2127" s="8" t="s">
        <v>43</v>
      </c>
      <c r="P2127" s="8" t="b">
        <v>0</v>
      </c>
      <c r="R2127" s="8" t="b">
        <v>0</v>
      </c>
      <c r="S2127" s="8" t="b">
        <v>0</v>
      </c>
      <c r="T2127" s="8" t="b">
        <v>0</v>
      </c>
      <c r="U2127" s="8" t="b">
        <v>0</v>
      </c>
      <c r="V2127" s="8" t="b">
        <v>1</v>
      </c>
      <c r="X2127" s="8" t="b">
        <v>0</v>
      </c>
      <c r="Y2127" s="8" t="b">
        <v>0</v>
      </c>
      <c r="Z2127" s="8" t="b">
        <v>0</v>
      </c>
      <c r="AA2127" s="8" t="b">
        <v>0</v>
      </c>
      <c r="AB2127" s="8" t="b">
        <v>0</v>
      </c>
      <c r="AC2127" s="8" t="b">
        <v>0</v>
      </c>
      <c r="AD2127" s="8" t="b">
        <v>1</v>
      </c>
      <c r="AE2127" s="8" t="b">
        <v>0</v>
      </c>
      <c r="AG2127" s="11" t="b" cm="1">
        <f t="array" ref="AG2127">IF(OR(Y2127:AA2127="TRUE", AE2127="true"), "Threatened")</f>
        <v>0</v>
      </c>
      <c r="AH2127" s="11" t="s">
        <v>5377</v>
      </c>
      <c r="AI2127" s="8" t="b">
        <v>1</v>
      </c>
    </row>
    <row r="2128" spans="1:35" ht="31.2">
      <c r="A2128" s="8">
        <v>-73.956244260000005</v>
      </c>
      <c r="B2128" s="8">
        <v>40.79572855</v>
      </c>
      <c r="C2128" s="8" t="s">
        <v>5378</v>
      </c>
      <c r="D2128" s="8" t="s">
        <v>530</v>
      </c>
      <c r="E2128" s="8" t="b">
        <f t="shared" si="33"/>
        <v>0</v>
      </c>
      <c r="F2128" s="8" t="str" cm="1">
        <f t="array" ref="F2128">_xlfn._xlws.FILTER(E2128:E5326, C2128:C5326= "6D-PM-1020-01", "No Squirrels Found")</f>
        <v>No Squirrels Found</v>
      </c>
      <c r="G2128" s="8" t="s">
        <v>48</v>
      </c>
      <c r="H2128" s="10">
        <v>10102018</v>
      </c>
      <c r="I2128" s="10">
        <v>3</v>
      </c>
      <c r="J2128" s="8" t="s">
        <v>39</v>
      </c>
      <c r="K2128" s="8" t="s">
        <v>40</v>
      </c>
      <c r="L2128" s="8" t="s">
        <v>41</v>
      </c>
      <c r="M2128" s="8" t="s">
        <v>42</v>
      </c>
      <c r="O2128" s="8" t="s">
        <v>43</v>
      </c>
      <c r="P2128" s="8" t="b">
        <v>0</v>
      </c>
      <c r="R2128" s="8" t="b">
        <v>0</v>
      </c>
      <c r="S2128" s="8" t="b">
        <v>0</v>
      </c>
      <c r="T2128" s="8" t="b">
        <v>0</v>
      </c>
      <c r="U2128" s="8" t="b">
        <v>1</v>
      </c>
      <c r="V2128" s="8" t="b">
        <v>1</v>
      </c>
      <c r="X2128" s="8" t="b">
        <v>0</v>
      </c>
      <c r="Y2128" s="8" t="b">
        <v>0</v>
      </c>
      <c r="Z2128" s="8" t="b">
        <v>0</v>
      </c>
      <c r="AA2128" s="8" t="b">
        <v>0</v>
      </c>
      <c r="AB2128" s="8" t="b">
        <v>0</v>
      </c>
      <c r="AC2128" s="8" t="b">
        <v>0</v>
      </c>
      <c r="AD2128" s="8" t="b">
        <v>0</v>
      </c>
      <c r="AE2128" s="8" t="b">
        <v>0</v>
      </c>
      <c r="AG2128" s="11" t="b" cm="1">
        <f t="array" ref="AG2128">IF(OR(Y2128:AA2128="TRUE", AE2128="true"), "Threatened")</f>
        <v>0</v>
      </c>
      <c r="AH2128" s="11" t="s">
        <v>5379</v>
      </c>
      <c r="AI2128" s="8" t="b">
        <v>1</v>
      </c>
    </row>
    <row r="2129" spans="1:35" ht="31.2">
      <c r="A2129" s="8">
        <v>-73.975767320000003</v>
      </c>
      <c r="B2129" s="8">
        <v>40.766961430000002</v>
      </c>
      <c r="C2129" s="8" t="s">
        <v>5380</v>
      </c>
      <c r="D2129" s="8" t="s">
        <v>481</v>
      </c>
      <c r="E2129" s="8" t="b">
        <f t="shared" si="33"/>
        <v>0</v>
      </c>
      <c r="F2129" s="8" t="str" cm="1">
        <f t="array" ref="F2129">_xlfn._xlws.FILTER(E2129:E5327, C2129:C5327= "6D-PM-1020-01", "No Squirrels Found")</f>
        <v>No Squirrels Found</v>
      </c>
      <c r="G2129" s="8" t="s">
        <v>34</v>
      </c>
      <c r="H2129" s="10">
        <v>10142018</v>
      </c>
      <c r="I2129" s="10">
        <v>4</v>
      </c>
      <c r="J2129" s="8" t="s">
        <v>39</v>
      </c>
      <c r="K2129" s="8" t="s">
        <v>40</v>
      </c>
      <c r="M2129" s="8" t="s">
        <v>55</v>
      </c>
      <c r="O2129" s="8" t="s">
        <v>50</v>
      </c>
      <c r="P2129" s="8">
        <v>20</v>
      </c>
      <c r="R2129" s="8" t="b">
        <v>0</v>
      </c>
      <c r="S2129" s="8" t="b">
        <v>0</v>
      </c>
      <c r="T2129" s="8" t="b">
        <v>0</v>
      </c>
      <c r="U2129" s="8" t="b">
        <v>1</v>
      </c>
      <c r="V2129" s="8" t="b">
        <v>0</v>
      </c>
      <c r="X2129" s="8" t="b">
        <v>0</v>
      </c>
      <c r="Y2129" s="8" t="b">
        <v>0</v>
      </c>
      <c r="Z2129" s="8" t="b">
        <v>0</v>
      </c>
      <c r="AA2129" s="8" t="b">
        <v>0</v>
      </c>
      <c r="AB2129" s="8" t="b">
        <v>0</v>
      </c>
      <c r="AC2129" s="8" t="b">
        <v>0</v>
      </c>
      <c r="AD2129" s="8" t="b">
        <v>1</v>
      </c>
      <c r="AE2129" s="8" t="b">
        <v>0</v>
      </c>
      <c r="AG2129" s="11" t="b" cm="1">
        <f t="array" ref="AG2129">IF(OR(Y2129:AA2129="TRUE", AE2129="true"), "Threatened")</f>
        <v>0</v>
      </c>
      <c r="AH2129" s="11" t="s">
        <v>5381</v>
      </c>
      <c r="AI2129" s="8" t="b">
        <v>1</v>
      </c>
    </row>
    <row r="2130" spans="1:35" ht="31.2">
      <c r="A2130" s="8">
        <v>-73.970118249999999</v>
      </c>
      <c r="B2130" s="8">
        <v>40.77728055</v>
      </c>
      <c r="C2130" s="8" t="s">
        <v>5382</v>
      </c>
      <c r="D2130" s="8" t="s">
        <v>554</v>
      </c>
      <c r="E2130" s="8" t="b">
        <f t="shared" si="33"/>
        <v>0</v>
      </c>
      <c r="F2130" s="8" t="str" cm="1">
        <f t="array" ref="F2130">_xlfn._xlws.FILTER(E2130:E5328, C2130:C5328= "6D-PM-1020-01", "No Squirrels Found")</f>
        <v>No Squirrels Found</v>
      </c>
      <c r="G2130" s="8" t="s">
        <v>34</v>
      </c>
      <c r="H2130" s="10">
        <v>10172018</v>
      </c>
      <c r="I2130" s="10">
        <v>3</v>
      </c>
      <c r="J2130" s="8" t="s">
        <v>39</v>
      </c>
      <c r="K2130" s="8" t="s">
        <v>40</v>
      </c>
      <c r="L2130" s="8" t="s">
        <v>84</v>
      </c>
      <c r="M2130" s="8" t="s">
        <v>103</v>
      </c>
      <c r="O2130" s="8" t="s">
        <v>43</v>
      </c>
      <c r="P2130" s="8" t="b">
        <v>0</v>
      </c>
      <c r="R2130" s="8" t="b">
        <v>0</v>
      </c>
      <c r="S2130" s="8" t="b">
        <v>0</v>
      </c>
      <c r="T2130" s="8" t="b">
        <v>0</v>
      </c>
      <c r="U2130" s="8" t="b">
        <v>0</v>
      </c>
      <c r="V2130" s="8" t="b">
        <v>1</v>
      </c>
      <c r="X2130" s="8" t="b">
        <v>0</v>
      </c>
      <c r="Y2130" s="8" t="b">
        <v>0</v>
      </c>
      <c r="Z2130" s="8" t="b">
        <v>0</v>
      </c>
      <c r="AA2130" s="8" t="b">
        <v>0</v>
      </c>
      <c r="AB2130" s="8" t="b">
        <v>0</v>
      </c>
      <c r="AC2130" s="8" t="b">
        <v>0</v>
      </c>
      <c r="AD2130" s="8" t="b">
        <v>1</v>
      </c>
      <c r="AE2130" s="8" t="b">
        <v>0</v>
      </c>
      <c r="AG2130" s="11" t="b" cm="1">
        <f t="array" ref="AG2130">IF(OR(Y2130:AA2130="TRUE", AE2130="true"), "Threatened")</f>
        <v>0</v>
      </c>
      <c r="AH2130" s="11" t="s">
        <v>5383</v>
      </c>
      <c r="AI2130" s="8" t="b">
        <v>1</v>
      </c>
    </row>
    <row r="2131" spans="1:35" ht="31.2">
      <c r="A2131" s="8">
        <v>-73.969557289999997</v>
      </c>
      <c r="B2131" s="8">
        <v>40.780822980000003</v>
      </c>
      <c r="C2131" s="8" t="s">
        <v>5384</v>
      </c>
      <c r="D2131" s="8" t="s">
        <v>631</v>
      </c>
      <c r="E2131" s="8" t="b">
        <f t="shared" si="33"/>
        <v>0</v>
      </c>
      <c r="F2131" s="8" t="str" cm="1">
        <f t="array" ref="F2131">_xlfn._xlws.FILTER(E2131:E5329, C2131:C5329= "6D-PM-1020-01", "No Squirrels Found")</f>
        <v>No Squirrels Found</v>
      </c>
      <c r="G2131" s="8" t="s">
        <v>48</v>
      </c>
      <c r="H2131" s="10">
        <v>10182018</v>
      </c>
      <c r="I2131" s="10">
        <v>1</v>
      </c>
      <c r="J2131" s="8" t="s">
        <v>39</v>
      </c>
      <c r="K2131" s="8" t="s">
        <v>40</v>
      </c>
      <c r="L2131" s="8" t="s">
        <v>192</v>
      </c>
      <c r="M2131" s="8" t="s">
        <v>354</v>
      </c>
      <c r="O2131" s="8" t="s">
        <v>50</v>
      </c>
      <c r="P2131" s="8">
        <v>30</v>
      </c>
      <c r="R2131" s="8" t="b">
        <v>0</v>
      </c>
      <c r="S2131" s="8" t="b">
        <v>0</v>
      </c>
      <c r="T2131" s="8" t="b">
        <v>1</v>
      </c>
      <c r="U2131" s="8" t="b">
        <v>0</v>
      </c>
      <c r="V2131" s="8" t="b">
        <v>0</v>
      </c>
      <c r="X2131" s="8" t="b">
        <v>0</v>
      </c>
      <c r="Y2131" s="8" t="b">
        <v>0</v>
      </c>
      <c r="Z2131" s="8" t="b">
        <v>0</v>
      </c>
      <c r="AA2131" s="8" t="b">
        <v>0</v>
      </c>
      <c r="AB2131" s="8" t="b">
        <v>0</v>
      </c>
      <c r="AC2131" s="8" t="b">
        <v>0</v>
      </c>
      <c r="AD2131" s="8" t="b">
        <v>0</v>
      </c>
      <c r="AE2131" s="8" t="b">
        <v>0</v>
      </c>
      <c r="AG2131" s="11" t="b" cm="1">
        <f t="array" ref="AG2131">IF(OR(Y2131:AA2131="TRUE", AE2131="true"), "Threatened")</f>
        <v>0</v>
      </c>
      <c r="AH2131" s="11" t="s">
        <v>5385</v>
      </c>
      <c r="AI2131" s="8" t="b">
        <v>1</v>
      </c>
    </row>
    <row r="2132" spans="1:35" ht="31.2">
      <c r="A2132" s="8">
        <v>-73.975222520000003</v>
      </c>
      <c r="B2132" s="8">
        <v>40.770374769999997</v>
      </c>
      <c r="C2132" s="8" t="s">
        <v>5386</v>
      </c>
      <c r="D2132" s="8" t="s">
        <v>734</v>
      </c>
      <c r="E2132" s="8" t="b">
        <f t="shared" si="33"/>
        <v>0</v>
      </c>
      <c r="F2132" s="8" t="str" cm="1">
        <f t="array" ref="F2132">_xlfn._xlws.FILTER(E2132:E5330, C2132:C5330= "6D-PM-1020-01", "No Squirrels Found")</f>
        <v>No Squirrels Found</v>
      </c>
      <c r="G2132" s="8" t="s">
        <v>34</v>
      </c>
      <c r="H2132" s="10">
        <v>10202018</v>
      </c>
      <c r="I2132" s="10">
        <v>5</v>
      </c>
      <c r="J2132" s="8" t="s">
        <v>39</v>
      </c>
      <c r="K2132" s="8" t="s">
        <v>40</v>
      </c>
      <c r="M2132" s="8" t="s">
        <v>55</v>
      </c>
      <c r="O2132" s="8" t="s">
        <v>43</v>
      </c>
      <c r="P2132" s="8" t="b">
        <v>0</v>
      </c>
      <c r="R2132" s="8" t="b">
        <v>0</v>
      </c>
      <c r="S2132" s="8" t="b">
        <v>0</v>
      </c>
      <c r="T2132" s="8" t="b">
        <v>0</v>
      </c>
      <c r="U2132" s="8" t="b">
        <v>0</v>
      </c>
      <c r="V2132" s="8" t="b">
        <v>1</v>
      </c>
      <c r="X2132" s="8" t="b">
        <v>0</v>
      </c>
      <c r="Y2132" s="8" t="b">
        <v>0</v>
      </c>
      <c r="Z2132" s="8" t="b">
        <v>0</v>
      </c>
      <c r="AA2132" s="8" t="b">
        <v>0</v>
      </c>
      <c r="AB2132" s="8" t="b">
        <v>0</v>
      </c>
      <c r="AC2132" s="8" t="b">
        <v>1</v>
      </c>
      <c r="AD2132" s="8" t="b">
        <v>0</v>
      </c>
      <c r="AE2132" s="8" t="b">
        <v>0</v>
      </c>
      <c r="AG2132" s="11" t="b" cm="1">
        <f t="array" ref="AG2132">IF(OR(Y2132:AA2132="TRUE", AE2132="true"), "Threatened")</f>
        <v>0</v>
      </c>
      <c r="AH2132" s="11" t="s">
        <v>5387</v>
      </c>
      <c r="AI2132" s="8" t="b">
        <v>1</v>
      </c>
    </row>
    <row r="2133" spans="1:35" ht="31.2">
      <c r="A2133" s="8">
        <v>-73.967472659999999</v>
      </c>
      <c r="B2133" s="8">
        <v>40.777212560000002</v>
      </c>
      <c r="C2133" s="8" t="s">
        <v>5388</v>
      </c>
      <c r="D2133" s="8" t="s">
        <v>960</v>
      </c>
      <c r="E2133" s="8" t="b">
        <f t="shared" si="33"/>
        <v>0</v>
      </c>
      <c r="F2133" s="8" t="str" cm="1">
        <f t="array" ref="F2133">_xlfn._xlws.FILTER(E2133:E5331, C2133:C5331= "6D-PM-1020-01", "No Squirrels Found")</f>
        <v>No Squirrels Found</v>
      </c>
      <c r="G2133" s="8" t="s">
        <v>34</v>
      </c>
      <c r="H2133" s="10">
        <v>10132018</v>
      </c>
      <c r="I2133" s="10">
        <v>3</v>
      </c>
      <c r="J2133" s="8" t="s">
        <v>54</v>
      </c>
      <c r="K2133" s="8" t="s">
        <v>40</v>
      </c>
      <c r="L2133" s="8" t="s">
        <v>41</v>
      </c>
      <c r="M2133" s="8" t="s">
        <v>42</v>
      </c>
      <c r="O2133" s="8" t="s">
        <v>50</v>
      </c>
      <c r="P2133" s="8">
        <v>4</v>
      </c>
      <c r="Q2133" s="8" t="s">
        <v>961</v>
      </c>
      <c r="R2133" s="8" t="b">
        <v>0</v>
      </c>
      <c r="S2133" s="8" t="b">
        <v>0</v>
      </c>
      <c r="T2133" s="8" t="b">
        <v>1</v>
      </c>
      <c r="U2133" s="8" t="b">
        <v>0</v>
      </c>
      <c r="V2133" s="8" t="b">
        <v>1</v>
      </c>
      <c r="X2133" s="8" t="b">
        <v>0</v>
      </c>
      <c r="Y2133" s="8" t="b">
        <v>0</v>
      </c>
      <c r="Z2133" s="8" t="b">
        <v>0</v>
      </c>
      <c r="AA2133" s="8" t="b">
        <v>0</v>
      </c>
      <c r="AB2133" s="8" t="b">
        <v>0</v>
      </c>
      <c r="AC2133" s="8" t="b">
        <v>0</v>
      </c>
      <c r="AD2133" s="8" t="b">
        <v>0</v>
      </c>
      <c r="AE2133" s="8" t="b">
        <v>1</v>
      </c>
      <c r="AG2133" s="11" t="b" cm="1">
        <f t="array" ref="AG2133">IF(OR(Y2133:AA2133="TRUE", AE2133="true"), "Threatened")</f>
        <v>0</v>
      </c>
      <c r="AH2133" s="11" t="s">
        <v>5389</v>
      </c>
      <c r="AI2133" s="8" t="b">
        <v>1</v>
      </c>
    </row>
    <row r="2134" spans="1:35" ht="31.2">
      <c r="A2134" s="8">
        <v>-73.973616489999998</v>
      </c>
      <c r="B2134" s="8">
        <v>40.772569500000003</v>
      </c>
      <c r="C2134" s="8" t="s">
        <v>5390</v>
      </c>
      <c r="D2134" s="8" t="s">
        <v>2088</v>
      </c>
      <c r="E2134" s="8" t="b">
        <f t="shared" si="33"/>
        <v>0</v>
      </c>
      <c r="F2134" s="8" t="str" cm="1">
        <f t="array" ref="F2134">_xlfn._xlws.FILTER(E2134:E5332, C2134:C5332= "6D-PM-1020-01", "No Squirrels Found")</f>
        <v>No Squirrels Found</v>
      </c>
      <c r="G2134" s="8" t="s">
        <v>34</v>
      </c>
      <c r="H2134" s="10">
        <v>10072018</v>
      </c>
      <c r="I2134" s="10">
        <v>4</v>
      </c>
      <c r="J2134" s="8" t="s">
        <v>39</v>
      </c>
      <c r="K2134" s="8" t="s">
        <v>40</v>
      </c>
      <c r="L2134" s="8" t="s">
        <v>41</v>
      </c>
      <c r="M2134" s="8" t="s">
        <v>42</v>
      </c>
      <c r="O2134" s="8" t="s">
        <v>43</v>
      </c>
      <c r="P2134" s="8" t="b">
        <v>0</v>
      </c>
      <c r="R2134" s="8" t="b">
        <v>0</v>
      </c>
      <c r="S2134" s="8" t="b">
        <v>0</v>
      </c>
      <c r="T2134" s="8" t="b">
        <v>0</v>
      </c>
      <c r="U2134" s="8" t="b">
        <v>0</v>
      </c>
      <c r="V2134" s="8" t="b">
        <v>1</v>
      </c>
      <c r="X2134" s="8" t="b">
        <v>0</v>
      </c>
      <c r="Y2134" s="8" t="b">
        <v>0</v>
      </c>
      <c r="Z2134" s="8" t="b">
        <v>0</v>
      </c>
      <c r="AA2134" s="8" t="b">
        <v>0</v>
      </c>
      <c r="AB2134" s="8" t="b">
        <v>1</v>
      </c>
      <c r="AC2134" s="8" t="b">
        <v>0</v>
      </c>
      <c r="AD2134" s="8" t="b">
        <v>0</v>
      </c>
      <c r="AE2134" s="8" t="b">
        <v>0</v>
      </c>
      <c r="AG2134" s="11" t="b" cm="1">
        <f t="array" ref="AG2134">IF(OR(Y2134:AA2134="TRUE", AE2134="true"), "Threatened")</f>
        <v>0</v>
      </c>
      <c r="AH2134" s="11" t="s">
        <v>5391</v>
      </c>
      <c r="AI2134" s="8" t="b">
        <v>1</v>
      </c>
    </row>
    <row r="2135" spans="1:35" ht="31.2">
      <c r="A2135" s="8">
        <v>-73.961437360000005</v>
      </c>
      <c r="B2135" s="8">
        <v>40.794505200000003</v>
      </c>
      <c r="C2135" s="8" t="s">
        <v>5392</v>
      </c>
      <c r="D2135" s="8" t="s">
        <v>434</v>
      </c>
      <c r="E2135" s="8" t="b">
        <f t="shared" si="33"/>
        <v>0</v>
      </c>
      <c r="F2135" s="8" t="str" cm="1">
        <f t="array" ref="F2135">_xlfn._xlws.FILTER(E2135:E5333, C2135:C5333= "6D-PM-1020-01", "No Squirrels Found")</f>
        <v>No Squirrels Found</v>
      </c>
      <c r="G2135" s="8" t="s">
        <v>34</v>
      </c>
      <c r="H2135" s="10">
        <v>10132018</v>
      </c>
      <c r="I2135" s="10">
        <v>1</v>
      </c>
      <c r="J2135" s="8" t="s">
        <v>54</v>
      </c>
      <c r="K2135" s="8" t="s">
        <v>40</v>
      </c>
      <c r="L2135" s="8" t="s">
        <v>41</v>
      </c>
      <c r="M2135" s="8" t="s">
        <v>42</v>
      </c>
      <c r="O2135" s="8" t="s">
        <v>43</v>
      </c>
      <c r="P2135" s="8" t="b">
        <v>0</v>
      </c>
      <c r="R2135" s="8" t="b">
        <v>0</v>
      </c>
      <c r="S2135" s="8" t="b">
        <v>0</v>
      </c>
      <c r="T2135" s="8" t="b">
        <v>0</v>
      </c>
      <c r="U2135" s="8" t="b">
        <v>1</v>
      </c>
      <c r="V2135" s="8" t="b">
        <v>0</v>
      </c>
      <c r="W2135" s="11" t="s">
        <v>5393</v>
      </c>
      <c r="X2135" s="8" t="b">
        <v>0</v>
      </c>
      <c r="Y2135" s="8" t="b">
        <v>0</v>
      </c>
      <c r="Z2135" s="8" t="b">
        <v>0</v>
      </c>
      <c r="AA2135" s="8" t="b">
        <v>1</v>
      </c>
      <c r="AB2135" s="8" t="b">
        <v>0</v>
      </c>
      <c r="AC2135" s="8" t="b">
        <v>0</v>
      </c>
      <c r="AD2135" s="8" t="b">
        <v>1</v>
      </c>
      <c r="AE2135" s="8" t="b">
        <v>0</v>
      </c>
      <c r="AG2135" s="11" t="b" cm="1">
        <f t="array" ref="AG2135">IF(OR(Y2135:AA2135="TRUE", AE2135="true"), "Threatened")</f>
        <v>0</v>
      </c>
      <c r="AH2135" s="11" t="s">
        <v>5394</v>
      </c>
      <c r="AI2135" s="8" t="b">
        <v>0</v>
      </c>
    </row>
    <row r="2136" spans="1:35" ht="31.2">
      <c r="A2136" s="8">
        <v>-73.959625130000006</v>
      </c>
      <c r="B2136" s="8">
        <v>40.79162548</v>
      </c>
      <c r="C2136" s="8" t="s">
        <v>5395</v>
      </c>
      <c r="D2136" s="8" t="s">
        <v>1205</v>
      </c>
      <c r="E2136" s="8" t="b">
        <f t="shared" si="33"/>
        <v>0</v>
      </c>
      <c r="F2136" s="8" t="str" cm="1">
        <f t="array" ref="F2136">_xlfn._xlws.FILTER(E2136:E5334, C2136:C5334= "6D-PM-1020-01", "No Squirrels Found")</f>
        <v>No Squirrels Found</v>
      </c>
      <c r="G2136" s="8" t="s">
        <v>48</v>
      </c>
      <c r="H2136" s="10">
        <v>10172018</v>
      </c>
      <c r="I2136" s="10">
        <v>5</v>
      </c>
      <c r="J2136" s="8" t="s">
        <v>39</v>
      </c>
      <c r="K2136" s="8" t="s">
        <v>192</v>
      </c>
      <c r="M2136" s="8" t="s">
        <v>193</v>
      </c>
      <c r="O2136" s="8" t="s">
        <v>50</v>
      </c>
      <c r="P2136" s="8">
        <v>5</v>
      </c>
      <c r="R2136" s="8" t="b">
        <v>0</v>
      </c>
      <c r="S2136" s="8" t="b">
        <v>0</v>
      </c>
      <c r="T2136" s="8" t="b">
        <v>1</v>
      </c>
      <c r="U2136" s="8" t="b">
        <v>0</v>
      </c>
      <c r="V2136" s="8" t="b">
        <v>1</v>
      </c>
      <c r="X2136" s="8" t="b">
        <v>0</v>
      </c>
      <c r="Y2136" s="8" t="b">
        <v>0</v>
      </c>
      <c r="Z2136" s="8" t="b">
        <v>0</v>
      </c>
      <c r="AA2136" s="8" t="b">
        <v>0</v>
      </c>
      <c r="AB2136" s="8" t="b">
        <v>1</v>
      </c>
      <c r="AC2136" s="8" t="b">
        <v>0</v>
      </c>
      <c r="AD2136" s="8" t="b">
        <v>1</v>
      </c>
      <c r="AE2136" s="8" t="b">
        <v>0</v>
      </c>
      <c r="AG2136" s="11" t="b" cm="1">
        <f t="array" ref="AG2136">IF(OR(Y2136:AA2136="TRUE", AE2136="true"), "Threatened")</f>
        <v>0</v>
      </c>
      <c r="AH2136" s="11" t="s">
        <v>5396</v>
      </c>
      <c r="AI2136" s="8" t="b">
        <v>1</v>
      </c>
    </row>
    <row r="2137" spans="1:35" ht="31.2">
      <c r="A2137" s="8">
        <v>-73.972189790000002</v>
      </c>
      <c r="B2137" s="8">
        <v>40.766043420000003</v>
      </c>
      <c r="C2137" s="8" t="s">
        <v>5397</v>
      </c>
      <c r="D2137" s="8" t="s">
        <v>988</v>
      </c>
      <c r="E2137" s="8" t="b">
        <f t="shared" si="33"/>
        <v>0</v>
      </c>
      <c r="F2137" s="8" t="str" cm="1">
        <f t="array" ref="F2137">_xlfn._xlws.FILTER(E2137:E5335, C2137:C5335= "6D-PM-1020-01", "No Squirrels Found")</f>
        <v>No Squirrels Found</v>
      </c>
      <c r="G2137" s="8" t="s">
        <v>48</v>
      </c>
      <c r="H2137" s="10">
        <v>10102018</v>
      </c>
      <c r="I2137" s="10">
        <v>2</v>
      </c>
      <c r="J2137" s="8" t="s">
        <v>39</v>
      </c>
      <c r="K2137" s="8" t="s">
        <v>40</v>
      </c>
      <c r="M2137" s="8" t="s">
        <v>55</v>
      </c>
      <c r="O2137" s="8" t="s">
        <v>50</v>
      </c>
      <c r="P2137" s="8">
        <v>40</v>
      </c>
      <c r="R2137" s="8" t="b">
        <v>1</v>
      </c>
      <c r="S2137" s="8" t="b">
        <v>0</v>
      </c>
      <c r="T2137" s="8" t="b">
        <v>0</v>
      </c>
      <c r="U2137" s="8" t="b">
        <v>0</v>
      </c>
      <c r="V2137" s="8" t="b">
        <v>0</v>
      </c>
      <c r="X2137" s="8" t="b">
        <v>0</v>
      </c>
      <c r="Y2137" s="8" t="b">
        <v>0</v>
      </c>
      <c r="Z2137" s="8" t="b">
        <v>0</v>
      </c>
      <c r="AA2137" s="8" t="b">
        <v>0</v>
      </c>
      <c r="AB2137" s="8" t="b">
        <v>0</v>
      </c>
      <c r="AC2137" s="8" t="b">
        <v>0</v>
      </c>
      <c r="AD2137" s="8" t="b">
        <v>1</v>
      </c>
      <c r="AE2137" s="8" t="b">
        <v>0</v>
      </c>
      <c r="AG2137" s="11" t="b" cm="1">
        <f t="array" ref="AG2137">IF(OR(Y2137:AA2137="TRUE", AE2137="true"), "Threatened")</f>
        <v>0</v>
      </c>
      <c r="AH2137" s="11" t="s">
        <v>5398</v>
      </c>
      <c r="AI2137" s="8" t="b">
        <v>1</v>
      </c>
    </row>
    <row r="2138" spans="1:35" ht="31.2">
      <c r="A2138" s="8">
        <v>-73.964883159999999</v>
      </c>
      <c r="B2138" s="8">
        <v>40.780132639999998</v>
      </c>
      <c r="C2138" s="8" t="s">
        <v>5399</v>
      </c>
      <c r="D2138" s="8" t="s">
        <v>1432</v>
      </c>
      <c r="E2138" s="8" t="b">
        <f t="shared" si="33"/>
        <v>0</v>
      </c>
      <c r="F2138" s="8" t="str" cm="1">
        <f t="array" ref="F2138">_xlfn._xlws.FILTER(E2138:E5336, C2138:C5336= "6D-PM-1020-01", "No Squirrels Found")</f>
        <v>No Squirrels Found</v>
      </c>
      <c r="G2138" s="8" t="s">
        <v>34</v>
      </c>
      <c r="H2138" s="10">
        <v>10172018</v>
      </c>
      <c r="I2138" s="10">
        <v>2</v>
      </c>
      <c r="J2138" s="8" t="s">
        <v>39</v>
      </c>
      <c r="K2138" s="8" t="s">
        <v>40</v>
      </c>
      <c r="L2138" s="8" t="s">
        <v>41</v>
      </c>
      <c r="M2138" s="8" t="s">
        <v>42</v>
      </c>
      <c r="O2138" s="8" t="s">
        <v>43</v>
      </c>
      <c r="P2138" s="8" t="b">
        <v>0</v>
      </c>
      <c r="R2138" s="8" t="b">
        <v>0</v>
      </c>
      <c r="S2138" s="8" t="b">
        <v>0</v>
      </c>
      <c r="T2138" s="8" t="b">
        <v>0</v>
      </c>
      <c r="U2138" s="8" t="b">
        <v>0</v>
      </c>
      <c r="V2138" s="8" t="b">
        <v>0</v>
      </c>
      <c r="W2138" s="11" t="s">
        <v>5400</v>
      </c>
      <c r="X2138" s="8" t="b">
        <v>0</v>
      </c>
      <c r="Y2138" s="8" t="b">
        <v>0</v>
      </c>
      <c r="Z2138" s="8" t="b">
        <v>0</v>
      </c>
      <c r="AA2138" s="8" t="b">
        <v>0</v>
      </c>
      <c r="AB2138" s="8" t="b">
        <v>1</v>
      </c>
      <c r="AC2138" s="8" t="b">
        <v>0</v>
      </c>
      <c r="AD2138" s="8" t="b">
        <v>0</v>
      </c>
      <c r="AE2138" s="8" t="b">
        <v>1</v>
      </c>
      <c r="AG2138" s="11" t="b" cm="1">
        <f t="array" ref="AG2138">IF(OR(Y2138:AA2138="TRUE", AE2138="true"), "Threatened")</f>
        <v>0</v>
      </c>
      <c r="AH2138" s="11" t="s">
        <v>5401</v>
      </c>
      <c r="AI2138" s="8" t="b">
        <v>0</v>
      </c>
    </row>
    <row r="2139" spans="1:35" ht="31.2">
      <c r="A2139" s="8">
        <v>-73.979153620000005</v>
      </c>
      <c r="B2139" s="8">
        <v>40.767270590000003</v>
      </c>
      <c r="C2139" s="8" t="s">
        <v>5402</v>
      </c>
      <c r="D2139" s="8" t="s">
        <v>1301</v>
      </c>
      <c r="E2139" s="8" t="b">
        <f t="shared" si="33"/>
        <v>0</v>
      </c>
      <c r="F2139" s="8" t="str" cm="1">
        <f t="array" ref="F2139">_xlfn._xlws.FILTER(E2139:E5337, C2139:C5337= "6D-PM-1020-01", "No Squirrels Found")</f>
        <v>No Squirrels Found</v>
      </c>
      <c r="G2139" s="8" t="s">
        <v>34</v>
      </c>
      <c r="H2139" s="10">
        <v>10132018</v>
      </c>
      <c r="I2139" s="10">
        <v>3</v>
      </c>
      <c r="J2139" s="8" t="s">
        <v>39</v>
      </c>
      <c r="K2139" s="8" t="s">
        <v>41</v>
      </c>
      <c r="L2139" s="8" t="s">
        <v>84</v>
      </c>
      <c r="M2139" s="8" t="s">
        <v>85</v>
      </c>
      <c r="O2139" s="8" t="s">
        <v>43</v>
      </c>
      <c r="P2139" s="8" t="b">
        <v>0</v>
      </c>
      <c r="R2139" s="8" t="b">
        <v>0</v>
      </c>
      <c r="S2139" s="8" t="b">
        <v>0</v>
      </c>
      <c r="T2139" s="8" t="b">
        <v>0</v>
      </c>
      <c r="U2139" s="8" t="b">
        <v>0</v>
      </c>
      <c r="V2139" s="8" t="b">
        <v>1</v>
      </c>
      <c r="X2139" s="8" t="b">
        <v>0</v>
      </c>
      <c r="Y2139" s="8" t="b">
        <v>0</v>
      </c>
      <c r="Z2139" s="8" t="b">
        <v>0</v>
      </c>
      <c r="AA2139" s="8" t="b">
        <v>0</v>
      </c>
      <c r="AB2139" s="8" t="b">
        <v>0</v>
      </c>
      <c r="AC2139" s="8" t="b">
        <v>0</v>
      </c>
      <c r="AD2139" s="8" t="b">
        <v>0</v>
      </c>
      <c r="AE2139" s="8" t="b">
        <v>0</v>
      </c>
      <c r="AG2139" s="11" t="b" cm="1">
        <f t="array" ref="AG2139">IF(OR(Y2139:AA2139="TRUE", AE2139="true"), "Threatened")</f>
        <v>0</v>
      </c>
      <c r="AH2139" s="11" t="s">
        <v>5403</v>
      </c>
      <c r="AI2139" s="8" t="b">
        <v>1</v>
      </c>
    </row>
    <row r="2140" spans="1:35" ht="31.2">
      <c r="A2140" s="8">
        <v>-73.96974711</v>
      </c>
      <c r="B2140" s="8">
        <v>40.777316339999999</v>
      </c>
      <c r="C2140" s="8" t="s">
        <v>5404</v>
      </c>
      <c r="D2140" s="8" t="s">
        <v>150</v>
      </c>
      <c r="E2140" s="8" t="b">
        <f t="shared" si="33"/>
        <v>0</v>
      </c>
      <c r="F2140" s="8" t="str" cm="1">
        <f t="array" ref="F2140">_xlfn._xlws.FILTER(E2140:E5338, C2140:C5338= "6D-PM-1020-01", "No Squirrels Found")</f>
        <v>No Squirrels Found</v>
      </c>
      <c r="G2140" s="8" t="s">
        <v>34</v>
      </c>
      <c r="H2140" s="10">
        <v>10082018</v>
      </c>
      <c r="I2140" s="10">
        <v>10</v>
      </c>
      <c r="J2140" s="8" t="s">
        <v>39</v>
      </c>
      <c r="K2140" s="8" t="s">
        <v>40</v>
      </c>
      <c r="M2140" s="8" t="s">
        <v>55</v>
      </c>
      <c r="O2140" s="8" t="s">
        <v>43</v>
      </c>
      <c r="P2140" s="8" t="b">
        <v>0</v>
      </c>
      <c r="R2140" s="8" t="b">
        <v>0</v>
      </c>
      <c r="S2140" s="8" t="b">
        <v>0</v>
      </c>
      <c r="T2140" s="8" t="b">
        <v>0</v>
      </c>
      <c r="U2140" s="8" t="b">
        <v>1</v>
      </c>
      <c r="V2140" s="8" t="b">
        <v>1</v>
      </c>
      <c r="X2140" s="8" t="b">
        <v>0</v>
      </c>
      <c r="Y2140" s="8" t="b">
        <v>0</v>
      </c>
      <c r="Z2140" s="8" t="b">
        <v>0</v>
      </c>
      <c r="AA2140" s="8" t="b">
        <v>0</v>
      </c>
      <c r="AB2140" s="8" t="b">
        <v>0</v>
      </c>
      <c r="AC2140" s="8" t="b">
        <v>0</v>
      </c>
      <c r="AD2140" s="8" t="b">
        <v>1</v>
      </c>
      <c r="AE2140" s="8" t="b">
        <v>0</v>
      </c>
      <c r="AG2140" s="11" t="b" cm="1">
        <f t="array" ref="AG2140">IF(OR(Y2140:AA2140="TRUE", AE2140="true"), "Threatened")</f>
        <v>0</v>
      </c>
      <c r="AH2140" s="11" t="s">
        <v>5405</v>
      </c>
      <c r="AI2140" s="8" t="b">
        <v>1</v>
      </c>
    </row>
    <row r="2141" spans="1:35" ht="31.2">
      <c r="A2141" s="8">
        <v>-73.959887550000005</v>
      </c>
      <c r="B2141" s="8">
        <v>40.79734156</v>
      </c>
      <c r="C2141" s="8" t="s">
        <v>5406</v>
      </c>
      <c r="D2141" s="8" t="s">
        <v>689</v>
      </c>
      <c r="E2141" s="8" t="b">
        <f t="shared" si="33"/>
        <v>0</v>
      </c>
      <c r="F2141" s="8" t="str" cm="1">
        <f t="array" ref="F2141">_xlfn._xlws.FILTER(E2141:E5339, C2141:C5339= "6D-PM-1020-01", "No Squirrels Found")</f>
        <v>No Squirrels Found</v>
      </c>
      <c r="G2141" s="8" t="s">
        <v>48</v>
      </c>
      <c r="H2141" s="10">
        <v>10192018</v>
      </c>
      <c r="I2141" s="10">
        <v>4</v>
      </c>
      <c r="J2141" s="8" t="s">
        <v>39</v>
      </c>
      <c r="K2141" s="8" t="s">
        <v>40</v>
      </c>
      <c r="M2141" s="8" t="s">
        <v>55</v>
      </c>
      <c r="O2141" s="8" t="s">
        <v>50</v>
      </c>
      <c r="P2141" s="8">
        <v>2</v>
      </c>
      <c r="R2141" s="8" t="b">
        <v>0</v>
      </c>
      <c r="S2141" s="8" t="b">
        <v>0</v>
      </c>
      <c r="T2141" s="8" t="b">
        <v>0</v>
      </c>
      <c r="U2141" s="8" t="b">
        <v>0</v>
      </c>
      <c r="V2141" s="8" t="b">
        <v>0</v>
      </c>
      <c r="W2141" s="11" t="s">
        <v>122</v>
      </c>
      <c r="X2141" s="8" t="b">
        <v>0</v>
      </c>
      <c r="Y2141" s="8" t="b">
        <v>0</v>
      </c>
      <c r="Z2141" s="8" t="b">
        <v>0</v>
      </c>
      <c r="AA2141" s="8" t="b">
        <v>0</v>
      </c>
      <c r="AB2141" s="8" t="b">
        <v>0</v>
      </c>
      <c r="AC2141" s="8" t="b">
        <v>0</v>
      </c>
      <c r="AD2141" s="8" t="b">
        <v>1</v>
      </c>
      <c r="AE2141" s="8" t="b">
        <v>0</v>
      </c>
      <c r="AG2141" s="11" t="b" cm="1">
        <f t="array" ref="AG2141">IF(OR(Y2141:AA2141="TRUE", AE2141="true"), "Threatened")</f>
        <v>0</v>
      </c>
      <c r="AH2141" s="11" t="s">
        <v>5407</v>
      </c>
      <c r="AI2141" s="8" t="b">
        <v>0</v>
      </c>
    </row>
    <row r="2142" spans="1:35" ht="31.2">
      <c r="A2142" s="8">
        <v>-73.978701520000001</v>
      </c>
      <c r="B2142" s="8">
        <v>40.769011460000002</v>
      </c>
      <c r="C2142" s="8" t="s">
        <v>5408</v>
      </c>
      <c r="D2142" s="8" t="s">
        <v>465</v>
      </c>
      <c r="E2142" s="8" t="b">
        <f t="shared" si="33"/>
        <v>0</v>
      </c>
      <c r="F2142" s="8" t="str" cm="1">
        <f t="array" ref="F2142">_xlfn._xlws.FILTER(E2142:E5340, C2142:C5340= "6D-PM-1020-01", "No Squirrels Found")</f>
        <v>No Squirrels Found</v>
      </c>
      <c r="G2142" s="8" t="s">
        <v>34</v>
      </c>
      <c r="H2142" s="10">
        <v>10072018</v>
      </c>
      <c r="I2142" s="10">
        <v>6</v>
      </c>
      <c r="J2142" s="8" t="s">
        <v>54</v>
      </c>
      <c r="M2142" s="8" t="s">
        <v>35</v>
      </c>
      <c r="R2142" s="8" t="b">
        <v>0</v>
      </c>
      <c r="S2142" s="8" t="b">
        <v>0</v>
      </c>
      <c r="T2142" s="8" t="b">
        <v>0</v>
      </c>
      <c r="U2142" s="8" t="b">
        <v>1</v>
      </c>
      <c r="V2142" s="8" t="b">
        <v>0</v>
      </c>
      <c r="X2142" s="8" t="b">
        <v>0</v>
      </c>
      <c r="Y2142" s="8" t="b">
        <v>0</v>
      </c>
      <c r="Z2142" s="8" t="b">
        <v>0</v>
      </c>
      <c r="AA2142" s="8" t="b">
        <v>0</v>
      </c>
      <c r="AB2142" s="8" t="b">
        <v>0</v>
      </c>
      <c r="AC2142" s="8" t="b">
        <v>0</v>
      </c>
      <c r="AD2142" s="8" t="b">
        <v>1</v>
      </c>
      <c r="AE2142" s="8" t="b">
        <v>0</v>
      </c>
      <c r="AG2142" s="11" t="b" cm="1">
        <f t="array" ref="AG2142">IF(OR(Y2142:AA2142="TRUE", AE2142="true"), "Threatened")</f>
        <v>0</v>
      </c>
      <c r="AH2142" s="11" t="s">
        <v>5409</v>
      </c>
      <c r="AI2142" s="8" t="b">
        <v>1</v>
      </c>
    </row>
    <row r="2143" spans="1:35" ht="31.2">
      <c r="A2143" s="8">
        <v>-73.959853539999997</v>
      </c>
      <c r="B2143" s="8">
        <v>40.791558930000001</v>
      </c>
      <c r="C2143" s="8" t="s">
        <v>5410</v>
      </c>
      <c r="D2143" s="8" t="s">
        <v>1205</v>
      </c>
      <c r="E2143" s="8" t="b">
        <f t="shared" si="33"/>
        <v>0</v>
      </c>
      <c r="F2143" s="8" t="str" cm="1">
        <f t="array" ref="F2143">_xlfn._xlws.FILTER(E2143:E5341, C2143:C5341= "6D-PM-1020-01", "No Squirrels Found")</f>
        <v>No Squirrels Found</v>
      </c>
      <c r="G2143" s="8" t="s">
        <v>34</v>
      </c>
      <c r="H2143" s="10">
        <v>10062018</v>
      </c>
      <c r="I2143" s="10">
        <v>1</v>
      </c>
      <c r="K2143" s="8" t="s">
        <v>40</v>
      </c>
      <c r="L2143" s="8" t="s">
        <v>41</v>
      </c>
      <c r="M2143" s="8" t="s">
        <v>42</v>
      </c>
      <c r="O2143" s="8" t="s">
        <v>50</v>
      </c>
      <c r="P2143" s="8">
        <v>15</v>
      </c>
      <c r="R2143" s="8" t="b">
        <v>0</v>
      </c>
      <c r="S2143" s="8" t="b">
        <v>1</v>
      </c>
      <c r="T2143" s="8" t="b">
        <v>0</v>
      </c>
      <c r="U2143" s="8" t="b">
        <v>0</v>
      </c>
      <c r="V2143" s="8" t="b">
        <v>0</v>
      </c>
      <c r="W2143" s="11" t="s">
        <v>5411</v>
      </c>
      <c r="X2143" s="8" t="b">
        <v>1</v>
      </c>
      <c r="Y2143" s="8" t="b">
        <v>0</v>
      </c>
      <c r="Z2143" s="8" t="b">
        <v>0</v>
      </c>
      <c r="AA2143" s="8" t="b">
        <v>1</v>
      </c>
      <c r="AB2143" s="8" t="b">
        <v>0</v>
      </c>
      <c r="AC2143" s="8" t="b">
        <v>0</v>
      </c>
      <c r="AD2143" s="8" t="b">
        <v>0</v>
      </c>
      <c r="AE2143" s="8" t="b">
        <v>1</v>
      </c>
      <c r="AG2143" s="11" t="b" cm="1">
        <f t="array" ref="AG2143">IF(OR(Y2143:AA2143="TRUE", AE2143="true"), "Threatened")</f>
        <v>0</v>
      </c>
      <c r="AH2143" s="11" t="s">
        <v>5412</v>
      </c>
      <c r="AI2143" s="8" t="b">
        <v>0</v>
      </c>
    </row>
    <row r="2144" spans="1:35" ht="31.2">
      <c r="A2144" s="8">
        <v>-73.959623219999997</v>
      </c>
      <c r="B2144" s="8">
        <v>40.795955079999999</v>
      </c>
      <c r="C2144" s="8" t="s">
        <v>5413</v>
      </c>
      <c r="D2144" s="8" t="s">
        <v>972</v>
      </c>
      <c r="E2144" s="8" t="b">
        <f t="shared" si="33"/>
        <v>0</v>
      </c>
      <c r="F2144" s="8" t="str" cm="1">
        <f t="array" ref="F2144">_xlfn._xlws.FILTER(E2144:E5342, C2144:C5342= "6D-PM-1020-01", "No Squirrels Found")</f>
        <v>No Squirrels Found</v>
      </c>
      <c r="G2144" s="8" t="s">
        <v>34</v>
      </c>
      <c r="H2144" s="10">
        <v>10132018</v>
      </c>
      <c r="I2144" s="10">
        <v>1</v>
      </c>
      <c r="J2144" s="8" t="s">
        <v>39</v>
      </c>
      <c r="K2144" s="8" t="s">
        <v>40</v>
      </c>
      <c r="M2144" s="8" t="s">
        <v>55</v>
      </c>
      <c r="N2144" s="11" t="s">
        <v>5414</v>
      </c>
      <c r="O2144" s="8" t="s">
        <v>43</v>
      </c>
      <c r="P2144" s="8" t="b">
        <v>0</v>
      </c>
      <c r="R2144" s="8" t="b">
        <v>1</v>
      </c>
      <c r="S2144" s="8" t="b">
        <v>0</v>
      </c>
      <c r="T2144" s="8" t="b">
        <v>0</v>
      </c>
      <c r="U2144" s="8" t="b">
        <v>0</v>
      </c>
      <c r="V2144" s="8" t="b">
        <v>0</v>
      </c>
      <c r="X2144" s="8" t="b">
        <v>0</v>
      </c>
      <c r="Y2144" s="8" t="b">
        <v>0</v>
      </c>
      <c r="Z2144" s="8" t="b">
        <v>0</v>
      </c>
      <c r="AA2144" s="8" t="b">
        <v>0</v>
      </c>
      <c r="AB2144" s="8" t="b">
        <v>0</v>
      </c>
      <c r="AC2144" s="8" t="b">
        <v>0</v>
      </c>
      <c r="AD2144" s="8" t="b">
        <v>0</v>
      </c>
      <c r="AE2144" s="8" t="b">
        <v>1</v>
      </c>
      <c r="AG2144" s="11" t="b" cm="1">
        <f t="array" ref="AG2144">IF(OR(Y2144:AA2144="TRUE", AE2144="true"), "Threatened")</f>
        <v>0</v>
      </c>
      <c r="AH2144" s="11" t="s">
        <v>5415</v>
      </c>
      <c r="AI2144" s="8" t="b">
        <v>1</v>
      </c>
    </row>
    <row r="2145" spans="1:35" ht="31.2">
      <c r="A2145" s="8">
        <v>-73.975198280000001</v>
      </c>
      <c r="B2145" s="8">
        <v>40.774034380000003</v>
      </c>
      <c r="C2145" s="8" t="s">
        <v>5416</v>
      </c>
      <c r="D2145" s="8" t="s">
        <v>802</v>
      </c>
      <c r="E2145" s="8" t="b">
        <f t="shared" si="33"/>
        <v>0</v>
      </c>
      <c r="F2145" s="8" t="str" cm="1">
        <f t="array" ref="F2145">_xlfn._xlws.FILTER(E2145:E5343, C2145:C5343= "6D-PM-1020-01", "No Squirrels Found")</f>
        <v>No Squirrels Found</v>
      </c>
      <c r="G2145" s="8" t="s">
        <v>48</v>
      </c>
      <c r="H2145" s="10">
        <v>10102018</v>
      </c>
      <c r="I2145" s="10">
        <v>6</v>
      </c>
      <c r="J2145" s="8" t="s">
        <v>54</v>
      </c>
      <c r="K2145" s="8" t="s">
        <v>40</v>
      </c>
      <c r="L2145" s="8" t="s">
        <v>84</v>
      </c>
      <c r="M2145" s="8" t="s">
        <v>103</v>
      </c>
      <c r="O2145" s="8" t="s">
        <v>50</v>
      </c>
      <c r="P2145" s="8">
        <v>16</v>
      </c>
      <c r="Q2145" s="8" t="s">
        <v>206</v>
      </c>
      <c r="R2145" s="8" t="b">
        <v>0</v>
      </c>
      <c r="S2145" s="8" t="b">
        <v>0</v>
      </c>
      <c r="T2145" s="8" t="b">
        <v>1</v>
      </c>
      <c r="U2145" s="8" t="b">
        <v>0</v>
      </c>
      <c r="V2145" s="8" t="b">
        <v>0</v>
      </c>
      <c r="W2145" s="11" t="s">
        <v>3064</v>
      </c>
      <c r="X2145" s="8" t="b">
        <v>0</v>
      </c>
      <c r="Y2145" s="8" t="b">
        <v>0</v>
      </c>
      <c r="Z2145" s="8" t="b">
        <v>0</v>
      </c>
      <c r="AA2145" s="8" t="b">
        <v>0</v>
      </c>
      <c r="AB2145" s="8" t="b">
        <v>0</v>
      </c>
      <c r="AC2145" s="8" t="b">
        <v>0</v>
      </c>
      <c r="AD2145" s="8" t="b">
        <v>1</v>
      </c>
      <c r="AE2145" s="8" t="b">
        <v>0</v>
      </c>
      <c r="AG2145" s="11" t="b" cm="1">
        <f t="array" ref="AG2145">IF(OR(Y2145:AA2145="TRUE", AE2145="true"), "Threatened")</f>
        <v>0</v>
      </c>
      <c r="AH2145" s="11" t="s">
        <v>5417</v>
      </c>
      <c r="AI2145" s="8" t="b">
        <v>0</v>
      </c>
    </row>
    <row r="2146" spans="1:35" ht="31.2">
      <c r="A2146" s="8">
        <v>-73.965125040000004</v>
      </c>
      <c r="B2146" s="8">
        <v>40.781288490000001</v>
      </c>
      <c r="C2146" s="8" t="s">
        <v>5418</v>
      </c>
      <c r="D2146" s="8" t="s">
        <v>574</v>
      </c>
      <c r="E2146" s="8" t="b">
        <f t="shared" si="33"/>
        <v>0</v>
      </c>
      <c r="F2146" s="8" t="str" cm="1">
        <f t="array" ref="F2146">_xlfn._xlws.FILTER(E2146:E5344, C2146:C5344= "6D-PM-1020-01", "No Squirrels Found")</f>
        <v>No Squirrels Found</v>
      </c>
      <c r="G2146" s="8" t="s">
        <v>34</v>
      </c>
      <c r="H2146" s="10">
        <v>10072018</v>
      </c>
      <c r="I2146" s="10">
        <v>4</v>
      </c>
      <c r="J2146" s="8" t="s">
        <v>54</v>
      </c>
      <c r="K2146" s="8" t="s">
        <v>40</v>
      </c>
      <c r="L2146" s="8" t="s">
        <v>84</v>
      </c>
      <c r="M2146" s="8" t="s">
        <v>103</v>
      </c>
      <c r="N2146" s="11" t="s">
        <v>5183</v>
      </c>
      <c r="O2146" s="8" t="s">
        <v>50</v>
      </c>
      <c r="P2146" s="8">
        <v>20</v>
      </c>
      <c r="Q2146" s="8" t="s">
        <v>1437</v>
      </c>
      <c r="R2146" s="8" t="b">
        <v>0</v>
      </c>
      <c r="S2146" s="8" t="b">
        <v>0</v>
      </c>
      <c r="T2146" s="8" t="b">
        <v>1</v>
      </c>
      <c r="U2146" s="8" t="b">
        <v>0</v>
      </c>
      <c r="V2146" s="8" t="b">
        <v>1</v>
      </c>
      <c r="X2146" s="8" t="b">
        <v>0</v>
      </c>
      <c r="Y2146" s="8" t="b">
        <v>0</v>
      </c>
      <c r="Z2146" s="8" t="b">
        <v>0</v>
      </c>
      <c r="AA2146" s="8" t="b">
        <v>0</v>
      </c>
      <c r="AB2146" s="8" t="b">
        <v>0</v>
      </c>
      <c r="AC2146" s="8" t="b">
        <v>0</v>
      </c>
      <c r="AD2146" s="8" t="b">
        <v>0</v>
      </c>
      <c r="AE2146" s="8" t="b">
        <v>0</v>
      </c>
      <c r="AG2146" s="11" t="b" cm="1">
        <f t="array" ref="AG2146">IF(OR(Y2146:AA2146="TRUE", AE2146="true"), "Threatened")</f>
        <v>0</v>
      </c>
      <c r="AH2146" s="11" t="s">
        <v>5419</v>
      </c>
      <c r="AI2146" s="8" t="b">
        <v>1</v>
      </c>
    </row>
    <row r="2147" spans="1:35" ht="31.2">
      <c r="A2147" s="8">
        <v>-73.954739869999997</v>
      </c>
      <c r="B2147" s="8">
        <v>40.789648380000003</v>
      </c>
      <c r="C2147" s="8" t="s">
        <v>5420</v>
      </c>
      <c r="D2147" s="8" t="s">
        <v>924</v>
      </c>
      <c r="E2147" s="8" t="b">
        <f t="shared" si="33"/>
        <v>0</v>
      </c>
      <c r="F2147" s="8" t="str" cm="1">
        <f t="array" ref="F2147">_xlfn._xlws.FILTER(E2147:E5345, C2147:C5345= "6D-PM-1020-01", "No Squirrels Found")</f>
        <v>No Squirrels Found</v>
      </c>
      <c r="G2147" s="8" t="s">
        <v>48</v>
      </c>
      <c r="H2147" s="10">
        <v>10082018</v>
      </c>
      <c r="I2147" s="10">
        <v>1</v>
      </c>
      <c r="J2147" s="8" t="s">
        <v>39</v>
      </c>
      <c r="K2147" s="8" t="s">
        <v>40</v>
      </c>
      <c r="L2147" s="8" t="s">
        <v>41</v>
      </c>
      <c r="M2147" s="8" t="s">
        <v>42</v>
      </c>
      <c r="O2147" s="8" t="s">
        <v>43</v>
      </c>
      <c r="P2147" s="8" t="b">
        <v>0</v>
      </c>
      <c r="Q2147" s="8" t="s">
        <v>5421</v>
      </c>
      <c r="R2147" s="8" t="b">
        <v>0</v>
      </c>
      <c r="S2147" s="8" t="b">
        <v>0</v>
      </c>
      <c r="T2147" s="8" t="b">
        <v>0</v>
      </c>
      <c r="U2147" s="8" t="b">
        <v>0</v>
      </c>
      <c r="V2147" s="8" t="b">
        <v>1</v>
      </c>
      <c r="X2147" s="8" t="b">
        <v>0</v>
      </c>
      <c r="Y2147" s="8" t="b">
        <v>0</v>
      </c>
      <c r="Z2147" s="8" t="b">
        <v>0</v>
      </c>
      <c r="AA2147" s="8" t="b">
        <v>0</v>
      </c>
      <c r="AB2147" s="8" t="b">
        <v>0</v>
      </c>
      <c r="AC2147" s="8" t="b">
        <v>0</v>
      </c>
      <c r="AD2147" s="8" t="b">
        <v>1</v>
      </c>
      <c r="AE2147" s="8" t="b">
        <v>0</v>
      </c>
      <c r="AG2147" s="11" t="b" cm="1">
        <f t="array" ref="AG2147">IF(OR(Y2147:AA2147="TRUE", AE2147="true"), "Threatened")</f>
        <v>0</v>
      </c>
      <c r="AH2147" s="11" t="s">
        <v>5422</v>
      </c>
      <c r="AI2147" s="8" t="b">
        <v>1</v>
      </c>
    </row>
    <row r="2148" spans="1:35" ht="31.2">
      <c r="A2148" s="8">
        <v>-73.965121800000006</v>
      </c>
      <c r="B2148" s="8">
        <v>40.776111540000002</v>
      </c>
      <c r="C2148" s="8" t="s">
        <v>5423</v>
      </c>
      <c r="D2148" s="8" t="s">
        <v>419</v>
      </c>
      <c r="E2148" s="8" t="b">
        <f t="shared" si="33"/>
        <v>0</v>
      </c>
      <c r="F2148" s="8" t="str" cm="1">
        <f t="array" ref="F2148">_xlfn._xlws.FILTER(E2148:E5346, C2148:C5346= "6D-PM-1020-01", "No Squirrels Found")</f>
        <v>No Squirrels Found</v>
      </c>
      <c r="G2148" s="8" t="s">
        <v>34</v>
      </c>
      <c r="H2148" s="10">
        <v>10122018</v>
      </c>
      <c r="I2148" s="10">
        <v>1</v>
      </c>
      <c r="J2148" s="8" t="s">
        <v>39</v>
      </c>
      <c r="K2148" s="8" t="s">
        <v>40</v>
      </c>
      <c r="L2148" s="8" t="s">
        <v>41</v>
      </c>
      <c r="M2148" s="8" t="s">
        <v>42</v>
      </c>
      <c r="O2148" s="8" t="s">
        <v>43</v>
      </c>
      <c r="P2148" s="8" t="b">
        <v>0</v>
      </c>
      <c r="R2148" s="8" t="b">
        <v>1</v>
      </c>
      <c r="S2148" s="8" t="b">
        <v>0</v>
      </c>
      <c r="T2148" s="8" t="b">
        <v>0</v>
      </c>
      <c r="U2148" s="8" t="b">
        <v>1</v>
      </c>
      <c r="V2148" s="8" t="b">
        <v>1</v>
      </c>
      <c r="X2148" s="8" t="b">
        <v>0</v>
      </c>
      <c r="Y2148" s="8" t="b">
        <v>0</v>
      </c>
      <c r="Z2148" s="8" t="b">
        <v>0</v>
      </c>
      <c r="AA2148" s="8" t="b">
        <v>0</v>
      </c>
      <c r="AB2148" s="8" t="b">
        <v>1</v>
      </c>
      <c r="AC2148" s="8" t="b">
        <v>0</v>
      </c>
      <c r="AD2148" s="8" t="b">
        <v>0</v>
      </c>
      <c r="AE2148" s="8" t="b">
        <v>0</v>
      </c>
      <c r="AG2148" s="11" t="b" cm="1">
        <f t="array" ref="AG2148">IF(OR(Y2148:AA2148="TRUE", AE2148="true"), "Threatened")</f>
        <v>0</v>
      </c>
      <c r="AH2148" s="11" t="s">
        <v>5424</v>
      </c>
      <c r="AI2148" s="8" t="b">
        <v>1</v>
      </c>
    </row>
    <row r="2149" spans="1:35" ht="31.2">
      <c r="A2149" s="8">
        <v>-73.976731749999999</v>
      </c>
      <c r="B2149" s="8">
        <v>40.771760049999997</v>
      </c>
      <c r="C2149" s="8" t="s">
        <v>5425</v>
      </c>
      <c r="D2149" s="8" t="s">
        <v>808</v>
      </c>
      <c r="E2149" s="8" t="b">
        <f t="shared" si="33"/>
        <v>0</v>
      </c>
      <c r="F2149" s="8" t="str" cm="1">
        <f t="array" ref="F2149">_xlfn._xlws.FILTER(E2149:E5347, C2149:C5347= "6D-PM-1020-01", "No Squirrels Found")</f>
        <v>No Squirrels Found</v>
      </c>
      <c r="G2149" s="8" t="s">
        <v>34</v>
      </c>
      <c r="H2149" s="10">
        <v>10172018</v>
      </c>
      <c r="I2149" s="10">
        <v>5</v>
      </c>
      <c r="J2149" s="8" t="s">
        <v>39</v>
      </c>
      <c r="K2149" s="8" t="s">
        <v>40</v>
      </c>
      <c r="L2149" s="8" t="s">
        <v>41</v>
      </c>
      <c r="M2149" s="8" t="s">
        <v>42</v>
      </c>
      <c r="O2149" s="8" t="s">
        <v>43</v>
      </c>
      <c r="P2149" s="8" t="b">
        <v>0</v>
      </c>
      <c r="R2149" s="8" t="b">
        <v>1</v>
      </c>
      <c r="S2149" s="8" t="b">
        <v>1</v>
      </c>
      <c r="T2149" s="8" t="b">
        <v>0</v>
      </c>
      <c r="U2149" s="8" t="b">
        <v>0</v>
      </c>
      <c r="V2149" s="8" t="b">
        <v>1</v>
      </c>
      <c r="X2149" s="8" t="b">
        <v>0</v>
      </c>
      <c r="Y2149" s="8" t="b">
        <v>0</v>
      </c>
      <c r="Z2149" s="8" t="b">
        <v>0</v>
      </c>
      <c r="AA2149" s="8" t="b">
        <v>0</v>
      </c>
      <c r="AB2149" s="8" t="b">
        <v>0</v>
      </c>
      <c r="AC2149" s="8" t="b">
        <v>0</v>
      </c>
      <c r="AD2149" s="8" t="b">
        <v>0</v>
      </c>
      <c r="AE2149" s="8" t="b">
        <v>0</v>
      </c>
      <c r="AG2149" s="11" t="b" cm="1">
        <f t="array" ref="AG2149">IF(OR(Y2149:AA2149="TRUE", AE2149="true"), "Threatened")</f>
        <v>0</v>
      </c>
      <c r="AH2149" s="11" t="s">
        <v>5426</v>
      </c>
      <c r="AI2149" s="8" t="b">
        <v>1</v>
      </c>
    </row>
    <row r="2150" spans="1:35" ht="31.2">
      <c r="A2150" s="8">
        <v>-73.969184540000001</v>
      </c>
      <c r="B2150" s="8">
        <v>40.77077499</v>
      </c>
      <c r="C2150" s="8" t="s">
        <v>5427</v>
      </c>
      <c r="D2150" s="8" t="s">
        <v>1785</v>
      </c>
      <c r="E2150" s="8" t="b">
        <f t="shared" si="33"/>
        <v>0</v>
      </c>
      <c r="F2150" s="8" t="str" cm="1">
        <f t="array" ref="F2150">_xlfn._xlws.FILTER(E2150:E5348, C2150:C5348= "6D-PM-1020-01", "No Squirrels Found")</f>
        <v>No Squirrels Found</v>
      </c>
      <c r="G2150" s="8" t="s">
        <v>48</v>
      </c>
      <c r="H2150" s="10">
        <v>10142018</v>
      </c>
      <c r="I2150" s="10">
        <v>3</v>
      </c>
      <c r="J2150" s="8" t="s">
        <v>39</v>
      </c>
      <c r="K2150" s="8" t="s">
        <v>40</v>
      </c>
      <c r="M2150" s="8" t="s">
        <v>55</v>
      </c>
      <c r="O2150" s="8" t="s">
        <v>43</v>
      </c>
      <c r="P2150" s="8" t="b">
        <v>0</v>
      </c>
      <c r="R2150" s="8" t="b">
        <v>0</v>
      </c>
      <c r="S2150" s="8" t="b">
        <v>0</v>
      </c>
      <c r="T2150" s="8" t="b">
        <v>0</v>
      </c>
      <c r="U2150" s="8" t="b">
        <v>0</v>
      </c>
      <c r="V2150" s="8" t="b">
        <v>1</v>
      </c>
      <c r="X2150" s="8" t="b">
        <v>0</v>
      </c>
      <c r="Y2150" s="8" t="b">
        <v>0</v>
      </c>
      <c r="Z2150" s="8" t="b">
        <v>0</v>
      </c>
      <c r="AA2150" s="8" t="b">
        <v>0</v>
      </c>
      <c r="AB2150" s="8" t="b">
        <v>0</v>
      </c>
      <c r="AC2150" s="8" t="b">
        <v>1</v>
      </c>
      <c r="AD2150" s="8" t="b">
        <v>0</v>
      </c>
      <c r="AE2150" s="8" t="b">
        <v>0</v>
      </c>
      <c r="AG2150" s="11" t="b" cm="1">
        <f t="array" ref="AG2150">IF(OR(Y2150:AA2150="TRUE", AE2150="true"), "Threatened")</f>
        <v>0</v>
      </c>
      <c r="AH2150" s="11" t="s">
        <v>5428</v>
      </c>
      <c r="AI2150" s="8" t="b">
        <v>1</v>
      </c>
    </row>
    <row r="2151" spans="1:35" ht="31.2">
      <c r="A2151" s="8">
        <v>-73.955771010000007</v>
      </c>
      <c r="B2151" s="8">
        <v>40.791916120000003</v>
      </c>
      <c r="C2151" s="8" t="s">
        <v>5429</v>
      </c>
      <c r="D2151" s="8" t="s">
        <v>4589</v>
      </c>
      <c r="E2151" s="8" t="b">
        <f t="shared" si="33"/>
        <v>0</v>
      </c>
      <c r="F2151" s="8" t="str" cm="1">
        <f t="array" ref="F2151">_xlfn._xlws.FILTER(E2151:E5349, C2151:C5349= "6D-PM-1020-01", "No Squirrels Found")</f>
        <v>No Squirrels Found</v>
      </c>
      <c r="G2151" s="8" t="s">
        <v>34</v>
      </c>
      <c r="H2151" s="10">
        <v>10062018</v>
      </c>
      <c r="I2151" s="10">
        <v>1</v>
      </c>
      <c r="J2151" s="8" t="s">
        <v>39</v>
      </c>
      <c r="K2151" s="8" t="s">
        <v>192</v>
      </c>
      <c r="M2151" s="8" t="s">
        <v>193</v>
      </c>
      <c r="N2151" s="11" t="s">
        <v>5430</v>
      </c>
      <c r="O2151" s="8" t="s">
        <v>43</v>
      </c>
      <c r="P2151" s="8" t="b">
        <v>0</v>
      </c>
      <c r="R2151" s="8" t="b">
        <v>0</v>
      </c>
      <c r="S2151" s="8" t="b">
        <v>0</v>
      </c>
      <c r="T2151" s="8" t="b">
        <v>0</v>
      </c>
      <c r="U2151" s="8" t="b">
        <v>0</v>
      </c>
      <c r="V2151" s="8" t="b">
        <v>0</v>
      </c>
      <c r="W2151" s="11" t="s">
        <v>355</v>
      </c>
      <c r="X2151" s="8" t="b">
        <v>0</v>
      </c>
      <c r="Y2151" s="8" t="b">
        <v>0</v>
      </c>
      <c r="Z2151" s="8" t="b">
        <v>0</v>
      </c>
      <c r="AA2151" s="8" t="b">
        <v>0</v>
      </c>
      <c r="AB2151" s="8" t="b">
        <v>0</v>
      </c>
      <c r="AC2151" s="8" t="b">
        <v>0</v>
      </c>
      <c r="AD2151" s="8" t="b">
        <v>0</v>
      </c>
      <c r="AE2151" s="8" t="b">
        <v>0</v>
      </c>
      <c r="AG2151" s="11" t="b" cm="1">
        <f t="array" ref="AG2151">IF(OR(Y2151:AA2151="TRUE", AE2151="true"), "Threatened")</f>
        <v>0</v>
      </c>
      <c r="AH2151" s="11" t="s">
        <v>5431</v>
      </c>
      <c r="AI2151" s="8" t="b">
        <v>0</v>
      </c>
    </row>
    <row r="2152" spans="1:35" ht="31.2">
      <c r="A2152" s="8">
        <v>-73.969717880000005</v>
      </c>
      <c r="B2152" s="8">
        <v>40.779154409999997</v>
      </c>
      <c r="C2152" s="8" t="s">
        <v>5432</v>
      </c>
      <c r="D2152" s="8" t="s">
        <v>1996</v>
      </c>
      <c r="E2152" s="8" t="b">
        <f t="shared" si="33"/>
        <v>0</v>
      </c>
      <c r="F2152" s="8" t="str" cm="1">
        <f t="array" ref="F2152">_xlfn._xlws.FILTER(E2152:E5350, C2152:C5350= "6D-PM-1020-01", "No Squirrels Found")</f>
        <v>No Squirrels Found</v>
      </c>
      <c r="G2152" s="8" t="s">
        <v>48</v>
      </c>
      <c r="H2152" s="10">
        <v>10082018</v>
      </c>
      <c r="I2152" s="10">
        <v>3</v>
      </c>
      <c r="J2152" s="8" t="s">
        <v>39</v>
      </c>
      <c r="K2152" s="8" t="s">
        <v>40</v>
      </c>
      <c r="L2152" s="8" t="s">
        <v>84</v>
      </c>
      <c r="M2152" s="8" t="s">
        <v>103</v>
      </c>
      <c r="O2152" s="8" t="s">
        <v>43</v>
      </c>
      <c r="P2152" s="8" t="b">
        <v>0</v>
      </c>
      <c r="R2152" s="8" t="b">
        <v>0</v>
      </c>
      <c r="S2152" s="8" t="b">
        <v>0</v>
      </c>
      <c r="T2152" s="8" t="b">
        <v>0</v>
      </c>
      <c r="U2152" s="8" t="b">
        <v>1</v>
      </c>
      <c r="V2152" s="8" t="b">
        <v>0</v>
      </c>
      <c r="X2152" s="8" t="b">
        <v>0</v>
      </c>
      <c r="Y2152" s="8" t="b">
        <v>0</v>
      </c>
      <c r="Z2152" s="8" t="b">
        <v>0</v>
      </c>
      <c r="AA2152" s="8" t="b">
        <v>0</v>
      </c>
      <c r="AB2152" s="8" t="b">
        <v>1</v>
      </c>
      <c r="AC2152" s="8" t="b">
        <v>0</v>
      </c>
      <c r="AD2152" s="8" t="b">
        <v>1</v>
      </c>
      <c r="AE2152" s="8" t="b">
        <v>0</v>
      </c>
      <c r="AG2152" s="11" t="b" cm="1">
        <f t="array" ref="AG2152">IF(OR(Y2152:AA2152="TRUE", AE2152="true"), "Threatened")</f>
        <v>0</v>
      </c>
      <c r="AH2152" s="11" t="s">
        <v>5433</v>
      </c>
      <c r="AI2152" s="8" t="b">
        <v>1</v>
      </c>
    </row>
    <row r="2153" spans="1:35" ht="31.2">
      <c r="A2153" s="8">
        <v>-73.968692579999995</v>
      </c>
      <c r="B2153" s="8">
        <v>40.770568869999998</v>
      </c>
      <c r="C2153" s="8" t="s">
        <v>5434</v>
      </c>
      <c r="D2153" s="8" t="s">
        <v>1785</v>
      </c>
      <c r="E2153" s="8" t="b">
        <f t="shared" si="33"/>
        <v>0</v>
      </c>
      <c r="F2153" s="8" t="str" cm="1">
        <f t="array" ref="F2153">_xlfn._xlws.FILTER(E2153:E5351, C2153:C5351= "6D-PM-1020-01", "No Squirrels Found")</f>
        <v>No Squirrels Found</v>
      </c>
      <c r="G2153" s="8" t="s">
        <v>34</v>
      </c>
      <c r="H2153" s="10">
        <v>10102018</v>
      </c>
      <c r="I2153" s="10">
        <v>5</v>
      </c>
      <c r="J2153" s="8" t="s">
        <v>39</v>
      </c>
      <c r="K2153" s="8" t="s">
        <v>41</v>
      </c>
      <c r="L2153" s="8" t="s">
        <v>135</v>
      </c>
      <c r="M2153" s="8" t="s">
        <v>136</v>
      </c>
      <c r="O2153" s="8" t="s">
        <v>43</v>
      </c>
      <c r="P2153" s="8" t="b">
        <v>0</v>
      </c>
      <c r="R2153" s="8" t="b">
        <v>1</v>
      </c>
      <c r="S2153" s="8" t="b">
        <v>0</v>
      </c>
      <c r="T2153" s="8" t="b">
        <v>0</v>
      </c>
      <c r="U2153" s="8" t="b">
        <v>0</v>
      </c>
      <c r="V2153" s="8" t="b">
        <v>1</v>
      </c>
      <c r="X2153" s="8" t="b">
        <v>0</v>
      </c>
      <c r="Y2153" s="8" t="b">
        <v>0</v>
      </c>
      <c r="Z2153" s="8" t="b">
        <v>0</v>
      </c>
      <c r="AA2153" s="8" t="b">
        <v>0</v>
      </c>
      <c r="AB2153" s="8" t="b">
        <v>0</v>
      </c>
      <c r="AC2153" s="8" t="b">
        <v>0</v>
      </c>
      <c r="AD2153" s="8" t="b">
        <v>0</v>
      </c>
      <c r="AE2153" s="8" t="b">
        <v>1</v>
      </c>
      <c r="AG2153" s="11" t="b" cm="1">
        <f t="array" ref="AG2153">IF(OR(Y2153:AA2153="TRUE", AE2153="true"), "Threatened")</f>
        <v>0</v>
      </c>
      <c r="AH2153" s="11" t="s">
        <v>5435</v>
      </c>
      <c r="AI2153" s="8" t="b">
        <v>1</v>
      </c>
    </row>
    <row r="2154" spans="1:35" ht="31.2">
      <c r="A2154" s="8">
        <v>-73.979712230000004</v>
      </c>
      <c r="B2154" s="8">
        <v>40.76783476</v>
      </c>
      <c r="C2154" s="8" t="s">
        <v>5436</v>
      </c>
      <c r="D2154" s="8" t="s">
        <v>855</v>
      </c>
      <c r="E2154" s="8" t="b">
        <f t="shared" si="33"/>
        <v>0</v>
      </c>
      <c r="F2154" s="8" t="str" cm="1">
        <f t="array" ref="F2154">_xlfn._xlws.FILTER(E2154:E5352, C2154:C5352= "6D-PM-1020-01", "No Squirrels Found")</f>
        <v>No Squirrels Found</v>
      </c>
      <c r="G2154" s="8" t="s">
        <v>34</v>
      </c>
      <c r="H2154" s="10">
        <v>10192018</v>
      </c>
      <c r="I2154" s="10">
        <v>10</v>
      </c>
      <c r="J2154" s="8" t="s">
        <v>39</v>
      </c>
      <c r="K2154" s="8" t="s">
        <v>41</v>
      </c>
      <c r="L2154" s="8" t="s">
        <v>84</v>
      </c>
      <c r="M2154" s="8" t="s">
        <v>85</v>
      </c>
      <c r="O2154" s="8" t="s">
        <v>50</v>
      </c>
      <c r="Q2154" s="8" t="s">
        <v>5437</v>
      </c>
      <c r="R2154" s="8" t="b">
        <v>0</v>
      </c>
      <c r="S2154" s="8" t="b">
        <v>0</v>
      </c>
      <c r="T2154" s="8" t="b">
        <v>1</v>
      </c>
      <c r="U2154" s="8" t="b">
        <v>0</v>
      </c>
      <c r="V2154" s="8" t="b">
        <v>0</v>
      </c>
      <c r="X2154" s="8" t="b">
        <v>0</v>
      </c>
      <c r="Y2154" s="8" t="b">
        <v>0</v>
      </c>
      <c r="Z2154" s="8" t="b">
        <v>0</v>
      </c>
      <c r="AA2154" s="8" t="b">
        <v>0</v>
      </c>
      <c r="AB2154" s="8" t="b">
        <v>1</v>
      </c>
      <c r="AC2154" s="8" t="b">
        <v>0</v>
      </c>
      <c r="AD2154" s="8" t="b">
        <v>0</v>
      </c>
      <c r="AE2154" s="8" t="b">
        <v>0</v>
      </c>
      <c r="AG2154" s="11" t="b" cm="1">
        <f t="array" ref="AG2154">IF(OR(Y2154:AA2154="TRUE", AE2154="true"), "Threatened")</f>
        <v>0</v>
      </c>
      <c r="AH2154" s="11" t="s">
        <v>5438</v>
      </c>
      <c r="AI2154" s="8" t="b">
        <v>1</v>
      </c>
    </row>
    <row r="2155" spans="1:35" ht="31.2">
      <c r="A2155" s="8">
        <v>-73.976716429999996</v>
      </c>
      <c r="B2155" s="8">
        <v>40.773688999999997</v>
      </c>
      <c r="C2155" s="8" t="s">
        <v>5439</v>
      </c>
      <c r="D2155" s="8" t="s">
        <v>753</v>
      </c>
      <c r="E2155" s="8" t="b">
        <f t="shared" si="33"/>
        <v>0</v>
      </c>
      <c r="F2155" s="8" t="str" cm="1">
        <f t="array" ref="F2155">_xlfn._xlws.FILTER(E2155:E5353, C2155:C5353= "6D-PM-1020-01", "No Squirrels Found")</f>
        <v>No Squirrels Found</v>
      </c>
      <c r="G2155" s="8" t="s">
        <v>34</v>
      </c>
      <c r="H2155" s="10">
        <v>10142018</v>
      </c>
      <c r="I2155" s="10">
        <v>3</v>
      </c>
      <c r="J2155" s="8" t="s">
        <v>54</v>
      </c>
      <c r="K2155" s="8" t="s">
        <v>40</v>
      </c>
      <c r="M2155" s="8" t="s">
        <v>55</v>
      </c>
      <c r="O2155" s="8" t="s">
        <v>50</v>
      </c>
      <c r="P2155" s="8">
        <v>23</v>
      </c>
      <c r="R2155" s="8" t="b">
        <v>0</v>
      </c>
      <c r="S2155" s="8" t="b">
        <v>0</v>
      </c>
      <c r="T2155" s="8" t="b">
        <v>1</v>
      </c>
      <c r="U2155" s="8" t="b">
        <v>1</v>
      </c>
      <c r="V2155" s="8" t="b">
        <v>0</v>
      </c>
      <c r="X2155" s="8" t="b">
        <v>0</v>
      </c>
      <c r="Y2155" s="8" t="b">
        <v>0</v>
      </c>
      <c r="Z2155" s="8" t="b">
        <v>0</v>
      </c>
      <c r="AA2155" s="8" t="b">
        <v>0</v>
      </c>
      <c r="AB2155" s="8" t="b">
        <v>0</v>
      </c>
      <c r="AC2155" s="8" t="b">
        <v>0</v>
      </c>
      <c r="AD2155" s="8" t="b">
        <v>0</v>
      </c>
      <c r="AE2155" s="8" t="b">
        <v>0</v>
      </c>
      <c r="AG2155" s="11" t="b" cm="1">
        <f t="array" ref="AG2155">IF(OR(Y2155:AA2155="TRUE", AE2155="true"), "Threatened")</f>
        <v>0</v>
      </c>
      <c r="AH2155" s="11" t="s">
        <v>5440</v>
      </c>
      <c r="AI2155" s="8" t="b">
        <v>1</v>
      </c>
    </row>
    <row r="2156" spans="1:35" ht="31.2">
      <c r="A2156" s="8">
        <v>-73.953893870000002</v>
      </c>
      <c r="B2156" s="8">
        <v>40.798115009999997</v>
      </c>
      <c r="C2156" s="8" t="s">
        <v>5441</v>
      </c>
      <c r="D2156" s="8" t="s">
        <v>332</v>
      </c>
      <c r="E2156" s="8" t="b">
        <f t="shared" si="33"/>
        <v>0</v>
      </c>
      <c r="F2156" s="8" t="str" cm="1">
        <f t="array" ref="F2156">_xlfn._xlws.FILTER(E2156:E5354, C2156:C5354= "6D-PM-1020-01", "No Squirrels Found")</f>
        <v>No Squirrels Found</v>
      </c>
      <c r="G2156" s="8" t="s">
        <v>34</v>
      </c>
      <c r="H2156" s="10">
        <v>10122018</v>
      </c>
      <c r="I2156" s="10">
        <v>5</v>
      </c>
      <c r="J2156" s="8" t="s">
        <v>39</v>
      </c>
      <c r="K2156" s="8" t="s">
        <v>40</v>
      </c>
      <c r="L2156" s="8" t="s">
        <v>84</v>
      </c>
      <c r="M2156" s="8" t="s">
        <v>103</v>
      </c>
      <c r="O2156" s="8" t="s">
        <v>43</v>
      </c>
      <c r="P2156" s="8" t="b">
        <v>0</v>
      </c>
      <c r="R2156" s="8" t="b">
        <v>1</v>
      </c>
      <c r="S2156" s="8" t="b">
        <v>0</v>
      </c>
      <c r="T2156" s="8" t="b">
        <v>0</v>
      </c>
      <c r="U2156" s="8" t="b">
        <v>0</v>
      </c>
      <c r="V2156" s="8" t="b">
        <v>1</v>
      </c>
      <c r="X2156" s="8" t="b">
        <v>0</v>
      </c>
      <c r="Y2156" s="8" t="b">
        <v>0</v>
      </c>
      <c r="Z2156" s="8" t="b">
        <v>0</v>
      </c>
      <c r="AA2156" s="8" t="b">
        <v>0</v>
      </c>
      <c r="AB2156" s="8" t="b">
        <v>0</v>
      </c>
      <c r="AC2156" s="8" t="b">
        <v>0</v>
      </c>
      <c r="AD2156" s="8" t="b">
        <v>1</v>
      </c>
      <c r="AE2156" s="8" t="b">
        <v>0</v>
      </c>
      <c r="AG2156" s="11" t="b" cm="1">
        <f t="array" ref="AG2156">IF(OR(Y2156:AA2156="TRUE", AE2156="true"), "Threatened")</f>
        <v>0</v>
      </c>
      <c r="AH2156" s="11" t="s">
        <v>5442</v>
      </c>
      <c r="AI2156" s="8" t="b">
        <v>1</v>
      </c>
    </row>
    <row r="2157" spans="1:35" ht="31.2">
      <c r="A2157" s="8">
        <v>-73.96503878</v>
      </c>
      <c r="B2157" s="8">
        <v>40.781413440000001</v>
      </c>
      <c r="C2157" s="8" t="s">
        <v>5443</v>
      </c>
      <c r="D2157" s="8" t="s">
        <v>1202</v>
      </c>
      <c r="E2157" s="8" t="b">
        <f t="shared" si="33"/>
        <v>0</v>
      </c>
      <c r="F2157" s="8" t="str" cm="1">
        <f t="array" ref="F2157">_xlfn._xlws.FILTER(E2157:E5355, C2157:C5355= "6D-PM-1020-01", "No Squirrels Found")</f>
        <v>No Squirrels Found</v>
      </c>
      <c r="G2157" s="8" t="s">
        <v>48</v>
      </c>
      <c r="H2157" s="10">
        <v>10182018</v>
      </c>
      <c r="I2157" s="10">
        <v>4</v>
      </c>
      <c r="J2157" s="8" t="s">
        <v>39</v>
      </c>
      <c r="K2157" s="8" t="s">
        <v>41</v>
      </c>
      <c r="L2157" s="8" t="s">
        <v>40</v>
      </c>
      <c r="M2157" s="8" t="s">
        <v>110</v>
      </c>
      <c r="O2157" s="8" t="s">
        <v>43</v>
      </c>
      <c r="P2157" s="8" t="b">
        <v>0</v>
      </c>
      <c r="R2157" s="8" t="b">
        <v>0</v>
      </c>
      <c r="S2157" s="8" t="b">
        <v>0</v>
      </c>
      <c r="T2157" s="8" t="b">
        <v>0</v>
      </c>
      <c r="U2157" s="8" t="b">
        <v>0</v>
      </c>
      <c r="V2157" s="8" t="b">
        <v>1</v>
      </c>
      <c r="X2157" s="8" t="b">
        <v>0</v>
      </c>
      <c r="Y2157" s="8" t="b">
        <v>0</v>
      </c>
      <c r="Z2157" s="8" t="b">
        <v>0</v>
      </c>
      <c r="AA2157" s="8" t="b">
        <v>0</v>
      </c>
      <c r="AB2157" s="8" t="b">
        <v>1</v>
      </c>
      <c r="AC2157" s="8" t="b">
        <v>0</v>
      </c>
      <c r="AD2157" s="8" t="b">
        <v>0</v>
      </c>
      <c r="AE2157" s="8" t="b">
        <v>0</v>
      </c>
      <c r="AG2157" s="11" t="b" cm="1">
        <f t="array" ref="AG2157">IF(OR(Y2157:AA2157="TRUE", AE2157="true"), "Threatened")</f>
        <v>0</v>
      </c>
      <c r="AH2157" s="11" t="s">
        <v>5444</v>
      </c>
      <c r="AI2157" s="8" t="b">
        <v>1</v>
      </c>
    </row>
    <row r="2158" spans="1:35" ht="31.2">
      <c r="A2158" s="8">
        <v>-73.965717139999995</v>
      </c>
      <c r="B2158" s="8">
        <v>40.777327749999998</v>
      </c>
      <c r="C2158" s="8" t="s">
        <v>5445</v>
      </c>
      <c r="D2158" s="8" t="s">
        <v>1530</v>
      </c>
      <c r="E2158" s="8" t="b">
        <f t="shared" si="33"/>
        <v>0</v>
      </c>
      <c r="F2158" s="8" t="str" cm="1">
        <f t="array" ref="F2158">_xlfn._xlws.FILTER(E2158:E5356, C2158:C5356= "6D-PM-1020-01", "No Squirrels Found")</f>
        <v>No Squirrels Found</v>
      </c>
      <c r="G2158" s="8" t="s">
        <v>34</v>
      </c>
      <c r="H2158" s="10">
        <v>10142018</v>
      </c>
      <c r="I2158" s="10">
        <v>5</v>
      </c>
      <c r="J2158" s="8" t="s">
        <v>39</v>
      </c>
      <c r="K2158" s="8" t="s">
        <v>40</v>
      </c>
      <c r="L2158" s="8" t="s">
        <v>84</v>
      </c>
      <c r="M2158" s="8" t="s">
        <v>103</v>
      </c>
      <c r="O2158" s="8" t="s">
        <v>50</v>
      </c>
      <c r="P2158" s="8">
        <v>5</v>
      </c>
      <c r="Q2158" s="8" t="s">
        <v>206</v>
      </c>
      <c r="R2158" s="8" t="b">
        <v>1</v>
      </c>
      <c r="S2158" s="8" t="b">
        <v>0</v>
      </c>
      <c r="T2158" s="8" t="b">
        <v>1</v>
      </c>
      <c r="U2158" s="8" t="b">
        <v>0</v>
      </c>
      <c r="V2158" s="8" t="b">
        <v>1</v>
      </c>
      <c r="X2158" s="8" t="b">
        <v>0</v>
      </c>
      <c r="Y2158" s="8" t="b">
        <v>0</v>
      </c>
      <c r="Z2158" s="8" t="b">
        <v>0</v>
      </c>
      <c r="AA2158" s="8" t="b">
        <v>0</v>
      </c>
      <c r="AB2158" s="8" t="b">
        <v>1</v>
      </c>
      <c r="AC2158" s="8" t="b">
        <v>0</v>
      </c>
      <c r="AD2158" s="8" t="b">
        <v>1</v>
      </c>
      <c r="AE2158" s="8" t="b">
        <v>0</v>
      </c>
      <c r="AG2158" s="11" t="b" cm="1">
        <f t="array" ref="AG2158">IF(OR(Y2158:AA2158="TRUE", AE2158="true"), "Threatened")</f>
        <v>0</v>
      </c>
      <c r="AH2158" s="11" t="s">
        <v>5446</v>
      </c>
      <c r="AI2158" s="8" t="b">
        <v>1</v>
      </c>
    </row>
    <row r="2159" spans="1:35" ht="31.2">
      <c r="A2159" s="8">
        <v>-73.959759349999999</v>
      </c>
      <c r="B2159" s="8">
        <v>40.793752840000003</v>
      </c>
      <c r="C2159" s="8" t="s">
        <v>5447</v>
      </c>
      <c r="D2159" s="8" t="s">
        <v>69</v>
      </c>
      <c r="E2159" s="8" t="b">
        <f t="shared" si="33"/>
        <v>0</v>
      </c>
      <c r="F2159" s="8" t="str" cm="1">
        <f t="array" ref="F2159">_xlfn._xlws.FILTER(E2159:E5357, C2159:C5357= "6D-PM-1020-01", "No Squirrels Found")</f>
        <v>No Squirrels Found</v>
      </c>
      <c r="G2159" s="8" t="s">
        <v>48</v>
      </c>
      <c r="H2159" s="10">
        <v>10072018</v>
      </c>
      <c r="I2159" s="10">
        <v>4</v>
      </c>
      <c r="J2159" s="8" t="s">
        <v>39</v>
      </c>
      <c r="K2159" s="8" t="s">
        <v>40</v>
      </c>
      <c r="L2159" s="8" t="s">
        <v>41</v>
      </c>
      <c r="M2159" s="8" t="s">
        <v>42</v>
      </c>
      <c r="O2159" s="8" t="s">
        <v>43</v>
      </c>
      <c r="P2159" s="8" t="b">
        <v>0</v>
      </c>
      <c r="R2159" s="8" t="b">
        <v>0</v>
      </c>
      <c r="S2159" s="8" t="b">
        <v>0</v>
      </c>
      <c r="T2159" s="8" t="b">
        <v>0</v>
      </c>
      <c r="U2159" s="8" t="b">
        <v>0</v>
      </c>
      <c r="V2159" s="8" t="b">
        <v>1</v>
      </c>
      <c r="X2159" s="8" t="b">
        <v>0</v>
      </c>
      <c r="Y2159" s="8" t="b">
        <v>0</v>
      </c>
      <c r="Z2159" s="8" t="b">
        <v>0</v>
      </c>
      <c r="AA2159" s="8" t="b">
        <v>0</v>
      </c>
      <c r="AB2159" s="8" t="b">
        <v>0</v>
      </c>
      <c r="AC2159" s="8" t="b">
        <v>0</v>
      </c>
      <c r="AD2159" s="8" t="b">
        <v>0</v>
      </c>
      <c r="AE2159" s="8" t="b">
        <v>1</v>
      </c>
      <c r="AG2159" s="11" t="b" cm="1">
        <f t="array" ref="AG2159">IF(OR(Y2159:AA2159="TRUE", AE2159="true"), "Threatened")</f>
        <v>0</v>
      </c>
      <c r="AH2159" s="11" t="s">
        <v>5448</v>
      </c>
      <c r="AI2159" s="8" t="b">
        <v>1</v>
      </c>
    </row>
    <row r="2160" spans="1:35" ht="31.2">
      <c r="A2160" s="8">
        <v>-73.969668819999995</v>
      </c>
      <c r="B2160" s="8">
        <v>40.774142220000002</v>
      </c>
      <c r="C2160" s="8" t="s">
        <v>5449</v>
      </c>
      <c r="D2160" s="8" t="s">
        <v>655</v>
      </c>
      <c r="E2160" s="8" t="b">
        <f t="shared" si="33"/>
        <v>0</v>
      </c>
      <c r="F2160" s="8" t="str" cm="1">
        <f t="array" ref="F2160">_xlfn._xlws.FILTER(E2160:E5358, C2160:C5358= "6D-PM-1020-01", "No Squirrels Found")</f>
        <v>No Squirrels Found</v>
      </c>
      <c r="G2160" s="8" t="s">
        <v>48</v>
      </c>
      <c r="H2160" s="10">
        <v>10202018</v>
      </c>
      <c r="I2160" s="10">
        <v>5</v>
      </c>
      <c r="J2160" s="8" t="s">
        <v>39</v>
      </c>
      <c r="K2160" s="8" t="s">
        <v>192</v>
      </c>
      <c r="L2160" s="8" t="s">
        <v>41</v>
      </c>
      <c r="M2160" s="8" t="s">
        <v>717</v>
      </c>
      <c r="O2160" s="8" t="s">
        <v>43</v>
      </c>
      <c r="P2160" s="8" t="b">
        <v>0</v>
      </c>
      <c r="R2160" s="8" t="b">
        <v>0</v>
      </c>
      <c r="S2160" s="8" t="b">
        <v>0</v>
      </c>
      <c r="T2160" s="8" t="b">
        <v>0</v>
      </c>
      <c r="U2160" s="8" t="b">
        <v>1</v>
      </c>
      <c r="V2160" s="8" t="b">
        <v>0</v>
      </c>
      <c r="X2160" s="8" t="b">
        <v>0</v>
      </c>
      <c r="Y2160" s="8" t="b">
        <v>0</v>
      </c>
      <c r="Z2160" s="8" t="b">
        <v>0</v>
      </c>
      <c r="AA2160" s="8" t="b">
        <v>0</v>
      </c>
      <c r="AB2160" s="8" t="b">
        <v>1</v>
      </c>
      <c r="AC2160" s="8" t="b">
        <v>0</v>
      </c>
      <c r="AD2160" s="8" t="b">
        <v>0</v>
      </c>
      <c r="AE2160" s="8" t="b">
        <v>0</v>
      </c>
      <c r="AG2160" s="11" t="b" cm="1">
        <f t="array" ref="AG2160">IF(OR(Y2160:AA2160="TRUE", AE2160="true"), "Threatened")</f>
        <v>0</v>
      </c>
      <c r="AH2160" s="11" t="s">
        <v>5450</v>
      </c>
      <c r="AI2160" s="8" t="b">
        <v>1</v>
      </c>
    </row>
    <row r="2161" spans="1:35" ht="31.2">
      <c r="A2161" s="8">
        <v>-73.975028559999998</v>
      </c>
      <c r="B2161" s="8">
        <v>40.766730729999999</v>
      </c>
      <c r="C2161" s="8" t="s">
        <v>5451</v>
      </c>
      <c r="D2161" s="8" t="s">
        <v>481</v>
      </c>
      <c r="E2161" s="8" t="b">
        <f t="shared" si="33"/>
        <v>0</v>
      </c>
      <c r="F2161" s="8" t="str" cm="1">
        <f t="array" ref="F2161">_xlfn._xlws.FILTER(E2161:E5359, C2161:C5359= "6D-PM-1020-01", "No Squirrels Found")</f>
        <v>No Squirrels Found</v>
      </c>
      <c r="G2161" s="8" t="s">
        <v>34</v>
      </c>
      <c r="H2161" s="10">
        <v>10142018</v>
      </c>
      <c r="I2161" s="10">
        <v>9</v>
      </c>
      <c r="J2161" s="8" t="s">
        <v>39</v>
      </c>
      <c r="K2161" s="8" t="s">
        <v>40</v>
      </c>
      <c r="L2161" s="8" t="s">
        <v>84</v>
      </c>
      <c r="M2161" s="8" t="s">
        <v>103</v>
      </c>
      <c r="O2161" s="8" t="s">
        <v>43</v>
      </c>
      <c r="P2161" s="8" t="b">
        <v>0</v>
      </c>
      <c r="R2161" s="8" t="b">
        <v>1</v>
      </c>
      <c r="S2161" s="8" t="b">
        <v>0</v>
      </c>
      <c r="T2161" s="8" t="b">
        <v>0</v>
      </c>
      <c r="U2161" s="8" t="b">
        <v>0</v>
      </c>
      <c r="V2161" s="8" t="b">
        <v>0</v>
      </c>
      <c r="X2161" s="8" t="b">
        <v>0</v>
      </c>
      <c r="Y2161" s="8" t="b">
        <v>0</v>
      </c>
      <c r="Z2161" s="8" t="b">
        <v>0</v>
      </c>
      <c r="AA2161" s="8" t="b">
        <v>0</v>
      </c>
      <c r="AB2161" s="8" t="b">
        <v>0</v>
      </c>
      <c r="AC2161" s="8" t="b">
        <v>0</v>
      </c>
      <c r="AD2161" s="8" t="b">
        <v>1</v>
      </c>
      <c r="AE2161" s="8" t="b">
        <v>0</v>
      </c>
      <c r="AG2161" s="11" t="b" cm="1">
        <f t="array" ref="AG2161">IF(OR(Y2161:AA2161="TRUE", AE2161="true"), "Threatened")</f>
        <v>0</v>
      </c>
      <c r="AH2161" s="11" t="s">
        <v>5452</v>
      </c>
      <c r="AI2161" s="8" t="b">
        <v>1</v>
      </c>
    </row>
    <row r="2162" spans="1:35" ht="31.2">
      <c r="A2162" s="8">
        <v>-73.971537589999997</v>
      </c>
      <c r="B2162" s="8">
        <v>40.775121210000002</v>
      </c>
      <c r="C2162" s="8" t="s">
        <v>5453</v>
      </c>
      <c r="D2162" s="8" t="s">
        <v>1148</v>
      </c>
      <c r="E2162" s="8" t="b">
        <f t="shared" si="33"/>
        <v>0</v>
      </c>
      <c r="F2162" s="8" t="str" cm="1">
        <f t="array" ref="F2162">_xlfn._xlws.FILTER(E2162:E5360, C2162:C5360= "6D-PM-1020-01", "No Squirrels Found")</f>
        <v>No Squirrels Found</v>
      </c>
      <c r="G2162" s="8" t="s">
        <v>48</v>
      </c>
      <c r="H2162" s="10">
        <v>10132018</v>
      </c>
      <c r="I2162" s="10">
        <v>1</v>
      </c>
      <c r="J2162" s="8" t="s">
        <v>39</v>
      </c>
      <c r="K2162" s="8" t="s">
        <v>40</v>
      </c>
      <c r="L2162" s="8" t="s">
        <v>41</v>
      </c>
      <c r="M2162" s="8" t="s">
        <v>42</v>
      </c>
      <c r="O2162" s="8" t="s">
        <v>43</v>
      </c>
      <c r="P2162" s="8" t="b">
        <v>0</v>
      </c>
      <c r="R2162" s="8" t="b">
        <v>0</v>
      </c>
      <c r="S2162" s="8" t="b">
        <v>0</v>
      </c>
      <c r="T2162" s="8" t="b">
        <v>0</v>
      </c>
      <c r="U2162" s="8" t="b">
        <v>0</v>
      </c>
      <c r="V2162" s="8" t="b">
        <v>1</v>
      </c>
      <c r="X2162" s="8" t="b">
        <v>0</v>
      </c>
      <c r="Y2162" s="8" t="b">
        <v>0</v>
      </c>
      <c r="Z2162" s="8" t="b">
        <v>0</v>
      </c>
      <c r="AA2162" s="8" t="b">
        <v>0</v>
      </c>
      <c r="AB2162" s="8" t="b">
        <v>0</v>
      </c>
      <c r="AC2162" s="8" t="b">
        <v>1</v>
      </c>
      <c r="AD2162" s="8" t="b">
        <v>0</v>
      </c>
      <c r="AE2162" s="8" t="b">
        <v>0</v>
      </c>
      <c r="AG2162" s="11" t="b" cm="1">
        <f t="array" ref="AG2162">IF(OR(Y2162:AA2162="TRUE", AE2162="true"), "Threatened")</f>
        <v>0</v>
      </c>
      <c r="AH2162" s="11" t="s">
        <v>5454</v>
      </c>
      <c r="AI2162" s="8" t="b">
        <v>1</v>
      </c>
    </row>
    <row r="2163" spans="1:35" ht="31.2">
      <c r="A2163" s="8">
        <v>-73.958330029999999</v>
      </c>
      <c r="B2163" s="8">
        <v>40.785349500000002</v>
      </c>
      <c r="C2163" s="8" t="s">
        <v>5455</v>
      </c>
      <c r="D2163" s="8" t="s">
        <v>1086</v>
      </c>
      <c r="E2163" s="8" t="b">
        <f t="shared" si="33"/>
        <v>0</v>
      </c>
      <c r="F2163" s="8" t="str" cm="1">
        <f t="array" ref="F2163">_xlfn._xlws.FILTER(E2163:E5361, C2163:C5361= "6D-PM-1020-01", "No Squirrels Found")</f>
        <v>No Squirrels Found</v>
      </c>
      <c r="G2163" s="8" t="s">
        <v>34</v>
      </c>
      <c r="H2163" s="10">
        <v>10202018</v>
      </c>
      <c r="I2163" s="10">
        <v>4</v>
      </c>
      <c r="J2163" s="8" t="s">
        <v>39</v>
      </c>
      <c r="K2163" s="8" t="s">
        <v>40</v>
      </c>
      <c r="M2163" s="8" t="s">
        <v>55</v>
      </c>
      <c r="O2163" s="8" t="s">
        <v>43</v>
      </c>
      <c r="P2163" s="8" t="b">
        <v>0</v>
      </c>
      <c r="R2163" s="8" t="b">
        <v>1</v>
      </c>
      <c r="S2163" s="8" t="b">
        <v>0</v>
      </c>
      <c r="T2163" s="8" t="b">
        <v>0</v>
      </c>
      <c r="U2163" s="8" t="b">
        <v>0</v>
      </c>
      <c r="V2163" s="8" t="b">
        <v>0</v>
      </c>
      <c r="X2163" s="8" t="b">
        <v>0</v>
      </c>
      <c r="Y2163" s="8" t="b">
        <v>0</v>
      </c>
      <c r="Z2163" s="8" t="b">
        <v>0</v>
      </c>
      <c r="AA2163" s="8" t="b">
        <v>0</v>
      </c>
      <c r="AB2163" s="8" t="b">
        <v>0</v>
      </c>
      <c r="AC2163" s="8" t="b">
        <v>0</v>
      </c>
      <c r="AD2163" s="8" t="b">
        <v>0</v>
      </c>
      <c r="AE2163" s="8" t="b">
        <v>1</v>
      </c>
      <c r="AG2163" s="11" t="b" cm="1">
        <f t="array" ref="AG2163">IF(OR(Y2163:AA2163="TRUE", AE2163="true"), "Threatened")</f>
        <v>0</v>
      </c>
      <c r="AH2163" s="11" t="s">
        <v>5456</v>
      </c>
      <c r="AI2163" s="8" t="b">
        <v>1</v>
      </c>
    </row>
    <row r="2164" spans="1:35" ht="31.2">
      <c r="A2164" s="8">
        <v>-73.964366440000006</v>
      </c>
      <c r="B2164" s="8">
        <v>40.779367069999999</v>
      </c>
      <c r="C2164" s="8" t="s">
        <v>5457</v>
      </c>
      <c r="D2164" s="8" t="s">
        <v>1018</v>
      </c>
      <c r="E2164" s="8" t="b">
        <f t="shared" si="33"/>
        <v>0</v>
      </c>
      <c r="F2164" s="8" t="str" cm="1">
        <f t="array" ref="F2164">_xlfn._xlws.FILTER(E2164:E5362, C2164:C5362= "6D-PM-1020-01", "No Squirrels Found")</f>
        <v>No Squirrels Found</v>
      </c>
      <c r="G2164" s="8" t="s">
        <v>48</v>
      </c>
      <c r="H2164" s="10">
        <v>10102018</v>
      </c>
      <c r="I2164" s="10">
        <v>1</v>
      </c>
      <c r="K2164" s="8" t="s">
        <v>40</v>
      </c>
      <c r="L2164" s="8" t="s">
        <v>117</v>
      </c>
      <c r="M2164" s="8" t="s">
        <v>118</v>
      </c>
      <c r="O2164" s="8" t="s">
        <v>43</v>
      </c>
      <c r="P2164" s="8" t="b">
        <v>0</v>
      </c>
      <c r="Q2164" s="8" t="s">
        <v>3541</v>
      </c>
      <c r="R2164" s="8" t="b">
        <v>1</v>
      </c>
      <c r="S2164" s="8" t="b">
        <v>0</v>
      </c>
      <c r="T2164" s="8" t="b">
        <v>0</v>
      </c>
      <c r="U2164" s="8" t="b">
        <v>1</v>
      </c>
      <c r="V2164" s="8" t="b">
        <v>1</v>
      </c>
      <c r="X2164" s="8" t="b">
        <v>0</v>
      </c>
      <c r="Y2164" s="8" t="b">
        <v>0</v>
      </c>
      <c r="Z2164" s="8" t="b">
        <v>0</v>
      </c>
      <c r="AA2164" s="8" t="b">
        <v>0</v>
      </c>
      <c r="AB2164" s="8" t="b">
        <v>0</v>
      </c>
      <c r="AC2164" s="8" t="b">
        <v>0</v>
      </c>
      <c r="AD2164" s="8" t="b">
        <v>1</v>
      </c>
      <c r="AE2164" s="8" t="b">
        <v>0</v>
      </c>
      <c r="AF2164" s="11" t="s">
        <v>5458</v>
      </c>
      <c r="AG2164" s="11" t="b" cm="1">
        <f t="array" ref="AG2164">IF(OR(Y2164:AA2164="TRUE", AE2164="true"), "Threatened")</f>
        <v>0</v>
      </c>
      <c r="AH2164" s="11" t="s">
        <v>5459</v>
      </c>
      <c r="AI2164" s="8" t="b">
        <v>1</v>
      </c>
    </row>
    <row r="2165" spans="1:35" ht="31.2">
      <c r="A2165" s="8">
        <v>-73.955013129999998</v>
      </c>
      <c r="B2165" s="8">
        <v>40.795402430000003</v>
      </c>
      <c r="C2165" s="8" t="s">
        <v>5460</v>
      </c>
      <c r="D2165" s="8" t="s">
        <v>378</v>
      </c>
      <c r="E2165" s="8" t="b">
        <f t="shared" si="33"/>
        <v>0</v>
      </c>
      <c r="F2165" s="8" t="str" cm="1">
        <f t="array" ref="F2165">_xlfn._xlws.FILTER(E2165:E5363, C2165:C5363= "6D-PM-1020-01", "No Squirrels Found")</f>
        <v>No Squirrels Found</v>
      </c>
      <c r="G2165" s="8" t="s">
        <v>48</v>
      </c>
      <c r="H2165" s="10">
        <v>10182018</v>
      </c>
      <c r="I2165" s="10">
        <v>5</v>
      </c>
      <c r="J2165" s="8" t="s">
        <v>39</v>
      </c>
      <c r="K2165" s="8" t="s">
        <v>40</v>
      </c>
      <c r="L2165" s="8" t="s">
        <v>41</v>
      </c>
      <c r="M2165" s="8" t="s">
        <v>42</v>
      </c>
      <c r="O2165" s="8" t="s">
        <v>43</v>
      </c>
      <c r="P2165" s="8" t="b">
        <v>0</v>
      </c>
      <c r="R2165" s="8" t="b">
        <v>1</v>
      </c>
      <c r="S2165" s="8" t="b">
        <v>0</v>
      </c>
      <c r="T2165" s="8" t="b">
        <v>0</v>
      </c>
      <c r="U2165" s="8" t="b">
        <v>0</v>
      </c>
      <c r="V2165" s="8" t="b">
        <v>0</v>
      </c>
      <c r="W2165" s="11" t="s">
        <v>1206</v>
      </c>
      <c r="X2165" s="8" t="b">
        <v>0</v>
      </c>
      <c r="Y2165" s="8" t="b">
        <v>0</v>
      </c>
      <c r="Z2165" s="8" t="b">
        <v>0</v>
      </c>
      <c r="AA2165" s="8" t="b">
        <v>0</v>
      </c>
      <c r="AB2165" s="8" t="b">
        <v>0</v>
      </c>
      <c r="AC2165" s="8" t="b">
        <v>0</v>
      </c>
      <c r="AD2165" s="8" t="b">
        <v>0</v>
      </c>
      <c r="AE2165" s="8" t="b">
        <v>1</v>
      </c>
      <c r="AG2165" s="11" t="b" cm="1">
        <f t="array" ref="AG2165">IF(OR(Y2165:AA2165="TRUE", AE2165="true"), "Threatened")</f>
        <v>0</v>
      </c>
      <c r="AH2165" s="11" t="s">
        <v>5461</v>
      </c>
      <c r="AI2165" s="8" t="b">
        <v>0</v>
      </c>
    </row>
    <row r="2166" spans="1:35" ht="31.2">
      <c r="A2166" s="8">
        <v>-73.979437169999997</v>
      </c>
      <c r="B2166" s="8">
        <v>40.768387910000001</v>
      </c>
      <c r="C2166" s="8" t="s">
        <v>5462</v>
      </c>
      <c r="D2166" s="8" t="s">
        <v>219</v>
      </c>
      <c r="E2166" s="8" t="b">
        <f t="shared" si="33"/>
        <v>0</v>
      </c>
      <c r="F2166" s="8" t="str" cm="1">
        <f t="array" ref="F2166">_xlfn._xlws.FILTER(E2166:E5364, C2166:C5364= "6D-PM-1020-01", "No Squirrels Found")</f>
        <v>No Squirrels Found</v>
      </c>
      <c r="G2166" s="8" t="s">
        <v>34</v>
      </c>
      <c r="H2166" s="10">
        <v>10132018</v>
      </c>
      <c r="I2166" s="10">
        <v>7</v>
      </c>
      <c r="J2166" s="8" t="s">
        <v>39</v>
      </c>
      <c r="K2166" s="8" t="s">
        <v>41</v>
      </c>
      <c r="M2166" s="8" t="s">
        <v>49</v>
      </c>
      <c r="O2166" s="8" t="s">
        <v>43</v>
      </c>
      <c r="P2166" s="8" t="b">
        <v>0</v>
      </c>
      <c r="R2166" s="8" t="b">
        <v>0</v>
      </c>
      <c r="S2166" s="8" t="b">
        <v>0</v>
      </c>
      <c r="T2166" s="8" t="b">
        <v>0</v>
      </c>
      <c r="U2166" s="8" t="b">
        <v>1</v>
      </c>
      <c r="V2166" s="8" t="b">
        <v>0</v>
      </c>
      <c r="X2166" s="8" t="b">
        <v>0</v>
      </c>
      <c r="Y2166" s="8" t="b">
        <v>0</v>
      </c>
      <c r="Z2166" s="8" t="b">
        <v>0</v>
      </c>
      <c r="AA2166" s="8" t="b">
        <v>0</v>
      </c>
      <c r="AB2166" s="8" t="b">
        <v>0</v>
      </c>
      <c r="AC2166" s="8" t="b">
        <v>1</v>
      </c>
      <c r="AD2166" s="8" t="b">
        <v>0</v>
      </c>
      <c r="AE2166" s="8" t="b">
        <v>0</v>
      </c>
      <c r="AG2166" s="11" t="b" cm="1">
        <f t="array" ref="AG2166">IF(OR(Y2166:AA2166="TRUE", AE2166="true"), "Threatened")</f>
        <v>0</v>
      </c>
      <c r="AH2166" s="11" t="s">
        <v>5463</v>
      </c>
      <c r="AI2166" s="8" t="b">
        <v>1</v>
      </c>
    </row>
    <row r="2167" spans="1:35" ht="31.2">
      <c r="A2167" s="8">
        <v>-73.971117809999996</v>
      </c>
      <c r="B2167" s="8">
        <v>40.767264300000001</v>
      </c>
      <c r="C2167" s="8" t="s">
        <v>5464</v>
      </c>
      <c r="D2167" s="8" t="s">
        <v>1243</v>
      </c>
      <c r="E2167" s="8" t="b">
        <f t="shared" si="33"/>
        <v>0</v>
      </c>
      <c r="F2167" s="8" t="str" cm="1">
        <f t="array" ref="F2167">_xlfn._xlws.FILTER(E2167:E5365, C2167:C5365= "6D-PM-1020-01", "No Squirrels Found")</f>
        <v>No Squirrels Found</v>
      </c>
      <c r="G2167" s="8" t="s">
        <v>34</v>
      </c>
      <c r="H2167" s="10">
        <v>10072018</v>
      </c>
      <c r="I2167" s="10">
        <v>1</v>
      </c>
      <c r="J2167" s="8" t="s">
        <v>39</v>
      </c>
      <c r="K2167" s="8" t="s">
        <v>192</v>
      </c>
      <c r="M2167" s="8" t="s">
        <v>193</v>
      </c>
      <c r="O2167" s="8" t="s">
        <v>43</v>
      </c>
      <c r="P2167" s="8" t="b">
        <v>0</v>
      </c>
      <c r="R2167" s="8" t="b">
        <v>1</v>
      </c>
      <c r="S2167" s="8" t="b">
        <v>0</v>
      </c>
      <c r="T2167" s="8" t="b">
        <v>0</v>
      </c>
      <c r="U2167" s="8" t="b">
        <v>0</v>
      </c>
      <c r="V2167" s="8" t="b">
        <v>1</v>
      </c>
      <c r="X2167" s="8" t="b">
        <v>0</v>
      </c>
      <c r="Y2167" s="8" t="b">
        <v>0</v>
      </c>
      <c r="Z2167" s="8" t="b">
        <v>0</v>
      </c>
      <c r="AA2167" s="8" t="b">
        <v>0</v>
      </c>
      <c r="AB2167" s="8" t="b">
        <v>0</v>
      </c>
      <c r="AC2167" s="8" t="b">
        <v>0</v>
      </c>
      <c r="AD2167" s="8" t="b">
        <v>0</v>
      </c>
      <c r="AE2167" s="8" t="b">
        <v>1</v>
      </c>
      <c r="AG2167" s="11" t="b" cm="1">
        <f t="array" ref="AG2167">IF(OR(Y2167:AA2167="TRUE", AE2167="true"), "Threatened")</f>
        <v>0</v>
      </c>
      <c r="AH2167" s="11" t="s">
        <v>5465</v>
      </c>
      <c r="AI2167" s="8" t="b">
        <v>1</v>
      </c>
    </row>
    <row r="2168" spans="1:35" ht="31.2">
      <c r="A2168" s="8">
        <v>-73.979959429999994</v>
      </c>
      <c r="B2168" s="8">
        <v>40.770197809999999</v>
      </c>
      <c r="C2168" s="8" t="s">
        <v>5466</v>
      </c>
      <c r="D2168" s="8" t="s">
        <v>1364</v>
      </c>
      <c r="E2168" s="8" t="b">
        <f t="shared" si="33"/>
        <v>0</v>
      </c>
      <c r="F2168" s="8" t="str" cm="1">
        <f t="array" ref="F2168">_xlfn._xlws.FILTER(E2168:E5366, C2168:C5366= "6D-PM-1020-01", "No Squirrels Found")</f>
        <v>No Squirrels Found</v>
      </c>
      <c r="G2168" s="8" t="s">
        <v>48</v>
      </c>
      <c r="H2168" s="10">
        <v>10072018</v>
      </c>
      <c r="I2168" s="10">
        <v>5</v>
      </c>
      <c r="J2168" s="8" t="s">
        <v>39</v>
      </c>
      <c r="K2168" s="8" t="s">
        <v>40</v>
      </c>
      <c r="M2168" s="8" t="s">
        <v>55</v>
      </c>
      <c r="O2168" s="8" t="s">
        <v>43</v>
      </c>
      <c r="P2168" s="8" t="b">
        <v>0</v>
      </c>
      <c r="R2168" s="8" t="b">
        <v>0</v>
      </c>
      <c r="S2168" s="8" t="b">
        <v>0</v>
      </c>
      <c r="T2168" s="8" t="b">
        <v>0</v>
      </c>
      <c r="U2168" s="8" t="b">
        <v>1</v>
      </c>
      <c r="V2168" s="8" t="b">
        <v>0</v>
      </c>
      <c r="X2168" s="8" t="b">
        <v>0</v>
      </c>
      <c r="Y2168" s="8" t="b">
        <v>0</v>
      </c>
      <c r="Z2168" s="8" t="b">
        <v>0</v>
      </c>
      <c r="AA2168" s="8" t="b">
        <v>0</v>
      </c>
      <c r="AB2168" s="8" t="b">
        <v>0</v>
      </c>
      <c r="AC2168" s="8" t="b">
        <v>0</v>
      </c>
      <c r="AD2168" s="8" t="b">
        <v>1</v>
      </c>
      <c r="AE2168" s="8" t="b">
        <v>0</v>
      </c>
      <c r="AG2168" s="11" t="b" cm="1">
        <f t="array" ref="AG2168">IF(OR(Y2168:AA2168="TRUE", AE2168="true"), "Threatened")</f>
        <v>0</v>
      </c>
      <c r="AH2168" s="11" t="s">
        <v>5467</v>
      </c>
      <c r="AI2168" s="8" t="b">
        <v>1</v>
      </c>
    </row>
    <row r="2169" spans="1:35" ht="31.2">
      <c r="A2169" s="8">
        <v>-73.958236339999999</v>
      </c>
      <c r="B2169" s="8">
        <v>40.798775229999997</v>
      </c>
      <c r="C2169" s="8" t="s">
        <v>4037</v>
      </c>
      <c r="D2169" s="8" t="s">
        <v>227</v>
      </c>
      <c r="E2169" s="8" t="b">
        <f t="shared" si="33"/>
        <v>0</v>
      </c>
      <c r="F2169" s="8" t="str" cm="1">
        <f t="array" ref="F2169">_xlfn._xlws.FILTER(E2169:E5367, C2169:C5367= "6D-PM-1020-01", "No Squirrels Found")</f>
        <v>No Squirrels Found</v>
      </c>
      <c r="G2169" s="8" t="s">
        <v>48</v>
      </c>
      <c r="H2169" s="10">
        <v>10192018</v>
      </c>
      <c r="I2169" s="10">
        <v>6</v>
      </c>
      <c r="J2169" s="8" t="s">
        <v>54</v>
      </c>
      <c r="K2169" s="8" t="s">
        <v>40</v>
      </c>
      <c r="L2169" s="8" t="s">
        <v>84</v>
      </c>
      <c r="M2169" s="8" t="s">
        <v>103</v>
      </c>
      <c r="O2169" s="8" t="s">
        <v>43</v>
      </c>
      <c r="P2169" s="8" t="b">
        <v>0</v>
      </c>
      <c r="R2169" s="8" t="b">
        <v>0</v>
      </c>
      <c r="S2169" s="8" t="b">
        <v>0</v>
      </c>
      <c r="T2169" s="8" t="b">
        <v>0</v>
      </c>
      <c r="U2169" s="8" t="b">
        <v>0</v>
      </c>
      <c r="V2169" s="8" t="b">
        <v>1</v>
      </c>
      <c r="X2169" s="8" t="b">
        <v>0</v>
      </c>
      <c r="Y2169" s="8" t="b">
        <v>0</v>
      </c>
      <c r="Z2169" s="8" t="b">
        <v>0</v>
      </c>
      <c r="AA2169" s="8" t="b">
        <v>0</v>
      </c>
      <c r="AB2169" s="8" t="b">
        <v>0</v>
      </c>
      <c r="AC2169" s="8" t="b">
        <v>0</v>
      </c>
      <c r="AD2169" s="8" t="b">
        <v>0</v>
      </c>
      <c r="AE2169" s="8" t="b">
        <v>1</v>
      </c>
      <c r="AG2169" s="11" t="b" cm="1">
        <f t="array" ref="AG2169">IF(OR(Y2169:AA2169="TRUE", AE2169="true"), "Threatened")</f>
        <v>0</v>
      </c>
      <c r="AH2169" s="11" t="s">
        <v>5468</v>
      </c>
      <c r="AI2169" s="8" t="b">
        <v>1</v>
      </c>
    </row>
    <row r="2170" spans="1:35" ht="31.2">
      <c r="A2170" s="8">
        <v>-73.978773630000006</v>
      </c>
      <c r="B2170" s="8">
        <v>40.767612669999998</v>
      </c>
      <c r="C2170" s="8" t="s">
        <v>5469</v>
      </c>
      <c r="D2170" s="8" t="s">
        <v>1235</v>
      </c>
      <c r="E2170" s="8" t="b">
        <f t="shared" si="33"/>
        <v>0</v>
      </c>
      <c r="F2170" s="8" t="str" cm="1">
        <f t="array" ref="F2170">_xlfn._xlws.FILTER(E2170:E5368, C2170:C5368= "6D-PM-1020-01", "No Squirrels Found")</f>
        <v>No Squirrels Found</v>
      </c>
      <c r="G2170" s="8" t="s">
        <v>48</v>
      </c>
      <c r="H2170" s="10">
        <v>10102018</v>
      </c>
      <c r="I2170" s="10">
        <v>1</v>
      </c>
      <c r="J2170" s="8" t="s">
        <v>39</v>
      </c>
      <c r="K2170" s="8" t="s">
        <v>40</v>
      </c>
      <c r="L2170" s="8" t="s">
        <v>41</v>
      </c>
      <c r="M2170" s="8" t="s">
        <v>42</v>
      </c>
      <c r="O2170" s="8" t="s">
        <v>43</v>
      </c>
      <c r="P2170" s="8" t="b">
        <v>0</v>
      </c>
      <c r="R2170" s="8" t="b">
        <v>0</v>
      </c>
      <c r="S2170" s="8" t="b">
        <v>0</v>
      </c>
      <c r="T2170" s="8" t="b">
        <v>0</v>
      </c>
      <c r="U2170" s="8" t="b">
        <v>1</v>
      </c>
      <c r="V2170" s="8" t="b">
        <v>1</v>
      </c>
      <c r="X2170" s="8" t="b">
        <v>0</v>
      </c>
      <c r="Y2170" s="8" t="b">
        <v>0</v>
      </c>
      <c r="Z2170" s="8" t="b">
        <v>0</v>
      </c>
      <c r="AA2170" s="8" t="b">
        <v>0</v>
      </c>
      <c r="AB2170" s="8" t="b">
        <v>0</v>
      </c>
      <c r="AC2170" s="8" t="b">
        <v>0</v>
      </c>
      <c r="AD2170" s="8" t="b">
        <v>0</v>
      </c>
      <c r="AE2170" s="8" t="b">
        <v>0</v>
      </c>
      <c r="AG2170" s="11" t="b" cm="1">
        <f t="array" ref="AG2170">IF(OR(Y2170:AA2170="TRUE", AE2170="true"), "Threatened")</f>
        <v>0</v>
      </c>
      <c r="AH2170" s="11" t="s">
        <v>5470</v>
      </c>
      <c r="AI2170" s="8" t="b">
        <v>1</v>
      </c>
    </row>
    <row r="2171" spans="1:35" ht="31.2">
      <c r="A2171" s="8">
        <v>-73.967892370000001</v>
      </c>
      <c r="B2171" s="8">
        <v>40.781967559999998</v>
      </c>
      <c r="C2171" s="8" t="s">
        <v>5471</v>
      </c>
      <c r="D2171" s="8" t="s">
        <v>1038</v>
      </c>
      <c r="E2171" s="8" t="b">
        <f t="shared" si="33"/>
        <v>0</v>
      </c>
      <c r="F2171" s="8" t="str" cm="1">
        <f t="array" ref="F2171">_xlfn._xlws.FILTER(E2171:E5369, C2171:C5369= "6D-PM-1020-01", "No Squirrels Found")</f>
        <v>No Squirrels Found</v>
      </c>
      <c r="G2171" s="8" t="s">
        <v>34</v>
      </c>
      <c r="H2171" s="10">
        <v>10182018</v>
      </c>
      <c r="I2171" s="10">
        <v>5</v>
      </c>
      <c r="J2171" s="8" t="s">
        <v>54</v>
      </c>
      <c r="K2171" s="8" t="s">
        <v>40</v>
      </c>
      <c r="M2171" s="8" t="s">
        <v>55</v>
      </c>
      <c r="O2171" s="8" t="s">
        <v>43</v>
      </c>
      <c r="P2171" s="8" t="b">
        <v>0</v>
      </c>
      <c r="R2171" s="8" t="b">
        <v>1</v>
      </c>
      <c r="S2171" s="8" t="b">
        <v>0</v>
      </c>
      <c r="T2171" s="8" t="b">
        <v>0</v>
      </c>
      <c r="U2171" s="8" t="b">
        <v>0</v>
      </c>
      <c r="V2171" s="8" t="b">
        <v>0</v>
      </c>
      <c r="X2171" s="8" t="b">
        <v>0</v>
      </c>
      <c r="Y2171" s="8" t="b">
        <v>0</v>
      </c>
      <c r="Z2171" s="8" t="b">
        <v>0</v>
      </c>
      <c r="AA2171" s="8" t="b">
        <v>0</v>
      </c>
      <c r="AB2171" s="8" t="b">
        <v>0</v>
      </c>
      <c r="AC2171" s="8" t="b">
        <v>1</v>
      </c>
      <c r="AD2171" s="8" t="b">
        <v>0</v>
      </c>
      <c r="AE2171" s="8" t="b">
        <v>0</v>
      </c>
      <c r="AG2171" s="11" t="b" cm="1">
        <f t="array" ref="AG2171">IF(OR(Y2171:AA2171="TRUE", AE2171="true"), "Threatened")</f>
        <v>0</v>
      </c>
      <c r="AH2171" s="11" t="s">
        <v>5472</v>
      </c>
      <c r="AI2171" s="8" t="b">
        <v>1</v>
      </c>
    </row>
    <row r="2172" spans="1:35" ht="31.2">
      <c r="A2172" s="8">
        <v>-73.96863707</v>
      </c>
      <c r="B2172" s="8">
        <v>40.77803823</v>
      </c>
      <c r="C2172" s="8" t="s">
        <v>5473</v>
      </c>
      <c r="D2172" s="8" t="s">
        <v>271</v>
      </c>
      <c r="E2172" s="8" t="b">
        <f t="shared" si="33"/>
        <v>0</v>
      </c>
      <c r="F2172" s="8" t="str" cm="1">
        <f t="array" ref="F2172">_xlfn._xlws.FILTER(E2172:E5370, C2172:C5370= "6D-PM-1020-01", "No Squirrels Found")</f>
        <v>No Squirrels Found</v>
      </c>
      <c r="G2172" s="8" t="s">
        <v>34</v>
      </c>
      <c r="H2172" s="10">
        <v>10182018</v>
      </c>
      <c r="I2172" s="10">
        <v>9</v>
      </c>
      <c r="J2172" s="8" t="s">
        <v>54</v>
      </c>
      <c r="K2172" s="8" t="s">
        <v>41</v>
      </c>
      <c r="L2172" s="8" t="s">
        <v>84</v>
      </c>
      <c r="M2172" s="8" t="s">
        <v>85</v>
      </c>
      <c r="O2172" s="8" t="s">
        <v>50</v>
      </c>
      <c r="P2172" s="8">
        <v>3</v>
      </c>
      <c r="Q2172" s="8" t="s">
        <v>5474</v>
      </c>
      <c r="R2172" s="8" t="b">
        <v>0</v>
      </c>
      <c r="S2172" s="8" t="b">
        <v>0</v>
      </c>
      <c r="T2172" s="8" t="b">
        <v>1</v>
      </c>
      <c r="U2172" s="8" t="b">
        <v>0</v>
      </c>
      <c r="V2172" s="8" t="b">
        <v>0</v>
      </c>
      <c r="X2172" s="8" t="b">
        <v>0</v>
      </c>
      <c r="Y2172" s="8" t="b">
        <v>0</v>
      </c>
      <c r="Z2172" s="8" t="b">
        <v>0</v>
      </c>
      <c r="AA2172" s="8" t="b">
        <v>0</v>
      </c>
      <c r="AB2172" s="8" t="b">
        <v>1</v>
      </c>
      <c r="AC2172" s="8" t="b">
        <v>0</v>
      </c>
      <c r="AD2172" s="8" t="b">
        <v>1</v>
      </c>
      <c r="AE2172" s="8" t="b">
        <v>0</v>
      </c>
      <c r="AG2172" s="11" t="b" cm="1">
        <f t="array" ref="AG2172">IF(OR(Y2172:AA2172="TRUE", AE2172="true"), "Threatened")</f>
        <v>0</v>
      </c>
      <c r="AH2172" s="11" t="s">
        <v>5475</v>
      </c>
      <c r="AI2172" s="8" t="b">
        <v>1</v>
      </c>
    </row>
    <row r="2173" spans="1:35" ht="31.2">
      <c r="A2173" s="8">
        <v>-73.964290090000006</v>
      </c>
      <c r="B2173" s="8">
        <v>40.791701719999999</v>
      </c>
      <c r="C2173" s="8" t="s">
        <v>5476</v>
      </c>
      <c r="D2173" s="8" t="s">
        <v>398</v>
      </c>
      <c r="E2173" s="8" t="b">
        <f t="shared" si="33"/>
        <v>0</v>
      </c>
      <c r="F2173" s="8" t="str" cm="1">
        <f t="array" ref="F2173">_xlfn._xlws.FILTER(E2173:E5371, C2173:C5371= "6D-PM-1020-01", "No Squirrels Found")</f>
        <v>No Squirrels Found</v>
      </c>
      <c r="G2173" s="8" t="s">
        <v>48</v>
      </c>
      <c r="H2173" s="10">
        <v>10102018</v>
      </c>
      <c r="I2173" s="10">
        <v>3</v>
      </c>
      <c r="J2173" s="8" t="s">
        <v>39</v>
      </c>
      <c r="K2173" s="8" t="s">
        <v>40</v>
      </c>
      <c r="M2173" s="8" t="s">
        <v>55</v>
      </c>
      <c r="O2173" s="8" t="s">
        <v>43</v>
      </c>
      <c r="P2173" s="8" t="b">
        <v>0</v>
      </c>
      <c r="R2173" s="8" t="b">
        <v>1</v>
      </c>
      <c r="S2173" s="8" t="b">
        <v>0</v>
      </c>
      <c r="T2173" s="8" t="b">
        <v>0</v>
      </c>
      <c r="U2173" s="8" t="b">
        <v>0</v>
      </c>
      <c r="V2173" s="8" t="b">
        <v>0</v>
      </c>
      <c r="X2173" s="8" t="b">
        <v>0</v>
      </c>
      <c r="Y2173" s="8" t="b">
        <v>0</v>
      </c>
      <c r="Z2173" s="8" t="b">
        <v>0</v>
      </c>
      <c r="AA2173" s="8" t="b">
        <v>0</v>
      </c>
      <c r="AB2173" s="8" t="b">
        <v>0</v>
      </c>
      <c r="AC2173" s="8" t="b">
        <v>0</v>
      </c>
      <c r="AD2173" s="8" t="b">
        <v>1</v>
      </c>
      <c r="AE2173" s="8" t="b">
        <v>0</v>
      </c>
      <c r="AG2173" s="11" t="b" cm="1">
        <f t="array" ref="AG2173">IF(OR(Y2173:AA2173="TRUE", AE2173="true"), "Threatened")</f>
        <v>0</v>
      </c>
      <c r="AH2173" s="11" t="s">
        <v>5477</v>
      </c>
      <c r="AI2173" s="8" t="b">
        <v>1</v>
      </c>
    </row>
    <row r="2174" spans="1:35" ht="31.2">
      <c r="A2174" s="8">
        <v>-73.954612330000003</v>
      </c>
      <c r="B2174" s="8">
        <v>40.794143490000003</v>
      </c>
      <c r="C2174" s="8" t="s">
        <v>5478</v>
      </c>
      <c r="D2174" s="8" t="s">
        <v>939</v>
      </c>
      <c r="E2174" s="8" t="b">
        <f t="shared" si="33"/>
        <v>0</v>
      </c>
      <c r="F2174" s="8" t="str" cm="1">
        <f t="array" ref="F2174">_xlfn._xlws.FILTER(E2174:E5372, C2174:C5372= "6D-PM-1020-01", "No Squirrels Found")</f>
        <v>No Squirrels Found</v>
      </c>
      <c r="G2174" s="8" t="s">
        <v>34</v>
      </c>
      <c r="H2174" s="10">
        <v>10072018</v>
      </c>
      <c r="I2174" s="10">
        <v>5</v>
      </c>
      <c r="J2174" s="8" t="s">
        <v>39</v>
      </c>
      <c r="K2174" s="8" t="s">
        <v>40</v>
      </c>
      <c r="L2174" s="8" t="s">
        <v>84</v>
      </c>
      <c r="M2174" s="8" t="s">
        <v>103</v>
      </c>
      <c r="O2174" s="8" t="s">
        <v>43</v>
      </c>
      <c r="P2174" s="8" t="b">
        <v>0</v>
      </c>
      <c r="R2174" s="8" t="b">
        <v>1</v>
      </c>
      <c r="S2174" s="8" t="b">
        <v>0</v>
      </c>
      <c r="T2174" s="8" t="b">
        <v>0</v>
      </c>
      <c r="U2174" s="8" t="b">
        <v>0</v>
      </c>
      <c r="V2174" s="8" t="b">
        <v>0</v>
      </c>
      <c r="W2174" s="11" t="s">
        <v>5479</v>
      </c>
      <c r="X2174" s="8" t="b">
        <v>0</v>
      </c>
      <c r="Y2174" s="8" t="b">
        <v>0</v>
      </c>
      <c r="Z2174" s="8" t="b">
        <v>0</v>
      </c>
      <c r="AA2174" s="8" t="b">
        <v>0</v>
      </c>
      <c r="AB2174" s="8" t="b">
        <v>0</v>
      </c>
      <c r="AC2174" s="8" t="b">
        <v>0</v>
      </c>
      <c r="AD2174" s="8" t="b">
        <v>0</v>
      </c>
      <c r="AE2174" s="8" t="b">
        <v>0</v>
      </c>
      <c r="AG2174" s="11" t="b" cm="1">
        <f t="array" ref="AG2174">IF(OR(Y2174:AA2174="TRUE", AE2174="true"), "Threatened")</f>
        <v>0</v>
      </c>
      <c r="AH2174" s="11" t="s">
        <v>5480</v>
      </c>
      <c r="AI2174" s="8" t="b">
        <v>0</v>
      </c>
    </row>
    <row r="2175" spans="1:35" ht="31.2">
      <c r="A2175" s="8">
        <v>-73.968409280000003</v>
      </c>
      <c r="B2175" s="8">
        <v>40.771144579999998</v>
      </c>
      <c r="C2175" s="8" t="s">
        <v>5481</v>
      </c>
      <c r="D2175" s="8" t="s">
        <v>1785</v>
      </c>
      <c r="E2175" s="8" t="b">
        <f t="shared" si="33"/>
        <v>0</v>
      </c>
      <c r="F2175" s="8" t="str" cm="1">
        <f t="array" ref="F2175">_xlfn._xlws.FILTER(E2175:E5373, C2175:C5373= "6D-PM-1020-01", "No Squirrels Found")</f>
        <v>No Squirrels Found</v>
      </c>
      <c r="G2175" s="8" t="s">
        <v>48</v>
      </c>
      <c r="H2175" s="10">
        <v>10142018</v>
      </c>
      <c r="I2175" s="10">
        <v>7</v>
      </c>
      <c r="J2175" s="8" t="s">
        <v>39</v>
      </c>
      <c r="K2175" s="8" t="s">
        <v>41</v>
      </c>
      <c r="M2175" s="8" t="s">
        <v>49</v>
      </c>
      <c r="N2175" s="11" t="s">
        <v>5482</v>
      </c>
      <c r="O2175" s="8" t="s">
        <v>43</v>
      </c>
      <c r="P2175" s="8" t="b">
        <v>0</v>
      </c>
      <c r="R2175" s="8" t="b">
        <v>0</v>
      </c>
      <c r="S2175" s="8" t="b">
        <v>0</v>
      </c>
      <c r="T2175" s="8" t="b">
        <v>1</v>
      </c>
      <c r="U2175" s="8" t="b">
        <v>1</v>
      </c>
      <c r="V2175" s="8" t="b">
        <v>1</v>
      </c>
      <c r="X2175" s="8" t="b">
        <v>0</v>
      </c>
      <c r="Y2175" s="8" t="b">
        <v>0</v>
      </c>
      <c r="Z2175" s="8" t="b">
        <v>0</v>
      </c>
      <c r="AA2175" s="8" t="b">
        <v>0</v>
      </c>
      <c r="AB2175" s="8" t="b">
        <v>0</v>
      </c>
      <c r="AC2175" s="8" t="b">
        <v>0</v>
      </c>
      <c r="AD2175" s="8" t="b">
        <v>1</v>
      </c>
      <c r="AE2175" s="8" t="b">
        <v>0</v>
      </c>
      <c r="AG2175" s="11" t="b" cm="1">
        <f t="array" ref="AG2175">IF(OR(Y2175:AA2175="TRUE", AE2175="true"), "Threatened")</f>
        <v>0</v>
      </c>
      <c r="AH2175" s="11" t="s">
        <v>5483</v>
      </c>
      <c r="AI2175" s="8" t="b">
        <v>1</v>
      </c>
    </row>
    <row r="2176" spans="1:35" ht="31.2">
      <c r="A2176" s="8">
        <v>-73.965748790000006</v>
      </c>
      <c r="B2176" s="8">
        <v>40.778682310000001</v>
      </c>
      <c r="C2176" s="8" t="s">
        <v>5484</v>
      </c>
      <c r="D2176" s="8" t="s">
        <v>520</v>
      </c>
      <c r="E2176" s="8" t="b">
        <f t="shared" si="33"/>
        <v>0</v>
      </c>
      <c r="F2176" s="8" t="str" cm="1">
        <f t="array" ref="F2176">_xlfn._xlws.FILTER(E2176:E5374, C2176:C5374= "6D-PM-1020-01", "No Squirrels Found")</f>
        <v>No Squirrels Found</v>
      </c>
      <c r="G2176" s="8" t="s">
        <v>34</v>
      </c>
      <c r="H2176" s="10">
        <v>10132018</v>
      </c>
      <c r="I2176" s="10">
        <v>4</v>
      </c>
      <c r="J2176" s="8" t="s">
        <v>39</v>
      </c>
      <c r="K2176" s="8" t="s">
        <v>40</v>
      </c>
      <c r="M2176" s="8" t="s">
        <v>55</v>
      </c>
      <c r="O2176" s="8" t="s">
        <v>50</v>
      </c>
      <c r="P2176" s="8">
        <v>3</v>
      </c>
      <c r="R2176" s="8" t="b">
        <v>0</v>
      </c>
      <c r="S2176" s="8" t="b">
        <v>0</v>
      </c>
      <c r="T2176" s="8" t="b">
        <v>1</v>
      </c>
      <c r="U2176" s="8" t="b">
        <v>1</v>
      </c>
      <c r="V2176" s="8" t="b">
        <v>1</v>
      </c>
      <c r="X2176" s="8" t="b">
        <v>0</v>
      </c>
      <c r="Y2176" s="8" t="b">
        <v>0</v>
      </c>
      <c r="Z2176" s="8" t="b">
        <v>0</v>
      </c>
      <c r="AA2176" s="8" t="b">
        <v>0</v>
      </c>
      <c r="AB2176" s="8" t="b">
        <v>0</v>
      </c>
      <c r="AC2176" s="8" t="b">
        <v>0</v>
      </c>
      <c r="AD2176" s="8" t="b">
        <v>0</v>
      </c>
      <c r="AE2176" s="8" t="b">
        <v>1</v>
      </c>
      <c r="AG2176" s="11" t="b" cm="1">
        <f t="array" ref="AG2176">IF(OR(Y2176:AA2176="TRUE", AE2176="true"), "Threatened")</f>
        <v>0</v>
      </c>
      <c r="AH2176" s="11" t="s">
        <v>5485</v>
      </c>
      <c r="AI2176" s="8" t="b">
        <v>1</v>
      </c>
    </row>
    <row r="2177" spans="1:35" ht="31.2">
      <c r="A2177" s="8">
        <v>-73.958320180000001</v>
      </c>
      <c r="B2177" s="8">
        <v>40.79139387</v>
      </c>
      <c r="C2177" s="8" t="s">
        <v>5486</v>
      </c>
      <c r="D2177" s="8" t="s">
        <v>92</v>
      </c>
      <c r="E2177" s="8" t="b">
        <f t="shared" si="33"/>
        <v>0</v>
      </c>
      <c r="F2177" s="8" t="str" cm="1">
        <f t="array" ref="F2177">_xlfn._xlws.FILTER(E2177:E5375, C2177:C5375= "6D-PM-1020-01", "No Squirrels Found")</f>
        <v>No Squirrels Found</v>
      </c>
      <c r="G2177" s="8" t="s">
        <v>34</v>
      </c>
      <c r="H2177" s="10">
        <v>10122018</v>
      </c>
      <c r="I2177" s="10">
        <v>5</v>
      </c>
      <c r="J2177" s="8" t="s">
        <v>39</v>
      </c>
      <c r="K2177" s="8" t="s">
        <v>40</v>
      </c>
      <c r="L2177" s="8" t="s">
        <v>168</v>
      </c>
      <c r="M2177" s="8" t="s">
        <v>169</v>
      </c>
      <c r="O2177" s="8" t="s">
        <v>43</v>
      </c>
      <c r="P2177" s="8" t="b">
        <v>0</v>
      </c>
      <c r="R2177" s="8" t="b">
        <v>1</v>
      </c>
      <c r="S2177" s="8" t="b">
        <v>0</v>
      </c>
      <c r="T2177" s="8" t="b">
        <v>0</v>
      </c>
      <c r="U2177" s="8" t="b">
        <v>0</v>
      </c>
      <c r="V2177" s="8" t="b">
        <v>1</v>
      </c>
      <c r="X2177" s="8" t="b">
        <v>1</v>
      </c>
      <c r="Y2177" s="8" t="b">
        <v>0</v>
      </c>
      <c r="Z2177" s="8" t="b">
        <v>0</v>
      </c>
      <c r="AA2177" s="8" t="b">
        <v>1</v>
      </c>
      <c r="AB2177" s="8" t="b">
        <v>1</v>
      </c>
      <c r="AC2177" s="8" t="b">
        <v>0</v>
      </c>
      <c r="AD2177" s="8" t="b">
        <v>0</v>
      </c>
      <c r="AE2177" s="8" t="b">
        <v>1</v>
      </c>
      <c r="AG2177" s="11" t="b" cm="1">
        <f t="array" ref="AG2177">IF(OR(Y2177:AA2177="TRUE", AE2177="true"), "Threatened")</f>
        <v>0</v>
      </c>
      <c r="AH2177" s="11" t="s">
        <v>5487</v>
      </c>
      <c r="AI2177" s="8" t="b">
        <v>1</v>
      </c>
    </row>
    <row r="2178" spans="1:35" ht="31.2">
      <c r="A2178" s="8">
        <v>-73.975821159999995</v>
      </c>
      <c r="B2178" s="8">
        <v>40.769342289999997</v>
      </c>
      <c r="C2178" s="8" t="s">
        <v>5488</v>
      </c>
      <c r="D2178" s="8" t="s">
        <v>259</v>
      </c>
      <c r="E2178" s="8" t="b">
        <f t="shared" si="33"/>
        <v>0</v>
      </c>
      <c r="F2178" s="8" t="str" cm="1">
        <f t="array" ref="F2178">_xlfn._xlws.FILTER(E2178:E5376, C2178:C5376= "6D-PM-1020-01", "No Squirrels Found")</f>
        <v>No Squirrels Found</v>
      </c>
      <c r="G2178" s="8" t="s">
        <v>48</v>
      </c>
      <c r="H2178" s="10">
        <v>10082018</v>
      </c>
      <c r="I2178" s="10">
        <v>10</v>
      </c>
      <c r="J2178" s="8" t="s">
        <v>39</v>
      </c>
      <c r="K2178" s="8" t="s">
        <v>40</v>
      </c>
      <c r="L2178" s="8" t="s">
        <v>117</v>
      </c>
      <c r="M2178" s="8" t="s">
        <v>118</v>
      </c>
      <c r="O2178" s="8" t="s">
        <v>50</v>
      </c>
      <c r="P2178" s="8">
        <v>6</v>
      </c>
      <c r="Q2178" s="8" t="s">
        <v>5489</v>
      </c>
      <c r="R2178" s="8" t="b">
        <v>1</v>
      </c>
      <c r="S2178" s="8" t="b">
        <v>0</v>
      </c>
      <c r="T2178" s="8" t="b">
        <v>0</v>
      </c>
      <c r="U2178" s="8" t="b">
        <v>0</v>
      </c>
      <c r="V2178" s="8" t="b">
        <v>1</v>
      </c>
      <c r="X2178" s="8" t="b">
        <v>0</v>
      </c>
      <c r="Y2178" s="8" t="b">
        <v>0</v>
      </c>
      <c r="Z2178" s="8" t="b">
        <v>0</v>
      </c>
      <c r="AA2178" s="8" t="b">
        <v>0</v>
      </c>
      <c r="AB2178" s="8" t="b">
        <v>0</v>
      </c>
      <c r="AC2178" s="8" t="b">
        <v>0</v>
      </c>
      <c r="AD2178" s="8" t="b">
        <v>1</v>
      </c>
      <c r="AE2178" s="8" t="b">
        <v>0</v>
      </c>
      <c r="AG2178" s="11" t="b" cm="1">
        <f t="array" ref="AG2178">IF(OR(Y2178:AA2178="TRUE", AE2178="true"), "Threatened")</f>
        <v>0</v>
      </c>
      <c r="AH2178" s="11" t="s">
        <v>5490</v>
      </c>
      <c r="AI2178" s="8" t="b">
        <v>1</v>
      </c>
    </row>
    <row r="2179" spans="1:35" ht="31.2">
      <c r="A2179" s="8">
        <v>-73.9557918</v>
      </c>
      <c r="B2179" s="8">
        <v>40.797922890000002</v>
      </c>
      <c r="C2179" s="8" t="s">
        <v>5491</v>
      </c>
      <c r="D2179" s="8" t="s">
        <v>439</v>
      </c>
      <c r="E2179" s="8" t="b">
        <f t="shared" ref="E2179:E2242" si="34">OR(D2179 = "05D", D2179 = "07D", D2179 = "06C", D2179 = "06E")</f>
        <v>0</v>
      </c>
      <c r="F2179" s="8" t="str" cm="1">
        <f t="array" ref="F2179">_xlfn._xlws.FILTER(E2179:E5377, C2179:C5377= "6D-PM-1020-01", "No Squirrels Found")</f>
        <v>No Squirrels Found</v>
      </c>
      <c r="G2179" s="8" t="s">
        <v>34</v>
      </c>
      <c r="H2179" s="10">
        <v>10132018</v>
      </c>
      <c r="I2179" s="10">
        <v>3</v>
      </c>
      <c r="J2179" s="8" t="s">
        <v>39</v>
      </c>
      <c r="K2179" s="8" t="s">
        <v>40</v>
      </c>
      <c r="L2179" s="8" t="s">
        <v>41</v>
      </c>
      <c r="M2179" s="8" t="s">
        <v>42</v>
      </c>
      <c r="O2179" s="8" t="s">
        <v>43</v>
      </c>
      <c r="P2179" s="8" t="b">
        <v>0</v>
      </c>
      <c r="R2179" s="8" t="b">
        <v>0</v>
      </c>
      <c r="S2179" s="8" t="b">
        <v>0</v>
      </c>
      <c r="T2179" s="8" t="b">
        <v>0</v>
      </c>
      <c r="U2179" s="8" t="b">
        <v>0</v>
      </c>
      <c r="V2179" s="8" t="b">
        <v>1</v>
      </c>
      <c r="X2179" s="8" t="b">
        <v>0</v>
      </c>
      <c r="Y2179" s="8" t="b">
        <v>0</v>
      </c>
      <c r="Z2179" s="8" t="b">
        <v>0</v>
      </c>
      <c r="AA2179" s="8" t="b">
        <v>0</v>
      </c>
      <c r="AB2179" s="8" t="b">
        <v>0</v>
      </c>
      <c r="AC2179" s="8" t="b">
        <v>0</v>
      </c>
      <c r="AD2179" s="8" t="b">
        <v>1</v>
      </c>
      <c r="AE2179" s="8" t="b">
        <v>0</v>
      </c>
      <c r="AG2179" s="11" t="b" cm="1">
        <f t="array" ref="AG2179">IF(OR(Y2179:AA2179="TRUE", AE2179="true"), "Threatened")</f>
        <v>0</v>
      </c>
      <c r="AH2179" s="11" t="s">
        <v>5492</v>
      </c>
      <c r="AI2179" s="8" t="b">
        <v>1</v>
      </c>
    </row>
    <row r="2180" spans="1:35" ht="31.2">
      <c r="A2180" s="8">
        <v>-73.95596639</v>
      </c>
      <c r="B2180" s="8">
        <v>40.797449729999997</v>
      </c>
      <c r="C2180" s="8" t="s">
        <v>5493</v>
      </c>
      <c r="D2180" s="8" t="s">
        <v>439</v>
      </c>
      <c r="E2180" s="8" t="b">
        <f t="shared" si="34"/>
        <v>0</v>
      </c>
      <c r="F2180" s="8" t="str" cm="1">
        <f t="array" ref="F2180">_xlfn._xlws.FILTER(E2180:E5378, C2180:C5378= "6D-PM-1020-01", "No Squirrels Found")</f>
        <v>No Squirrels Found</v>
      </c>
      <c r="G2180" s="8" t="s">
        <v>48</v>
      </c>
      <c r="H2180" s="10">
        <v>10132018</v>
      </c>
      <c r="I2180" s="10">
        <v>7</v>
      </c>
      <c r="J2180" s="8" t="s">
        <v>39</v>
      </c>
      <c r="K2180" s="8" t="s">
        <v>40</v>
      </c>
      <c r="M2180" s="8" t="s">
        <v>55</v>
      </c>
      <c r="O2180" s="8" t="s">
        <v>50</v>
      </c>
      <c r="P2180" s="8">
        <v>6</v>
      </c>
      <c r="R2180" s="8" t="b">
        <v>0</v>
      </c>
      <c r="S2180" s="8" t="b">
        <v>0</v>
      </c>
      <c r="T2180" s="8" t="b">
        <v>1</v>
      </c>
      <c r="U2180" s="8" t="b">
        <v>0</v>
      </c>
      <c r="V2180" s="8" t="b">
        <v>1</v>
      </c>
      <c r="X2180" s="8" t="b">
        <v>0</v>
      </c>
      <c r="Y2180" s="8" t="b">
        <v>0</v>
      </c>
      <c r="Z2180" s="8" t="b">
        <v>0</v>
      </c>
      <c r="AA2180" s="8" t="b">
        <v>0</v>
      </c>
      <c r="AB2180" s="8" t="b">
        <v>0</v>
      </c>
      <c r="AC2180" s="8" t="b">
        <v>0</v>
      </c>
      <c r="AD2180" s="8" t="b">
        <v>0</v>
      </c>
      <c r="AE2180" s="8" t="b">
        <v>1</v>
      </c>
      <c r="AF2180" s="11" t="s">
        <v>1751</v>
      </c>
      <c r="AG2180" s="11" t="b" cm="1">
        <f t="array" ref="AG2180">IF(OR(Y2180:AA2180="TRUE", AE2180="true"), "Threatened")</f>
        <v>0</v>
      </c>
      <c r="AH2180" s="11" t="s">
        <v>5494</v>
      </c>
      <c r="AI2180" s="8" t="b">
        <v>1</v>
      </c>
    </row>
    <row r="2181" spans="1:35" ht="31.2">
      <c r="A2181" s="8">
        <v>-73.960864330000007</v>
      </c>
      <c r="B2181" s="8">
        <v>40.790212259999997</v>
      </c>
      <c r="C2181" s="8" t="s">
        <v>5495</v>
      </c>
      <c r="D2181" s="8" t="s">
        <v>621</v>
      </c>
      <c r="E2181" s="8" t="b">
        <f t="shared" si="34"/>
        <v>0</v>
      </c>
      <c r="F2181" s="8" t="str" cm="1">
        <f t="array" ref="F2181">_xlfn._xlws.FILTER(E2181:E5379, C2181:C5379= "6D-PM-1020-01", "No Squirrels Found")</f>
        <v>No Squirrels Found</v>
      </c>
      <c r="G2181" s="8" t="s">
        <v>34</v>
      </c>
      <c r="H2181" s="10">
        <v>10062018</v>
      </c>
      <c r="I2181" s="10">
        <v>2</v>
      </c>
      <c r="J2181" s="8" t="s">
        <v>39</v>
      </c>
      <c r="K2181" s="8" t="s">
        <v>40</v>
      </c>
      <c r="M2181" s="8" t="s">
        <v>55</v>
      </c>
      <c r="O2181" s="8" t="s">
        <v>50</v>
      </c>
      <c r="P2181" s="8">
        <v>15</v>
      </c>
      <c r="R2181" s="8" t="b">
        <v>0</v>
      </c>
      <c r="S2181" s="8" t="b">
        <v>0</v>
      </c>
      <c r="T2181" s="8" t="b">
        <v>1</v>
      </c>
      <c r="U2181" s="8" t="b">
        <v>0</v>
      </c>
      <c r="V2181" s="8" t="b">
        <v>0</v>
      </c>
      <c r="X2181" s="8" t="b">
        <v>0</v>
      </c>
      <c r="Y2181" s="8" t="b">
        <v>0</v>
      </c>
      <c r="Z2181" s="8" t="b">
        <v>0</v>
      </c>
      <c r="AA2181" s="8" t="b">
        <v>0</v>
      </c>
      <c r="AB2181" s="8" t="b">
        <v>0</v>
      </c>
      <c r="AC2181" s="8" t="b">
        <v>0</v>
      </c>
      <c r="AD2181" s="8" t="b">
        <v>1</v>
      </c>
      <c r="AE2181" s="8" t="b">
        <v>0</v>
      </c>
      <c r="AG2181" s="11" t="b" cm="1">
        <f t="array" ref="AG2181">IF(OR(Y2181:AA2181="TRUE", AE2181="true"), "Threatened")</f>
        <v>0</v>
      </c>
      <c r="AH2181" s="11" t="s">
        <v>5496</v>
      </c>
      <c r="AI2181" s="8" t="b">
        <v>1</v>
      </c>
    </row>
    <row r="2182" spans="1:35" ht="31.2">
      <c r="A2182" s="8">
        <v>-73.970253020000001</v>
      </c>
      <c r="B2182" s="8">
        <v>40.773624120000001</v>
      </c>
      <c r="C2182" s="8" t="s">
        <v>5497</v>
      </c>
      <c r="D2182" s="8" t="s">
        <v>1168</v>
      </c>
      <c r="E2182" s="8" t="b">
        <f t="shared" si="34"/>
        <v>0</v>
      </c>
      <c r="F2182" s="8" t="str" cm="1">
        <f t="array" ref="F2182">_xlfn._xlws.FILTER(E2182:E5380, C2182:C5380= "6D-PM-1020-01", "No Squirrels Found")</f>
        <v>No Squirrels Found</v>
      </c>
      <c r="G2182" s="8" t="s">
        <v>48</v>
      </c>
      <c r="H2182" s="10">
        <v>10132018</v>
      </c>
      <c r="I2182" s="10">
        <v>1</v>
      </c>
      <c r="J2182" s="8" t="s">
        <v>39</v>
      </c>
      <c r="K2182" s="8" t="s">
        <v>40</v>
      </c>
      <c r="M2182" s="8" t="s">
        <v>55</v>
      </c>
      <c r="O2182" s="8" t="s">
        <v>43</v>
      </c>
      <c r="P2182" s="8" t="b">
        <v>0</v>
      </c>
      <c r="R2182" s="8" t="b">
        <v>1</v>
      </c>
      <c r="S2182" s="8" t="b">
        <v>0</v>
      </c>
      <c r="T2182" s="8" t="b">
        <v>0</v>
      </c>
      <c r="U2182" s="8" t="b">
        <v>0</v>
      </c>
      <c r="V2182" s="8" t="b">
        <v>0</v>
      </c>
      <c r="X2182" s="8" t="b">
        <v>0</v>
      </c>
      <c r="Y2182" s="8" t="b">
        <v>0</v>
      </c>
      <c r="Z2182" s="8" t="b">
        <v>0</v>
      </c>
      <c r="AA2182" s="8" t="b">
        <v>0</v>
      </c>
      <c r="AB2182" s="8" t="b">
        <v>0</v>
      </c>
      <c r="AC2182" s="8" t="b">
        <v>0</v>
      </c>
      <c r="AD2182" s="8" t="b">
        <v>1</v>
      </c>
      <c r="AE2182" s="8" t="b">
        <v>0</v>
      </c>
      <c r="AG2182" s="11" t="b" cm="1">
        <f t="array" ref="AG2182">IF(OR(Y2182:AA2182="TRUE", AE2182="true"), "Threatened")</f>
        <v>0</v>
      </c>
      <c r="AH2182" s="11" t="s">
        <v>5498</v>
      </c>
      <c r="AI2182" s="8" t="b">
        <v>1</v>
      </c>
    </row>
    <row r="2183" spans="1:35" ht="31.2">
      <c r="A2183" s="8">
        <v>-73.95736565</v>
      </c>
      <c r="B2183" s="8">
        <v>40.797975460000004</v>
      </c>
      <c r="C2183" s="8" t="s">
        <v>5499</v>
      </c>
      <c r="D2183" s="8" t="s">
        <v>1248</v>
      </c>
      <c r="E2183" s="8" t="b">
        <f t="shared" si="34"/>
        <v>0</v>
      </c>
      <c r="F2183" s="8" t="str" cm="1">
        <f t="array" ref="F2183">_xlfn._xlws.FILTER(E2183:E5381, C2183:C5381= "6D-PM-1020-01", "No Squirrels Found")</f>
        <v>No Squirrels Found</v>
      </c>
      <c r="G2183" s="8" t="s">
        <v>48</v>
      </c>
      <c r="H2183" s="10">
        <v>10172018</v>
      </c>
      <c r="I2183" s="10">
        <v>1</v>
      </c>
      <c r="J2183" s="8" t="s">
        <v>39</v>
      </c>
      <c r="K2183" s="8" t="s">
        <v>40</v>
      </c>
      <c r="M2183" s="8" t="s">
        <v>55</v>
      </c>
      <c r="O2183" s="8" t="s">
        <v>43</v>
      </c>
      <c r="P2183" s="8" t="b">
        <v>0</v>
      </c>
      <c r="R2183" s="8" t="b">
        <v>0</v>
      </c>
      <c r="S2183" s="8" t="b">
        <v>1</v>
      </c>
      <c r="T2183" s="8" t="b">
        <v>0</v>
      </c>
      <c r="U2183" s="8" t="b">
        <v>0</v>
      </c>
      <c r="V2183" s="8" t="b">
        <v>0</v>
      </c>
      <c r="W2183" s="11" t="s">
        <v>5500</v>
      </c>
      <c r="X2183" s="8" t="b">
        <v>0</v>
      </c>
      <c r="Y2183" s="8" t="b">
        <v>0</v>
      </c>
      <c r="Z2183" s="8" t="b">
        <v>0</v>
      </c>
      <c r="AA2183" s="8" t="b">
        <v>0</v>
      </c>
      <c r="AB2183" s="8" t="b">
        <v>0</v>
      </c>
      <c r="AC2183" s="8" t="b">
        <v>0</v>
      </c>
      <c r="AD2183" s="8" t="b">
        <v>0</v>
      </c>
      <c r="AE2183" s="8" t="b">
        <v>1</v>
      </c>
      <c r="AG2183" s="11" t="b" cm="1">
        <f t="array" ref="AG2183">IF(OR(Y2183:AA2183="TRUE", AE2183="true"), "Threatened")</f>
        <v>0</v>
      </c>
      <c r="AH2183" s="11" t="s">
        <v>5501</v>
      </c>
      <c r="AI2183" s="8" t="b">
        <v>0</v>
      </c>
    </row>
    <row r="2184" spans="1:35" ht="31.2">
      <c r="A2184" s="8">
        <v>-73.967334940000001</v>
      </c>
      <c r="B2184" s="8">
        <v>40.777328969999999</v>
      </c>
      <c r="C2184" s="8" t="s">
        <v>5502</v>
      </c>
      <c r="D2184" s="8" t="s">
        <v>960</v>
      </c>
      <c r="E2184" s="8" t="b">
        <f t="shared" si="34"/>
        <v>0</v>
      </c>
      <c r="F2184" s="8" t="str" cm="1">
        <f t="array" ref="F2184">_xlfn._xlws.FILTER(E2184:E5382, C2184:C5382= "6D-PM-1020-01", "No Squirrels Found")</f>
        <v>No Squirrels Found</v>
      </c>
      <c r="G2184" s="8" t="s">
        <v>34</v>
      </c>
      <c r="H2184" s="10">
        <v>10132018</v>
      </c>
      <c r="I2184" s="10">
        <v>1</v>
      </c>
      <c r="J2184" s="8" t="s">
        <v>39</v>
      </c>
      <c r="K2184" s="8" t="s">
        <v>40</v>
      </c>
      <c r="L2184" s="8" t="s">
        <v>41</v>
      </c>
      <c r="M2184" s="8" t="s">
        <v>42</v>
      </c>
      <c r="O2184" s="8" t="s">
        <v>43</v>
      </c>
      <c r="P2184" s="8" t="b">
        <v>0</v>
      </c>
      <c r="Q2184" s="8" t="s">
        <v>961</v>
      </c>
      <c r="R2184" s="8" t="b">
        <v>0</v>
      </c>
      <c r="S2184" s="8" t="b">
        <v>0</v>
      </c>
      <c r="T2184" s="8" t="b">
        <v>0</v>
      </c>
      <c r="U2184" s="8" t="b">
        <v>1</v>
      </c>
      <c r="V2184" s="8" t="b">
        <v>1</v>
      </c>
      <c r="X2184" s="8" t="b">
        <v>0</v>
      </c>
      <c r="Y2184" s="8" t="b">
        <v>0</v>
      </c>
      <c r="Z2184" s="8" t="b">
        <v>0</v>
      </c>
      <c r="AA2184" s="8" t="b">
        <v>0</v>
      </c>
      <c r="AB2184" s="8" t="b">
        <v>0</v>
      </c>
      <c r="AC2184" s="8" t="b">
        <v>0</v>
      </c>
      <c r="AD2184" s="8" t="b">
        <v>0</v>
      </c>
      <c r="AE2184" s="8" t="b">
        <v>1</v>
      </c>
      <c r="AG2184" s="11" t="b" cm="1">
        <f t="array" ref="AG2184">IF(OR(Y2184:AA2184="TRUE", AE2184="true"), "Threatened")</f>
        <v>0</v>
      </c>
      <c r="AH2184" s="11" t="s">
        <v>5503</v>
      </c>
      <c r="AI2184" s="8" t="b">
        <v>1</v>
      </c>
    </row>
    <row r="2185" spans="1:35" ht="31.2">
      <c r="A2185" s="8">
        <v>-73.96949386</v>
      </c>
      <c r="B2185" s="8">
        <v>40.774570009999998</v>
      </c>
      <c r="C2185" s="8" t="s">
        <v>5504</v>
      </c>
      <c r="D2185" s="8" t="s">
        <v>655</v>
      </c>
      <c r="E2185" s="8" t="b">
        <f t="shared" si="34"/>
        <v>0</v>
      </c>
      <c r="F2185" s="8" t="str" cm="1">
        <f t="array" ref="F2185">_xlfn._xlws.FILTER(E2185:E5383, C2185:C5383= "6D-PM-1020-01", "No Squirrels Found")</f>
        <v>No Squirrels Found</v>
      </c>
      <c r="G2185" s="8" t="s">
        <v>34</v>
      </c>
      <c r="H2185" s="10">
        <v>10072018</v>
      </c>
      <c r="I2185" s="10">
        <v>3</v>
      </c>
      <c r="J2185" s="8" t="s">
        <v>39</v>
      </c>
      <c r="K2185" s="8" t="s">
        <v>41</v>
      </c>
      <c r="L2185" s="8" t="s">
        <v>40</v>
      </c>
      <c r="M2185" s="8" t="s">
        <v>110</v>
      </c>
      <c r="O2185" s="8" t="s">
        <v>43</v>
      </c>
      <c r="P2185" s="8" t="b">
        <v>0</v>
      </c>
      <c r="R2185" s="8" t="b">
        <v>0</v>
      </c>
      <c r="S2185" s="8" t="b">
        <v>0</v>
      </c>
      <c r="T2185" s="8" t="b">
        <v>0</v>
      </c>
      <c r="U2185" s="8" t="b">
        <v>1</v>
      </c>
      <c r="V2185" s="8" t="b">
        <v>1</v>
      </c>
      <c r="X2185" s="8" t="b">
        <v>0</v>
      </c>
      <c r="Y2185" s="8" t="b">
        <v>0</v>
      </c>
      <c r="Z2185" s="8" t="b">
        <v>0</v>
      </c>
      <c r="AA2185" s="8" t="b">
        <v>0</v>
      </c>
      <c r="AB2185" s="8" t="b">
        <v>0</v>
      </c>
      <c r="AC2185" s="8" t="b">
        <v>0</v>
      </c>
      <c r="AD2185" s="8" t="b">
        <v>1</v>
      </c>
      <c r="AE2185" s="8" t="b">
        <v>0</v>
      </c>
      <c r="AG2185" s="11" t="b" cm="1">
        <f t="array" ref="AG2185">IF(OR(Y2185:AA2185="TRUE", AE2185="true"), "Threatened")</f>
        <v>0</v>
      </c>
      <c r="AH2185" s="11" t="s">
        <v>5505</v>
      </c>
      <c r="AI2185" s="8" t="b">
        <v>1</v>
      </c>
    </row>
    <row r="2186" spans="1:35" ht="31.2">
      <c r="A2186" s="8">
        <v>-73.970757140000003</v>
      </c>
      <c r="B2186" s="8">
        <v>40.775885979999998</v>
      </c>
      <c r="C2186" s="8" t="s">
        <v>5506</v>
      </c>
      <c r="D2186" s="8" t="s">
        <v>79</v>
      </c>
      <c r="E2186" s="8" t="b">
        <f t="shared" si="34"/>
        <v>0</v>
      </c>
      <c r="F2186" s="8" t="str" cm="1">
        <f t="array" ref="F2186">_xlfn._xlws.FILTER(E2186:E5384, C2186:C5384= "6D-PM-1020-01", "No Squirrels Found")</f>
        <v>No Squirrels Found</v>
      </c>
      <c r="G2186" s="8" t="s">
        <v>34</v>
      </c>
      <c r="H2186" s="10">
        <v>10082018</v>
      </c>
      <c r="I2186" s="10">
        <v>2</v>
      </c>
      <c r="J2186" s="8" t="s">
        <v>39</v>
      </c>
      <c r="K2186" s="8" t="s">
        <v>40</v>
      </c>
      <c r="L2186" s="8" t="s">
        <v>84</v>
      </c>
      <c r="M2186" s="8" t="s">
        <v>103</v>
      </c>
      <c r="O2186" s="8" t="s">
        <v>50</v>
      </c>
      <c r="P2186" s="8">
        <v>10</v>
      </c>
      <c r="R2186" s="8" t="b">
        <v>0</v>
      </c>
      <c r="S2186" s="8" t="b">
        <v>0</v>
      </c>
      <c r="T2186" s="8" t="b">
        <v>0</v>
      </c>
      <c r="U2186" s="8" t="b">
        <v>0</v>
      </c>
      <c r="V2186" s="8" t="b">
        <v>1</v>
      </c>
      <c r="X2186" s="8" t="b">
        <v>0</v>
      </c>
      <c r="Y2186" s="8" t="b">
        <v>0</v>
      </c>
      <c r="Z2186" s="8" t="b">
        <v>0</v>
      </c>
      <c r="AA2186" s="8" t="b">
        <v>1</v>
      </c>
      <c r="AB2186" s="8" t="b">
        <v>0</v>
      </c>
      <c r="AC2186" s="8" t="b">
        <v>0</v>
      </c>
      <c r="AD2186" s="8" t="b">
        <v>1</v>
      </c>
      <c r="AE2186" s="8" t="b">
        <v>0</v>
      </c>
      <c r="AG2186" s="11" t="b" cm="1">
        <f t="array" ref="AG2186">IF(OR(Y2186:AA2186="TRUE", AE2186="true"), "Threatened")</f>
        <v>0</v>
      </c>
      <c r="AH2186" s="11" t="s">
        <v>5507</v>
      </c>
      <c r="AI2186" s="8" t="b">
        <v>1</v>
      </c>
    </row>
    <row r="2187" spans="1:35" ht="31.2">
      <c r="A2187" s="8">
        <v>-73.956110370000005</v>
      </c>
      <c r="B2187" s="8">
        <v>40.794914089999999</v>
      </c>
      <c r="C2187" s="8" t="s">
        <v>5508</v>
      </c>
      <c r="D2187" s="8" t="s">
        <v>38</v>
      </c>
      <c r="E2187" s="8" t="b">
        <f t="shared" si="34"/>
        <v>0</v>
      </c>
      <c r="F2187" s="8" t="str" cm="1">
        <f t="array" ref="F2187">_xlfn._xlws.FILTER(E2187:E5385, C2187:C5385= "6D-PM-1020-01", "No Squirrels Found")</f>
        <v>No Squirrels Found</v>
      </c>
      <c r="G2187" s="8" t="s">
        <v>48</v>
      </c>
      <c r="H2187" s="10">
        <v>10132018</v>
      </c>
      <c r="I2187" s="10">
        <v>3</v>
      </c>
      <c r="J2187" s="8" t="s">
        <v>39</v>
      </c>
      <c r="K2187" s="8" t="s">
        <v>40</v>
      </c>
      <c r="L2187" s="8" t="s">
        <v>41</v>
      </c>
      <c r="M2187" s="8" t="s">
        <v>42</v>
      </c>
      <c r="O2187" s="8" t="s">
        <v>43</v>
      </c>
      <c r="P2187" s="8" t="b">
        <v>0</v>
      </c>
      <c r="R2187" s="8" t="b">
        <v>0</v>
      </c>
      <c r="S2187" s="8" t="b">
        <v>0</v>
      </c>
      <c r="T2187" s="8" t="b">
        <v>0</v>
      </c>
      <c r="U2187" s="8" t="b">
        <v>0</v>
      </c>
      <c r="V2187" s="8" t="b">
        <v>1</v>
      </c>
      <c r="X2187" s="8" t="b">
        <v>0</v>
      </c>
      <c r="Y2187" s="8" t="b">
        <v>0</v>
      </c>
      <c r="Z2187" s="8" t="b">
        <v>0</v>
      </c>
      <c r="AA2187" s="8" t="b">
        <v>0</v>
      </c>
      <c r="AB2187" s="8" t="b">
        <v>0</v>
      </c>
      <c r="AC2187" s="8" t="b">
        <v>0</v>
      </c>
      <c r="AD2187" s="8" t="b">
        <v>1</v>
      </c>
      <c r="AE2187" s="8" t="b">
        <v>0</v>
      </c>
      <c r="AG2187" s="11" t="b" cm="1">
        <f t="array" ref="AG2187">IF(OR(Y2187:AA2187="TRUE", AE2187="true"), "Threatened")</f>
        <v>0</v>
      </c>
      <c r="AH2187" s="11" t="s">
        <v>5509</v>
      </c>
      <c r="AI2187" s="8" t="b">
        <v>1</v>
      </c>
    </row>
    <row r="2188" spans="1:35" ht="31.2">
      <c r="A2188" s="8">
        <v>-73.969913410000004</v>
      </c>
      <c r="B2188" s="8">
        <v>40.774446589999997</v>
      </c>
      <c r="C2188" s="8" t="s">
        <v>5510</v>
      </c>
      <c r="D2188" s="8" t="s">
        <v>655</v>
      </c>
      <c r="E2188" s="8" t="b">
        <f t="shared" si="34"/>
        <v>0</v>
      </c>
      <c r="F2188" s="8" t="str" cm="1">
        <f t="array" ref="F2188">_xlfn._xlws.FILTER(E2188:E5386, C2188:C5386= "6D-PM-1020-01", "No Squirrels Found")</f>
        <v>No Squirrels Found</v>
      </c>
      <c r="G2188" s="8" t="s">
        <v>34</v>
      </c>
      <c r="H2188" s="10">
        <v>10072018</v>
      </c>
      <c r="I2188" s="10">
        <v>14</v>
      </c>
      <c r="J2188" s="8" t="s">
        <v>39</v>
      </c>
      <c r="K2188" s="8" t="s">
        <v>40</v>
      </c>
      <c r="L2188" s="8" t="s">
        <v>117</v>
      </c>
      <c r="M2188" s="8" t="s">
        <v>118</v>
      </c>
      <c r="O2188" s="8" t="s">
        <v>43</v>
      </c>
      <c r="P2188" s="8" t="b">
        <v>0</v>
      </c>
      <c r="R2188" s="8" t="b">
        <v>0</v>
      </c>
      <c r="S2188" s="8" t="b">
        <v>0</v>
      </c>
      <c r="T2188" s="8" t="b">
        <v>1</v>
      </c>
      <c r="U2188" s="8" t="b">
        <v>1</v>
      </c>
      <c r="V2188" s="8" t="b">
        <v>1</v>
      </c>
      <c r="X2188" s="8" t="b">
        <v>0</v>
      </c>
      <c r="Y2188" s="8" t="b">
        <v>0</v>
      </c>
      <c r="Z2188" s="8" t="b">
        <v>0</v>
      </c>
      <c r="AA2188" s="8" t="b">
        <v>0</v>
      </c>
      <c r="AB2188" s="8" t="b">
        <v>0</v>
      </c>
      <c r="AC2188" s="8" t="b">
        <v>1</v>
      </c>
      <c r="AD2188" s="8" t="b">
        <v>1</v>
      </c>
      <c r="AE2188" s="8" t="b">
        <v>0</v>
      </c>
      <c r="AG2188" s="11" t="b" cm="1">
        <f t="array" ref="AG2188">IF(OR(Y2188:AA2188="TRUE", AE2188="true"), "Threatened")</f>
        <v>0</v>
      </c>
      <c r="AH2188" s="11" t="s">
        <v>5511</v>
      </c>
      <c r="AI2188" s="8" t="b">
        <v>1</v>
      </c>
    </row>
    <row r="2189" spans="1:35" ht="31.2">
      <c r="A2189" s="8">
        <v>-73.967611329999997</v>
      </c>
      <c r="B2189" s="8">
        <v>40.780348240000002</v>
      </c>
      <c r="C2189" s="8" t="s">
        <v>5512</v>
      </c>
      <c r="D2189" s="8" t="s">
        <v>2083</v>
      </c>
      <c r="E2189" s="8" t="b">
        <f t="shared" si="34"/>
        <v>0</v>
      </c>
      <c r="F2189" s="8" t="str" cm="1">
        <f t="array" ref="F2189">_xlfn._xlws.FILTER(E2189:E5387, C2189:C5387= "6D-PM-1020-01", "No Squirrels Found")</f>
        <v>No Squirrels Found</v>
      </c>
      <c r="G2189" s="8" t="s">
        <v>34</v>
      </c>
      <c r="H2189" s="10">
        <v>10182018</v>
      </c>
      <c r="I2189" s="10">
        <v>3</v>
      </c>
      <c r="J2189" s="8" t="s">
        <v>39</v>
      </c>
      <c r="K2189" s="8" t="s">
        <v>40</v>
      </c>
      <c r="M2189" s="8" t="s">
        <v>55</v>
      </c>
      <c r="O2189" s="8" t="s">
        <v>43</v>
      </c>
      <c r="P2189" s="8" t="b">
        <v>0</v>
      </c>
      <c r="Q2189" s="8" t="s">
        <v>5513</v>
      </c>
      <c r="R2189" s="8" t="b">
        <v>0</v>
      </c>
      <c r="S2189" s="8" t="b">
        <v>0</v>
      </c>
      <c r="T2189" s="8" t="b">
        <v>0</v>
      </c>
      <c r="U2189" s="8" t="b">
        <v>1</v>
      </c>
      <c r="V2189" s="8" t="b">
        <v>0</v>
      </c>
      <c r="X2189" s="8" t="b">
        <v>0</v>
      </c>
      <c r="Y2189" s="8" t="b">
        <v>0</v>
      </c>
      <c r="Z2189" s="8" t="b">
        <v>0</v>
      </c>
      <c r="AA2189" s="8" t="b">
        <v>0</v>
      </c>
      <c r="AB2189" s="8" t="b">
        <v>0</v>
      </c>
      <c r="AC2189" s="8" t="b">
        <v>0</v>
      </c>
      <c r="AD2189" s="8" t="b">
        <v>0</v>
      </c>
      <c r="AE2189" s="8" t="b">
        <v>0</v>
      </c>
      <c r="AG2189" s="11" t="b" cm="1">
        <f t="array" ref="AG2189">IF(OR(Y2189:AA2189="TRUE", AE2189="true"), "Threatened")</f>
        <v>0</v>
      </c>
      <c r="AH2189" s="11" t="s">
        <v>5514</v>
      </c>
      <c r="AI2189" s="8" t="b">
        <v>1</v>
      </c>
    </row>
    <row r="2190" spans="1:35" ht="31.2">
      <c r="A2190" s="8">
        <v>-73.976177640000003</v>
      </c>
      <c r="B2190" s="8">
        <v>40.769594179999999</v>
      </c>
      <c r="C2190" s="8" t="s">
        <v>5515</v>
      </c>
      <c r="D2190" s="8" t="s">
        <v>53</v>
      </c>
      <c r="E2190" s="8" t="b">
        <f t="shared" si="34"/>
        <v>1</v>
      </c>
      <c r="F2190" s="8" t="str" cm="1">
        <f t="array" ref="F2190">_xlfn._xlws.FILTER(E2190:E5388, C2190:C5388= "6D-PM-1020-01", "No Squirrels Found")</f>
        <v>No Squirrels Found</v>
      </c>
      <c r="G2190" s="8" t="s">
        <v>34</v>
      </c>
      <c r="H2190" s="10">
        <v>10182018</v>
      </c>
      <c r="I2190" s="10">
        <v>7</v>
      </c>
      <c r="J2190" s="8" t="s">
        <v>39</v>
      </c>
      <c r="K2190" s="8" t="s">
        <v>40</v>
      </c>
      <c r="L2190" s="8" t="s">
        <v>84</v>
      </c>
      <c r="M2190" s="8" t="s">
        <v>103</v>
      </c>
      <c r="O2190" s="8" t="s">
        <v>43</v>
      </c>
      <c r="P2190" s="8" t="b">
        <v>0</v>
      </c>
      <c r="R2190" s="8" t="b">
        <v>0</v>
      </c>
      <c r="S2190" s="8" t="b">
        <v>0</v>
      </c>
      <c r="T2190" s="8" t="b">
        <v>0</v>
      </c>
      <c r="U2190" s="8" t="b">
        <v>1</v>
      </c>
      <c r="V2190" s="8" t="b">
        <v>0</v>
      </c>
      <c r="X2190" s="8" t="b">
        <v>0</v>
      </c>
      <c r="Y2190" s="8" t="b">
        <v>0</v>
      </c>
      <c r="Z2190" s="8" t="b">
        <v>0</v>
      </c>
      <c r="AA2190" s="8" t="b">
        <v>0</v>
      </c>
      <c r="AB2190" s="8" t="b">
        <v>0</v>
      </c>
      <c r="AC2190" s="8" t="b">
        <v>0</v>
      </c>
      <c r="AD2190" s="8" t="b">
        <v>1</v>
      </c>
      <c r="AE2190" s="8" t="b">
        <v>0</v>
      </c>
      <c r="AG2190" s="11" t="b" cm="1">
        <f t="array" ref="AG2190">IF(OR(Y2190:AA2190="TRUE", AE2190="true"), "Threatened")</f>
        <v>0</v>
      </c>
      <c r="AH2190" s="11" t="s">
        <v>5516</v>
      </c>
      <c r="AI2190" s="8" t="b">
        <v>1</v>
      </c>
    </row>
    <row r="2191" spans="1:35" ht="31.2">
      <c r="A2191" s="8">
        <v>-73.965704040000006</v>
      </c>
      <c r="B2191" s="8">
        <v>40.775556739999999</v>
      </c>
      <c r="C2191" s="8" t="s">
        <v>5517</v>
      </c>
      <c r="D2191" s="8" t="s">
        <v>419</v>
      </c>
      <c r="E2191" s="8" t="b">
        <f t="shared" si="34"/>
        <v>0</v>
      </c>
      <c r="F2191" s="8" t="str" cm="1">
        <f t="array" ref="F2191">_xlfn._xlws.FILTER(E2191:E5389, C2191:C5389= "6D-PM-1020-01", "No Squirrels Found")</f>
        <v>No Squirrels Found</v>
      </c>
      <c r="G2191" s="8" t="s">
        <v>48</v>
      </c>
      <c r="H2191" s="10">
        <v>10082018</v>
      </c>
      <c r="I2191" s="10">
        <v>6</v>
      </c>
      <c r="J2191" s="8" t="s">
        <v>39</v>
      </c>
      <c r="K2191" s="8" t="s">
        <v>41</v>
      </c>
      <c r="L2191" s="8" t="s">
        <v>84</v>
      </c>
      <c r="M2191" s="8" t="s">
        <v>85</v>
      </c>
      <c r="O2191" s="8" t="s">
        <v>50</v>
      </c>
      <c r="P2191" s="8">
        <v>12</v>
      </c>
      <c r="R2191" s="8" t="b">
        <v>0</v>
      </c>
      <c r="S2191" s="8" t="b">
        <v>0</v>
      </c>
      <c r="T2191" s="8" t="b">
        <v>0</v>
      </c>
      <c r="U2191" s="8" t="b">
        <v>1</v>
      </c>
      <c r="V2191" s="8" t="b">
        <v>0</v>
      </c>
      <c r="X2191" s="8" t="b">
        <v>0</v>
      </c>
      <c r="Y2191" s="8" t="b">
        <v>0</v>
      </c>
      <c r="Z2191" s="8" t="b">
        <v>0</v>
      </c>
      <c r="AA2191" s="8" t="b">
        <v>0</v>
      </c>
      <c r="AB2191" s="8" t="b">
        <v>0</v>
      </c>
      <c r="AC2191" s="8" t="b">
        <v>0</v>
      </c>
      <c r="AD2191" s="8" t="b">
        <v>1</v>
      </c>
      <c r="AE2191" s="8" t="b">
        <v>0</v>
      </c>
      <c r="AG2191" s="11" t="b" cm="1">
        <f t="array" ref="AG2191">IF(OR(Y2191:AA2191="TRUE", AE2191="true"), "Threatened")</f>
        <v>0</v>
      </c>
      <c r="AH2191" s="11" t="s">
        <v>5518</v>
      </c>
      <c r="AI2191" s="8" t="b">
        <v>1</v>
      </c>
    </row>
    <row r="2192" spans="1:35" ht="31.2">
      <c r="A2192" s="8">
        <v>-73.973410869999995</v>
      </c>
      <c r="B2192" s="8">
        <v>40.767605140000001</v>
      </c>
      <c r="C2192" s="8" t="s">
        <v>5519</v>
      </c>
      <c r="D2192" s="8" t="s">
        <v>651</v>
      </c>
      <c r="E2192" s="8" t="b">
        <f t="shared" si="34"/>
        <v>0</v>
      </c>
      <c r="F2192" s="8" t="str" cm="1">
        <f t="array" ref="F2192">_xlfn._xlws.FILTER(E2192:E5390, C2192:C5390= "6D-PM-1020-01", "No Squirrels Found")</f>
        <v>No Squirrels Found</v>
      </c>
      <c r="G2192" s="8" t="s">
        <v>48</v>
      </c>
      <c r="H2192" s="10">
        <v>10062018</v>
      </c>
      <c r="I2192" s="10">
        <v>3</v>
      </c>
      <c r="K2192" s="8" t="s">
        <v>40</v>
      </c>
      <c r="L2192" s="8" t="s">
        <v>84</v>
      </c>
      <c r="M2192" s="8" t="s">
        <v>103</v>
      </c>
      <c r="O2192" s="8" t="s">
        <v>43</v>
      </c>
      <c r="P2192" s="8" t="b">
        <v>0</v>
      </c>
      <c r="R2192" s="8" t="b">
        <v>0</v>
      </c>
      <c r="S2192" s="8" t="b">
        <v>0</v>
      </c>
      <c r="T2192" s="8" t="b">
        <v>0</v>
      </c>
      <c r="U2192" s="8" t="b">
        <v>0</v>
      </c>
      <c r="V2192" s="8" t="b">
        <v>1</v>
      </c>
      <c r="X2192" s="8" t="b">
        <v>0</v>
      </c>
      <c r="Y2192" s="8" t="b">
        <v>0</v>
      </c>
      <c r="Z2192" s="8" t="b">
        <v>0</v>
      </c>
      <c r="AA2192" s="8" t="b">
        <v>0</v>
      </c>
      <c r="AB2192" s="8" t="b">
        <v>0</v>
      </c>
      <c r="AC2192" s="8" t="b">
        <v>0</v>
      </c>
      <c r="AD2192" s="8" t="b">
        <v>1</v>
      </c>
      <c r="AE2192" s="8" t="b">
        <v>0</v>
      </c>
      <c r="AG2192" s="11" t="b" cm="1">
        <f t="array" ref="AG2192">IF(OR(Y2192:AA2192="TRUE", AE2192="true"), "Threatened")</f>
        <v>0</v>
      </c>
      <c r="AH2192" s="11" t="s">
        <v>5520</v>
      </c>
      <c r="AI2192" s="8" t="b">
        <v>1</v>
      </c>
    </row>
    <row r="2193" spans="1:35" ht="31.2">
      <c r="A2193" s="8">
        <v>-73.959341100000003</v>
      </c>
      <c r="B2193" s="8">
        <v>40.792313399999998</v>
      </c>
      <c r="C2193" s="8" t="s">
        <v>5521</v>
      </c>
      <c r="D2193" s="8" t="s">
        <v>1205</v>
      </c>
      <c r="E2193" s="8" t="b">
        <f t="shared" si="34"/>
        <v>0</v>
      </c>
      <c r="F2193" s="8" t="str" cm="1">
        <f t="array" ref="F2193">_xlfn._xlws.FILTER(E2193:E5391, C2193:C5391= "6D-PM-1020-01", "No Squirrels Found")</f>
        <v>No Squirrels Found</v>
      </c>
      <c r="G2193" s="8" t="s">
        <v>48</v>
      </c>
      <c r="H2193" s="10">
        <v>10172018</v>
      </c>
      <c r="I2193" s="10">
        <v>8</v>
      </c>
      <c r="J2193" s="8" t="s">
        <v>39</v>
      </c>
      <c r="K2193" s="8" t="s">
        <v>192</v>
      </c>
      <c r="M2193" s="8" t="s">
        <v>193</v>
      </c>
      <c r="O2193" s="8" t="s">
        <v>43</v>
      </c>
      <c r="P2193" s="8" t="b">
        <v>0</v>
      </c>
      <c r="R2193" s="8" t="b">
        <v>0</v>
      </c>
      <c r="S2193" s="8" t="b">
        <v>0</v>
      </c>
      <c r="T2193" s="8" t="b">
        <v>0</v>
      </c>
      <c r="U2193" s="8" t="b">
        <v>0</v>
      </c>
      <c r="V2193" s="8" t="b">
        <v>1</v>
      </c>
      <c r="X2193" s="8" t="b">
        <v>0</v>
      </c>
      <c r="Y2193" s="8" t="b">
        <v>0</v>
      </c>
      <c r="Z2193" s="8" t="b">
        <v>0</v>
      </c>
      <c r="AA2193" s="8" t="b">
        <v>0</v>
      </c>
      <c r="AB2193" s="8" t="b">
        <v>0</v>
      </c>
      <c r="AC2193" s="8" t="b">
        <v>0</v>
      </c>
      <c r="AD2193" s="8" t="b">
        <v>1</v>
      </c>
      <c r="AE2193" s="8" t="b">
        <v>0</v>
      </c>
      <c r="AG2193" s="11" t="b" cm="1">
        <f t="array" ref="AG2193">IF(OR(Y2193:AA2193="TRUE", AE2193="true"), "Threatened")</f>
        <v>0</v>
      </c>
      <c r="AH2193" s="11" t="s">
        <v>5522</v>
      </c>
      <c r="AI2193" s="8" t="b">
        <v>1</v>
      </c>
    </row>
    <row r="2194" spans="1:35" ht="31.2">
      <c r="A2194" s="8">
        <v>-73.95693181</v>
      </c>
      <c r="B2194" s="8">
        <v>40.797344209999999</v>
      </c>
      <c r="C2194" s="8" t="s">
        <v>5523</v>
      </c>
      <c r="D2194" s="8" t="s">
        <v>1248</v>
      </c>
      <c r="E2194" s="8" t="b">
        <f t="shared" si="34"/>
        <v>0</v>
      </c>
      <c r="F2194" s="8" t="str" cm="1">
        <f t="array" ref="F2194">_xlfn._xlws.FILTER(E2194:E5392, C2194:C5392= "6D-PM-1020-01", "No Squirrels Found")</f>
        <v>No Squirrels Found</v>
      </c>
      <c r="G2194" s="8" t="s">
        <v>34</v>
      </c>
      <c r="H2194" s="10">
        <v>10062018</v>
      </c>
      <c r="I2194" s="10">
        <v>7</v>
      </c>
      <c r="J2194" s="8" t="s">
        <v>39</v>
      </c>
      <c r="K2194" s="8" t="s">
        <v>40</v>
      </c>
      <c r="M2194" s="8" t="s">
        <v>55</v>
      </c>
      <c r="O2194" s="8" t="s">
        <v>43</v>
      </c>
      <c r="P2194" s="8" t="b">
        <v>0</v>
      </c>
      <c r="R2194" s="8" t="b">
        <v>1</v>
      </c>
      <c r="S2194" s="8" t="b">
        <v>0</v>
      </c>
      <c r="T2194" s="8" t="b">
        <v>0</v>
      </c>
      <c r="U2194" s="8" t="b">
        <v>0</v>
      </c>
      <c r="V2194" s="8" t="b">
        <v>0</v>
      </c>
      <c r="X2194" s="8" t="b">
        <v>0</v>
      </c>
      <c r="Y2194" s="8" t="b">
        <v>0</v>
      </c>
      <c r="Z2194" s="8" t="b">
        <v>0</v>
      </c>
      <c r="AA2194" s="8" t="b">
        <v>0</v>
      </c>
      <c r="AB2194" s="8" t="b">
        <v>0</v>
      </c>
      <c r="AC2194" s="8" t="b">
        <v>0</v>
      </c>
      <c r="AD2194" s="8" t="b">
        <v>0</v>
      </c>
      <c r="AE2194" s="8" t="b">
        <v>1</v>
      </c>
      <c r="AG2194" s="11" t="b" cm="1">
        <f t="array" ref="AG2194">IF(OR(Y2194:AA2194="TRUE", AE2194="true"), "Threatened")</f>
        <v>0</v>
      </c>
      <c r="AH2194" s="11" t="s">
        <v>5524</v>
      </c>
      <c r="AI2194" s="8" t="b">
        <v>1</v>
      </c>
    </row>
    <row r="2195" spans="1:35" ht="31.2">
      <c r="A2195" s="8">
        <v>-73.960898740000005</v>
      </c>
      <c r="B2195" s="8">
        <v>40.796139310000001</v>
      </c>
      <c r="C2195" s="8" t="s">
        <v>5525</v>
      </c>
      <c r="D2195" s="8" t="s">
        <v>2574</v>
      </c>
      <c r="E2195" s="8" t="b">
        <f t="shared" si="34"/>
        <v>0</v>
      </c>
      <c r="F2195" s="8" t="str" cm="1">
        <f t="array" ref="F2195">_xlfn._xlws.FILTER(E2195:E5393, C2195:C5393= "6D-PM-1020-01", "No Squirrels Found")</f>
        <v>No Squirrels Found</v>
      </c>
      <c r="G2195" s="8" t="s">
        <v>34</v>
      </c>
      <c r="H2195" s="10">
        <v>10132018</v>
      </c>
      <c r="I2195" s="10">
        <v>2</v>
      </c>
      <c r="J2195" s="8" t="s">
        <v>39</v>
      </c>
      <c r="K2195" s="8" t="s">
        <v>41</v>
      </c>
      <c r="L2195" s="8" t="s">
        <v>135</v>
      </c>
      <c r="M2195" s="8" t="s">
        <v>136</v>
      </c>
      <c r="O2195" s="8" t="s">
        <v>50</v>
      </c>
      <c r="P2195" s="8">
        <v>10</v>
      </c>
      <c r="R2195" s="8" t="b">
        <v>0</v>
      </c>
      <c r="S2195" s="8" t="b">
        <v>0</v>
      </c>
      <c r="T2195" s="8" t="b">
        <v>1</v>
      </c>
      <c r="U2195" s="8" t="b">
        <v>0</v>
      </c>
      <c r="V2195" s="8" t="b">
        <v>0</v>
      </c>
      <c r="X2195" s="8" t="b">
        <v>0</v>
      </c>
      <c r="Y2195" s="8" t="b">
        <v>0</v>
      </c>
      <c r="Z2195" s="8" t="b">
        <v>0</v>
      </c>
      <c r="AA2195" s="8" t="b">
        <v>0</v>
      </c>
      <c r="AB2195" s="8" t="b">
        <v>0</v>
      </c>
      <c r="AC2195" s="8" t="b">
        <v>0</v>
      </c>
      <c r="AD2195" s="8" t="b">
        <v>0</v>
      </c>
      <c r="AE2195" s="8" t="b">
        <v>0</v>
      </c>
      <c r="AG2195" s="11" t="b" cm="1">
        <f t="array" ref="AG2195">IF(OR(Y2195:AA2195="TRUE", AE2195="true"), "Threatened")</f>
        <v>0</v>
      </c>
      <c r="AH2195" s="11" t="s">
        <v>5526</v>
      </c>
      <c r="AI2195" s="8" t="b">
        <v>1</v>
      </c>
    </row>
    <row r="2196" spans="1:35" ht="31.2">
      <c r="A2196" s="8">
        <v>-73.955352149999996</v>
      </c>
      <c r="B2196" s="8">
        <v>40.798854949999999</v>
      </c>
      <c r="C2196" s="8" t="s">
        <v>5527</v>
      </c>
      <c r="D2196" s="8" t="s">
        <v>1429</v>
      </c>
      <c r="E2196" s="8" t="b">
        <f t="shared" si="34"/>
        <v>0</v>
      </c>
      <c r="F2196" s="8" t="str" cm="1">
        <f t="array" ref="F2196">_xlfn._xlws.FILTER(E2196:E5394, C2196:C5394= "6D-PM-1020-01", "No Squirrels Found")</f>
        <v>No Squirrels Found</v>
      </c>
      <c r="G2196" s="8" t="s">
        <v>48</v>
      </c>
      <c r="H2196" s="10">
        <v>10142018</v>
      </c>
      <c r="I2196" s="10">
        <v>1</v>
      </c>
      <c r="J2196" s="8" t="s">
        <v>39</v>
      </c>
      <c r="K2196" s="8" t="s">
        <v>40</v>
      </c>
      <c r="L2196" s="8" t="s">
        <v>117</v>
      </c>
      <c r="M2196" s="8" t="s">
        <v>118</v>
      </c>
      <c r="O2196" s="8" t="s">
        <v>50</v>
      </c>
      <c r="P2196" s="8">
        <v>20</v>
      </c>
      <c r="R2196" s="8" t="b">
        <v>0</v>
      </c>
      <c r="S2196" s="8" t="b">
        <v>0</v>
      </c>
      <c r="T2196" s="8" t="b">
        <v>1</v>
      </c>
      <c r="U2196" s="8" t="b">
        <v>1</v>
      </c>
      <c r="V2196" s="8" t="b">
        <v>0</v>
      </c>
      <c r="X2196" s="8" t="b">
        <v>1</v>
      </c>
      <c r="Y2196" s="8" t="b">
        <v>0</v>
      </c>
      <c r="Z2196" s="8" t="b">
        <v>0</v>
      </c>
      <c r="AA2196" s="8" t="b">
        <v>0</v>
      </c>
      <c r="AB2196" s="8" t="b">
        <v>0</v>
      </c>
      <c r="AC2196" s="8" t="b">
        <v>0</v>
      </c>
      <c r="AD2196" s="8" t="b">
        <v>1</v>
      </c>
      <c r="AE2196" s="8" t="b">
        <v>0</v>
      </c>
      <c r="AG2196" s="11" t="b" cm="1">
        <f t="array" ref="AG2196">IF(OR(Y2196:AA2196="TRUE", AE2196="true"), "Threatened")</f>
        <v>0</v>
      </c>
      <c r="AH2196" s="11" t="s">
        <v>5528</v>
      </c>
      <c r="AI2196" s="8" t="b">
        <v>1</v>
      </c>
    </row>
    <row r="2197" spans="1:35" ht="31.2">
      <c r="A2197" s="8">
        <v>-73.962335640000006</v>
      </c>
      <c r="B2197" s="8">
        <v>40.788869380000001</v>
      </c>
      <c r="C2197" s="8" t="s">
        <v>5529</v>
      </c>
      <c r="D2197" s="8" t="s">
        <v>1425</v>
      </c>
      <c r="E2197" s="8" t="b">
        <f t="shared" si="34"/>
        <v>0</v>
      </c>
      <c r="F2197" s="8" t="str" cm="1">
        <f t="array" ref="F2197">_xlfn._xlws.FILTER(E2197:E5395, C2197:C5395= "6D-PM-1020-01", "No Squirrels Found")</f>
        <v>No Squirrels Found</v>
      </c>
      <c r="G2197" s="8" t="s">
        <v>48</v>
      </c>
      <c r="H2197" s="10">
        <v>10142018</v>
      </c>
      <c r="I2197" s="10">
        <v>5</v>
      </c>
      <c r="J2197" s="8" t="s">
        <v>39</v>
      </c>
      <c r="K2197" s="8" t="s">
        <v>40</v>
      </c>
      <c r="L2197" s="8" t="s">
        <v>41</v>
      </c>
      <c r="M2197" s="8" t="s">
        <v>42</v>
      </c>
      <c r="O2197" s="8" t="s">
        <v>43</v>
      </c>
      <c r="P2197" s="8" t="b">
        <v>0</v>
      </c>
      <c r="Q2197" s="8" t="s">
        <v>5530</v>
      </c>
      <c r="R2197" s="8" t="b">
        <v>0</v>
      </c>
      <c r="S2197" s="8" t="b">
        <v>0</v>
      </c>
      <c r="T2197" s="8" t="b">
        <v>0</v>
      </c>
      <c r="U2197" s="8" t="b">
        <v>0</v>
      </c>
      <c r="V2197" s="8" t="b">
        <v>1</v>
      </c>
      <c r="X2197" s="8" t="b">
        <v>0</v>
      </c>
      <c r="Y2197" s="8" t="b">
        <v>0</v>
      </c>
      <c r="Z2197" s="8" t="b">
        <v>0</v>
      </c>
      <c r="AA2197" s="8" t="b">
        <v>0</v>
      </c>
      <c r="AB2197" s="8" t="b">
        <v>0</v>
      </c>
      <c r="AC2197" s="8" t="b">
        <v>1</v>
      </c>
      <c r="AD2197" s="8" t="b">
        <v>0</v>
      </c>
      <c r="AE2197" s="8" t="b">
        <v>0</v>
      </c>
      <c r="AG2197" s="11" t="b" cm="1">
        <f t="array" ref="AG2197">IF(OR(Y2197:AA2197="TRUE", AE2197="true"), "Threatened")</f>
        <v>0</v>
      </c>
      <c r="AH2197" s="11" t="s">
        <v>5531</v>
      </c>
      <c r="AI2197" s="8" t="b">
        <v>1</v>
      </c>
    </row>
    <row r="2198" spans="1:35" ht="31.2">
      <c r="A2198" s="8">
        <v>-73.967241340000001</v>
      </c>
      <c r="B2198" s="8">
        <v>40.783811610000001</v>
      </c>
      <c r="C2198" s="8" t="s">
        <v>5532</v>
      </c>
      <c r="D2198" s="8" t="s">
        <v>698</v>
      </c>
      <c r="E2198" s="8" t="b">
        <f t="shared" si="34"/>
        <v>0</v>
      </c>
      <c r="F2198" s="8" t="str" cm="1">
        <f t="array" ref="F2198">_xlfn._xlws.FILTER(E2198:E5396, C2198:C5396= "6D-PM-1020-01", "No Squirrels Found")</f>
        <v>No Squirrels Found</v>
      </c>
      <c r="G2198" s="8" t="s">
        <v>34</v>
      </c>
      <c r="H2198" s="10">
        <v>10062018</v>
      </c>
      <c r="I2198" s="10">
        <v>3</v>
      </c>
      <c r="J2198" s="8" t="s">
        <v>39</v>
      </c>
      <c r="K2198" s="8" t="s">
        <v>40</v>
      </c>
      <c r="M2198" s="8" t="s">
        <v>55</v>
      </c>
      <c r="O2198" s="8" t="s">
        <v>43</v>
      </c>
      <c r="P2198" s="8" t="b">
        <v>0</v>
      </c>
      <c r="R2198" s="8" t="b">
        <v>1</v>
      </c>
      <c r="S2198" s="8" t="b">
        <v>0</v>
      </c>
      <c r="T2198" s="8" t="b">
        <v>0</v>
      </c>
      <c r="U2198" s="8" t="b">
        <v>0</v>
      </c>
      <c r="V2198" s="8" t="b">
        <v>0</v>
      </c>
      <c r="X2198" s="8" t="b">
        <v>0</v>
      </c>
      <c r="Y2198" s="8" t="b">
        <v>0</v>
      </c>
      <c r="Z2198" s="8" t="b">
        <v>0</v>
      </c>
      <c r="AA2198" s="8" t="b">
        <v>0</v>
      </c>
      <c r="AB2198" s="8" t="b">
        <v>0</v>
      </c>
      <c r="AC2198" s="8" t="b">
        <v>0</v>
      </c>
      <c r="AD2198" s="8" t="b">
        <v>0</v>
      </c>
      <c r="AE2198" s="8" t="b">
        <v>0</v>
      </c>
      <c r="AG2198" s="11" t="b" cm="1">
        <f t="array" ref="AG2198">IF(OR(Y2198:AA2198="TRUE", AE2198="true"), "Threatened")</f>
        <v>0</v>
      </c>
      <c r="AH2198" s="11" t="s">
        <v>5533</v>
      </c>
      <c r="AI2198" s="8" t="b">
        <v>1</v>
      </c>
    </row>
    <row r="2199" spans="1:35" ht="31.2">
      <c r="A2199" s="8">
        <v>-73.970973819999998</v>
      </c>
      <c r="B2199" s="8">
        <v>40.777410269999997</v>
      </c>
      <c r="C2199" s="8" t="s">
        <v>5534</v>
      </c>
      <c r="D2199" s="8" t="s">
        <v>741</v>
      </c>
      <c r="E2199" s="8" t="b">
        <f t="shared" si="34"/>
        <v>0</v>
      </c>
      <c r="F2199" s="8" t="str" cm="1">
        <f t="array" ref="F2199">_xlfn._xlws.FILTER(E2199:E5397, C2199:C5397= "6D-PM-1020-01", "No Squirrels Found")</f>
        <v>No Squirrels Found</v>
      </c>
      <c r="G2199" s="8" t="s">
        <v>34</v>
      </c>
      <c r="H2199" s="10">
        <v>10192018</v>
      </c>
      <c r="I2199" s="10">
        <v>8</v>
      </c>
      <c r="J2199" s="8" t="s">
        <v>39</v>
      </c>
      <c r="K2199" s="8" t="s">
        <v>40</v>
      </c>
      <c r="M2199" s="8" t="s">
        <v>55</v>
      </c>
      <c r="O2199" s="8" t="s">
        <v>43</v>
      </c>
      <c r="P2199" s="8" t="b">
        <v>0</v>
      </c>
      <c r="R2199" s="8" t="b">
        <v>0</v>
      </c>
      <c r="S2199" s="8" t="b">
        <v>0</v>
      </c>
      <c r="T2199" s="8" t="b">
        <v>1</v>
      </c>
      <c r="U2199" s="8" t="b">
        <v>0</v>
      </c>
      <c r="V2199" s="8" t="b">
        <v>0</v>
      </c>
      <c r="X2199" s="8" t="b">
        <v>0</v>
      </c>
      <c r="Y2199" s="8" t="b">
        <v>0</v>
      </c>
      <c r="Z2199" s="8" t="b">
        <v>0</v>
      </c>
      <c r="AA2199" s="8" t="b">
        <v>0</v>
      </c>
      <c r="AB2199" s="8" t="b">
        <v>0</v>
      </c>
      <c r="AC2199" s="8" t="b">
        <v>0</v>
      </c>
      <c r="AD2199" s="8" t="b">
        <v>0</v>
      </c>
      <c r="AE2199" s="8" t="b">
        <v>0</v>
      </c>
      <c r="AG2199" s="11" t="b" cm="1">
        <f t="array" ref="AG2199">IF(OR(Y2199:AA2199="TRUE", AE2199="true"), "Threatened")</f>
        <v>0</v>
      </c>
      <c r="AH2199" s="11" t="s">
        <v>5535</v>
      </c>
      <c r="AI2199" s="8" t="b">
        <v>1</v>
      </c>
    </row>
    <row r="2200" spans="1:35" ht="31.2">
      <c r="A2200" s="8">
        <v>-73.967750089999996</v>
      </c>
      <c r="B2200" s="8">
        <v>40.772606099999997</v>
      </c>
      <c r="C2200" s="8" t="s">
        <v>5536</v>
      </c>
      <c r="D2200" s="8" t="s">
        <v>1270</v>
      </c>
      <c r="E2200" s="8" t="b">
        <f t="shared" si="34"/>
        <v>0</v>
      </c>
      <c r="F2200" s="8" t="str" cm="1">
        <f t="array" ref="F2200">_xlfn._xlws.FILTER(E2200:E5398, C2200:C5398= "6D-PM-1020-01", "No Squirrels Found")</f>
        <v>No Squirrels Found</v>
      </c>
      <c r="G2200" s="8" t="s">
        <v>48</v>
      </c>
      <c r="H2200" s="10">
        <v>10122018</v>
      </c>
      <c r="I2200" s="10">
        <v>1</v>
      </c>
      <c r="J2200" s="8" t="s">
        <v>39</v>
      </c>
      <c r="K2200" s="8" t="s">
        <v>40</v>
      </c>
      <c r="L2200" s="8" t="s">
        <v>117</v>
      </c>
      <c r="M2200" s="8" t="s">
        <v>118</v>
      </c>
      <c r="O2200" s="8" t="s">
        <v>43</v>
      </c>
      <c r="P2200" s="8" t="b">
        <v>0</v>
      </c>
      <c r="R2200" s="8" t="b">
        <v>0</v>
      </c>
      <c r="S2200" s="8" t="b">
        <v>0</v>
      </c>
      <c r="T2200" s="8" t="b">
        <v>0</v>
      </c>
      <c r="U2200" s="8" t="b">
        <v>1</v>
      </c>
      <c r="V2200" s="8" t="b">
        <v>0</v>
      </c>
      <c r="X2200" s="8" t="b">
        <v>0</v>
      </c>
      <c r="Y2200" s="8" t="b">
        <v>0</v>
      </c>
      <c r="Z2200" s="8" t="b">
        <v>0</v>
      </c>
      <c r="AA2200" s="8" t="b">
        <v>0</v>
      </c>
      <c r="AB2200" s="8" t="b">
        <v>1</v>
      </c>
      <c r="AC2200" s="8" t="b">
        <v>0</v>
      </c>
      <c r="AD2200" s="8" t="b">
        <v>0</v>
      </c>
      <c r="AE2200" s="8" t="b">
        <v>1</v>
      </c>
      <c r="AG2200" s="11" t="b" cm="1">
        <f t="array" ref="AG2200">IF(OR(Y2200:AA2200="TRUE", AE2200="true"), "Threatened")</f>
        <v>0</v>
      </c>
      <c r="AH2200" s="11" t="s">
        <v>5537</v>
      </c>
      <c r="AI2200" s="8" t="b">
        <v>1</v>
      </c>
    </row>
    <row r="2201" spans="1:35" ht="31.2">
      <c r="A2201" s="8">
        <v>-73.969808029999996</v>
      </c>
      <c r="B2201" s="8">
        <v>40.784225290000002</v>
      </c>
      <c r="C2201" s="8" t="s">
        <v>5538</v>
      </c>
      <c r="D2201" s="8" t="s">
        <v>2014</v>
      </c>
      <c r="E2201" s="8" t="b">
        <f t="shared" si="34"/>
        <v>0</v>
      </c>
      <c r="F2201" s="8" t="str" cm="1">
        <f t="array" ref="F2201">_xlfn._xlws.FILTER(E2201:E5399, C2201:C5399= "6D-PM-1020-01", "No Squirrels Found")</f>
        <v>No Squirrels Found</v>
      </c>
      <c r="G2201" s="8" t="s">
        <v>48</v>
      </c>
      <c r="H2201" s="10">
        <v>10192018</v>
      </c>
      <c r="I2201" s="10">
        <v>2</v>
      </c>
      <c r="J2201" s="8" t="s">
        <v>39</v>
      </c>
      <c r="K2201" s="8" t="s">
        <v>40</v>
      </c>
      <c r="M2201" s="8" t="s">
        <v>55</v>
      </c>
      <c r="O2201" s="8" t="s">
        <v>43</v>
      </c>
      <c r="P2201" s="8" t="b">
        <v>0</v>
      </c>
      <c r="Q2201" s="8" t="s">
        <v>4894</v>
      </c>
      <c r="R2201" s="8" t="b">
        <v>0</v>
      </c>
      <c r="S2201" s="8" t="b">
        <v>1</v>
      </c>
      <c r="T2201" s="8" t="b">
        <v>0</v>
      </c>
      <c r="U2201" s="8" t="b">
        <v>0</v>
      </c>
      <c r="V2201" s="8" t="b">
        <v>0</v>
      </c>
      <c r="X2201" s="8" t="b">
        <v>0</v>
      </c>
      <c r="Y2201" s="8" t="b">
        <v>0</v>
      </c>
      <c r="Z2201" s="8" t="b">
        <v>0</v>
      </c>
      <c r="AA2201" s="8" t="b">
        <v>0</v>
      </c>
      <c r="AB2201" s="8" t="b">
        <v>0</v>
      </c>
      <c r="AC2201" s="8" t="b">
        <v>0</v>
      </c>
      <c r="AD2201" s="8" t="b">
        <v>1</v>
      </c>
      <c r="AE2201" s="8" t="b">
        <v>0</v>
      </c>
      <c r="AG2201" s="11" t="b" cm="1">
        <f t="array" ref="AG2201">IF(OR(Y2201:AA2201="TRUE", AE2201="true"), "Threatened")</f>
        <v>0</v>
      </c>
      <c r="AH2201" s="11" t="s">
        <v>5539</v>
      </c>
      <c r="AI2201" s="8" t="b">
        <v>1</v>
      </c>
    </row>
    <row r="2202" spans="1:35" ht="31.2">
      <c r="A2202" s="8">
        <v>-73.971713550000004</v>
      </c>
      <c r="B2202" s="8">
        <v>40.77617807</v>
      </c>
      <c r="C2202" s="8" t="s">
        <v>5540</v>
      </c>
      <c r="D2202" s="8" t="s">
        <v>426</v>
      </c>
      <c r="E2202" s="8" t="b">
        <f t="shared" si="34"/>
        <v>0</v>
      </c>
      <c r="F2202" s="8" t="str" cm="1">
        <f t="array" ref="F2202">_xlfn._xlws.FILTER(E2202:E5400, C2202:C5400= "6D-PM-1020-01", "No Squirrels Found")</f>
        <v>No Squirrels Found</v>
      </c>
      <c r="G2202" s="8" t="s">
        <v>34</v>
      </c>
      <c r="H2202" s="10">
        <v>10182018</v>
      </c>
      <c r="I2202" s="10">
        <v>1</v>
      </c>
      <c r="J2202" s="8" t="s">
        <v>39</v>
      </c>
      <c r="K2202" s="8" t="s">
        <v>40</v>
      </c>
      <c r="L2202" s="8" t="s">
        <v>117</v>
      </c>
      <c r="M2202" s="8" t="s">
        <v>118</v>
      </c>
      <c r="O2202" s="8" t="s">
        <v>43</v>
      </c>
      <c r="P2202" s="8" t="b">
        <v>0</v>
      </c>
      <c r="R2202" s="8" t="b">
        <v>0</v>
      </c>
      <c r="S2202" s="8" t="b">
        <v>0</v>
      </c>
      <c r="T2202" s="8" t="b">
        <v>0</v>
      </c>
      <c r="U2202" s="8" t="b">
        <v>0</v>
      </c>
      <c r="V2202" s="8" t="b">
        <v>1</v>
      </c>
      <c r="X2202" s="8" t="b">
        <v>0</v>
      </c>
      <c r="Y2202" s="8" t="b">
        <v>0</v>
      </c>
      <c r="Z2202" s="8" t="b">
        <v>0</v>
      </c>
      <c r="AA2202" s="8" t="b">
        <v>0</v>
      </c>
      <c r="AB2202" s="8" t="b">
        <v>1</v>
      </c>
      <c r="AC2202" s="8" t="b">
        <v>0</v>
      </c>
      <c r="AD2202" s="8" t="b">
        <v>1</v>
      </c>
      <c r="AE2202" s="8" t="b">
        <v>0</v>
      </c>
      <c r="AG2202" s="11" t="b" cm="1">
        <f t="array" ref="AG2202">IF(OR(Y2202:AA2202="TRUE", AE2202="true"), "Threatened")</f>
        <v>0</v>
      </c>
      <c r="AH2202" s="11" t="s">
        <v>5541</v>
      </c>
      <c r="AI2202" s="8" t="b">
        <v>1</v>
      </c>
    </row>
    <row r="2203" spans="1:35" ht="31.2">
      <c r="A2203" s="8">
        <v>-73.955603999999994</v>
      </c>
      <c r="B2203" s="8">
        <v>40.797754920000003</v>
      </c>
      <c r="C2203" s="8" t="s">
        <v>5542</v>
      </c>
      <c r="D2203" s="8" t="s">
        <v>439</v>
      </c>
      <c r="E2203" s="8" t="b">
        <f t="shared" si="34"/>
        <v>0</v>
      </c>
      <c r="F2203" s="8" t="str" cm="1">
        <f t="array" ref="F2203">_xlfn._xlws.FILTER(E2203:E5401, C2203:C5401= "6D-PM-1020-01", "No Squirrels Found")</f>
        <v>No Squirrels Found</v>
      </c>
      <c r="G2203" s="8" t="s">
        <v>48</v>
      </c>
      <c r="H2203" s="10">
        <v>10132018</v>
      </c>
      <c r="I2203" s="10">
        <v>5</v>
      </c>
      <c r="J2203" s="8" t="s">
        <v>39</v>
      </c>
      <c r="K2203" s="8" t="s">
        <v>40</v>
      </c>
      <c r="M2203" s="8" t="s">
        <v>55</v>
      </c>
      <c r="O2203" s="8" t="s">
        <v>43</v>
      </c>
      <c r="P2203" s="8" t="b">
        <v>0</v>
      </c>
      <c r="R2203" s="8" t="b">
        <v>0</v>
      </c>
      <c r="S2203" s="8" t="b">
        <v>0</v>
      </c>
      <c r="T2203" s="8" t="b">
        <v>0</v>
      </c>
      <c r="U2203" s="8" t="b">
        <v>1</v>
      </c>
      <c r="V2203" s="8" t="b">
        <v>1</v>
      </c>
      <c r="X2203" s="8" t="b">
        <v>0</v>
      </c>
      <c r="Y2203" s="8" t="b">
        <v>0</v>
      </c>
      <c r="Z2203" s="8" t="b">
        <v>0</v>
      </c>
      <c r="AA2203" s="8" t="b">
        <v>0</v>
      </c>
      <c r="AB2203" s="8" t="b">
        <v>1</v>
      </c>
      <c r="AC2203" s="8" t="b">
        <v>0</v>
      </c>
      <c r="AD2203" s="8" t="b">
        <v>1</v>
      </c>
      <c r="AE2203" s="8" t="b">
        <v>0</v>
      </c>
      <c r="AG2203" s="11" t="b" cm="1">
        <f t="array" ref="AG2203">IF(OR(Y2203:AA2203="TRUE", AE2203="true"), "Threatened")</f>
        <v>0</v>
      </c>
      <c r="AH2203" s="11" t="s">
        <v>5543</v>
      </c>
      <c r="AI2203" s="8" t="b">
        <v>1</v>
      </c>
    </row>
    <row r="2204" spans="1:35" ht="31.2">
      <c r="A2204" s="8">
        <v>-73.971053150000003</v>
      </c>
      <c r="B2204" s="8">
        <v>40.777375710000001</v>
      </c>
      <c r="C2204" s="8" t="s">
        <v>5544</v>
      </c>
      <c r="D2204" s="8" t="s">
        <v>741</v>
      </c>
      <c r="E2204" s="8" t="b">
        <f t="shared" si="34"/>
        <v>0</v>
      </c>
      <c r="F2204" s="8" t="str" cm="1">
        <f t="array" ref="F2204">_xlfn._xlws.FILTER(E2204:E5402, C2204:C5402= "6D-PM-1020-01", "No Squirrels Found")</f>
        <v>No Squirrels Found</v>
      </c>
      <c r="G2204" s="8" t="s">
        <v>34</v>
      </c>
      <c r="H2204" s="10">
        <v>10192018</v>
      </c>
      <c r="I2204" s="10">
        <v>6</v>
      </c>
      <c r="J2204" s="8" t="s">
        <v>39</v>
      </c>
      <c r="K2204" s="8" t="s">
        <v>40</v>
      </c>
      <c r="M2204" s="8" t="s">
        <v>55</v>
      </c>
      <c r="O2204" s="8" t="s">
        <v>43</v>
      </c>
      <c r="P2204" s="8" t="b">
        <v>0</v>
      </c>
      <c r="R2204" s="8" t="b">
        <v>0</v>
      </c>
      <c r="S2204" s="8" t="b">
        <v>0</v>
      </c>
      <c r="T2204" s="8" t="b">
        <v>0</v>
      </c>
      <c r="U2204" s="8" t="b">
        <v>1</v>
      </c>
      <c r="V2204" s="8" t="b">
        <v>0</v>
      </c>
      <c r="X2204" s="8" t="b">
        <v>0</v>
      </c>
      <c r="Y2204" s="8" t="b">
        <v>0</v>
      </c>
      <c r="Z2204" s="8" t="b">
        <v>0</v>
      </c>
      <c r="AA2204" s="8" t="b">
        <v>1</v>
      </c>
      <c r="AB2204" s="8" t="b">
        <v>0</v>
      </c>
      <c r="AC2204" s="8" t="b">
        <v>0</v>
      </c>
      <c r="AD2204" s="8" t="b">
        <v>1</v>
      </c>
      <c r="AE2204" s="8" t="b">
        <v>0</v>
      </c>
      <c r="AG2204" s="11" t="b" cm="1">
        <f t="array" ref="AG2204">IF(OR(Y2204:AA2204="TRUE", AE2204="true"), "Threatened")</f>
        <v>0</v>
      </c>
      <c r="AH2204" s="11" t="s">
        <v>5545</v>
      </c>
      <c r="AI2204" s="8" t="b">
        <v>1</v>
      </c>
    </row>
    <row r="2205" spans="1:35" ht="31.2">
      <c r="A2205" s="8">
        <v>-73.953242770000003</v>
      </c>
      <c r="B2205" s="8">
        <v>40.796264379999997</v>
      </c>
      <c r="C2205" s="8" t="s">
        <v>5546</v>
      </c>
      <c r="D2205" s="8" t="s">
        <v>1292</v>
      </c>
      <c r="E2205" s="8" t="b">
        <f t="shared" si="34"/>
        <v>0</v>
      </c>
      <c r="F2205" s="8" t="str" cm="1">
        <f t="array" ref="F2205">_xlfn._xlws.FILTER(E2205:E5403, C2205:C5403= "6D-PM-1020-01", "No Squirrels Found")</f>
        <v>No Squirrels Found</v>
      </c>
      <c r="G2205" s="8" t="s">
        <v>34</v>
      </c>
      <c r="H2205" s="10">
        <v>10132018</v>
      </c>
      <c r="I2205" s="10">
        <v>4</v>
      </c>
      <c r="J2205" s="8" t="s">
        <v>39</v>
      </c>
      <c r="K2205" s="8" t="s">
        <v>40</v>
      </c>
      <c r="M2205" s="8" t="s">
        <v>55</v>
      </c>
      <c r="O2205" s="8" t="s">
        <v>43</v>
      </c>
      <c r="P2205" s="8" t="b">
        <v>0</v>
      </c>
      <c r="R2205" s="8" t="b">
        <v>1</v>
      </c>
      <c r="S2205" s="8" t="b">
        <v>0</v>
      </c>
      <c r="T2205" s="8" t="b">
        <v>0</v>
      </c>
      <c r="U2205" s="8" t="b">
        <v>0</v>
      </c>
      <c r="V2205" s="8" t="b">
        <v>0</v>
      </c>
      <c r="X2205" s="8" t="b">
        <v>0</v>
      </c>
      <c r="Y2205" s="8" t="b">
        <v>0</v>
      </c>
      <c r="Z2205" s="8" t="b">
        <v>0</v>
      </c>
      <c r="AA2205" s="8" t="b">
        <v>0</v>
      </c>
      <c r="AB2205" s="8" t="b">
        <v>0</v>
      </c>
      <c r="AC2205" s="8" t="b">
        <v>0</v>
      </c>
      <c r="AD2205" s="8" t="b">
        <v>1</v>
      </c>
      <c r="AE2205" s="8" t="b">
        <v>0</v>
      </c>
      <c r="AG2205" s="11" t="b" cm="1">
        <f t="array" ref="AG2205">IF(OR(Y2205:AA2205="TRUE", AE2205="true"), "Threatened")</f>
        <v>0</v>
      </c>
      <c r="AH2205" s="11" t="s">
        <v>5547</v>
      </c>
      <c r="AI2205" s="8" t="b">
        <v>1</v>
      </c>
    </row>
    <row r="2206" spans="1:35" ht="31.2">
      <c r="A2206" s="8">
        <v>-73.959498609999997</v>
      </c>
      <c r="B2206" s="8">
        <v>40.784008300000004</v>
      </c>
      <c r="C2206" s="8" t="s">
        <v>5548</v>
      </c>
      <c r="D2206" s="8" t="s">
        <v>2570</v>
      </c>
      <c r="E2206" s="8" t="b">
        <f t="shared" si="34"/>
        <v>0</v>
      </c>
      <c r="F2206" s="8" t="str" cm="1">
        <f t="array" ref="F2206">_xlfn._xlws.FILTER(E2206:E5404, C2206:C5404= "6D-PM-1020-01", "No Squirrels Found")</f>
        <v>No Squirrels Found</v>
      </c>
      <c r="G2206" s="8" t="s">
        <v>48</v>
      </c>
      <c r="H2206" s="10">
        <v>10122018</v>
      </c>
      <c r="I2206" s="10">
        <v>3</v>
      </c>
      <c r="J2206" s="8" t="s">
        <v>39</v>
      </c>
      <c r="K2206" s="8" t="s">
        <v>41</v>
      </c>
      <c r="M2206" s="8" t="s">
        <v>49</v>
      </c>
      <c r="O2206" s="8" t="s">
        <v>50</v>
      </c>
      <c r="P2206" s="8">
        <v>8</v>
      </c>
      <c r="Q2206" s="8" t="s">
        <v>5549</v>
      </c>
      <c r="R2206" s="8" t="b">
        <v>1</v>
      </c>
      <c r="S2206" s="8" t="b">
        <v>1</v>
      </c>
      <c r="T2206" s="8" t="b">
        <v>0</v>
      </c>
      <c r="U2206" s="8" t="b">
        <v>1</v>
      </c>
      <c r="V2206" s="8" t="b">
        <v>0</v>
      </c>
      <c r="X2206" s="8" t="b">
        <v>0</v>
      </c>
      <c r="Y2206" s="8" t="b">
        <v>0</v>
      </c>
      <c r="Z2206" s="8" t="b">
        <v>0</v>
      </c>
      <c r="AA2206" s="8" t="b">
        <v>0</v>
      </c>
      <c r="AB2206" s="8" t="b">
        <v>1</v>
      </c>
      <c r="AC2206" s="8" t="b">
        <v>1</v>
      </c>
      <c r="AD2206" s="8" t="b">
        <v>0</v>
      </c>
      <c r="AE2206" s="8" t="b">
        <v>0</v>
      </c>
      <c r="AG2206" s="11" t="b" cm="1">
        <f t="array" ref="AG2206">IF(OR(Y2206:AA2206="TRUE", AE2206="true"), "Threatened")</f>
        <v>0</v>
      </c>
      <c r="AH2206" s="11" t="s">
        <v>5550</v>
      </c>
      <c r="AI2206" s="8" t="b">
        <v>1</v>
      </c>
    </row>
    <row r="2207" spans="1:35" ht="31.2">
      <c r="A2207" s="8">
        <v>-73.959444599999998</v>
      </c>
      <c r="B2207" s="8">
        <v>40.791780039999999</v>
      </c>
      <c r="C2207" s="8" t="s">
        <v>5551</v>
      </c>
      <c r="D2207" s="8" t="s">
        <v>1205</v>
      </c>
      <c r="E2207" s="8" t="b">
        <f t="shared" si="34"/>
        <v>0</v>
      </c>
      <c r="F2207" s="8" t="str" cm="1">
        <f t="array" ref="F2207">_xlfn._xlws.FILTER(E2207:E5405, C2207:C5405= "6D-PM-1020-01", "No Squirrels Found")</f>
        <v>No Squirrels Found</v>
      </c>
      <c r="G2207" s="8" t="s">
        <v>48</v>
      </c>
      <c r="H2207" s="10">
        <v>10172018</v>
      </c>
      <c r="I2207" s="10">
        <v>6</v>
      </c>
      <c r="J2207" s="8" t="s">
        <v>39</v>
      </c>
      <c r="K2207" s="8" t="s">
        <v>192</v>
      </c>
      <c r="M2207" s="8" t="s">
        <v>193</v>
      </c>
      <c r="O2207" s="8" t="s">
        <v>50</v>
      </c>
      <c r="P2207" s="8">
        <v>10</v>
      </c>
      <c r="R2207" s="8" t="b">
        <v>0</v>
      </c>
      <c r="S2207" s="8" t="b">
        <v>0</v>
      </c>
      <c r="T2207" s="8" t="b">
        <v>1</v>
      </c>
      <c r="U2207" s="8" t="b">
        <v>0</v>
      </c>
      <c r="V2207" s="8" t="b">
        <v>0</v>
      </c>
      <c r="X2207" s="8" t="b">
        <v>1</v>
      </c>
      <c r="Y2207" s="8" t="b">
        <v>1</v>
      </c>
      <c r="Z2207" s="8" t="b">
        <v>0</v>
      </c>
      <c r="AA2207" s="8" t="b">
        <v>0</v>
      </c>
      <c r="AB2207" s="8" t="b">
        <v>0</v>
      </c>
      <c r="AC2207" s="8" t="b">
        <v>0</v>
      </c>
      <c r="AD2207" s="8" t="b">
        <v>0</v>
      </c>
      <c r="AE2207" s="8" t="b">
        <v>1</v>
      </c>
      <c r="AF2207" s="11" t="s">
        <v>5552</v>
      </c>
      <c r="AG2207" s="11" t="b" cm="1">
        <f t="array" ref="AG2207">IF(OR(Y2207:AA2207="TRUE", AE2207="true"), "Threatened")</f>
        <v>0</v>
      </c>
      <c r="AH2207" s="11" t="s">
        <v>5553</v>
      </c>
      <c r="AI2207" s="8" t="b">
        <v>1</v>
      </c>
    </row>
    <row r="2208" spans="1:35" ht="31.2">
      <c r="A2208" s="8">
        <v>-73.974894340000006</v>
      </c>
      <c r="B2208" s="8">
        <v>40.770399259999998</v>
      </c>
      <c r="C2208" s="8" t="s">
        <v>5554</v>
      </c>
      <c r="D2208" s="8" t="s">
        <v>3052</v>
      </c>
      <c r="E2208" s="8" t="b">
        <f t="shared" si="34"/>
        <v>1</v>
      </c>
      <c r="F2208" s="8" t="str" cm="1">
        <f t="array" ref="F2208">_xlfn._xlws.FILTER(E2208:E5406, C2208:C5406= "6D-PM-1020-01", "No Squirrels Found")</f>
        <v>No Squirrels Found</v>
      </c>
      <c r="G2208" s="8" t="s">
        <v>48</v>
      </c>
      <c r="H2208" s="10">
        <v>10142018</v>
      </c>
      <c r="I2208" s="10">
        <v>1</v>
      </c>
      <c r="J2208" s="8" t="s">
        <v>54</v>
      </c>
      <c r="K2208" s="8" t="s">
        <v>40</v>
      </c>
      <c r="L2208" s="8" t="s">
        <v>41</v>
      </c>
      <c r="M2208" s="8" t="s">
        <v>42</v>
      </c>
      <c r="O2208" s="8" t="s">
        <v>43</v>
      </c>
      <c r="P2208" s="8" t="b">
        <v>0</v>
      </c>
      <c r="R2208" s="8" t="b">
        <v>0</v>
      </c>
      <c r="S2208" s="8" t="b">
        <v>0</v>
      </c>
      <c r="T2208" s="8" t="b">
        <v>0</v>
      </c>
      <c r="U2208" s="8" t="b">
        <v>0</v>
      </c>
      <c r="V2208" s="8" t="b">
        <v>1</v>
      </c>
      <c r="X2208" s="8" t="b">
        <v>0</v>
      </c>
      <c r="Y2208" s="8" t="b">
        <v>0</v>
      </c>
      <c r="Z2208" s="8" t="b">
        <v>0</v>
      </c>
      <c r="AA2208" s="8" t="b">
        <v>0</v>
      </c>
      <c r="AB2208" s="8" t="b">
        <v>0</v>
      </c>
      <c r="AC2208" s="8" t="b">
        <v>0</v>
      </c>
      <c r="AD2208" s="8" t="b">
        <v>0</v>
      </c>
      <c r="AE2208" s="8" t="b">
        <v>0</v>
      </c>
      <c r="AG2208" s="11" t="b" cm="1">
        <f t="array" ref="AG2208">IF(OR(Y2208:AA2208="TRUE", AE2208="true"), "Threatened")</f>
        <v>0</v>
      </c>
      <c r="AH2208" s="11" t="s">
        <v>5555</v>
      </c>
      <c r="AI2208" s="8" t="b">
        <v>1</v>
      </c>
    </row>
    <row r="2209" spans="1:35" ht="31.2">
      <c r="A2209" s="8">
        <v>-73.961497280000003</v>
      </c>
      <c r="B2209" s="8">
        <v>40.792140500000002</v>
      </c>
      <c r="C2209" s="8" t="s">
        <v>5556</v>
      </c>
      <c r="D2209" s="8" t="s">
        <v>290</v>
      </c>
      <c r="E2209" s="8" t="b">
        <f t="shared" si="34"/>
        <v>0</v>
      </c>
      <c r="F2209" s="8" t="str" cm="1">
        <f t="array" ref="F2209">_xlfn._xlws.FILTER(E2209:E5407, C2209:C5407= "6D-PM-1020-01", "No Squirrels Found")</f>
        <v>No Squirrels Found</v>
      </c>
      <c r="G2209" s="8" t="s">
        <v>34</v>
      </c>
      <c r="H2209" s="10">
        <v>10072018</v>
      </c>
      <c r="I2209" s="10">
        <v>2</v>
      </c>
      <c r="J2209" s="8" t="s">
        <v>39</v>
      </c>
      <c r="K2209" s="8" t="s">
        <v>40</v>
      </c>
      <c r="L2209" s="8" t="s">
        <v>749</v>
      </c>
      <c r="M2209" s="8" t="s">
        <v>750</v>
      </c>
      <c r="O2209" s="8" t="s">
        <v>43</v>
      </c>
      <c r="P2209" s="8" t="b">
        <v>0</v>
      </c>
      <c r="R2209" s="8" t="b">
        <v>0</v>
      </c>
      <c r="S2209" s="8" t="b">
        <v>0</v>
      </c>
      <c r="T2209" s="8" t="b">
        <v>0</v>
      </c>
      <c r="U2209" s="8" t="b">
        <v>1</v>
      </c>
      <c r="V2209" s="8" t="b">
        <v>0</v>
      </c>
      <c r="X2209" s="8" t="b">
        <v>0</v>
      </c>
      <c r="Y2209" s="8" t="b">
        <v>0</v>
      </c>
      <c r="Z2209" s="8" t="b">
        <v>0</v>
      </c>
      <c r="AA2209" s="8" t="b">
        <v>0</v>
      </c>
      <c r="AB2209" s="8" t="b">
        <v>0</v>
      </c>
      <c r="AC2209" s="8" t="b">
        <v>0</v>
      </c>
      <c r="AD2209" s="8" t="b">
        <v>1</v>
      </c>
      <c r="AE2209" s="8" t="b">
        <v>0</v>
      </c>
      <c r="AG2209" s="11" t="b" cm="1">
        <f t="array" ref="AG2209">IF(OR(Y2209:AA2209="TRUE", AE2209="true"), "Threatened")</f>
        <v>0</v>
      </c>
      <c r="AH2209" s="11" t="s">
        <v>5557</v>
      </c>
      <c r="AI2209" s="8" t="b">
        <v>1</v>
      </c>
    </row>
    <row r="2210" spans="1:35" ht="31.2">
      <c r="A2210" s="8">
        <v>-73.969758319999997</v>
      </c>
      <c r="B2210" s="8">
        <v>40.778732040000001</v>
      </c>
      <c r="C2210" s="8" t="s">
        <v>5558</v>
      </c>
      <c r="D2210" s="8" t="s">
        <v>721</v>
      </c>
      <c r="E2210" s="8" t="b">
        <f t="shared" si="34"/>
        <v>0</v>
      </c>
      <c r="F2210" s="8" t="str" cm="1">
        <f t="array" ref="F2210">_xlfn._xlws.FILTER(E2210:E5408, C2210:C5408= "6D-PM-1020-01", "No Squirrels Found")</f>
        <v>No Squirrels Found</v>
      </c>
      <c r="G2210" s="8" t="s">
        <v>48</v>
      </c>
      <c r="H2210" s="10">
        <v>10072018</v>
      </c>
      <c r="I2210" s="10">
        <v>5</v>
      </c>
      <c r="J2210" s="8" t="s">
        <v>39</v>
      </c>
      <c r="K2210" s="8" t="s">
        <v>40</v>
      </c>
      <c r="M2210" s="8" t="s">
        <v>55</v>
      </c>
      <c r="N2210" s="11" t="s">
        <v>5559</v>
      </c>
      <c r="O2210" s="8" t="s">
        <v>43</v>
      </c>
      <c r="P2210" s="8" t="b">
        <v>0</v>
      </c>
      <c r="R2210" s="8" t="b">
        <v>1</v>
      </c>
      <c r="S2210" s="8" t="b">
        <v>0</v>
      </c>
      <c r="T2210" s="8" t="b">
        <v>0</v>
      </c>
      <c r="U2210" s="8" t="b">
        <v>0</v>
      </c>
      <c r="V2210" s="8" t="b">
        <v>0</v>
      </c>
      <c r="X2210" s="8" t="b">
        <v>0</v>
      </c>
      <c r="Y2210" s="8" t="b">
        <v>0</v>
      </c>
      <c r="Z2210" s="8" t="b">
        <v>0</v>
      </c>
      <c r="AA2210" s="8" t="b">
        <v>0</v>
      </c>
      <c r="AB2210" s="8" t="b">
        <v>0</v>
      </c>
      <c r="AC2210" s="8" t="b">
        <v>0</v>
      </c>
      <c r="AD2210" s="8" t="b">
        <v>0</v>
      </c>
      <c r="AE2210" s="8" t="b">
        <v>1</v>
      </c>
      <c r="AG2210" s="11" t="b" cm="1">
        <f t="array" ref="AG2210">IF(OR(Y2210:AA2210="TRUE", AE2210="true"), "Threatened")</f>
        <v>0</v>
      </c>
      <c r="AH2210" s="11" t="s">
        <v>5560</v>
      </c>
      <c r="AI2210" s="8" t="b">
        <v>1</v>
      </c>
    </row>
    <row r="2211" spans="1:35" ht="31.2">
      <c r="A2211" s="8">
        <v>-73.969912480000005</v>
      </c>
      <c r="B2211" s="8">
        <v>40.774301700000002</v>
      </c>
      <c r="C2211" s="8" t="s">
        <v>5561</v>
      </c>
      <c r="D2211" s="8" t="s">
        <v>655</v>
      </c>
      <c r="E2211" s="8" t="b">
        <f t="shared" si="34"/>
        <v>0</v>
      </c>
      <c r="F2211" s="8" t="str" cm="1">
        <f t="array" ref="F2211">_xlfn._xlws.FILTER(E2211:E5409, C2211:C5409= "6D-PM-1020-01", "No Squirrels Found")</f>
        <v>No Squirrels Found</v>
      </c>
      <c r="G2211" s="8" t="s">
        <v>34</v>
      </c>
      <c r="H2211" s="10">
        <v>10072018</v>
      </c>
      <c r="I2211" s="10">
        <v>7</v>
      </c>
      <c r="J2211" s="8" t="s">
        <v>39</v>
      </c>
      <c r="K2211" s="8" t="s">
        <v>40</v>
      </c>
      <c r="L2211" s="8" t="s">
        <v>117</v>
      </c>
      <c r="M2211" s="8" t="s">
        <v>118</v>
      </c>
      <c r="O2211" s="8" t="s">
        <v>43</v>
      </c>
      <c r="P2211" s="8" t="b">
        <v>0</v>
      </c>
      <c r="R2211" s="8" t="b">
        <v>1</v>
      </c>
      <c r="S2211" s="8" t="b">
        <v>1</v>
      </c>
      <c r="T2211" s="8" t="b">
        <v>1</v>
      </c>
      <c r="U2211" s="8" t="b">
        <v>0</v>
      </c>
      <c r="V2211" s="8" t="b">
        <v>1</v>
      </c>
      <c r="X2211" s="8" t="b">
        <v>0</v>
      </c>
      <c r="Y2211" s="8" t="b">
        <v>0</v>
      </c>
      <c r="Z2211" s="8" t="b">
        <v>0</v>
      </c>
      <c r="AA2211" s="8" t="b">
        <v>1</v>
      </c>
      <c r="AB2211" s="8" t="b">
        <v>0</v>
      </c>
      <c r="AC2211" s="8" t="b">
        <v>0</v>
      </c>
      <c r="AD2211" s="8" t="b">
        <v>1</v>
      </c>
      <c r="AE2211" s="8" t="b">
        <v>0</v>
      </c>
      <c r="AG2211" s="11" t="b" cm="1">
        <f t="array" ref="AG2211">IF(OR(Y2211:AA2211="TRUE", AE2211="true"), "Threatened")</f>
        <v>0</v>
      </c>
      <c r="AH2211" s="11" t="s">
        <v>5562</v>
      </c>
      <c r="AI2211" s="8" t="b">
        <v>1</v>
      </c>
    </row>
    <row r="2212" spans="1:35" ht="31.2">
      <c r="A2212" s="8">
        <v>-73.979925080000001</v>
      </c>
      <c r="B2212" s="8">
        <v>40.767610660000003</v>
      </c>
      <c r="C2212" s="8" t="s">
        <v>5563</v>
      </c>
      <c r="D2212" s="8" t="s">
        <v>855</v>
      </c>
      <c r="E2212" s="8" t="b">
        <f t="shared" si="34"/>
        <v>0</v>
      </c>
      <c r="F2212" s="8" t="str" cm="1">
        <f t="array" ref="F2212">_xlfn._xlws.FILTER(E2212:E5410, C2212:C5410= "6D-PM-1020-01", "No Squirrels Found")</f>
        <v>No Squirrels Found</v>
      </c>
      <c r="G2212" s="8" t="s">
        <v>48</v>
      </c>
      <c r="H2212" s="10">
        <v>10122018</v>
      </c>
      <c r="I2212" s="10">
        <v>3</v>
      </c>
      <c r="J2212" s="8" t="s">
        <v>39</v>
      </c>
      <c r="K2212" s="8" t="s">
        <v>40</v>
      </c>
      <c r="L2212" s="8" t="s">
        <v>117</v>
      </c>
      <c r="M2212" s="8" t="s">
        <v>118</v>
      </c>
      <c r="O2212" s="8" t="s">
        <v>43</v>
      </c>
      <c r="P2212" s="8" t="b">
        <v>0</v>
      </c>
      <c r="R2212" s="8" t="b">
        <v>0</v>
      </c>
      <c r="S2212" s="8" t="b">
        <v>0</v>
      </c>
      <c r="T2212" s="8" t="b">
        <v>0</v>
      </c>
      <c r="U2212" s="8" t="b">
        <v>0</v>
      </c>
      <c r="V2212" s="8" t="b">
        <v>1</v>
      </c>
      <c r="X2212" s="8" t="b">
        <v>0</v>
      </c>
      <c r="Y2212" s="8" t="b">
        <v>0</v>
      </c>
      <c r="Z2212" s="8" t="b">
        <v>0</v>
      </c>
      <c r="AA2212" s="8" t="b">
        <v>0</v>
      </c>
      <c r="AB2212" s="8" t="b">
        <v>0</v>
      </c>
      <c r="AC2212" s="8" t="b">
        <v>0</v>
      </c>
      <c r="AD2212" s="8" t="b">
        <v>1</v>
      </c>
      <c r="AE2212" s="8" t="b">
        <v>0</v>
      </c>
      <c r="AG2212" s="11" t="b" cm="1">
        <f t="array" ref="AG2212">IF(OR(Y2212:AA2212="TRUE", AE2212="true"), "Threatened")</f>
        <v>0</v>
      </c>
      <c r="AH2212" s="11" t="s">
        <v>5564</v>
      </c>
      <c r="AI2212" s="8" t="b">
        <v>1</v>
      </c>
    </row>
    <row r="2213" spans="1:35" ht="31.2">
      <c r="A2213" s="8">
        <v>-73.980113900000006</v>
      </c>
      <c r="B2213" s="8">
        <v>40.768572149999997</v>
      </c>
      <c r="C2213" s="8" t="s">
        <v>5565</v>
      </c>
      <c r="D2213" s="8" t="s">
        <v>219</v>
      </c>
      <c r="E2213" s="8" t="b">
        <f t="shared" si="34"/>
        <v>0</v>
      </c>
      <c r="F2213" s="8" t="str" cm="1">
        <f t="array" ref="F2213">_xlfn._xlws.FILTER(E2213:E5411, C2213:C5411= "6D-PM-1020-01", "No Squirrels Found")</f>
        <v>No Squirrels Found</v>
      </c>
      <c r="G2213" s="8" t="s">
        <v>34</v>
      </c>
      <c r="H2213" s="10">
        <v>10132018</v>
      </c>
      <c r="I2213" s="10">
        <v>2</v>
      </c>
      <c r="J2213" s="8" t="s">
        <v>39</v>
      </c>
      <c r="K2213" s="8" t="s">
        <v>40</v>
      </c>
      <c r="L2213" s="8" t="s">
        <v>84</v>
      </c>
      <c r="M2213" s="8" t="s">
        <v>103</v>
      </c>
      <c r="O2213" s="8" t="s">
        <v>43</v>
      </c>
      <c r="P2213" s="8" t="b">
        <v>0</v>
      </c>
      <c r="R2213" s="8" t="b">
        <v>0</v>
      </c>
      <c r="S2213" s="8" t="b">
        <v>0</v>
      </c>
      <c r="T2213" s="8" t="b">
        <v>0</v>
      </c>
      <c r="U2213" s="8" t="b">
        <v>0</v>
      </c>
      <c r="V2213" s="8" t="b">
        <v>1</v>
      </c>
      <c r="X2213" s="8" t="b">
        <v>0</v>
      </c>
      <c r="Y2213" s="8" t="b">
        <v>0</v>
      </c>
      <c r="Z2213" s="8" t="b">
        <v>0</v>
      </c>
      <c r="AA2213" s="8" t="b">
        <v>0</v>
      </c>
      <c r="AB2213" s="8" t="b">
        <v>0</v>
      </c>
      <c r="AC2213" s="8" t="b">
        <v>0</v>
      </c>
      <c r="AD2213" s="8" t="b">
        <v>0</v>
      </c>
      <c r="AE2213" s="8" t="b">
        <v>0</v>
      </c>
      <c r="AG2213" s="11" t="b" cm="1">
        <f t="array" ref="AG2213">IF(OR(Y2213:AA2213="TRUE", AE2213="true"), "Threatened")</f>
        <v>0</v>
      </c>
      <c r="AH2213" s="11" t="s">
        <v>5566</v>
      </c>
      <c r="AI2213" s="8" t="b">
        <v>1</v>
      </c>
    </row>
    <row r="2214" spans="1:35" ht="31.2">
      <c r="A2214" s="8">
        <v>-73.970748720000003</v>
      </c>
      <c r="B2214" s="8">
        <v>40.780082280000002</v>
      </c>
      <c r="C2214" s="8" t="s">
        <v>5567</v>
      </c>
      <c r="D2214" s="8" t="s">
        <v>2417</v>
      </c>
      <c r="E2214" s="8" t="b">
        <f t="shared" si="34"/>
        <v>0</v>
      </c>
      <c r="F2214" s="8" t="str" cm="1">
        <f t="array" ref="F2214">_xlfn._xlws.FILTER(E2214:E5412, C2214:C5412= "6D-PM-1020-01", "No Squirrels Found")</f>
        <v>No Squirrels Found</v>
      </c>
      <c r="G2214" s="8" t="s">
        <v>34</v>
      </c>
      <c r="H2214" s="10">
        <v>10122018</v>
      </c>
      <c r="I2214" s="10">
        <v>3</v>
      </c>
      <c r="J2214" s="8" t="s">
        <v>39</v>
      </c>
      <c r="K2214" s="8" t="s">
        <v>40</v>
      </c>
      <c r="L2214" s="8" t="s">
        <v>84</v>
      </c>
      <c r="M2214" s="8" t="s">
        <v>103</v>
      </c>
      <c r="O2214" s="8" t="s">
        <v>50</v>
      </c>
      <c r="P2214" s="8">
        <v>10</v>
      </c>
      <c r="R2214" s="8" t="b">
        <v>1</v>
      </c>
      <c r="S2214" s="8" t="b">
        <v>1</v>
      </c>
      <c r="T2214" s="8" t="b">
        <v>0</v>
      </c>
      <c r="U2214" s="8" t="b">
        <v>0</v>
      </c>
      <c r="V2214" s="8" t="b">
        <v>0</v>
      </c>
      <c r="W2214" s="11" t="s">
        <v>5001</v>
      </c>
      <c r="X2214" s="8" t="b">
        <v>0</v>
      </c>
      <c r="Y2214" s="8" t="b">
        <v>0</v>
      </c>
      <c r="Z2214" s="8" t="b">
        <v>0</v>
      </c>
      <c r="AA2214" s="8" t="b">
        <v>0</v>
      </c>
      <c r="AB2214" s="8" t="b">
        <v>1</v>
      </c>
      <c r="AC2214" s="8" t="b">
        <v>0</v>
      </c>
      <c r="AD2214" s="8" t="b">
        <v>1</v>
      </c>
      <c r="AE2214" s="8" t="b">
        <v>0</v>
      </c>
      <c r="AG2214" s="11" t="b" cm="1">
        <f t="array" ref="AG2214">IF(OR(Y2214:AA2214="TRUE", AE2214="true"), "Threatened")</f>
        <v>0</v>
      </c>
      <c r="AH2214" s="11" t="s">
        <v>5568</v>
      </c>
      <c r="AI2214" s="8" t="b">
        <v>0</v>
      </c>
    </row>
    <row r="2215" spans="1:35" ht="31.2">
      <c r="A2215" s="8">
        <v>-73.958368859999993</v>
      </c>
      <c r="B2215" s="8">
        <v>40.791388959999999</v>
      </c>
      <c r="C2215" s="8" t="s">
        <v>5569</v>
      </c>
      <c r="D2215" s="8" t="s">
        <v>1214</v>
      </c>
      <c r="E2215" s="8" t="b">
        <f t="shared" si="34"/>
        <v>0</v>
      </c>
      <c r="F2215" s="8" t="str" cm="1">
        <f t="array" ref="F2215">_xlfn._xlws.FILTER(E2215:E5413, C2215:C5413= "6D-PM-1020-01", "No Squirrels Found")</f>
        <v>No Squirrels Found</v>
      </c>
      <c r="G2215" s="8" t="s">
        <v>34</v>
      </c>
      <c r="H2215" s="10">
        <v>10122018</v>
      </c>
      <c r="I2215" s="10">
        <v>8</v>
      </c>
      <c r="J2215" s="8" t="s">
        <v>39</v>
      </c>
      <c r="K2215" s="8" t="s">
        <v>40</v>
      </c>
      <c r="L2215" s="8" t="s">
        <v>84</v>
      </c>
      <c r="M2215" s="8" t="s">
        <v>103</v>
      </c>
      <c r="O2215" s="8" t="s">
        <v>43</v>
      </c>
      <c r="P2215" s="8" t="b">
        <v>0</v>
      </c>
      <c r="R2215" s="8" t="b">
        <v>1</v>
      </c>
      <c r="S2215" s="8" t="b">
        <v>1</v>
      </c>
      <c r="T2215" s="8" t="b">
        <v>0</v>
      </c>
      <c r="U2215" s="8" t="b">
        <v>0</v>
      </c>
      <c r="V2215" s="8" t="b">
        <v>0</v>
      </c>
      <c r="X2215" s="8" t="b">
        <v>0</v>
      </c>
      <c r="Y2215" s="8" t="b">
        <v>0</v>
      </c>
      <c r="Z2215" s="8" t="b">
        <v>0</v>
      </c>
      <c r="AA2215" s="8" t="b">
        <v>0</v>
      </c>
      <c r="AB2215" s="8" t="b">
        <v>0</v>
      </c>
      <c r="AC2215" s="8" t="b">
        <v>0</v>
      </c>
      <c r="AD2215" s="8" t="b">
        <v>0</v>
      </c>
      <c r="AE2215" s="8" t="b">
        <v>0</v>
      </c>
      <c r="AG2215" s="11" t="b" cm="1">
        <f t="array" ref="AG2215">IF(OR(Y2215:AA2215="TRUE", AE2215="true"), "Threatened")</f>
        <v>0</v>
      </c>
      <c r="AH2215" s="11" t="s">
        <v>5570</v>
      </c>
      <c r="AI2215" s="8" t="b">
        <v>1</v>
      </c>
    </row>
    <row r="2216" spans="1:35" ht="31.2">
      <c r="A2216" s="8">
        <v>-73.967497879999996</v>
      </c>
      <c r="B2216" s="8">
        <v>40.776288409999999</v>
      </c>
      <c r="C2216" s="8" t="s">
        <v>5571</v>
      </c>
      <c r="D2216" s="8" t="s">
        <v>326</v>
      </c>
      <c r="E2216" s="8" t="b">
        <f t="shared" si="34"/>
        <v>0</v>
      </c>
      <c r="F2216" s="8" t="str" cm="1">
        <f t="array" ref="F2216">_xlfn._xlws.FILTER(E2216:E5414, C2216:C5414= "6D-PM-1020-01", "No Squirrels Found")</f>
        <v>No Squirrels Found</v>
      </c>
      <c r="G2216" s="8" t="s">
        <v>34</v>
      </c>
      <c r="H2216" s="10">
        <v>10192018</v>
      </c>
      <c r="I2216" s="10">
        <v>10</v>
      </c>
      <c r="J2216" s="8" t="s">
        <v>39</v>
      </c>
      <c r="K2216" s="8" t="s">
        <v>40</v>
      </c>
      <c r="M2216" s="8" t="s">
        <v>55</v>
      </c>
      <c r="O2216" s="8" t="s">
        <v>50</v>
      </c>
      <c r="P2216" s="8">
        <v>1</v>
      </c>
      <c r="Q2216" s="8" t="s">
        <v>5572</v>
      </c>
      <c r="R2216" s="8" t="b">
        <v>0</v>
      </c>
      <c r="S2216" s="8" t="b">
        <v>0</v>
      </c>
      <c r="T2216" s="8" t="b">
        <v>0</v>
      </c>
      <c r="U2216" s="8" t="b">
        <v>1</v>
      </c>
      <c r="V2216" s="8" t="b">
        <v>0</v>
      </c>
      <c r="X2216" s="8" t="b">
        <v>0</v>
      </c>
      <c r="Y2216" s="8" t="b">
        <v>0</v>
      </c>
      <c r="Z2216" s="8" t="b">
        <v>0</v>
      </c>
      <c r="AA2216" s="8" t="b">
        <v>0</v>
      </c>
      <c r="AB2216" s="8" t="b">
        <v>0</v>
      </c>
      <c r="AC2216" s="8" t="b">
        <v>0</v>
      </c>
      <c r="AD2216" s="8" t="b">
        <v>0</v>
      </c>
      <c r="AE2216" s="8" t="b">
        <v>1</v>
      </c>
      <c r="AG2216" s="11" t="b" cm="1">
        <f t="array" ref="AG2216">IF(OR(Y2216:AA2216="TRUE", AE2216="true"), "Threatened")</f>
        <v>0</v>
      </c>
      <c r="AH2216" s="11" t="s">
        <v>5573</v>
      </c>
      <c r="AI2216" s="8" t="b">
        <v>1</v>
      </c>
    </row>
    <row r="2217" spans="1:35" ht="31.2">
      <c r="A2217" s="8">
        <v>-73.973519499999995</v>
      </c>
      <c r="B2217" s="8">
        <v>40.778714729999997</v>
      </c>
      <c r="C2217" s="8" t="s">
        <v>5574</v>
      </c>
      <c r="D2217" s="8" t="s">
        <v>797</v>
      </c>
      <c r="E2217" s="8" t="b">
        <f t="shared" si="34"/>
        <v>0</v>
      </c>
      <c r="F2217" s="8" t="str" cm="1">
        <f t="array" ref="F2217">_xlfn._xlws.FILTER(E2217:E5415, C2217:C5415= "6D-PM-1020-01", "No Squirrels Found")</f>
        <v>No Squirrels Found</v>
      </c>
      <c r="G2217" s="8" t="s">
        <v>48</v>
      </c>
      <c r="H2217" s="10">
        <v>10142018</v>
      </c>
      <c r="I2217" s="10">
        <v>2</v>
      </c>
      <c r="J2217" s="8" t="s">
        <v>39</v>
      </c>
      <c r="K2217" s="8" t="s">
        <v>40</v>
      </c>
      <c r="L2217" s="8" t="s">
        <v>84</v>
      </c>
      <c r="M2217" s="8" t="s">
        <v>103</v>
      </c>
      <c r="O2217" s="8" t="s">
        <v>43</v>
      </c>
      <c r="P2217" s="8" t="b">
        <v>0</v>
      </c>
      <c r="R2217" s="8" t="b">
        <v>0</v>
      </c>
      <c r="S2217" s="8" t="b">
        <v>0</v>
      </c>
      <c r="T2217" s="8" t="b">
        <v>1</v>
      </c>
      <c r="U2217" s="8" t="b">
        <v>0</v>
      </c>
      <c r="V2217" s="8" t="b">
        <v>1</v>
      </c>
      <c r="X2217" s="8" t="b">
        <v>0</v>
      </c>
      <c r="Y2217" s="8" t="b">
        <v>0</v>
      </c>
      <c r="Z2217" s="8" t="b">
        <v>0</v>
      </c>
      <c r="AA2217" s="8" t="b">
        <v>0</v>
      </c>
      <c r="AB2217" s="8" t="b">
        <v>1</v>
      </c>
      <c r="AC2217" s="8" t="b">
        <v>0</v>
      </c>
      <c r="AD2217" s="8" t="b">
        <v>0</v>
      </c>
      <c r="AE2217" s="8" t="b">
        <v>0</v>
      </c>
      <c r="AG2217" s="11" t="b" cm="1">
        <f t="array" ref="AG2217">IF(OR(Y2217:AA2217="TRUE", AE2217="true"), "Threatened")</f>
        <v>0</v>
      </c>
      <c r="AH2217" s="11" t="s">
        <v>5575</v>
      </c>
      <c r="AI2217" s="8" t="b">
        <v>1</v>
      </c>
    </row>
    <row r="2218" spans="1:35" ht="31.2">
      <c r="A2218" s="8">
        <v>-73.965274649999998</v>
      </c>
      <c r="B2218" s="8">
        <v>40.780932679999999</v>
      </c>
      <c r="C2218" s="8" t="s">
        <v>5576</v>
      </c>
      <c r="D2218" s="8" t="s">
        <v>574</v>
      </c>
      <c r="E2218" s="8" t="b">
        <f t="shared" si="34"/>
        <v>0</v>
      </c>
      <c r="F2218" s="8" t="str" cm="1">
        <f t="array" ref="F2218">_xlfn._xlws.FILTER(E2218:E5416, C2218:C5416= "6D-PM-1020-01", "No Squirrels Found")</f>
        <v>No Squirrels Found</v>
      </c>
      <c r="G2218" s="8" t="s">
        <v>34</v>
      </c>
      <c r="H2218" s="10">
        <v>10072018</v>
      </c>
      <c r="I2218" s="10">
        <v>7</v>
      </c>
      <c r="J2218" s="8" t="s">
        <v>39</v>
      </c>
      <c r="K2218" s="8" t="s">
        <v>40</v>
      </c>
      <c r="L2218" s="8" t="s">
        <v>41</v>
      </c>
      <c r="M2218" s="8" t="s">
        <v>42</v>
      </c>
      <c r="N2218" s="11" t="s">
        <v>575</v>
      </c>
      <c r="O2218" s="8" t="s">
        <v>43</v>
      </c>
      <c r="P2218" s="8" t="b">
        <v>0</v>
      </c>
      <c r="R2218" s="8" t="b">
        <v>1</v>
      </c>
      <c r="S2218" s="8" t="b">
        <v>0</v>
      </c>
      <c r="T2218" s="8" t="b">
        <v>0</v>
      </c>
      <c r="U2218" s="8" t="b">
        <v>0</v>
      </c>
      <c r="V2218" s="8" t="b">
        <v>0</v>
      </c>
      <c r="W2218" s="11" t="s">
        <v>678</v>
      </c>
      <c r="X2218" s="8" t="b">
        <v>0</v>
      </c>
      <c r="Y2218" s="8" t="b">
        <v>0</v>
      </c>
      <c r="Z2218" s="8" t="b">
        <v>0</v>
      </c>
      <c r="AA2218" s="8" t="b">
        <v>1</v>
      </c>
      <c r="AB2218" s="8" t="b">
        <v>0</v>
      </c>
      <c r="AC2218" s="8" t="b">
        <v>0</v>
      </c>
      <c r="AD2218" s="8" t="b">
        <v>0</v>
      </c>
      <c r="AE2218" s="8" t="b">
        <v>1</v>
      </c>
      <c r="AG2218" s="11" t="b" cm="1">
        <f t="array" ref="AG2218">IF(OR(Y2218:AA2218="TRUE", AE2218="true"), "Threatened")</f>
        <v>0</v>
      </c>
      <c r="AH2218" s="11" t="s">
        <v>5577</v>
      </c>
      <c r="AI2218" s="8" t="b">
        <v>0</v>
      </c>
    </row>
    <row r="2219" spans="1:35" ht="31.2">
      <c r="A2219" s="8">
        <v>-73.969438240000002</v>
      </c>
      <c r="B2219" s="8">
        <v>40.78463507</v>
      </c>
      <c r="C2219" s="8" t="s">
        <v>5578</v>
      </c>
      <c r="D2219" s="8" t="s">
        <v>313</v>
      </c>
      <c r="E2219" s="8" t="b">
        <f t="shared" si="34"/>
        <v>0</v>
      </c>
      <c r="F2219" s="8" t="str" cm="1">
        <f t="array" ref="F2219">_xlfn._xlws.FILTER(E2219:E5417, C2219:C5417= "6D-PM-1020-01", "No Squirrels Found")</f>
        <v>No Squirrels Found</v>
      </c>
      <c r="G2219" s="8" t="s">
        <v>48</v>
      </c>
      <c r="H2219" s="10">
        <v>10082018</v>
      </c>
      <c r="I2219" s="10">
        <v>4</v>
      </c>
      <c r="J2219" s="8" t="s">
        <v>39</v>
      </c>
      <c r="K2219" s="8" t="s">
        <v>41</v>
      </c>
      <c r="L2219" s="8" t="s">
        <v>40</v>
      </c>
      <c r="M2219" s="8" t="s">
        <v>110</v>
      </c>
      <c r="O2219" s="8" t="s">
        <v>43</v>
      </c>
      <c r="P2219" s="8" t="b">
        <v>0</v>
      </c>
      <c r="R2219" s="8" t="b">
        <v>0</v>
      </c>
      <c r="S2219" s="8" t="b">
        <v>0</v>
      </c>
      <c r="T2219" s="8" t="b">
        <v>0</v>
      </c>
      <c r="U2219" s="8" t="b">
        <v>0</v>
      </c>
      <c r="V2219" s="8" t="b">
        <v>1</v>
      </c>
      <c r="X2219" s="8" t="b">
        <v>0</v>
      </c>
      <c r="Y2219" s="8" t="b">
        <v>0</v>
      </c>
      <c r="Z2219" s="8" t="b">
        <v>0</v>
      </c>
      <c r="AA2219" s="8" t="b">
        <v>0</v>
      </c>
      <c r="AB2219" s="8" t="b">
        <v>1</v>
      </c>
      <c r="AC2219" s="8" t="b">
        <v>0</v>
      </c>
      <c r="AD2219" s="8" t="b">
        <v>0</v>
      </c>
      <c r="AE2219" s="8" t="b">
        <v>1</v>
      </c>
      <c r="AG2219" s="11" t="b" cm="1">
        <f t="array" ref="AG2219">IF(OR(Y2219:AA2219="TRUE", AE2219="true"), "Threatened")</f>
        <v>0</v>
      </c>
      <c r="AH2219" s="11" t="s">
        <v>5579</v>
      </c>
      <c r="AI2219" s="8" t="b">
        <v>1</v>
      </c>
    </row>
    <row r="2220" spans="1:35" ht="31.2">
      <c r="A2220" s="8">
        <v>-73.970924240000002</v>
      </c>
      <c r="B2220" s="8">
        <v>40.768421719999999</v>
      </c>
      <c r="C2220" s="8" t="s">
        <v>5580</v>
      </c>
      <c r="D2220" s="8" t="s">
        <v>716</v>
      </c>
      <c r="E2220" s="8" t="b">
        <f t="shared" si="34"/>
        <v>0</v>
      </c>
      <c r="F2220" s="8" t="str" cm="1">
        <f t="array" ref="F2220">_xlfn._xlws.FILTER(E2220:E5418, C2220:C5418= "6D-PM-1020-01", "No Squirrels Found")</f>
        <v>No Squirrels Found</v>
      </c>
      <c r="G2220" s="8" t="s">
        <v>48</v>
      </c>
      <c r="H2220" s="10">
        <v>10102018</v>
      </c>
      <c r="I2220" s="10">
        <v>4</v>
      </c>
      <c r="J2220" s="8" t="s">
        <v>39</v>
      </c>
      <c r="K2220" s="8" t="s">
        <v>40</v>
      </c>
      <c r="M2220" s="8" t="s">
        <v>55</v>
      </c>
      <c r="O2220" s="8" t="s">
        <v>43</v>
      </c>
      <c r="P2220" s="8" t="b">
        <v>0</v>
      </c>
      <c r="R2220" s="8" t="b">
        <v>0</v>
      </c>
      <c r="S2220" s="8" t="b">
        <v>0</v>
      </c>
      <c r="T2220" s="8" t="b">
        <v>0</v>
      </c>
      <c r="U2220" s="8" t="b">
        <v>1</v>
      </c>
      <c r="V2220" s="8" t="b">
        <v>0</v>
      </c>
      <c r="X2220" s="8" t="b">
        <v>0</v>
      </c>
      <c r="Y2220" s="8" t="b">
        <v>0</v>
      </c>
      <c r="Z2220" s="8" t="b">
        <v>0</v>
      </c>
      <c r="AA2220" s="8" t="b">
        <v>0</v>
      </c>
      <c r="AB2220" s="8" t="b">
        <v>1</v>
      </c>
      <c r="AC2220" s="8" t="b">
        <v>0</v>
      </c>
      <c r="AD2220" s="8" t="b">
        <v>1</v>
      </c>
      <c r="AE2220" s="8" t="b">
        <v>0</v>
      </c>
      <c r="AG2220" s="11" t="b" cm="1">
        <f t="array" ref="AG2220">IF(OR(Y2220:AA2220="TRUE", AE2220="true"), "Threatened")</f>
        <v>0</v>
      </c>
      <c r="AH2220" s="11" t="s">
        <v>5581</v>
      </c>
      <c r="AI2220" s="8" t="b">
        <v>1</v>
      </c>
    </row>
    <row r="2221" spans="1:35" ht="31.2">
      <c r="A2221" s="8">
        <v>-73.963716750000003</v>
      </c>
      <c r="B2221" s="8">
        <v>40.789216009999997</v>
      </c>
      <c r="C2221" s="8" t="s">
        <v>5582</v>
      </c>
      <c r="D2221" s="8" t="s">
        <v>188</v>
      </c>
      <c r="E2221" s="8" t="b">
        <f t="shared" si="34"/>
        <v>0</v>
      </c>
      <c r="F2221" s="8" t="str" cm="1">
        <f t="array" ref="F2221">_xlfn._xlws.FILTER(E2221:E5419, C2221:C5419= "6D-PM-1020-01", "No Squirrels Found")</f>
        <v>No Squirrels Found</v>
      </c>
      <c r="G2221" s="8" t="s">
        <v>48</v>
      </c>
      <c r="H2221" s="10">
        <v>10072018</v>
      </c>
      <c r="I2221" s="10">
        <v>1</v>
      </c>
      <c r="J2221" s="8" t="s">
        <v>39</v>
      </c>
      <c r="K2221" s="8" t="s">
        <v>40</v>
      </c>
      <c r="L2221" s="8" t="s">
        <v>41</v>
      </c>
      <c r="M2221" s="8" t="s">
        <v>42</v>
      </c>
      <c r="O2221" s="8" t="s">
        <v>43</v>
      </c>
      <c r="P2221" s="8" t="b">
        <v>0</v>
      </c>
      <c r="R2221" s="8" t="b">
        <v>0</v>
      </c>
      <c r="S2221" s="8" t="b">
        <v>0</v>
      </c>
      <c r="T2221" s="8" t="b">
        <v>0</v>
      </c>
      <c r="U2221" s="8" t="b">
        <v>0</v>
      </c>
      <c r="V2221" s="8" t="b">
        <v>1</v>
      </c>
      <c r="X2221" s="8" t="b">
        <v>0</v>
      </c>
      <c r="Y2221" s="8" t="b">
        <v>0</v>
      </c>
      <c r="Z2221" s="8" t="b">
        <v>0</v>
      </c>
      <c r="AA2221" s="8" t="b">
        <v>0</v>
      </c>
      <c r="AB2221" s="8" t="b">
        <v>0</v>
      </c>
      <c r="AC2221" s="8" t="b">
        <v>0</v>
      </c>
      <c r="AD2221" s="8" t="b">
        <v>1</v>
      </c>
      <c r="AE2221" s="8" t="b">
        <v>0</v>
      </c>
      <c r="AG2221" s="11" t="b" cm="1">
        <f t="array" ref="AG2221">IF(OR(Y2221:AA2221="TRUE", AE2221="true"), "Threatened")</f>
        <v>0</v>
      </c>
      <c r="AH2221" s="11" t="s">
        <v>5583</v>
      </c>
      <c r="AI2221" s="8" t="b">
        <v>1</v>
      </c>
    </row>
    <row r="2222" spans="1:35" ht="31.2">
      <c r="A2222" s="8">
        <v>-73.977184769999994</v>
      </c>
      <c r="B2222" s="8">
        <v>40.76959712</v>
      </c>
      <c r="C2222" s="8" t="s">
        <v>5584</v>
      </c>
      <c r="D2222" s="8" t="s">
        <v>1586</v>
      </c>
      <c r="E2222" s="8" t="b">
        <f t="shared" si="34"/>
        <v>0</v>
      </c>
      <c r="F2222" s="8" t="str" cm="1">
        <f t="array" ref="F2222">_xlfn._xlws.FILTER(E2222:E5420, C2222:C5420= "6D-PM-1020-01", "No Squirrels Found")</f>
        <v>No Squirrels Found</v>
      </c>
      <c r="G2222" s="8" t="s">
        <v>48</v>
      </c>
      <c r="H2222" s="10">
        <v>10062018</v>
      </c>
      <c r="I2222" s="10">
        <v>1</v>
      </c>
      <c r="J2222" s="8" t="s">
        <v>54</v>
      </c>
      <c r="K2222" s="8" t="s">
        <v>40</v>
      </c>
      <c r="L2222" s="8" t="s">
        <v>84</v>
      </c>
      <c r="M2222" s="8" t="s">
        <v>103</v>
      </c>
      <c r="O2222" s="8" t="s">
        <v>43</v>
      </c>
      <c r="P2222" s="8" t="b">
        <v>0</v>
      </c>
      <c r="R2222" s="8" t="b">
        <v>0</v>
      </c>
      <c r="S2222" s="8" t="b">
        <v>0</v>
      </c>
      <c r="T2222" s="8" t="b">
        <v>0</v>
      </c>
      <c r="U2222" s="8" t="b">
        <v>1</v>
      </c>
      <c r="V2222" s="8" t="b">
        <v>1</v>
      </c>
      <c r="X2222" s="8" t="b">
        <v>0</v>
      </c>
      <c r="Y2222" s="8" t="b">
        <v>0</v>
      </c>
      <c r="Z2222" s="8" t="b">
        <v>0</v>
      </c>
      <c r="AA2222" s="8" t="b">
        <v>0</v>
      </c>
      <c r="AB2222" s="8" t="b">
        <v>1</v>
      </c>
      <c r="AC2222" s="8" t="b">
        <v>0</v>
      </c>
      <c r="AD2222" s="8" t="b">
        <v>1</v>
      </c>
      <c r="AE2222" s="8" t="b">
        <v>0</v>
      </c>
      <c r="AG2222" s="11" t="b" cm="1">
        <f t="array" ref="AG2222">IF(OR(Y2222:AA2222="TRUE", AE2222="true"), "Threatened")</f>
        <v>0</v>
      </c>
      <c r="AH2222" s="11" t="s">
        <v>5585</v>
      </c>
      <c r="AI2222" s="8" t="b">
        <v>1</v>
      </c>
    </row>
    <row r="2223" spans="1:35" ht="31.2">
      <c r="A2223" s="8">
        <v>-73.963904819999996</v>
      </c>
      <c r="B2223" s="8">
        <v>40.777737330000001</v>
      </c>
      <c r="C2223" s="8" t="s">
        <v>5586</v>
      </c>
      <c r="D2223" s="8" t="s">
        <v>1144</v>
      </c>
      <c r="E2223" s="8" t="b">
        <f t="shared" si="34"/>
        <v>0</v>
      </c>
      <c r="F2223" s="8" t="str" cm="1">
        <f t="array" ref="F2223">_xlfn._xlws.FILTER(E2223:E5421, C2223:C5421= "6D-PM-1020-01", "No Squirrels Found")</f>
        <v>No Squirrels Found</v>
      </c>
      <c r="G2223" s="8" t="s">
        <v>34</v>
      </c>
      <c r="H2223" s="10">
        <v>10072018</v>
      </c>
      <c r="I2223" s="10">
        <v>2</v>
      </c>
      <c r="J2223" s="8" t="s">
        <v>39</v>
      </c>
      <c r="K2223" s="8" t="s">
        <v>40</v>
      </c>
      <c r="L2223" s="8" t="s">
        <v>41</v>
      </c>
      <c r="M2223" s="8" t="s">
        <v>42</v>
      </c>
      <c r="O2223" s="8" t="s">
        <v>50</v>
      </c>
      <c r="P2223" s="8">
        <v>12</v>
      </c>
      <c r="R2223" s="8" t="b">
        <v>0</v>
      </c>
      <c r="S2223" s="8" t="b">
        <v>0</v>
      </c>
      <c r="T2223" s="8" t="b">
        <v>1</v>
      </c>
      <c r="U2223" s="8" t="b">
        <v>1</v>
      </c>
      <c r="V2223" s="8" t="b">
        <v>1</v>
      </c>
      <c r="W2223" s="11" t="s">
        <v>4200</v>
      </c>
      <c r="X2223" s="8" t="b">
        <v>0</v>
      </c>
      <c r="Y2223" s="8" t="b">
        <v>0</v>
      </c>
      <c r="Z2223" s="8" t="b">
        <v>0</v>
      </c>
      <c r="AA2223" s="8" t="b">
        <v>0</v>
      </c>
      <c r="AB2223" s="8" t="b">
        <v>0</v>
      </c>
      <c r="AC2223" s="8" t="b">
        <v>0</v>
      </c>
      <c r="AD2223" s="8" t="b">
        <v>1</v>
      </c>
      <c r="AE2223" s="8" t="b">
        <v>0</v>
      </c>
      <c r="AG2223" s="11" t="b" cm="1">
        <f t="array" ref="AG2223">IF(OR(Y2223:AA2223="TRUE", AE2223="true"), "Threatened")</f>
        <v>0</v>
      </c>
      <c r="AH2223" s="11" t="s">
        <v>5587</v>
      </c>
      <c r="AI2223" s="8" t="b">
        <v>0</v>
      </c>
    </row>
    <row r="2224" spans="1:35" ht="31.2">
      <c r="A2224" s="8">
        <v>-73.978486309999994</v>
      </c>
      <c r="B2224" s="8">
        <v>40.7669225</v>
      </c>
      <c r="C2224" s="8" t="s">
        <v>5588</v>
      </c>
      <c r="D2224" s="8" t="s">
        <v>1278</v>
      </c>
      <c r="E2224" s="8" t="b">
        <f t="shared" si="34"/>
        <v>0</v>
      </c>
      <c r="F2224" s="8" t="str" cm="1">
        <f t="array" ref="F2224">_xlfn._xlws.FILTER(E2224:E5422, C2224:C5422= "6D-PM-1020-01", "No Squirrels Found")</f>
        <v>No Squirrels Found</v>
      </c>
      <c r="G2224" s="8" t="s">
        <v>48</v>
      </c>
      <c r="H2224" s="10">
        <v>10062018</v>
      </c>
      <c r="I2224" s="10">
        <v>8</v>
      </c>
      <c r="J2224" s="8" t="s">
        <v>54</v>
      </c>
      <c r="K2224" s="8" t="s">
        <v>40</v>
      </c>
      <c r="L2224" s="8" t="s">
        <v>41</v>
      </c>
      <c r="M2224" s="8" t="s">
        <v>42</v>
      </c>
      <c r="O2224" s="8" t="s">
        <v>50</v>
      </c>
      <c r="P2224" s="8">
        <v>45</v>
      </c>
      <c r="R2224" s="8" t="b">
        <v>0</v>
      </c>
      <c r="S2224" s="8" t="b">
        <v>0</v>
      </c>
      <c r="T2224" s="8" t="b">
        <v>1</v>
      </c>
      <c r="U2224" s="8" t="b">
        <v>0</v>
      </c>
      <c r="V2224" s="8" t="b">
        <v>0</v>
      </c>
      <c r="X2224" s="8" t="b">
        <v>0</v>
      </c>
      <c r="Y2224" s="8" t="b">
        <v>0</v>
      </c>
      <c r="Z2224" s="8" t="b">
        <v>0</v>
      </c>
      <c r="AA2224" s="8" t="b">
        <v>0</v>
      </c>
      <c r="AB2224" s="8" t="b">
        <v>0</v>
      </c>
      <c r="AC2224" s="8" t="b">
        <v>0</v>
      </c>
      <c r="AD2224" s="8" t="b">
        <v>0</v>
      </c>
      <c r="AE2224" s="8" t="b">
        <v>0</v>
      </c>
      <c r="AG2224" s="11" t="b" cm="1">
        <f t="array" ref="AG2224">IF(OR(Y2224:AA2224="TRUE", AE2224="true"), "Threatened")</f>
        <v>0</v>
      </c>
      <c r="AH2224" s="11" t="s">
        <v>5589</v>
      </c>
      <c r="AI2224" s="8" t="b">
        <v>1</v>
      </c>
    </row>
    <row r="2225" spans="1:35" ht="31.2">
      <c r="A2225" s="8">
        <v>-73.966231059999998</v>
      </c>
      <c r="B2225" s="8">
        <v>40.774775820000002</v>
      </c>
      <c r="C2225" s="8" t="s">
        <v>5590</v>
      </c>
      <c r="D2225" s="8" t="s">
        <v>1093</v>
      </c>
      <c r="E2225" s="8" t="b">
        <f t="shared" si="34"/>
        <v>0</v>
      </c>
      <c r="F2225" s="8" t="str" cm="1">
        <f t="array" ref="F2225">_xlfn._xlws.FILTER(E2225:E5423, C2225:C5423= "6D-PM-1020-01", "No Squirrels Found")</f>
        <v>No Squirrels Found</v>
      </c>
      <c r="G2225" s="8" t="s">
        <v>48</v>
      </c>
      <c r="H2225" s="10">
        <v>10132018</v>
      </c>
      <c r="I2225" s="10">
        <v>1</v>
      </c>
      <c r="J2225" s="8" t="s">
        <v>39</v>
      </c>
      <c r="K2225" s="8" t="s">
        <v>40</v>
      </c>
      <c r="L2225" s="8" t="s">
        <v>84</v>
      </c>
      <c r="M2225" s="8" t="s">
        <v>103</v>
      </c>
      <c r="O2225" s="8" t="s">
        <v>50</v>
      </c>
      <c r="P2225" s="8">
        <v>10</v>
      </c>
      <c r="R2225" s="8" t="b">
        <v>1</v>
      </c>
      <c r="S2225" s="8" t="b">
        <v>0</v>
      </c>
      <c r="T2225" s="8" t="b">
        <v>1</v>
      </c>
      <c r="U2225" s="8" t="b">
        <v>0</v>
      </c>
      <c r="V2225" s="8" t="b">
        <v>0</v>
      </c>
      <c r="X2225" s="8" t="b">
        <v>0</v>
      </c>
      <c r="Y2225" s="8" t="b">
        <v>0</v>
      </c>
      <c r="Z2225" s="8" t="b">
        <v>0</v>
      </c>
      <c r="AA2225" s="8" t="b">
        <v>0</v>
      </c>
      <c r="AB2225" s="8" t="b">
        <v>0</v>
      </c>
      <c r="AC2225" s="8" t="b">
        <v>0</v>
      </c>
      <c r="AD2225" s="8" t="b">
        <v>1</v>
      </c>
      <c r="AE2225" s="8" t="b">
        <v>0</v>
      </c>
      <c r="AG2225" s="11" t="b" cm="1">
        <f t="array" ref="AG2225">IF(OR(Y2225:AA2225="TRUE", AE2225="true"), "Threatened")</f>
        <v>0</v>
      </c>
      <c r="AH2225" s="11" t="s">
        <v>5591</v>
      </c>
      <c r="AI2225" s="8" t="b">
        <v>1</v>
      </c>
    </row>
    <row r="2226" spans="1:35" ht="31.2">
      <c r="A2226" s="8">
        <v>-73.956232349999993</v>
      </c>
      <c r="B2226" s="8">
        <v>40.794618069999999</v>
      </c>
      <c r="C2226" s="8" t="s">
        <v>5592</v>
      </c>
      <c r="D2226" s="8" t="s">
        <v>38</v>
      </c>
      <c r="E2226" s="8" t="b">
        <f t="shared" si="34"/>
        <v>0</v>
      </c>
      <c r="F2226" s="8" t="str" cm="1">
        <f t="array" ref="F2226">_xlfn._xlws.FILTER(E2226:E5424, C2226:C5424= "6D-PM-1020-01", "No Squirrels Found")</f>
        <v>No Squirrels Found</v>
      </c>
      <c r="G2226" s="8" t="s">
        <v>48</v>
      </c>
      <c r="H2226" s="10">
        <v>10132018</v>
      </c>
      <c r="I2226" s="10">
        <v>2</v>
      </c>
      <c r="K2226" s="8" t="s">
        <v>40</v>
      </c>
      <c r="L2226" s="8" t="s">
        <v>84</v>
      </c>
      <c r="M2226" s="8" t="s">
        <v>103</v>
      </c>
      <c r="O2226" s="8" t="s">
        <v>43</v>
      </c>
      <c r="P2226" s="8" t="b">
        <v>0</v>
      </c>
      <c r="R2226" s="8" t="b">
        <v>1</v>
      </c>
      <c r="S2226" s="8" t="b">
        <v>1</v>
      </c>
      <c r="T2226" s="8" t="b">
        <v>0</v>
      </c>
      <c r="U2226" s="8" t="b">
        <v>0</v>
      </c>
      <c r="V2226" s="8" t="b">
        <v>0</v>
      </c>
      <c r="X2226" s="8" t="b">
        <v>0</v>
      </c>
      <c r="Y2226" s="8" t="b">
        <v>0</v>
      </c>
      <c r="Z2226" s="8" t="b">
        <v>0</v>
      </c>
      <c r="AA2226" s="8" t="b">
        <v>0</v>
      </c>
      <c r="AB2226" s="8" t="b">
        <v>0</v>
      </c>
      <c r="AC2226" s="8" t="b">
        <v>0</v>
      </c>
      <c r="AD2226" s="8" t="b">
        <v>1</v>
      </c>
      <c r="AE2226" s="8" t="b">
        <v>0</v>
      </c>
      <c r="AG2226" s="11" t="b" cm="1">
        <f t="array" ref="AG2226">IF(OR(Y2226:AA2226="TRUE", AE2226="true"), "Threatened")</f>
        <v>0</v>
      </c>
      <c r="AH2226" s="11" t="s">
        <v>5593</v>
      </c>
      <c r="AI2226" s="8" t="b">
        <v>1</v>
      </c>
    </row>
    <row r="2227" spans="1:35" ht="31.2">
      <c r="A2227" s="8">
        <v>-73.962429639999996</v>
      </c>
      <c r="B2227" s="8">
        <v>40.791320810000002</v>
      </c>
      <c r="C2227" s="8" t="s">
        <v>5594</v>
      </c>
      <c r="D2227" s="8" t="s">
        <v>3391</v>
      </c>
      <c r="E2227" s="8" t="b">
        <f t="shared" si="34"/>
        <v>0</v>
      </c>
      <c r="F2227" s="8" t="str" cm="1">
        <f t="array" ref="F2227">_xlfn._xlws.FILTER(E2227:E5425, C2227:C5425= "6D-PM-1020-01", "No Squirrels Found")</f>
        <v>No Squirrels Found</v>
      </c>
      <c r="G2227" s="8" t="s">
        <v>34</v>
      </c>
      <c r="H2227" s="10">
        <v>10102018</v>
      </c>
      <c r="I2227" s="10">
        <v>2</v>
      </c>
      <c r="J2227" s="8" t="s">
        <v>39</v>
      </c>
      <c r="K2227" s="8" t="s">
        <v>40</v>
      </c>
      <c r="L2227" s="8" t="s">
        <v>84</v>
      </c>
      <c r="M2227" s="8" t="s">
        <v>103</v>
      </c>
      <c r="O2227" s="8" t="s">
        <v>50</v>
      </c>
      <c r="P2227" s="8">
        <v>10</v>
      </c>
      <c r="R2227" s="8" t="b">
        <v>0</v>
      </c>
      <c r="S2227" s="8" t="b">
        <v>0</v>
      </c>
      <c r="T2227" s="8" t="b">
        <v>1</v>
      </c>
      <c r="U2227" s="8" t="b">
        <v>0</v>
      </c>
      <c r="V2227" s="8" t="b">
        <v>0</v>
      </c>
      <c r="X2227" s="8" t="b">
        <v>0</v>
      </c>
      <c r="Y2227" s="8" t="b">
        <v>0</v>
      </c>
      <c r="Z2227" s="8" t="b">
        <v>0</v>
      </c>
      <c r="AA2227" s="8" t="b">
        <v>0</v>
      </c>
      <c r="AB2227" s="8" t="b">
        <v>0</v>
      </c>
      <c r="AC2227" s="8" t="b">
        <v>0</v>
      </c>
      <c r="AD2227" s="8" t="b">
        <v>1</v>
      </c>
      <c r="AE2227" s="8" t="b">
        <v>0</v>
      </c>
      <c r="AG2227" s="11" t="b" cm="1">
        <f t="array" ref="AG2227">IF(OR(Y2227:AA2227="TRUE", AE2227="true"), "Threatened")</f>
        <v>0</v>
      </c>
      <c r="AH2227" s="11" t="s">
        <v>5595</v>
      </c>
      <c r="AI2227" s="8" t="b">
        <v>1</v>
      </c>
    </row>
    <row r="2228" spans="1:35" ht="31.2">
      <c r="A2228" s="8">
        <v>-73.979281420000007</v>
      </c>
      <c r="B2228" s="8">
        <v>40.770503189999999</v>
      </c>
      <c r="C2228" s="8" t="s">
        <v>5596</v>
      </c>
      <c r="D2228" s="8" t="s">
        <v>1364</v>
      </c>
      <c r="E2228" s="8" t="b">
        <f t="shared" si="34"/>
        <v>0</v>
      </c>
      <c r="F2228" s="8" t="str" cm="1">
        <f t="array" ref="F2228">_xlfn._xlws.FILTER(E2228:E5426, C2228:C5426= "6D-PM-1020-01", "No Squirrels Found")</f>
        <v>No Squirrels Found</v>
      </c>
      <c r="G2228" s="8" t="s">
        <v>48</v>
      </c>
      <c r="H2228" s="10">
        <v>10072018</v>
      </c>
      <c r="I2228" s="10">
        <v>4</v>
      </c>
      <c r="J2228" s="8" t="s">
        <v>39</v>
      </c>
      <c r="K2228" s="8" t="s">
        <v>40</v>
      </c>
      <c r="M2228" s="8" t="s">
        <v>55</v>
      </c>
      <c r="O2228" s="8" t="s">
        <v>43</v>
      </c>
      <c r="P2228" s="8" t="b">
        <v>0</v>
      </c>
      <c r="R2228" s="8" t="b">
        <v>0</v>
      </c>
      <c r="S2228" s="8" t="b">
        <v>0</v>
      </c>
      <c r="T2228" s="8" t="b">
        <v>0</v>
      </c>
      <c r="U2228" s="8" t="b">
        <v>0</v>
      </c>
      <c r="V2228" s="8" t="b">
        <v>0</v>
      </c>
      <c r="X2228" s="8" t="b">
        <v>0</v>
      </c>
      <c r="Y2228" s="8" t="b">
        <v>0</v>
      </c>
      <c r="Z2228" s="8" t="b">
        <v>0</v>
      </c>
      <c r="AA2228" s="8" t="b">
        <v>0</v>
      </c>
      <c r="AB2228" s="8" t="b">
        <v>0</v>
      </c>
      <c r="AC2228" s="8" t="b">
        <v>0</v>
      </c>
      <c r="AD2228" s="8" t="b">
        <v>1</v>
      </c>
      <c r="AE2228" s="8" t="b">
        <v>0</v>
      </c>
      <c r="AG2228" s="11" t="b" cm="1">
        <f t="array" ref="AG2228">IF(OR(Y2228:AA2228="TRUE", AE2228="true"), "Threatened")</f>
        <v>0</v>
      </c>
      <c r="AH2228" s="11" t="s">
        <v>5597</v>
      </c>
      <c r="AI2228" s="8" t="b">
        <v>1</v>
      </c>
    </row>
    <row r="2229" spans="1:35" ht="31.2">
      <c r="A2229" s="8">
        <v>-73.971404590000006</v>
      </c>
      <c r="B2229" s="8">
        <v>40.771541829999997</v>
      </c>
      <c r="C2229" s="8" t="s">
        <v>5598</v>
      </c>
      <c r="D2229" s="8" t="s">
        <v>581</v>
      </c>
      <c r="E2229" s="8" t="b">
        <f t="shared" si="34"/>
        <v>0</v>
      </c>
      <c r="F2229" s="8" t="str" cm="1">
        <f t="array" ref="F2229">_xlfn._xlws.FILTER(E2229:E5427, C2229:C5427= "6D-PM-1020-01", "No Squirrels Found")</f>
        <v>No Squirrels Found</v>
      </c>
      <c r="G2229" s="8" t="s">
        <v>48</v>
      </c>
      <c r="H2229" s="10">
        <v>10072018</v>
      </c>
      <c r="I2229" s="10">
        <v>3</v>
      </c>
      <c r="J2229" s="8" t="s">
        <v>39</v>
      </c>
      <c r="K2229" s="8" t="s">
        <v>40</v>
      </c>
      <c r="L2229" s="8" t="s">
        <v>192</v>
      </c>
      <c r="M2229" s="8" t="s">
        <v>354</v>
      </c>
      <c r="O2229" s="8" t="s">
        <v>50</v>
      </c>
      <c r="P2229" s="8">
        <v>30</v>
      </c>
      <c r="R2229" s="8" t="b">
        <v>0</v>
      </c>
      <c r="S2229" s="8" t="b">
        <v>0</v>
      </c>
      <c r="T2229" s="8" t="b">
        <v>1</v>
      </c>
      <c r="U2229" s="8" t="b">
        <v>0</v>
      </c>
      <c r="V2229" s="8" t="b">
        <v>0</v>
      </c>
      <c r="X2229" s="8" t="b">
        <v>0</v>
      </c>
      <c r="Y2229" s="8" t="b">
        <v>0</v>
      </c>
      <c r="Z2229" s="8" t="b">
        <v>0</v>
      </c>
      <c r="AA2229" s="8" t="b">
        <v>0</v>
      </c>
      <c r="AB2229" s="8" t="b">
        <v>0</v>
      </c>
      <c r="AC2229" s="8" t="b">
        <v>0</v>
      </c>
      <c r="AD2229" s="8" t="b">
        <v>0</v>
      </c>
      <c r="AE2229" s="8" t="b">
        <v>0</v>
      </c>
      <c r="AG2229" s="11" t="b" cm="1">
        <f t="array" ref="AG2229">IF(OR(Y2229:AA2229="TRUE", AE2229="true"), "Threatened")</f>
        <v>0</v>
      </c>
      <c r="AH2229" s="11" t="s">
        <v>5599</v>
      </c>
      <c r="AI2229" s="8" t="b">
        <v>1</v>
      </c>
    </row>
    <row r="2230" spans="1:35" ht="31.2">
      <c r="A2230" s="8">
        <v>-73.962071940000001</v>
      </c>
      <c r="B2230" s="8">
        <v>40.788637450000003</v>
      </c>
      <c r="C2230" s="8" t="s">
        <v>5600</v>
      </c>
      <c r="D2230" s="8" t="s">
        <v>1425</v>
      </c>
      <c r="E2230" s="8" t="b">
        <f t="shared" si="34"/>
        <v>0</v>
      </c>
      <c r="F2230" s="8" t="str" cm="1">
        <f t="array" ref="F2230">_xlfn._xlws.FILTER(E2230:E5428, C2230:C5428= "6D-PM-1020-01", "No Squirrels Found")</f>
        <v>No Squirrels Found</v>
      </c>
      <c r="G2230" s="8" t="s">
        <v>34</v>
      </c>
      <c r="H2230" s="10">
        <v>10102018</v>
      </c>
      <c r="I2230" s="10">
        <v>2</v>
      </c>
      <c r="J2230" s="8" t="s">
        <v>39</v>
      </c>
      <c r="K2230" s="8" t="s">
        <v>40</v>
      </c>
      <c r="L2230" s="8" t="s">
        <v>117</v>
      </c>
      <c r="M2230" s="8" t="s">
        <v>118</v>
      </c>
      <c r="O2230" s="8" t="s">
        <v>43</v>
      </c>
      <c r="P2230" s="8" t="b">
        <v>0</v>
      </c>
      <c r="R2230" s="8" t="b">
        <v>0</v>
      </c>
      <c r="S2230" s="8" t="b">
        <v>0</v>
      </c>
      <c r="T2230" s="8" t="b">
        <v>0</v>
      </c>
      <c r="U2230" s="8" t="b">
        <v>1</v>
      </c>
      <c r="V2230" s="8" t="b">
        <v>0</v>
      </c>
      <c r="X2230" s="8" t="b">
        <v>0</v>
      </c>
      <c r="Y2230" s="8" t="b">
        <v>0</v>
      </c>
      <c r="Z2230" s="8" t="b">
        <v>0</v>
      </c>
      <c r="AA2230" s="8" t="b">
        <v>0</v>
      </c>
      <c r="AB2230" s="8" t="b">
        <v>1</v>
      </c>
      <c r="AC2230" s="8" t="b">
        <v>0</v>
      </c>
      <c r="AD2230" s="8" t="b">
        <v>0</v>
      </c>
      <c r="AE2230" s="8" t="b">
        <v>1</v>
      </c>
      <c r="AG2230" s="11" t="b" cm="1">
        <f t="array" ref="AG2230">IF(OR(Y2230:AA2230="TRUE", AE2230="true"), "Threatened")</f>
        <v>0</v>
      </c>
      <c r="AH2230" s="11" t="s">
        <v>5601</v>
      </c>
      <c r="AI2230" s="8" t="b">
        <v>1</v>
      </c>
    </row>
    <row r="2231" spans="1:35" ht="31.2">
      <c r="A2231" s="8">
        <v>-73.973081320000006</v>
      </c>
      <c r="B2231" s="8">
        <v>40.77793157</v>
      </c>
      <c r="C2231" s="8" t="s">
        <v>5602</v>
      </c>
      <c r="D2231" s="8" t="s">
        <v>1764</v>
      </c>
      <c r="E2231" s="8" t="b">
        <f t="shared" si="34"/>
        <v>0</v>
      </c>
      <c r="F2231" s="8" t="str" cm="1">
        <f t="array" ref="F2231">_xlfn._xlws.FILTER(E2231:E5429, C2231:C5429= "6D-PM-1020-01", "No Squirrels Found")</f>
        <v>No Squirrels Found</v>
      </c>
      <c r="G2231" s="8" t="s">
        <v>48</v>
      </c>
      <c r="H2231" s="10">
        <v>10072018</v>
      </c>
      <c r="I2231" s="10">
        <v>2</v>
      </c>
      <c r="J2231" s="8" t="s">
        <v>39</v>
      </c>
      <c r="K2231" s="8" t="s">
        <v>40</v>
      </c>
      <c r="M2231" s="8" t="s">
        <v>55</v>
      </c>
      <c r="O2231" s="8" t="s">
        <v>43</v>
      </c>
      <c r="P2231" s="8" t="b">
        <v>0</v>
      </c>
      <c r="R2231" s="8" t="b">
        <v>0</v>
      </c>
      <c r="S2231" s="8" t="b">
        <v>0</v>
      </c>
      <c r="T2231" s="8" t="b">
        <v>0</v>
      </c>
      <c r="U2231" s="8" t="b">
        <v>0</v>
      </c>
      <c r="V2231" s="8" t="b">
        <v>1</v>
      </c>
      <c r="X2231" s="8" t="b">
        <v>0</v>
      </c>
      <c r="Y2231" s="8" t="b">
        <v>0</v>
      </c>
      <c r="Z2231" s="8" t="b">
        <v>0</v>
      </c>
      <c r="AA2231" s="8" t="b">
        <v>0</v>
      </c>
      <c r="AB2231" s="8" t="b">
        <v>0</v>
      </c>
      <c r="AC2231" s="8" t="b">
        <v>0</v>
      </c>
      <c r="AD2231" s="8" t="b">
        <v>1</v>
      </c>
      <c r="AE2231" s="8" t="b">
        <v>0</v>
      </c>
      <c r="AG2231" s="11" t="b" cm="1">
        <f t="array" ref="AG2231">IF(OR(Y2231:AA2231="TRUE", AE2231="true"), "Threatened")</f>
        <v>0</v>
      </c>
      <c r="AH2231" s="11" t="s">
        <v>5603</v>
      </c>
      <c r="AI2231" s="8" t="b">
        <v>1</v>
      </c>
    </row>
    <row r="2232" spans="1:35" ht="31.2">
      <c r="A2232" s="8">
        <v>-73.954542759999995</v>
      </c>
      <c r="B2232" s="8">
        <v>40.793035379999999</v>
      </c>
      <c r="C2232" s="8" t="s">
        <v>5604</v>
      </c>
      <c r="D2232" s="8" t="s">
        <v>1653</v>
      </c>
      <c r="E2232" s="8" t="b">
        <f t="shared" si="34"/>
        <v>0</v>
      </c>
      <c r="F2232" s="8" t="str" cm="1">
        <f t="array" ref="F2232">_xlfn._xlws.FILTER(E2232:E5430, C2232:C5430= "6D-PM-1020-01", "No Squirrels Found")</f>
        <v>No Squirrels Found</v>
      </c>
      <c r="G2232" s="8" t="s">
        <v>34</v>
      </c>
      <c r="H2232" s="10">
        <v>10122018</v>
      </c>
      <c r="I2232" s="10">
        <v>2</v>
      </c>
      <c r="J2232" s="8" t="s">
        <v>39</v>
      </c>
      <c r="K2232" s="8" t="s">
        <v>40</v>
      </c>
      <c r="L2232" s="8" t="s">
        <v>84</v>
      </c>
      <c r="M2232" s="8" t="s">
        <v>103</v>
      </c>
      <c r="O2232" s="8" t="s">
        <v>50</v>
      </c>
      <c r="P2232" s="8">
        <v>10</v>
      </c>
      <c r="R2232" s="8" t="b">
        <v>0</v>
      </c>
      <c r="S2232" s="8" t="b">
        <v>0</v>
      </c>
      <c r="T2232" s="8" t="b">
        <v>0</v>
      </c>
      <c r="U2232" s="8" t="b">
        <v>1</v>
      </c>
      <c r="V2232" s="8" t="b">
        <v>0</v>
      </c>
      <c r="X2232" s="8" t="b">
        <v>0</v>
      </c>
      <c r="Y2232" s="8" t="b">
        <v>0</v>
      </c>
      <c r="Z2232" s="8" t="b">
        <v>0</v>
      </c>
      <c r="AA2232" s="8" t="b">
        <v>0</v>
      </c>
      <c r="AB2232" s="8" t="b">
        <v>0</v>
      </c>
      <c r="AC2232" s="8" t="b">
        <v>0</v>
      </c>
      <c r="AD2232" s="8" t="b">
        <v>0</v>
      </c>
      <c r="AE2232" s="8" t="b">
        <v>0</v>
      </c>
      <c r="AG2232" s="11" t="b" cm="1">
        <f t="array" ref="AG2232">IF(OR(Y2232:AA2232="TRUE", AE2232="true"), "Threatened")</f>
        <v>0</v>
      </c>
      <c r="AH2232" s="11" t="s">
        <v>5605</v>
      </c>
      <c r="AI2232" s="8" t="b">
        <v>1</v>
      </c>
    </row>
    <row r="2233" spans="1:35" ht="31.2">
      <c r="A2233" s="8">
        <v>-73.956627769999997</v>
      </c>
      <c r="B2233" s="8">
        <v>40.796667460000002</v>
      </c>
      <c r="C2233" s="8" t="s">
        <v>5606</v>
      </c>
      <c r="D2233" s="8" t="s">
        <v>1948</v>
      </c>
      <c r="E2233" s="8" t="b">
        <f t="shared" si="34"/>
        <v>0</v>
      </c>
      <c r="F2233" s="8" t="str" cm="1">
        <f t="array" ref="F2233">_xlfn._xlws.FILTER(E2233:E5431, C2233:C5431= "6D-PM-1020-01", "No Squirrels Found")</f>
        <v>No Squirrels Found</v>
      </c>
      <c r="G2233" s="8" t="s">
        <v>34</v>
      </c>
      <c r="H2233" s="10">
        <v>10122018</v>
      </c>
      <c r="I2233" s="10">
        <v>4</v>
      </c>
      <c r="J2233" s="8" t="s">
        <v>54</v>
      </c>
      <c r="K2233" s="8" t="s">
        <v>40</v>
      </c>
      <c r="L2233" s="8" t="s">
        <v>84</v>
      </c>
      <c r="M2233" s="8" t="s">
        <v>103</v>
      </c>
      <c r="O2233" s="8" t="s">
        <v>50</v>
      </c>
      <c r="P2233" s="8">
        <v>10</v>
      </c>
      <c r="Q2233" s="8" t="s">
        <v>5607</v>
      </c>
      <c r="R2233" s="8" t="b">
        <v>0</v>
      </c>
      <c r="S2233" s="8" t="b">
        <v>0</v>
      </c>
      <c r="T2233" s="8" t="b">
        <v>1</v>
      </c>
      <c r="U2233" s="8" t="b">
        <v>0</v>
      </c>
      <c r="V2233" s="8" t="b">
        <v>0</v>
      </c>
      <c r="X2233" s="8" t="b">
        <v>0</v>
      </c>
      <c r="Y2233" s="8" t="b">
        <v>0</v>
      </c>
      <c r="Z2233" s="8" t="b">
        <v>0</v>
      </c>
      <c r="AA2233" s="8" t="b">
        <v>0</v>
      </c>
      <c r="AB2233" s="8" t="b">
        <v>0</v>
      </c>
      <c r="AC2233" s="8" t="b">
        <v>0</v>
      </c>
      <c r="AD2233" s="8" t="b">
        <v>1</v>
      </c>
      <c r="AE2233" s="8" t="b">
        <v>0</v>
      </c>
      <c r="AG2233" s="11" t="b" cm="1">
        <f t="array" ref="AG2233">IF(OR(Y2233:AA2233="TRUE", AE2233="true"), "Threatened")</f>
        <v>0</v>
      </c>
      <c r="AH2233" s="11" t="s">
        <v>5608</v>
      </c>
      <c r="AI2233" s="8" t="b">
        <v>1</v>
      </c>
    </row>
    <row r="2234" spans="1:35" ht="31.2">
      <c r="A2234" s="8">
        <v>-73.975470909999999</v>
      </c>
      <c r="B2234" s="8">
        <v>40.768142189999999</v>
      </c>
      <c r="C2234" s="8" t="s">
        <v>5609</v>
      </c>
      <c r="D2234" s="8" t="s">
        <v>230</v>
      </c>
      <c r="E2234" s="8" t="b">
        <f t="shared" si="34"/>
        <v>0</v>
      </c>
      <c r="F2234" s="8" t="str" cm="1">
        <f t="array" ref="F2234">_xlfn._xlws.FILTER(E2234:E5432, C2234:C5432= "6D-PM-1020-01", "No Squirrels Found")</f>
        <v>No Squirrels Found</v>
      </c>
      <c r="G2234" s="8" t="s">
        <v>48</v>
      </c>
      <c r="H2234" s="10">
        <v>10062018</v>
      </c>
      <c r="I2234" s="10">
        <v>8</v>
      </c>
      <c r="J2234" s="8" t="s">
        <v>39</v>
      </c>
      <c r="K2234" s="8" t="s">
        <v>40</v>
      </c>
      <c r="L2234" s="8" t="s">
        <v>41</v>
      </c>
      <c r="M2234" s="8" t="s">
        <v>42</v>
      </c>
      <c r="O2234" s="8" t="s">
        <v>50</v>
      </c>
      <c r="P2234" s="8">
        <v>4</v>
      </c>
      <c r="R2234" s="8" t="b">
        <v>0</v>
      </c>
      <c r="S2234" s="8" t="b">
        <v>0</v>
      </c>
      <c r="T2234" s="8" t="b">
        <v>0</v>
      </c>
      <c r="U2234" s="8" t="b">
        <v>1</v>
      </c>
      <c r="V2234" s="8" t="b">
        <v>0</v>
      </c>
      <c r="X2234" s="8" t="b">
        <v>0</v>
      </c>
      <c r="Y2234" s="8" t="b">
        <v>0</v>
      </c>
      <c r="Z2234" s="8" t="b">
        <v>0</v>
      </c>
      <c r="AA2234" s="8" t="b">
        <v>0</v>
      </c>
      <c r="AB2234" s="8" t="b">
        <v>0</v>
      </c>
      <c r="AC2234" s="8" t="b">
        <v>1</v>
      </c>
      <c r="AD2234" s="8" t="b">
        <v>0</v>
      </c>
      <c r="AE2234" s="8" t="b">
        <v>0</v>
      </c>
      <c r="AG2234" s="11" t="b" cm="1">
        <f t="array" ref="AG2234">IF(OR(Y2234:AA2234="TRUE", AE2234="true"), "Threatened")</f>
        <v>0</v>
      </c>
      <c r="AH2234" s="11" t="s">
        <v>5610</v>
      </c>
      <c r="AI2234" s="8" t="b">
        <v>1</v>
      </c>
    </row>
    <row r="2235" spans="1:35" ht="31.2">
      <c r="A2235" s="8">
        <v>-73.973474179999997</v>
      </c>
      <c r="B2235" s="8">
        <v>40.766328450000003</v>
      </c>
      <c r="C2235" s="8" t="s">
        <v>5611</v>
      </c>
      <c r="D2235" s="8" t="s">
        <v>1902</v>
      </c>
      <c r="E2235" s="8" t="b">
        <f t="shared" si="34"/>
        <v>0</v>
      </c>
      <c r="F2235" s="8" t="str" cm="1">
        <f t="array" ref="F2235">_xlfn._xlws.FILTER(E2235:E5433, C2235:C5433= "6D-PM-1020-01", "No Squirrels Found")</f>
        <v>No Squirrels Found</v>
      </c>
      <c r="G2235" s="8" t="s">
        <v>34</v>
      </c>
      <c r="H2235" s="10">
        <v>10142018</v>
      </c>
      <c r="I2235" s="10">
        <v>3</v>
      </c>
      <c r="J2235" s="8" t="s">
        <v>39</v>
      </c>
      <c r="K2235" s="8" t="s">
        <v>41</v>
      </c>
      <c r="L2235" s="8" t="s">
        <v>40</v>
      </c>
      <c r="M2235" s="8" t="s">
        <v>110</v>
      </c>
      <c r="O2235" s="8" t="s">
        <v>43</v>
      </c>
      <c r="P2235" s="8" t="b">
        <v>0</v>
      </c>
      <c r="R2235" s="8" t="b">
        <v>0</v>
      </c>
      <c r="S2235" s="8" t="b">
        <v>0</v>
      </c>
      <c r="T2235" s="8" t="b">
        <v>0</v>
      </c>
      <c r="U2235" s="8" t="b">
        <v>0</v>
      </c>
      <c r="V2235" s="8" t="b">
        <v>1</v>
      </c>
      <c r="X2235" s="8" t="b">
        <v>0</v>
      </c>
      <c r="Y2235" s="8" t="b">
        <v>0</v>
      </c>
      <c r="Z2235" s="8" t="b">
        <v>0</v>
      </c>
      <c r="AA2235" s="8" t="b">
        <v>0</v>
      </c>
      <c r="AB2235" s="8" t="b">
        <v>0</v>
      </c>
      <c r="AC2235" s="8" t="b">
        <v>0</v>
      </c>
      <c r="AD2235" s="8" t="b">
        <v>0</v>
      </c>
      <c r="AE2235" s="8" t="b">
        <v>1</v>
      </c>
      <c r="AG2235" s="11" t="b" cm="1">
        <f t="array" ref="AG2235">IF(OR(Y2235:AA2235="TRUE", AE2235="true"), "Threatened")</f>
        <v>0</v>
      </c>
      <c r="AH2235" s="11" t="s">
        <v>5612</v>
      </c>
      <c r="AI2235" s="8" t="b">
        <v>1</v>
      </c>
    </row>
    <row r="2236" spans="1:35" ht="31.2">
      <c r="A2236" s="8">
        <v>-73.974852279999993</v>
      </c>
      <c r="B2236" s="8">
        <v>40.771958660000003</v>
      </c>
      <c r="C2236" s="8" t="s">
        <v>1578</v>
      </c>
      <c r="D2236" s="8" t="s">
        <v>1579</v>
      </c>
      <c r="E2236" s="8" t="b">
        <f t="shared" si="34"/>
        <v>1</v>
      </c>
      <c r="F2236" s="8" t="str" cm="1">
        <f t="array" ref="F2236">_xlfn._xlws.FILTER(E2236:E5434, C2236:C5434= "6D-PM-1020-01", "No Squirrels Found")</f>
        <v>No Squirrels Found</v>
      </c>
      <c r="G2236" s="8" t="s">
        <v>34</v>
      </c>
      <c r="H2236" s="10">
        <v>10102018</v>
      </c>
      <c r="I2236" s="10">
        <v>1</v>
      </c>
      <c r="J2236" s="8" t="s">
        <v>39</v>
      </c>
      <c r="K2236" s="8" t="s">
        <v>40</v>
      </c>
      <c r="L2236" s="8" t="s">
        <v>84</v>
      </c>
      <c r="M2236" s="8" t="s">
        <v>103</v>
      </c>
      <c r="O2236" s="8" t="s">
        <v>43</v>
      </c>
      <c r="P2236" s="8" t="b">
        <v>0</v>
      </c>
      <c r="Q2236" s="8" t="s">
        <v>1580</v>
      </c>
      <c r="R2236" s="8" t="b">
        <v>1</v>
      </c>
      <c r="S2236" s="8" t="b">
        <v>0</v>
      </c>
      <c r="T2236" s="8" t="b">
        <v>0</v>
      </c>
      <c r="U2236" s="8" t="b">
        <v>0</v>
      </c>
      <c r="V2236" s="8" t="b">
        <v>0</v>
      </c>
      <c r="X2236" s="8" t="b">
        <v>0</v>
      </c>
      <c r="Y2236" s="8" t="b">
        <v>0</v>
      </c>
      <c r="Z2236" s="8" t="b">
        <v>0</v>
      </c>
      <c r="AA2236" s="8" t="b">
        <v>0</v>
      </c>
      <c r="AB2236" s="8" t="b">
        <v>0</v>
      </c>
      <c r="AC2236" s="8" t="b">
        <v>0</v>
      </c>
      <c r="AD2236" s="8" t="b">
        <v>0</v>
      </c>
      <c r="AE2236" s="8" t="b">
        <v>0</v>
      </c>
      <c r="AG2236" s="11" t="b" cm="1">
        <f t="array" ref="AG2236">IF(OR(Y2236:AA2236="TRUE", AE2236="true"), "Threatened")</f>
        <v>0</v>
      </c>
      <c r="AH2236" s="11" t="s">
        <v>5613</v>
      </c>
      <c r="AI2236" s="8" t="b">
        <v>1</v>
      </c>
    </row>
    <row r="2237" spans="1:35" ht="31.2">
      <c r="A2237" s="8">
        <v>-73.959784549999995</v>
      </c>
      <c r="B2237" s="8">
        <v>40.790617930000003</v>
      </c>
      <c r="C2237" s="8" t="s">
        <v>5614</v>
      </c>
      <c r="D2237" s="8" t="s">
        <v>75</v>
      </c>
      <c r="E2237" s="8" t="b">
        <f t="shared" si="34"/>
        <v>0</v>
      </c>
      <c r="F2237" s="8" t="str" cm="1">
        <f t="array" ref="F2237">_xlfn._xlws.FILTER(E2237:E5435, C2237:C5435= "6D-PM-1020-01", "No Squirrels Found")</f>
        <v>No Squirrels Found</v>
      </c>
      <c r="G2237" s="8" t="s">
        <v>48</v>
      </c>
      <c r="H2237" s="10">
        <v>10072018</v>
      </c>
      <c r="I2237" s="10">
        <v>11</v>
      </c>
      <c r="J2237" s="8" t="s">
        <v>39</v>
      </c>
      <c r="K2237" s="8" t="s">
        <v>40</v>
      </c>
      <c r="M2237" s="8" t="s">
        <v>55</v>
      </c>
      <c r="O2237" s="8" t="s">
        <v>43</v>
      </c>
      <c r="P2237" s="8" t="b">
        <v>0</v>
      </c>
      <c r="R2237" s="8" t="b">
        <v>0</v>
      </c>
      <c r="S2237" s="8" t="b">
        <v>1</v>
      </c>
      <c r="T2237" s="8" t="b">
        <v>0</v>
      </c>
      <c r="U2237" s="8" t="b">
        <v>0</v>
      </c>
      <c r="V2237" s="8" t="b">
        <v>0</v>
      </c>
      <c r="X2237" s="8" t="b">
        <v>0</v>
      </c>
      <c r="Y2237" s="8" t="b">
        <v>0</v>
      </c>
      <c r="Z2237" s="8" t="b">
        <v>0</v>
      </c>
      <c r="AA2237" s="8" t="b">
        <v>0</v>
      </c>
      <c r="AB2237" s="8" t="b">
        <v>0</v>
      </c>
      <c r="AC2237" s="8" t="b">
        <v>0</v>
      </c>
      <c r="AD2237" s="8" t="b">
        <v>0</v>
      </c>
      <c r="AE2237" s="8" t="b">
        <v>0</v>
      </c>
      <c r="AG2237" s="11" t="b" cm="1">
        <f t="array" ref="AG2237">IF(OR(Y2237:AA2237="TRUE", AE2237="true"), "Threatened")</f>
        <v>0</v>
      </c>
      <c r="AH2237" s="11" t="s">
        <v>5615</v>
      </c>
      <c r="AI2237" s="8" t="b">
        <v>1</v>
      </c>
    </row>
    <row r="2238" spans="1:35" ht="31.2">
      <c r="A2238" s="8">
        <v>-73.970822569999996</v>
      </c>
      <c r="B2238" s="8">
        <v>40.777249779999998</v>
      </c>
      <c r="C2238" s="8" t="s">
        <v>5616</v>
      </c>
      <c r="D2238" s="8" t="s">
        <v>741</v>
      </c>
      <c r="E2238" s="8" t="b">
        <f t="shared" si="34"/>
        <v>0</v>
      </c>
      <c r="F2238" s="8" t="str" cm="1">
        <f t="array" ref="F2238">_xlfn._xlws.FILTER(E2238:E5436, C2238:C5436= "6D-PM-1020-01", "No Squirrels Found")</f>
        <v>No Squirrels Found</v>
      </c>
      <c r="G2238" s="8" t="s">
        <v>34</v>
      </c>
      <c r="H2238" s="10">
        <v>10192018</v>
      </c>
      <c r="I2238" s="10">
        <v>13</v>
      </c>
      <c r="J2238" s="8" t="s">
        <v>39</v>
      </c>
      <c r="K2238" s="8" t="s">
        <v>40</v>
      </c>
      <c r="M2238" s="8" t="s">
        <v>55</v>
      </c>
      <c r="R2238" s="8" t="b">
        <v>0</v>
      </c>
      <c r="S2238" s="8" t="b">
        <v>0</v>
      </c>
      <c r="T2238" s="8" t="b">
        <v>0</v>
      </c>
      <c r="U2238" s="8" t="b">
        <v>0</v>
      </c>
      <c r="V2238" s="8" t="b">
        <v>0</v>
      </c>
      <c r="X2238" s="8" t="b">
        <v>0</v>
      </c>
      <c r="Y2238" s="8" t="b">
        <v>0</v>
      </c>
      <c r="Z2238" s="8" t="b">
        <v>0</v>
      </c>
      <c r="AA2238" s="8" t="b">
        <v>0</v>
      </c>
      <c r="AB2238" s="8" t="b">
        <v>0</v>
      </c>
      <c r="AC2238" s="8" t="b">
        <v>0</v>
      </c>
      <c r="AD2238" s="8" t="b">
        <v>0</v>
      </c>
      <c r="AE2238" s="8" t="b">
        <v>0</v>
      </c>
      <c r="AG2238" s="11" t="b" cm="1">
        <f t="array" ref="AG2238">IF(OR(Y2238:AA2238="TRUE", AE2238="true"), "Threatened")</f>
        <v>0</v>
      </c>
      <c r="AH2238" s="11" t="s">
        <v>5617</v>
      </c>
      <c r="AI2238" s="8" t="b">
        <v>1</v>
      </c>
    </row>
    <row r="2239" spans="1:35" ht="31.2">
      <c r="A2239" s="8">
        <v>-73.953619869999997</v>
      </c>
      <c r="B2239" s="8">
        <v>40.798013509999997</v>
      </c>
      <c r="C2239" s="8" t="s">
        <v>5618</v>
      </c>
      <c r="D2239" s="8" t="s">
        <v>1520</v>
      </c>
      <c r="E2239" s="8" t="b">
        <f t="shared" si="34"/>
        <v>0</v>
      </c>
      <c r="F2239" s="8" t="str" cm="1">
        <f t="array" ref="F2239">_xlfn._xlws.FILTER(E2239:E5437, C2239:C5437= "6D-PM-1020-01", "No Squirrels Found")</f>
        <v>No Squirrels Found</v>
      </c>
      <c r="G2239" s="8" t="s">
        <v>48</v>
      </c>
      <c r="H2239" s="10">
        <v>10072018</v>
      </c>
      <c r="I2239" s="10">
        <v>3</v>
      </c>
      <c r="J2239" s="8" t="s">
        <v>39</v>
      </c>
      <c r="K2239" s="8" t="s">
        <v>40</v>
      </c>
      <c r="M2239" s="8" t="s">
        <v>55</v>
      </c>
      <c r="O2239" s="8" t="s">
        <v>43</v>
      </c>
      <c r="P2239" s="8" t="b">
        <v>0</v>
      </c>
      <c r="R2239" s="8" t="b">
        <v>0</v>
      </c>
      <c r="S2239" s="8" t="b">
        <v>0</v>
      </c>
      <c r="T2239" s="8" t="b">
        <v>0</v>
      </c>
      <c r="U2239" s="8" t="b">
        <v>0</v>
      </c>
      <c r="V2239" s="8" t="b">
        <v>1</v>
      </c>
      <c r="X2239" s="8" t="b">
        <v>0</v>
      </c>
      <c r="Y2239" s="8" t="b">
        <v>0</v>
      </c>
      <c r="Z2239" s="8" t="b">
        <v>0</v>
      </c>
      <c r="AA2239" s="8" t="b">
        <v>0</v>
      </c>
      <c r="AB2239" s="8" t="b">
        <v>0</v>
      </c>
      <c r="AC2239" s="8" t="b">
        <v>0</v>
      </c>
      <c r="AD2239" s="8" t="b">
        <v>1</v>
      </c>
      <c r="AE2239" s="8" t="b">
        <v>0</v>
      </c>
      <c r="AG2239" s="11" t="b" cm="1">
        <f t="array" ref="AG2239">IF(OR(Y2239:AA2239="TRUE", AE2239="true"), "Threatened")</f>
        <v>0</v>
      </c>
      <c r="AH2239" s="11" t="s">
        <v>5619</v>
      </c>
      <c r="AI2239" s="8" t="b">
        <v>1</v>
      </c>
    </row>
    <row r="2240" spans="1:35" ht="31.2">
      <c r="A2240" s="8">
        <v>-73.966892200000004</v>
      </c>
      <c r="B2240" s="8">
        <v>40.782353569999998</v>
      </c>
      <c r="C2240" s="8" t="s">
        <v>5620</v>
      </c>
      <c r="D2240" s="8" t="s">
        <v>469</v>
      </c>
      <c r="E2240" s="8" t="b">
        <f t="shared" si="34"/>
        <v>0</v>
      </c>
      <c r="F2240" s="8" t="str" cm="1">
        <f t="array" ref="F2240">_xlfn._xlws.FILTER(E2240:E5438, C2240:C5438= "6D-PM-1020-01", "No Squirrels Found")</f>
        <v>No Squirrels Found</v>
      </c>
      <c r="G2240" s="8" t="s">
        <v>48</v>
      </c>
      <c r="H2240" s="10">
        <v>10082018</v>
      </c>
      <c r="I2240" s="10">
        <v>6</v>
      </c>
      <c r="J2240" s="8" t="s">
        <v>39</v>
      </c>
      <c r="K2240" s="8" t="s">
        <v>40</v>
      </c>
      <c r="M2240" s="8" t="s">
        <v>55</v>
      </c>
      <c r="O2240" s="8" t="s">
        <v>43</v>
      </c>
      <c r="P2240" s="8" t="b">
        <v>0</v>
      </c>
      <c r="R2240" s="8" t="b">
        <v>0</v>
      </c>
      <c r="S2240" s="8" t="b">
        <v>0</v>
      </c>
      <c r="T2240" s="8" t="b">
        <v>0</v>
      </c>
      <c r="U2240" s="8" t="b">
        <v>0</v>
      </c>
      <c r="V2240" s="8" t="b">
        <v>1</v>
      </c>
      <c r="X2240" s="8" t="b">
        <v>0</v>
      </c>
      <c r="Y2240" s="8" t="b">
        <v>0</v>
      </c>
      <c r="Z2240" s="8" t="b">
        <v>0</v>
      </c>
      <c r="AA2240" s="8" t="b">
        <v>0</v>
      </c>
      <c r="AB2240" s="8" t="b">
        <v>0</v>
      </c>
      <c r="AC2240" s="8" t="b">
        <v>0</v>
      </c>
      <c r="AD2240" s="8" t="b">
        <v>0</v>
      </c>
      <c r="AE2240" s="8" t="b">
        <v>1</v>
      </c>
      <c r="AG2240" s="11" t="b" cm="1">
        <f t="array" ref="AG2240">IF(OR(Y2240:AA2240="TRUE", AE2240="true"), "Threatened")</f>
        <v>0</v>
      </c>
      <c r="AH2240" s="11" t="s">
        <v>5621</v>
      </c>
      <c r="AI2240" s="8" t="b">
        <v>1</v>
      </c>
    </row>
    <row r="2241" spans="1:35" ht="31.2">
      <c r="A2241" s="8">
        <v>-73.969778770000005</v>
      </c>
      <c r="B2241" s="8">
        <v>40.778174620000001</v>
      </c>
      <c r="C2241" s="8" t="s">
        <v>5622</v>
      </c>
      <c r="D2241" s="8" t="s">
        <v>721</v>
      </c>
      <c r="E2241" s="8" t="b">
        <f t="shared" si="34"/>
        <v>0</v>
      </c>
      <c r="F2241" s="8" t="str" cm="1">
        <f t="array" ref="F2241">_xlfn._xlws.FILTER(E2241:E5439, C2241:C5439= "6D-PM-1020-01", "No Squirrels Found")</f>
        <v>No Squirrels Found</v>
      </c>
      <c r="G2241" s="8" t="s">
        <v>34</v>
      </c>
      <c r="H2241" s="10">
        <v>10102018</v>
      </c>
      <c r="I2241" s="10">
        <v>5</v>
      </c>
      <c r="J2241" s="8" t="s">
        <v>39</v>
      </c>
      <c r="K2241" s="8" t="s">
        <v>40</v>
      </c>
      <c r="M2241" s="8" t="s">
        <v>55</v>
      </c>
      <c r="O2241" s="8" t="s">
        <v>43</v>
      </c>
      <c r="P2241" s="8" t="b">
        <v>0</v>
      </c>
      <c r="R2241" s="8" t="b">
        <v>1</v>
      </c>
      <c r="S2241" s="8" t="b">
        <v>0</v>
      </c>
      <c r="T2241" s="8" t="b">
        <v>0</v>
      </c>
      <c r="U2241" s="8" t="b">
        <v>0</v>
      </c>
      <c r="V2241" s="8" t="b">
        <v>1</v>
      </c>
      <c r="X2241" s="8" t="b">
        <v>0</v>
      </c>
      <c r="Y2241" s="8" t="b">
        <v>0</v>
      </c>
      <c r="Z2241" s="8" t="b">
        <v>0</v>
      </c>
      <c r="AA2241" s="8" t="b">
        <v>0</v>
      </c>
      <c r="AB2241" s="8" t="b">
        <v>0</v>
      </c>
      <c r="AC2241" s="8" t="b">
        <v>0</v>
      </c>
      <c r="AD2241" s="8" t="b">
        <v>0</v>
      </c>
      <c r="AE2241" s="8" t="b">
        <v>1</v>
      </c>
      <c r="AG2241" s="11" t="b" cm="1">
        <f t="array" ref="AG2241">IF(OR(Y2241:AA2241="TRUE", AE2241="true"), "Threatened")</f>
        <v>0</v>
      </c>
      <c r="AH2241" s="11" t="s">
        <v>5623</v>
      </c>
      <c r="AI2241" s="8" t="b">
        <v>1</v>
      </c>
    </row>
    <row r="2242" spans="1:35" ht="31.2">
      <c r="A2242" s="8">
        <v>-73.957525860000004</v>
      </c>
      <c r="B2242" s="8">
        <v>40.787715550000001</v>
      </c>
      <c r="C2242" s="8" t="s">
        <v>5624</v>
      </c>
      <c r="D2242" s="8" t="s">
        <v>5625</v>
      </c>
      <c r="E2242" s="8" t="b">
        <f t="shared" si="34"/>
        <v>0</v>
      </c>
      <c r="F2242" s="8" t="str" cm="1">
        <f t="array" ref="F2242">_xlfn._xlws.FILTER(E2242:E5440, C2242:C5440= "6D-PM-1020-01", "No Squirrels Found")</f>
        <v>No Squirrels Found</v>
      </c>
      <c r="G2242" s="8" t="s">
        <v>48</v>
      </c>
      <c r="H2242" s="10">
        <v>10072018</v>
      </c>
      <c r="I2242" s="10">
        <v>3</v>
      </c>
      <c r="J2242" s="8" t="s">
        <v>39</v>
      </c>
      <c r="K2242" s="8" t="s">
        <v>41</v>
      </c>
      <c r="M2242" s="8" t="s">
        <v>49</v>
      </c>
      <c r="O2242" s="8" t="s">
        <v>43</v>
      </c>
      <c r="P2242" s="8" t="b">
        <v>0</v>
      </c>
      <c r="R2242" s="8" t="b">
        <v>0</v>
      </c>
      <c r="S2242" s="8" t="b">
        <v>0</v>
      </c>
      <c r="T2242" s="8" t="b">
        <v>0</v>
      </c>
      <c r="U2242" s="8" t="b">
        <v>0</v>
      </c>
      <c r="V2242" s="8" t="b">
        <v>1</v>
      </c>
      <c r="X2242" s="8" t="b">
        <v>0</v>
      </c>
      <c r="Y2242" s="8" t="b">
        <v>0</v>
      </c>
      <c r="Z2242" s="8" t="b">
        <v>0</v>
      </c>
      <c r="AA2242" s="8" t="b">
        <v>0</v>
      </c>
      <c r="AB2242" s="8" t="b">
        <v>1</v>
      </c>
      <c r="AC2242" s="8" t="b">
        <v>0</v>
      </c>
      <c r="AD2242" s="8" t="b">
        <v>1</v>
      </c>
      <c r="AE2242" s="8" t="b">
        <v>0</v>
      </c>
      <c r="AG2242" s="11" t="b" cm="1">
        <f t="array" ref="AG2242">IF(OR(Y2242:AA2242="TRUE", AE2242="true"), "Threatened")</f>
        <v>0</v>
      </c>
      <c r="AH2242" s="11" t="s">
        <v>5626</v>
      </c>
      <c r="AI2242" s="8" t="b">
        <v>1</v>
      </c>
    </row>
    <row r="2243" spans="1:35" ht="31.2">
      <c r="A2243" s="8">
        <v>-73.956582420000004</v>
      </c>
      <c r="B2243" s="8">
        <v>40.797312050000002</v>
      </c>
      <c r="C2243" s="8" t="s">
        <v>5627</v>
      </c>
      <c r="D2243" s="8" t="s">
        <v>439</v>
      </c>
      <c r="E2243" s="8" t="b">
        <f t="shared" ref="E2243:E2306" si="35">OR(D2243 = "05D", D2243 = "07D", D2243 = "06C", D2243 = "06E")</f>
        <v>0</v>
      </c>
      <c r="F2243" s="8" t="str" cm="1">
        <f t="array" ref="F2243">_xlfn._xlws.FILTER(E2243:E5441, C2243:C5441= "6D-PM-1020-01", "No Squirrels Found")</f>
        <v>No Squirrels Found</v>
      </c>
      <c r="G2243" s="8" t="s">
        <v>48</v>
      </c>
      <c r="H2243" s="10">
        <v>10132018</v>
      </c>
      <c r="I2243" s="10">
        <v>6</v>
      </c>
      <c r="J2243" s="8" t="s">
        <v>39</v>
      </c>
      <c r="K2243" s="8" t="s">
        <v>40</v>
      </c>
      <c r="L2243" s="8" t="s">
        <v>41</v>
      </c>
      <c r="M2243" s="8" t="s">
        <v>42</v>
      </c>
      <c r="O2243" s="8" t="s">
        <v>50</v>
      </c>
      <c r="P2243" s="8">
        <v>15</v>
      </c>
      <c r="R2243" s="8" t="b">
        <v>1</v>
      </c>
      <c r="S2243" s="8" t="b">
        <v>0</v>
      </c>
      <c r="T2243" s="8" t="b">
        <v>1</v>
      </c>
      <c r="U2243" s="8" t="b">
        <v>0</v>
      </c>
      <c r="V2243" s="8" t="b">
        <v>1</v>
      </c>
      <c r="X2243" s="8" t="b">
        <v>1</v>
      </c>
      <c r="Y2243" s="8" t="b">
        <v>0</v>
      </c>
      <c r="Z2243" s="8" t="b">
        <v>0</v>
      </c>
      <c r="AA2243" s="8" t="b">
        <v>0</v>
      </c>
      <c r="AB2243" s="8" t="b">
        <v>1</v>
      </c>
      <c r="AC2243" s="8" t="b">
        <v>0</v>
      </c>
      <c r="AD2243" s="8" t="b">
        <v>0</v>
      </c>
      <c r="AE2243" s="8" t="b">
        <v>1</v>
      </c>
      <c r="AG2243" s="11" t="b" cm="1">
        <f t="array" ref="AG2243">IF(OR(Y2243:AA2243="TRUE", AE2243="true"), "Threatened")</f>
        <v>0</v>
      </c>
      <c r="AH2243" s="11" t="s">
        <v>5628</v>
      </c>
      <c r="AI2243" s="8" t="b">
        <v>1</v>
      </c>
    </row>
    <row r="2244" spans="1:35" ht="31.2">
      <c r="A2244" s="8">
        <v>-73.957996699999995</v>
      </c>
      <c r="B2244" s="8">
        <v>40.794868200000003</v>
      </c>
      <c r="C2244" s="8" t="s">
        <v>5629</v>
      </c>
      <c r="D2244" s="8" t="s">
        <v>405</v>
      </c>
      <c r="E2244" s="8" t="b">
        <f t="shared" si="35"/>
        <v>0</v>
      </c>
      <c r="F2244" s="8" t="str" cm="1">
        <f t="array" ref="F2244">_xlfn._xlws.FILTER(E2244:E5442, C2244:C5442= "6D-PM-1020-01", "No Squirrels Found")</f>
        <v>No Squirrels Found</v>
      </c>
      <c r="G2244" s="8" t="s">
        <v>34</v>
      </c>
      <c r="H2244" s="10">
        <v>10142018</v>
      </c>
      <c r="I2244" s="10">
        <v>2</v>
      </c>
      <c r="J2244" s="8" t="s">
        <v>39</v>
      </c>
      <c r="K2244" s="8" t="s">
        <v>40</v>
      </c>
      <c r="M2244" s="8" t="s">
        <v>55</v>
      </c>
      <c r="O2244" s="8" t="s">
        <v>50</v>
      </c>
      <c r="P2244" s="8">
        <v>40</v>
      </c>
      <c r="R2244" s="8" t="b">
        <v>0</v>
      </c>
      <c r="S2244" s="8" t="b">
        <v>0</v>
      </c>
      <c r="T2244" s="8" t="b">
        <v>1</v>
      </c>
      <c r="U2244" s="8" t="b">
        <v>0</v>
      </c>
      <c r="V2244" s="8" t="b">
        <v>0</v>
      </c>
      <c r="X2244" s="8" t="b">
        <v>0</v>
      </c>
      <c r="Y2244" s="8" t="b">
        <v>0</v>
      </c>
      <c r="Z2244" s="8" t="b">
        <v>0</v>
      </c>
      <c r="AA2244" s="8" t="b">
        <v>0</v>
      </c>
      <c r="AB2244" s="8" t="b">
        <v>0</v>
      </c>
      <c r="AC2244" s="8" t="b">
        <v>0</v>
      </c>
      <c r="AD2244" s="8" t="b">
        <v>0</v>
      </c>
      <c r="AE2244" s="8" t="b">
        <v>0</v>
      </c>
      <c r="AG2244" s="11" t="b" cm="1">
        <f t="array" ref="AG2244">IF(OR(Y2244:AA2244="TRUE", AE2244="true"), "Threatened")</f>
        <v>0</v>
      </c>
      <c r="AH2244" s="11" t="s">
        <v>5630</v>
      </c>
      <c r="AI2244" s="8" t="b">
        <v>1</v>
      </c>
    </row>
    <row r="2245" spans="1:35" ht="31.2">
      <c r="A2245" s="8">
        <v>-73.950962820000001</v>
      </c>
      <c r="B2245" s="8">
        <v>40.797777570000001</v>
      </c>
      <c r="C2245" s="8" t="s">
        <v>5631</v>
      </c>
      <c r="D2245" s="8" t="s">
        <v>686</v>
      </c>
      <c r="E2245" s="8" t="b">
        <f t="shared" si="35"/>
        <v>0</v>
      </c>
      <c r="F2245" s="8" t="str" cm="1">
        <f t="array" ref="F2245">_xlfn._xlws.FILTER(E2245:E5443, C2245:C5443= "6D-PM-1020-01", "No Squirrels Found")</f>
        <v>No Squirrels Found</v>
      </c>
      <c r="G2245" s="8" t="s">
        <v>34</v>
      </c>
      <c r="H2245" s="10">
        <v>10142018</v>
      </c>
      <c r="I2245" s="10">
        <v>1</v>
      </c>
      <c r="J2245" s="8" t="s">
        <v>39</v>
      </c>
      <c r="K2245" s="8" t="s">
        <v>41</v>
      </c>
      <c r="L2245" s="8" t="s">
        <v>40</v>
      </c>
      <c r="M2245" s="8" t="s">
        <v>110</v>
      </c>
      <c r="O2245" s="8" t="s">
        <v>50</v>
      </c>
      <c r="P2245" s="8">
        <v>2</v>
      </c>
      <c r="R2245" s="8" t="b">
        <v>0</v>
      </c>
      <c r="S2245" s="8" t="b">
        <v>0</v>
      </c>
      <c r="T2245" s="8" t="b">
        <v>0</v>
      </c>
      <c r="U2245" s="8" t="b">
        <v>0</v>
      </c>
      <c r="V2245" s="8" t="b">
        <v>0</v>
      </c>
      <c r="X2245" s="8" t="b">
        <v>0</v>
      </c>
      <c r="Y2245" s="8" t="b">
        <v>0</v>
      </c>
      <c r="Z2245" s="8" t="b">
        <v>0</v>
      </c>
      <c r="AA2245" s="8" t="b">
        <v>0</v>
      </c>
      <c r="AB2245" s="8" t="b">
        <v>1</v>
      </c>
      <c r="AC2245" s="8" t="b">
        <v>0</v>
      </c>
      <c r="AD2245" s="8" t="b">
        <v>0</v>
      </c>
      <c r="AE2245" s="8" t="b">
        <v>1</v>
      </c>
      <c r="AG2245" s="11" t="b" cm="1">
        <f t="array" ref="AG2245">IF(OR(Y2245:AA2245="TRUE", AE2245="true"), "Threatened")</f>
        <v>0</v>
      </c>
      <c r="AH2245" s="11" t="s">
        <v>5632</v>
      </c>
      <c r="AI2245" s="8" t="b">
        <v>1</v>
      </c>
    </row>
    <row r="2246" spans="1:35" ht="62.4">
      <c r="A2246" s="8">
        <v>-73.977422849999996</v>
      </c>
      <c r="B2246" s="8">
        <v>40.768639980000003</v>
      </c>
      <c r="C2246" s="8" t="s">
        <v>5633</v>
      </c>
      <c r="D2246" s="8" t="s">
        <v>512</v>
      </c>
      <c r="E2246" s="8" t="b">
        <f t="shared" si="35"/>
        <v>0</v>
      </c>
      <c r="F2246" s="8" t="str" cm="1">
        <f t="array" ref="F2246">_xlfn._xlws.FILTER(E2246:E5444, C2246:C5444= "6D-PM-1020-01", "No Squirrels Found")</f>
        <v>No Squirrels Found</v>
      </c>
      <c r="G2246" s="8" t="s">
        <v>48</v>
      </c>
      <c r="H2246" s="10">
        <v>10062018</v>
      </c>
      <c r="I2246" s="10">
        <v>5</v>
      </c>
      <c r="J2246" s="8" t="s">
        <v>39</v>
      </c>
      <c r="K2246" s="8" t="s">
        <v>41</v>
      </c>
      <c r="L2246" s="8" t="s">
        <v>40</v>
      </c>
      <c r="M2246" s="8" t="s">
        <v>110</v>
      </c>
      <c r="O2246" s="8" t="s">
        <v>43</v>
      </c>
      <c r="P2246" s="8" t="b">
        <v>0</v>
      </c>
      <c r="R2246" s="8" t="b">
        <v>1</v>
      </c>
      <c r="S2246" s="8" t="b">
        <v>0</v>
      </c>
      <c r="T2246" s="8" t="b">
        <v>0</v>
      </c>
      <c r="U2246" s="8" t="b">
        <v>0</v>
      </c>
      <c r="V2246" s="8" t="b">
        <v>0</v>
      </c>
      <c r="X2246" s="8" t="b">
        <v>0</v>
      </c>
      <c r="Y2246" s="8" t="b">
        <v>0</v>
      </c>
      <c r="Z2246" s="8" t="b">
        <v>0</v>
      </c>
      <c r="AA2246" s="8" t="b">
        <v>0</v>
      </c>
      <c r="AB2246" s="8" t="b">
        <v>0</v>
      </c>
      <c r="AC2246" s="8" t="b">
        <v>0</v>
      </c>
      <c r="AD2246" s="8" t="b">
        <v>0</v>
      </c>
      <c r="AE2246" s="8" t="b">
        <v>1</v>
      </c>
      <c r="AF2246" s="11" t="s">
        <v>5634</v>
      </c>
      <c r="AG2246" s="11" t="b" cm="1">
        <f t="array" ref="AG2246">IF(OR(Y2246:AA2246="TRUE", AE2246="true"), "Threatened")</f>
        <v>0</v>
      </c>
      <c r="AH2246" s="11" t="s">
        <v>5635</v>
      </c>
      <c r="AI2246" s="8" t="b">
        <v>1</v>
      </c>
    </row>
    <row r="2247" spans="1:35" ht="31.2">
      <c r="A2247" s="8">
        <v>-73.971160749999996</v>
      </c>
      <c r="B2247" s="8">
        <v>40.77498825</v>
      </c>
      <c r="C2247" s="8" t="s">
        <v>5636</v>
      </c>
      <c r="D2247" s="8" t="s">
        <v>738</v>
      </c>
      <c r="E2247" s="8" t="b">
        <f t="shared" si="35"/>
        <v>0</v>
      </c>
      <c r="F2247" s="8" t="str" cm="1">
        <f t="array" ref="F2247">_xlfn._xlws.FILTER(E2247:E5445, C2247:C5445= "6D-PM-1020-01", "No Squirrels Found")</f>
        <v>No Squirrels Found</v>
      </c>
      <c r="G2247" s="8" t="s">
        <v>48</v>
      </c>
      <c r="H2247" s="10">
        <v>10172018</v>
      </c>
      <c r="I2247" s="10">
        <v>4</v>
      </c>
      <c r="J2247" s="8" t="s">
        <v>39</v>
      </c>
      <c r="K2247" s="8" t="s">
        <v>40</v>
      </c>
      <c r="M2247" s="8" t="s">
        <v>55</v>
      </c>
      <c r="O2247" s="8" t="s">
        <v>43</v>
      </c>
      <c r="P2247" s="8" t="b">
        <v>0</v>
      </c>
      <c r="R2247" s="8" t="b">
        <v>1</v>
      </c>
      <c r="S2247" s="8" t="b">
        <v>0</v>
      </c>
      <c r="T2247" s="8" t="b">
        <v>0</v>
      </c>
      <c r="U2247" s="8" t="b">
        <v>0</v>
      </c>
      <c r="V2247" s="8" t="b">
        <v>0</v>
      </c>
      <c r="X2247" s="8" t="b">
        <v>0</v>
      </c>
      <c r="Y2247" s="8" t="b">
        <v>0</v>
      </c>
      <c r="Z2247" s="8" t="b">
        <v>0</v>
      </c>
      <c r="AA2247" s="8" t="b">
        <v>0</v>
      </c>
      <c r="AB2247" s="8" t="b">
        <v>0</v>
      </c>
      <c r="AC2247" s="8" t="b">
        <v>0</v>
      </c>
      <c r="AD2247" s="8" t="b">
        <v>1</v>
      </c>
      <c r="AE2247" s="8" t="b">
        <v>0</v>
      </c>
      <c r="AG2247" s="11" t="b" cm="1">
        <f t="array" ref="AG2247">IF(OR(Y2247:AA2247="TRUE", AE2247="true"), "Threatened")</f>
        <v>0</v>
      </c>
      <c r="AH2247" s="11" t="s">
        <v>5637</v>
      </c>
      <c r="AI2247" s="8" t="b">
        <v>1</v>
      </c>
    </row>
    <row r="2248" spans="1:35" ht="31.2">
      <c r="A2248" s="8">
        <v>-73.955952010000004</v>
      </c>
      <c r="B2248" s="8">
        <v>40.795053629999998</v>
      </c>
      <c r="C2248" s="8" t="s">
        <v>5638</v>
      </c>
      <c r="D2248" s="8" t="s">
        <v>530</v>
      </c>
      <c r="E2248" s="8" t="b">
        <f t="shared" si="35"/>
        <v>0</v>
      </c>
      <c r="F2248" s="8" t="str" cm="1">
        <f t="array" ref="F2248">_xlfn._xlws.FILTER(E2248:E5446, C2248:C5446= "6D-PM-1020-01", "No Squirrels Found")</f>
        <v>No Squirrels Found</v>
      </c>
      <c r="G2248" s="8" t="s">
        <v>48</v>
      </c>
      <c r="H2248" s="10">
        <v>10102018</v>
      </c>
      <c r="I2248" s="10">
        <v>6</v>
      </c>
      <c r="J2248" s="8" t="s">
        <v>39</v>
      </c>
      <c r="K2248" s="8" t="s">
        <v>40</v>
      </c>
      <c r="L2248" s="8" t="s">
        <v>41</v>
      </c>
      <c r="M2248" s="8" t="s">
        <v>42</v>
      </c>
      <c r="O2248" s="8" t="s">
        <v>50</v>
      </c>
      <c r="P2248" s="8">
        <v>1</v>
      </c>
      <c r="Q2248" s="8" t="s">
        <v>1647</v>
      </c>
      <c r="R2248" s="8" t="b">
        <v>1</v>
      </c>
      <c r="S2248" s="8" t="b">
        <v>1</v>
      </c>
      <c r="T2248" s="8" t="b">
        <v>0</v>
      </c>
      <c r="U2248" s="8" t="b">
        <v>0</v>
      </c>
      <c r="V2248" s="8" t="b">
        <v>0</v>
      </c>
      <c r="W2248" s="11" t="s">
        <v>5639</v>
      </c>
      <c r="X2248" s="8" t="b">
        <v>0</v>
      </c>
      <c r="Y2248" s="8" t="b">
        <v>0</v>
      </c>
      <c r="Z2248" s="8" t="b">
        <v>0</v>
      </c>
      <c r="AA2248" s="8" t="b">
        <v>0</v>
      </c>
      <c r="AB2248" s="8" t="b">
        <v>1</v>
      </c>
      <c r="AC2248" s="8" t="b">
        <v>0</v>
      </c>
      <c r="AD2248" s="8" t="b">
        <v>1</v>
      </c>
      <c r="AE2248" s="8" t="b">
        <v>0</v>
      </c>
      <c r="AG2248" s="11" t="b" cm="1">
        <f t="array" ref="AG2248">IF(OR(Y2248:AA2248="TRUE", AE2248="true"), "Threatened")</f>
        <v>0</v>
      </c>
      <c r="AH2248" s="11" t="s">
        <v>5640</v>
      </c>
      <c r="AI2248" s="8" t="b">
        <v>0</v>
      </c>
    </row>
    <row r="2249" spans="1:35" ht="31.2">
      <c r="A2249" s="8">
        <v>-73.976647700000001</v>
      </c>
      <c r="B2249" s="8">
        <v>40.771273739999998</v>
      </c>
      <c r="C2249" s="8" t="s">
        <v>5641</v>
      </c>
      <c r="D2249" s="8" t="s">
        <v>2799</v>
      </c>
      <c r="E2249" s="8" t="b">
        <f t="shared" si="35"/>
        <v>1</v>
      </c>
      <c r="F2249" s="8" t="str" cm="1">
        <f t="array" ref="F2249">_xlfn._xlws.FILTER(E2249:E5447, C2249:C5447= "6D-PM-1020-01", "No Squirrels Found")</f>
        <v>No Squirrels Found</v>
      </c>
      <c r="G2249" s="8" t="s">
        <v>48</v>
      </c>
      <c r="H2249" s="10">
        <v>10072018</v>
      </c>
      <c r="I2249" s="10">
        <v>4</v>
      </c>
      <c r="J2249" s="8" t="s">
        <v>39</v>
      </c>
      <c r="K2249" s="8" t="s">
        <v>40</v>
      </c>
      <c r="M2249" s="8" t="s">
        <v>55</v>
      </c>
      <c r="O2249" s="8" t="s">
        <v>50</v>
      </c>
      <c r="P2249" s="8">
        <v>20</v>
      </c>
      <c r="R2249" s="8" t="b">
        <v>0</v>
      </c>
      <c r="S2249" s="8" t="b">
        <v>1</v>
      </c>
      <c r="T2249" s="8" t="b">
        <v>1</v>
      </c>
      <c r="U2249" s="8" t="b">
        <v>0</v>
      </c>
      <c r="V2249" s="8" t="b">
        <v>0</v>
      </c>
      <c r="W2249" s="11" t="s">
        <v>3373</v>
      </c>
      <c r="X2249" s="8" t="b">
        <v>0</v>
      </c>
      <c r="Y2249" s="8" t="b">
        <v>0</v>
      </c>
      <c r="Z2249" s="8" t="b">
        <v>0</v>
      </c>
      <c r="AA2249" s="8" t="b">
        <v>0</v>
      </c>
      <c r="AB2249" s="8" t="b">
        <v>0</v>
      </c>
      <c r="AC2249" s="8" t="b">
        <v>0</v>
      </c>
      <c r="AD2249" s="8" t="b">
        <v>1</v>
      </c>
      <c r="AE2249" s="8" t="b">
        <v>0</v>
      </c>
      <c r="AG2249" s="11" t="b" cm="1">
        <f t="array" ref="AG2249">IF(OR(Y2249:AA2249="TRUE", AE2249="true"), "Threatened")</f>
        <v>0</v>
      </c>
      <c r="AH2249" s="11" t="s">
        <v>5642</v>
      </c>
      <c r="AI2249" s="8" t="b">
        <v>0</v>
      </c>
    </row>
    <row r="2250" spans="1:35" ht="31.2">
      <c r="A2250" s="8">
        <v>-73.978570919999996</v>
      </c>
      <c r="B2250" s="8">
        <v>40.767439189999997</v>
      </c>
      <c r="C2250" s="8" t="s">
        <v>5643</v>
      </c>
      <c r="D2250" s="8" t="s">
        <v>1235</v>
      </c>
      <c r="E2250" s="8" t="b">
        <f t="shared" si="35"/>
        <v>0</v>
      </c>
      <c r="F2250" s="8" t="str" cm="1">
        <f t="array" ref="F2250">_xlfn._xlws.FILTER(E2250:E5448, C2250:C5448= "6D-PM-1020-01", "No Squirrels Found")</f>
        <v>No Squirrels Found</v>
      </c>
      <c r="G2250" s="8" t="s">
        <v>34</v>
      </c>
      <c r="H2250" s="10">
        <v>10132018</v>
      </c>
      <c r="I2250" s="10">
        <v>2</v>
      </c>
      <c r="J2250" s="8" t="s">
        <v>39</v>
      </c>
      <c r="K2250" s="8" t="s">
        <v>40</v>
      </c>
      <c r="L2250" s="8" t="s">
        <v>84</v>
      </c>
      <c r="M2250" s="8" t="s">
        <v>103</v>
      </c>
      <c r="O2250" s="8" t="s">
        <v>43</v>
      </c>
      <c r="P2250" s="8" t="b">
        <v>0</v>
      </c>
      <c r="R2250" s="8" t="b">
        <v>0</v>
      </c>
      <c r="S2250" s="8" t="b">
        <v>1</v>
      </c>
      <c r="T2250" s="8" t="b">
        <v>0</v>
      </c>
      <c r="U2250" s="8" t="b">
        <v>0</v>
      </c>
      <c r="V2250" s="8" t="b">
        <v>0</v>
      </c>
      <c r="X2250" s="8" t="b">
        <v>0</v>
      </c>
      <c r="Y2250" s="8" t="b">
        <v>0</v>
      </c>
      <c r="Z2250" s="8" t="b">
        <v>0</v>
      </c>
      <c r="AA2250" s="8" t="b">
        <v>0</v>
      </c>
      <c r="AB2250" s="8" t="b">
        <v>0</v>
      </c>
      <c r="AC2250" s="8" t="b">
        <v>0</v>
      </c>
      <c r="AD2250" s="8" t="b">
        <v>0</v>
      </c>
      <c r="AE2250" s="8" t="b">
        <v>0</v>
      </c>
      <c r="AG2250" s="11" t="b" cm="1">
        <f t="array" ref="AG2250">IF(OR(Y2250:AA2250="TRUE", AE2250="true"), "Threatened")</f>
        <v>0</v>
      </c>
      <c r="AH2250" s="11" t="s">
        <v>5644</v>
      </c>
      <c r="AI2250" s="8" t="b">
        <v>1</v>
      </c>
    </row>
    <row r="2251" spans="1:35" ht="31.2">
      <c r="A2251" s="8">
        <v>-73.958901639999993</v>
      </c>
      <c r="B2251" s="8">
        <v>40.791172770000003</v>
      </c>
      <c r="C2251" s="8" t="s">
        <v>5645</v>
      </c>
      <c r="D2251" s="8" t="s">
        <v>1214</v>
      </c>
      <c r="E2251" s="8" t="b">
        <f t="shared" si="35"/>
        <v>0</v>
      </c>
      <c r="F2251" s="8" t="str" cm="1">
        <f t="array" ref="F2251">_xlfn._xlws.FILTER(E2251:E5449, C2251:C5449= "6D-PM-1020-01", "No Squirrels Found")</f>
        <v>No Squirrels Found</v>
      </c>
      <c r="G2251" s="8" t="s">
        <v>34</v>
      </c>
      <c r="H2251" s="10">
        <v>10122018</v>
      </c>
      <c r="I2251" s="10">
        <v>3</v>
      </c>
      <c r="J2251" s="8" t="s">
        <v>39</v>
      </c>
      <c r="K2251" s="8" t="s">
        <v>40</v>
      </c>
      <c r="L2251" s="8" t="s">
        <v>84</v>
      </c>
      <c r="M2251" s="8" t="s">
        <v>103</v>
      </c>
      <c r="O2251" s="8" t="s">
        <v>43</v>
      </c>
      <c r="P2251" s="8" t="b">
        <v>0</v>
      </c>
      <c r="R2251" s="8" t="b">
        <v>0</v>
      </c>
      <c r="S2251" s="8" t="b">
        <v>0</v>
      </c>
      <c r="T2251" s="8" t="b">
        <v>0</v>
      </c>
      <c r="U2251" s="8" t="b">
        <v>0</v>
      </c>
      <c r="V2251" s="8" t="b">
        <v>1</v>
      </c>
      <c r="X2251" s="8" t="b">
        <v>0</v>
      </c>
      <c r="Y2251" s="8" t="b">
        <v>0</v>
      </c>
      <c r="Z2251" s="8" t="b">
        <v>0</v>
      </c>
      <c r="AA2251" s="8" t="b">
        <v>0</v>
      </c>
      <c r="AB2251" s="8" t="b">
        <v>0</v>
      </c>
      <c r="AC2251" s="8" t="b">
        <v>0</v>
      </c>
      <c r="AD2251" s="8" t="b">
        <v>0</v>
      </c>
      <c r="AE2251" s="8" t="b">
        <v>0</v>
      </c>
      <c r="AG2251" s="11" t="b" cm="1">
        <f t="array" ref="AG2251">IF(OR(Y2251:AA2251="TRUE", AE2251="true"), "Threatened")</f>
        <v>0</v>
      </c>
      <c r="AH2251" s="11" t="s">
        <v>5646</v>
      </c>
      <c r="AI2251" s="8" t="b">
        <v>1</v>
      </c>
    </row>
    <row r="2252" spans="1:35" ht="31.2">
      <c r="A2252" s="8">
        <v>-73.958767859999995</v>
      </c>
      <c r="B2252" s="8">
        <v>40.796265599999998</v>
      </c>
      <c r="C2252" s="8" t="s">
        <v>5647</v>
      </c>
      <c r="D2252" s="8" t="s">
        <v>191</v>
      </c>
      <c r="E2252" s="8" t="b">
        <f t="shared" si="35"/>
        <v>0</v>
      </c>
      <c r="F2252" s="8" t="str" cm="1">
        <f t="array" ref="F2252">_xlfn._xlws.FILTER(E2252:E5450, C2252:C5450= "6D-PM-1020-01", "No Squirrels Found")</f>
        <v>No Squirrels Found</v>
      </c>
      <c r="G2252" s="8" t="s">
        <v>34</v>
      </c>
      <c r="H2252" s="10">
        <v>10142018</v>
      </c>
      <c r="I2252" s="10">
        <v>1</v>
      </c>
      <c r="J2252" s="8" t="s">
        <v>39</v>
      </c>
      <c r="K2252" s="8" t="s">
        <v>40</v>
      </c>
      <c r="L2252" s="8" t="s">
        <v>117</v>
      </c>
      <c r="M2252" s="8" t="s">
        <v>118</v>
      </c>
      <c r="O2252" s="8" t="s">
        <v>50</v>
      </c>
      <c r="P2252" s="8">
        <v>20</v>
      </c>
      <c r="R2252" s="8" t="b">
        <v>0</v>
      </c>
      <c r="S2252" s="8" t="b">
        <v>0</v>
      </c>
      <c r="T2252" s="8" t="b">
        <v>1</v>
      </c>
      <c r="U2252" s="8" t="b">
        <v>0</v>
      </c>
      <c r="V2252" s="8" t="b">
        <v>0</v>
      </c>
      <c r="X2252" s="8" t="b">
        <v>1</v>
      </c>
      <c r="Y2252" s="8" t="b">
        <v>0</v>
      </c>
      <c r="Z2252" s="8" t="b">
        <v>0</v>
      </c>
      <c r="AA2252" s="8" t="b">
        <v>0</v>
      </c>
      <c r="AB2252" s="8" t="b">
        <v>0</v>
      </c>
      <c r="AC2252" s="8" t="b">
        <v>0</v>
      </c>
      <c r="AD2252" s="8" t="b">
        <v>0</v>
      </c>
      <c r="AE2252" s="8" t="b">
        <v>0</v>
      </c>
      <c r="AG2252" s="11" t="b" cm="1">
        <f t="array" ref="AG2252">IF(OR(Y2252:AA2252="TRUE", AE2252="true"), "Threatened")</f>
        <v>0</v>
      </c>
      <c r="AH2252" s="11" t="s">
        <v>5648</v>
      </c>
      <c r="AI2252" s="8" t="b">
        <v>1</v>
      </c>
    </row>
    <row r="2253" spans="1:35" ht="31.2">
      <c r="A2253" s="8">
        <v>-73.953770320000004</v>
      </c>
      <c r="B2253" s="8">
        <v>40.791595940000001</v>
      </c>
      <c r="C2253" s="8" t="s">
        <v>5649</v>
      </c>
      <c r="D2253" s="8" t="s">
        <v>3751</v>
      </c>
      <c r="E2253" s="8" t="b">
        <f t="shared" si="35"/>
        <v>0</v>
      </c>
      <c r="F2253" s="8" t="str" cm="1">
        <f t="array" ref="F2253">_xlfn._xlws.FILTER(E2253:E5451, C2253:C5451= "6D-PM-1020-01", "No Squirrels Found")</f>
        <v>No Squirrels Found</v>
      </c>
      <c r="G2253" s="8" t="s">
        <v>48</v>
      </c>
      <c r="H2253" s="10">
        <v>10132018</v>
      </c>
      <c r="I2253" s="10">
        <v>1</v>
      </c>
      <c r="J2253" s="8" t="s">
        <v>39</v>
      </c>
      <c r="K2253" s="8" t="s">
        <v>41</v>
      </c>
      <c r="L2253" s="8" t="s">
        <v>84</v>
      </c>
      <c r="M2253" s="8" t="s">
        <v>85</v>
      </c>
      <c r="N2253" s="11" t="s">
        <v>5650</v>
      </c>
      <c r="O2253" s="8" t="s">
        <v>50</v>
      </c>
      <c r="P2253" s="8">
        <v>18</v>
      </c>
      <c r="R2253" s="8" t="b">
        <v>0</v>
      </c>
      <c r="S2253" s="8" t="b">
        <v>0</v>
      </c>
      <c r="T2253" s="8" t="b">
        <v>1</v>
      </c>
      <c r="U2253" s="8" t="b">
        <v>0</v>
      </c>
      <c r="V2253" s="8" t="b">
        <v>0</v>
      </c>
      <c r="X2253" s="8" t="b">
        <v>0</v>
      </c>
      <c r="Y2253" s="8" t="b">
        <v>0</v>
      </c>
      <c r="Z2253" s="8" t="b">
        <v>0</v>
      </c>
      <c r="AA2253" s="8" t="b">
        <v>0</v>
      </c>
      <c r="AB2253" s="8" t="b">
        <v>0</v>
      </c>
      <c r="AC2253" s="8" t="b">
        <v>0</v>
      </c>
      <c r="AD2253" s="8" t="b">
        <v>1</v>
      </c>
      <c r="AE2253" s="8" t="b">
        <v>0</v>
      </c>
      <c r="AG2253" s="11" t="b" cm="1">
        <f t="array" ref="AG2253">IF(OR(Y2253:AA2253="TRUE", AE2253="true"), "Threatened")</f>
        <v>0</v>
      </c>
      <c r="AH2253" s="11" t="s">
        <v>5651</v>
      </c>
      <c r="AI2253" s="8" t="b">
        <v>1</v>
      </c>
    </row>
    <row r="2254" spans="1:35" ht="46.8">
      <c r="A2254" s="8">
        <v>-73.973394429999999</v>
      </c>
      <c r="B2254" s="8">
        <v>40.772293349999998</v>
      </c>
      <c r="C2254" s="8" t="s">
        <v>5652</v>
      </c>
      <c r="D2254" s="8" t="s">
        <v>1209</v>
      </c>
      <c r="E2254" s="8" t="b">
        <f t="shared" si="35"/>
        <v>0</v>
      </c>
      <c r="F2254" s="8" t="str" cm="1">
        <f t="array" ref="F2254">_xlfn._xlws.FILTER(E2254:E5452, C2254:C5452= "6D-PM-1020-01", "No Squirrels Found")</f>
        <v>No Squirrels Found</v>
      </c>
      <c r="G2254" s="8" t="s">
        <v>34</v>
      </c>
      <c r="H2254" s="10">
        <v>10082018</v>
      </c>
      <c r="I2254" s="10">
        <v>3</v>
      </c>
      <c r="J2254" s="8" t="s">
        <v>39</v>
      </c>
      <c r="K2254" s="8" t="s">
        <v>40</v>
      </c>
      <c r="L2254" s="8" t="s">
        <v>84</v>
      </c>
      <c r="M2254" s="8" t="s">
        <v>103</v>
      </c>
      <c r="O2254" s="8" t="s">
        <v>43</v>
      </c>
      <c r="P2254" s="8" t="b">
        <v>0</v>
      </c>
      <c r="Q2254" s="8" t="s">
        <v>5653</v>
      </c>
      <c r="R2254" s="8" t="b">
        <v>0</v>
      </c>
      <c r="S2254" s="8" t="b">
        <v>0</v>
      </c>
      <c r="T2254" s="8" t="b">
        <v>0</v>
      </c>
      <c r="U2254" s="8" t="b">
        <v>1</v>
      </c>
      <c r="V2254" s="8" t="b">
        <v>1</v>
      </c>
      <c r="X2254" s="8" t="b">
        <v>0</v>
      </c>
      <c r="Y2254" s="8" t="b">
        <v>0</v>
      </c>
      <c r="Z2254" s="8" t="b">
        <v>0</v>
      </c>
      <c r="AA2254" s="8" t="b">
        <v>0</v>
      </c>
      <c r="AB2254" s="8" t="b">
        <v>0</v>
      </c>
      <c r="AC2254" s="8" t="b">
        <v>1</v>
      </c>
      <c r="AD2254" s="8" t="b">
        <v>0</v>
      </c>
      <c r="AE2254" s="8" t="b">
        <v>0</v>
      </c>
      <c r="AF2254" s="11" t="s">
        <v>5654</v>
      </c>
      <c r="AG2254" s="11" t="b" cm="1">
        <f t="array" ref="AG2254">IF(OR(Y2254:AA2254="TRUE", AE2254="true"), "Threatened")</f>
        <v>0</v>
      </c>
      <c r="AH2254" s="11" t="s">
        <v>5655</v>
      </c>
      <c r="AI2254" s="8" t="b">
        <v>1</v>
      </c>
    </row>
    <row r="2255" spans="1:35" ht="31.2">
      <c r="A2255" s="8">
        <v>-73.9709991</v>
      </c>
      <c r="B2255" s="8">
        <v>40.772575670000002</v>
      </c>
      <c r="C2255" s="8" t="s">
        <v>5656</v>
      </c>
      <c r="D2255" s="8" t="s">
        <v>329</v>
      </c>
      <c r="E2255" s="8" t="b">
        <f t="shared" si="35"/>
        <v>0</v>
      </c>
      <c r="F2255" s="8" t="str" cm="1">
        <f t="array" ref="F2255">_xlfn._xlws.FILTER(E2255:E5453, C2255:C5453= "6D-PM-1020-01", "No Squirrels Found")</f>
        <v>No Squirrels Found</v>
      </c>
      <c r="G2255" s="8" t="s">
        <v>34</v>
      </c>
      <c r="H2255" s="10">
        <v>10192018</v>
      </c>
      <c r="I2255" s="10">
        <v>3</v>
      </c>
      <c r="J2255" s="8" t="s">
        <v>54</v>
      </c>
      <c r="K2255" s="8" t="s">
        <v>40</v>
      </c>
      <c r="L2255" s="8" t="s">
        <v>41</v>
      </c>
      <c r="M2255" s="8" t="s">
        <v>42</v>
      </c>
      <c r="N2255" s="11" t="s">
        <v>4790</v>
      </c>
      <c r="O2255" s="8" t="s">
        <v>43</v>
      </c>
      <c r="P2255" s="8" t="b">
        <v>0</v>
      </c>
      <c r="Q2255" s="8" t="s">
        <v>713</v>
      </c>
      <c r="R2255" s="8" t="b">
        <v>0</v>
      </c>
      <c r="S2255" s="8" t="b">
        <v>0</v>
      </c>
      <c r="T2255" s="8" t="b">
        <v>0</v>
      </c>
      <c r="U2255" s="8" t="b">
        <v>1</v>
      </c>
      <c r="V2255" s="8" t="b">
        <v>0</v>
      </c>
      <c r="W2255" s="11" t="s">
        <v>5657</v>
      </c>
      <c r="X2255" s="8" t="b">
        <v>0</v>
      </c>
      <c r="Y2255" s="8" t="b">
        <v>0</v>
      </c>
      <c r="Z2255" s="8" t="b">
        <v>0</v>
      </c>
      <c r="AA2255" s="8" t="b">
        <v>0</v>
      </c>
      <c r="AB2255" s="8" t="b">
        <v>0</v>
      </c>
      <c r="AC2255" s="8" t="b">
        <v>1</v>
      </c>
      <c r="AD2255" s="8" t="b">
        <v>0</v>
      </c>
      <c r="AE2255" s="8" t="b">
        <v>0</v>
      </c>
      <c r="AF2255" s="11" t="s">
        <v>5658</v>
      </c>
      <c r="AG2255" s="11" t="b" cm="1">
        <f t="array" ref="AG2255">IF(OR(Y2255:AA2255="TRUE", AE2255="true"), "Threatened")</f>
        <v>0</v>
      </c>
      <c r="AH2255" s="11" t="s">
        <v>5659</v>
      </c>
      <c r="AI2255" s="8" t="b">
        <v>0</v>
      </c>
    </row>
    <row r="2256" spans="1:35" ht="31.2">
      <c r="A2256" s="8">
        <v>-73.964296790000006</v>
      </c>
      <c r="B2256" s="8">
        <v>40.781565239999999</v>
      </c>
      <c r="C2256" s="8" t="s">
        <v>5660</v>
      </c>
      <c r="D2256" s="8" t="s">
        <v>1202</v>
      </c>
      <c r="E2256" s="8" t="b">
        <f t="shared" si="35"/>
        <v>0</v>
      </c>
      <c r="F2256" s="8" t="str" cm="1">
        <f t="array" ref="F2256">_xlfn._xlws.FILTER(E2256:E5454, C2256:C5454= "6D-PM-1020-01", "No Squirrels Found")</f>
        <v>No Squirrels Found</v>
      </c>
      <c r="G2256" s="8" t="s">
        <v>48</v>
      </c>
      <c r="H2256" s="10">
        <v>10182018</v>
      </c>
      <c r="I2256" s="10">
        <v>8</v>
      </c>
      <c r="J2256" s="8" t="s">
        <v>39</v>
      </c>
      <c r="K2256" s="8" t="s">
        <v>41</v>
      </c>
      <c r="L2256" s="8" t="s">
        <v>40</v>
      </c>
      <c r="M2256" s="8" t="s">
        <v>110</v>
      </c>
      <c r="O2256" s="8" t="s">
        <v>43</v>
      </c>
      <c r="P2256" s="8" t="b">
        <v>0</v>
      </c>
      <c r="R2256" s="8" t="b">
        <v>0</v>
      </c>
      <c r="S2256" s="8" t="b">
        <v>0</v>
      </c>
      <c r="T2256" s="8" t="b">
        <v>0</v>
      </c>
      <c r="U2256" s="8" t="b">
        <v>1</v>
      </c>
      <c r="V2256" s="8" t="b">
        <v>1</v>
      </c>
      <c r="X2256" s="8" t="b">
        <v>0</v>
      </c>
      <c r="Y2256" s="8" t="b">
        <v>0</v>
      </c>
      <c r="Z2256" s="8" t="b">
        <v>0</v>
      </c>
      <c r="AA2256" s="8" t="b">
        <v>0</v>
      </c>
      <c r="AB2256" s="8" t="b">
        <v>1</v>
      </c>
      <c r="AC2256" s="8" t="b">
        <v>0</v>
      </c>
      <c r="AD2256" s="8" t="b">
        <v>1</v>
      </c>
      <c r="AE2256" s="8" t="b">
        <v>0</v>
      </c>
      <c r="AG2256" s="11" t="b" cm="1">
        <f t="array" ref="AG2256">IF(OR(Y2256:AA2256="TRUE", AE2256="true"), "Threatened")</f>
        <v>0</v>
      </c>
      <c r="AH2256" s="11" t="s">
        <v>5661</v>
      </c>
      <c r="AI2256" s="8" t="b">
        <v>1</v>
      </c>
    </row>
    <row r="2257" spans="1:35" ht="31.2">
      <c r="A2257" s="8">
        <v>-73.972005019999997</v>
      </c>
      <c r="B2257" s="8">
        <v>40.76994191</v>
      </c>
      <c r="C2257" s="8" t="s">
        <v>5662</v>
      </c>
      <c r="D2257" s="8" t="s">
        <v>413</v>
      </c>
      <c r="E2257" s="8" t="b">
        <f t="shared" si="35"/>
        <v>0</v>
      </c>
      <c r="F2257" s="8" t="str" cm="1">
        <f t="array" ref="F2257">_xlfn._xlws.FILTER(E2257:E5455, C2257:C5455= "6D-PM-1020-01", "No Squirrels Found")</f>
        <v>No Squirrels Found</v>
      </c>
      <c r="G2257" s="8" t="s">
        <v>48</v>
      </c>
      <c r="H2257" s="10">
        <v>10102018</v>
      </c>
      <c r="I2257" s="10">
        <v>3</v>
      </c>
      <c r="J2257" s="8" t="s">
        <v>39</v>
      </c>
      <c r="K2257" s="8" t="s">
        <v>40</v>
      </c>
      <c r="L2257" s="8" t="s">
        <v>41</v>
      </c>
      <c r="M2257" s="8" t="s">
        <v>42</v>
      </c>
      <c r="O2257" s="8" t="s">
        <v>43</v>
      </c>
      <c r="P2257" s="8" t="b">
        <v>0</v>
      </c>
      <c r="R2257" s="8" t="b">
        <v>1</v>
      </c>
      <c r="S2257" s="8" t="b">
        <v>0</v>
      </c>
      <c r="T2257" s="8" t="b">
        <v>0</v>
      </c>
      <c r="U2257" s="8" t="b">
        <v>0</v>
      </c>
      <c r="V2257" s="8" t="b">
        <v>0</v>
      </c>
      <c r="X2257" s="8" t="b">
        <v>0</v>
      </c>
      <c r="Y2257" s="8" t="b">
        <v>0</v>
      </c>
      <c r="Z2257" s="8" t="b">
        <v>0</v>
      </c>
      <c r="AA2257" s="8" t="b">
        <v>0</v>
      </c>
      <c r="AB2257" s="8" t="b">
        <v>0</v>
      </c>
      <c r="AC2257" s="8" t="b">
        <v>0</v>
      </c>
      <c r="AD2257" s="8" t="b">
        <v>1</v>
      </c>
      <c r="AE2257" s="8" t="b">
        <v>0</v>
      </c>
      <c r="AG2257" s="11" t="b" cm="1">
        <f t="array" ref="AG2257">IF(OR(Y2257:AA2257="TRUE", AE2257="true"), "Threatened")</f>
        <v>0</v>
      </c>
      <c r="AH2257" s="11" t="s">
        <v>5663</v>
      </c>
      <c r="AI2257" s="8" t="b">
        <v>1</v>
      </c>
    </row>
    <row r="2258" spans="1:35" ht="31.2">
      <c r="A2258" s="8">
        <v>-73.954313380000002</v>
      </c>
      <c r="B2258" s="8">
        <v>40.794053759999997</v>
      </c>
      <c r="C2258" s="8" t="s">
        <v>5664</v>
      </c>
      <c r="D2258" s="8" t="s">
        <v>939</v>
      </c>
      <c r="E2258" s="8" t="b">
        <f t="shared" si="35"/>
        <v>0</v>
      </c>
      <c r="F2258" s="8" t="str" cm="1">
        <f t="array" ref="F2258">_xlfn._xlws.FILTER(E2258:E5456, C2258:C5456= "6D-PM-1020-01", "No Squirrels Found")</f>
        <v>No Squirrels Found</v>
      </c>
      <c r="G2258" s="8" t="s">
        <v>34</v>
      </c>
      <c r="H2258" s="10">
        <v>10072018</v>
      </c>
      <c r="I2258" s="10">
        <v>8</v>
      </c>
      <c r="J2258" s="8" t="s">
        <v>39</v>
      </c>
      <c r="K2258" s="8" t="s">
        <v>40</v>
      </c>
      <c r="M2258" s="8" t="s">
        <v>55</v>
      </c>
      <c r="R2258" s="8" t="b">
        <v>0</v>
      </c>
      <c r="S2258" s="8" t="b">
        <v>0</v>
      </c>
      <c r="T2258" s="8" t="b">
        <v>0</v>
      </c>
      <c r="U2258" s="8" t="b">
        <v>0</v>
      </c>
      <c r="V2258" s="8" t="b">
        <v>1</v>
      </c>
      <c r="X2258" s="8" t="b">
        <v>0</v>
      </c>
      <c r="Y2258" s="8" t="b">
        <v>0</v>
      </c>
      <c r="Z2258" s="8" t="b">
        <v>0</v>
      </c>
      <c r="AA2258" s="8" t="b">
        <v>0</v>
      </c>
      <c r="AB2258" s="8" t="b">
        <v>0</v>
      </c>
      <c r="AC2258" s="8" t="b">
        <v>0</v>
      </c>
      <c r="AD2258" s="8" t="b">
        <v>0</v>
      </c>
      <c r="AE2258" s="8" t="b">
        <v>0</v>
      </c>
      <c r="AG2258" s="11" t="b" cm="1">
        <f t="array" ref="AG2258">IF(OR(Y2258:AA2258="TRUE", AE2258="true"), "Threatened")</f>
        <v>0</v>
      </c>
      <c r="AH2258" s="11" t="s">
        <v>5665</v>
      </c>
      <c r="AI2258" s="8" t="b">
        <v>1</v>
      </c>
    </row>
    <row r="2259" spans="1:35" ht="31.2">
      <c r="A2259" s="8">
        <v>-73.954778509999997</v>
      </c>
      <c r="B2259" s="8">
        <v>40.789612179999999</v>
      </c>
      <c r="C2259" s="8" t="s">
        <v>5666</v>
      </c>
      <c r="D2259" s="8" t="s">
        <v>924</v>
      </c>
      <c r="E2259" s="8" t="b">
        <f t="shared" si="35"/>
        <v>0</v>
      </c>
      <c r="F2259" s="8" t="str" cm="1">
        <f t="array" ref="F2259">_xlfn._xlws.FILTER(E2259:E5457, C2259:C5457= "6D-PM-1020-01", "No Squirrels Found")</f>
        <v>No Squirrels Found</v>
      </c>
      <c r="G2259" s="8" t="s">
        <v>48</v>
      </c>
      <c r="H2259" s="10">
        <v>10082018</v>
      </c>
      <c r="I2259" s="10">
        <v>2</v>
      </c>
      <c r="J2259" s="8" t="s">
        <v>39</v>
      </c>
      <c r="K2259" s="8" t="s">
        <v>40</v>
      </c>
      <c r="M2259" s="8" t="s">
        <v>55</v>
      </c>
      <c r="O2259" s="8" t="s">
        <v>50</v>
      </c>
      <c r="P2259" s="8">
        <v>3</v>
      </c>
      <c r="Q2259" s="8" t="s">
        <v>5667</v>
      </c>
      <c r="R2259" s="8" t="b">
        <v>0</v>
      </c>
      <c r="S2259" s="8" t="b">
        <v>0</v>
      </c>
      <c r="T2259" s="8" t="b">
        <v>1</v>
      </c>
      <c r="U2259" s="8" t="b">
        <v>0</v>
      </c>
      <c r="V2259" s="8" t="b">
        <v>0</v>
      </c>
      <c r="X2259" s="8" t="b">
        <v>0</v>
      </c>
      <c r="Y2259" s="8" t="b">
        <v>0</v>
      </c>
      <c r="Z2259" s="8" t="b">
        <v>0</v>
      </c>
      <c r="AA2259" s="8" t="b">
        <v>0</v>
      </c>
      <c r="AB2259" s="8" t="b">
        <v>1</v>
      </c>
      <c r="AC2259" s="8" t="b">
        <v>0</v>
      </c>
      <c r="AD2259" s="8" t="b">
        <v>1</v>
      </c>
      <c r="AE2259" s="8" t="b">
        <v>0</v>
      </c>
      <c r="AG2259" s="11" t="b" cm="1">
        <f t="array" ref="AG2259">IF(OR(Y2259:AA2259="TRUE", AE2259="true"), "Threatened")</f>
        <v>0</v>
      </c>
      <c r="AH2259" s="11" t="s">
        <v>5668</v>
      </c>
      <c r="AI2259" s="8" t="b">
        <v>1</v>
      </c>
    </row>
    <row r="2260" spans="1:35" ht="31.2">
      <c r="A2260" s="8">
        <v>-73.975565599999996</v>
      </c>
      <c r="B2260" s="8">
        <v>40.773846249999998</v>
      </c>
      <c r="C2260" s="8" t="s">
        <v>5669</v>
      </c>
      <c r="D2260" s="8" t="s">
        <v>802</v>
      </c>
      <c r="E2260" s="8" t="b">
        <f t="shared" si="35"/>
        <v>0</v>
      </c>
      <c r="F2260" s="8" t="str" cm="1">
        <f t="array" ref="F2260">_xlfn._xlws.FILTER(E2260:E5458, C2260:C5458= "6D-PM-1020-01", "No Squirrels Found")</f>
        <v>No Squirrels Found</v>
      </c>
      <c r="G2260" s="8" t="s">
        <v>48</v>
      </c>
      <c r="H2260" s="10">
        <v>10102018</v>
      </c>
      <c r="I2260" s="10">
        <v>3</v>
      </c>
      <c r="J2260" s="8" t="s">
        <v>39</v>
      </c>
      <c r="K2260" s="8" t="s">
        <v>40</v>
      </c>
      <c r="L2260" s="8" t="s">
        <v>41</v>
      </c>
      <c r="M2260" s="8" t="s">
        <v>42</v>
      </c>
      <c r="O2260" s="8" t="s">
        <v>50</v>
      </c>
      <c r="P2260" s="8">
        <v>4</v>
      </c>
      <c r="R2260" s="8" t="b">
        <v>1</v>
      </c>
      <c r="S2260" s="8" t="b">
        <v>0</v>
      </c>
      <c r="T2260" s="8" t="b">
        <v>1</v>
      </c>
      <c r="U2260" s="8" t="b">
        <v>0</v>
      </c>
      <c r="V2260" s="8" t="b">
        <v>1</v>
      </c>
      <c r="X2260" s="8" t="b">
        <v>0</v>
      </c>
      <c r="Y2260" s="8" t="b">
        <v>0</v>
      </c>
      <c r="Z2260" s="8" t="b">
        <v>0</v>
      </c>
      <c r="AA2260" s="8" t="b">
        <v>0</v>
      </c>
      <c r="AB2260" s="8" t="b">
        <v>0</v>
      </c>
      <c r="AC2260" s="8" t="b">
        <v>0</v>
      </c>
      <c r="AD2260" s="8" t="b">
        <v>1</v>
      </c>
      <c r="AE2260" s="8" t="b">
        <v>0</v>
      </c>
      <c r="AG2260" s="11" t="b" cm="1">
        <f t="array" ref="AG2260">IF(OR(Y2260:AA2260="TRUE", AE2260="true"), "Threatened")</f>
        <v>0</v>
      </c>
      <c r="AH2260" s="11" t="s">
        <v>5670</v>
      </c>
      <c r="AI2260" s="8" t="b">
        <v>1</v>
      </c>
    </row>
    <row r="2261" spans="1:35" ht="31.2">
      <c r="A2261" s="8">
        <v>-73.978468590000006</v>
      </c>
      <c r="B2261" s="8">
        <v>40.766992399999999</v>
      </c>
      <c r="C2261" s="8" t="s">
        <v>5671</v>
      </c>
      <c r="D2261" s="8" t="s">
        <v>1278</v>
      </c>
      <c r="E2261" s="8" t="b">
        <f t="shared" si="35"/>
        <v>0</v>
      </c>
      <c r="F2261" s="8" t="str" cm="1">
        <f t="array" ref="F2261">_xlfn._xlws.FILTER(E2261:E5459, C2261:C5459= "6D-PM-1020-01", "No Squirrels Found")</f>
        <v>No Squirrels Found</v>
      </c>
      <c r="G2261" s="8" t="s">
        <v>34</v>
      </c>
      <c r="H2261" s="10">
        <v>10072018</v>
      </c>
      <c r="I2261" s="10">
        <v>5</v>
      </c>
      <c r="J2261" s="8" t="s">
        <v>39</v>
      </c>
      <c r="K2261" s="8" t="s">
        <v>40</v>
      </c>
      <c r="L2261" s="8" t="s">
        <v>41</v>
      </c>
      <c r="M2261" s="8" t="s">
        <v>42</v>
      </c>
      <c r="O2261" s="8" t="s">
        <v>43</v>
      </c>
      <c r="P2261" s="8" t="b">
        <v>0</v>
      </c>
      <c r="R2261" s="8" t="b">
        <v>0</v>
      </c>
      <c r="S2261" s="8" t="b">
        <v>0</v>
      </c>
      <c r="T2261" s="8" t="b">
        <v>0</v>
      </c>
      <c r="U2261" s="8" t="b">
        <v>0</v>
      </c>
      <c r="V2261" s="8" t="b">
        <v>1</v>
      </c>
      <c r="X2261" s="8" t="b">
        <v>0</v>
      </c>
      <c r="Y2261" s="8" t="b">
        <v>0</v>
      </c>
      <c r="Z2261" s="8" t="b">
        <v>0</v>
      </c>
      <c r="AA2261" s="8" t="b">
        <v>0</v>
      </c>
      <c r="AB2261" s="8" t="b">
        <v>0</v>
      </c>
      <c r="AC2261" s="8" t="b">
        <v>0</v>
      </c>
      <c r="AD2261" s="8" t="b">
        <v>1</v>
      </c>
      <c r="AE2261" s="8" t="b">
        <v>0</v>
      </c>
      <c r="AG2261" s="11" t="b" cm="1">
        <f t="array" ref="AG2261">IF(OR(Y2261:AA2261="TRUE", AE2261="true"), "Threatened")</f>
        <v>0</v>
      </c>
      <c r="AH2261" s="11" t="s">
        <v>5672</v>
      </c>
      <c r="AI2261" s="8" t="b">
        <v>1</v>
      </c>
    </row>
    <row r="2262" spans="1:35" ht="31.2">
      <c r="A2262" s="8">
        <v>-73.960969289999994</v>
      </c>
      <c r="B2262" s="8">
        <v>40.790502889999999</v>
      </c>
      <c r="C2262" s="8" t="s">
        <v>5673</v>
      </c>
      <c r="D2262" s="8" t="s">
        <v>621</v>
      </c>
      <c r="E2262" s="8" t="b">
        <f t="shared" si="35"/>
        <v>0</v>
      </c>
      <c r="F2262" s="8" t="str" cm="1">
        <f t="array" ref="F2262">_xlfn._xlws.FILTER(E2262:E5460, C2262:C5460= "6D-PM-1020-01", "No Squirrels Found")</f>
        <v>No Squirrels Found</v>
      </c>
      <c r="G2262" s="8" t="s">
        <v>48</v>
      </c>
      <c r="H2262" s="10">
        <v>10142018</v>
      </c>
      <c r="I2262" s="10">
        <v>7</v>
      </c>
      <c r="K2262" s="8" t="s">
        <v>40</v>
      </c>
      <c r="M2262" s="8" t="s">
        <v>55</v>
      </c>
      <c r="O2262" s="8" t="s">
        <v>43</v>
      </c>
      <c r="P2262" s="8" t="b">
        <v>0</v>
      </c>
      <c r="Q2262" s="8" t="s">
        <v>5674</v>
      </c>
      <c r="R2262" s="8" t="b">
        <v>1</v>
      </c>
      <c r="S2262" s="8" t="b">
        <v>0</v>
      </c>
      <c r="T2262" s="8" t="b">
        <v>0</v>
      </c>
      <c r="U2262" s="8" t="b">
        <v>0</v>
      </c>
      <c r="V2262" s="8" t="b">
        <v>0</v>
      </c>
      <c r="X2262" s="8" t="b">
        <v>0</v>
      </c>
      <c r="Y2262" s="8" t="b">
        <v>0</v>
      </c>
      <c r="Z2262" s="8" t="b">
        <v>0</v>
      </c>
      <c r="AA2262" s="8" t="b">
        <v>0</v>
      </c>
      <c r="AB2262" s="8" t="b">
        <v>0</v>
      </c>
      <c r="AC2262" s="8" t="b">
        <v>0</v>
      </c>
      <c r="AD2262" s="8" t="b">
        <v>0</v>
      </c>
      <c r="AE2262" s="8" t="b">
        <v>1</v>
      </c>
      <c r="AG2262" s="11" t="b" cm="1">
        <f t="array" ref="AG2262">IF(OR(Y2262:AA2262="TRUE", AE2262="true"), "Threatened")</f>
        <v>0</v>
      </c>
      <c r="AH2262" s="11" t="s">
        <v>5675</v>
      </c>
      <c r="AI2262" s="8" t="b">
        <v>1</v>
      </c>
    </row>
    <row r="2263" spans="1:35" ht="31.2">
      <c r="A2263" s="8">
        <v>-73.955617750000002</v>
      </c>
      <c r="B2263" s="8">
        <v>40.788856920000001</v>
      </c>
      <c r="C2263" s="8" t="s">
        <v>5676</v>
      </c>
      <c r="D2263" s="8" t="s">
        <v>877</v>
      </c>
      <c r="E2263" s="8" t="b">
        <f t="shared" si="35"/>
        <v>0</v>
      </c>
      <c r="F2263" s="8" t="str" cm="1">
        <f t="array" ref="F2263">_xlfn._xlws.FILTER(E2263:E5461, C2263:C5461= "6D-PM-1020-01", "No Squirrels Found")</f>
        <v>No Squirrels Found</v>
      </c>
      <c r="G2263" s="8" t="s">
        <v>48</v>
      </c>
      <c r="H2263" s="10">
        <v>10132018</v>
      </c>
      <c r="I2263" s="10">
        <v>3</v>
      </c>
      <c r="J2263" s="8" t="s">
        <v>54</v>
      </c>
      <c r="K2263" s="8" t="s">
        <v>40</v>
      </c>
      <c r="L2263" s="8" t="s">
        <v>41</v>
      </c>
      <c r="M2263" s="8" t="s">
        <v>42</v>
      </c>
      <c r="O2263" s="8" t="s">
        <v>50</v>
      </c>
      <c r="P2263" s="8">
        <v>15</v>
      </c>
      <c r="R2263" s="8" t="b">
        <v>0</v>
      </c>
      <c r="S2263" s="8" t="b">
        <v>0</v>
      </c>
      <c r="T2263" s="8" t="b">
        <v>1</v>
      </c>
      <c r="U2263" s="8" t="b">
        <v>0</v>
      </c>
      <c r="V2263" s="8" t="b">
        <v>0</v>
      </c>
      <c r="X2263" s="8" t="b">
        <v>0</v>
      </c>
      <c r="Y2263" s="8" t="b">
        <v>0</v>
      </c>
      <c r="Z2263" s="8" t="b">
        <v>0</v>
      </c>
      <c r="AA2263" s="8" t="b">
        <v>0</v>
      </c>
      <c r="AB2263" s="8" t="b">
        <v>0</v>
      </c>
      <c r="AC2263" s="8" t="b">
        <v>0</v>
      </c>
      <c r="AD2263" s="8" t="b">
        <v>0</v>
      </c>
      <c r="AE2263" s="8" t="b">
        <v>0</v>
      </c>
      <c r="AF2263" s="11" t="s">
        <v>1188</v>
      </c>
      <c r="AG2263" s="11" t="b" cm="1">
        <f t="array" ref="AG2263">IF(OR(Y2263:AA2263="TRUE", AE2263="true"), "Threatened")</f>
        <v>0</v>
      </c>
      <c r="AH2263" s="11" t="s">
        <v>5677</v>
      </c>
      <c r="AI2263" s="8" t="b">
        <v>1</v>
      </c>
    </row>
    <row r="2264" spans="1:35" ht="31.2">
      <c r="A2264" s="8">
        <v>-73.956937539999998</v>
      </c>
      <c r="B2264" s="8">
        <v>40.793539799999998</v>
      </c>
      <c r="C2264" s="8" t="s">
        <v>5678</v>
      </c>
      <c r="D2264" s="8" t="s">
        <v>1045</v>
      </c>
      <c r="E2264" s="8" t="b">
        <f t="shared" si="35"/>
        <v>0</v>
      </c>
      <c r="F2264" s="8" t="str" cm="1">
        <f t="array" ref="F2264">_xlfn._xlws.FILTER(E2264:E5462, C2264:C5462= "6D-PM-1020-01", "No Squirrels Found")</f>
        <v>No Squirrels Found</v>
      </c>
      <c r="G2264" s="8" t="s">
        <v>48</v>
      </c>
      <c r="H2264" s="10">
        <v>10132018</v>
      </c>
      <c r="I2264" s="10">
        <v>2</v>
      </c>
      <c r="J2264" s="8" t="s">
        <v>39</v>
      </c>
      <c r="K2264" s="8" t="s">
        <v>40</v>
      </c>
      <c r="M2264" s="8" t="s">
        <v>55</v>
      </c>
      <c r="O2264" s="8" t="s">
        <v>43</v>
      </c>
      <c r="P2264" s="8" t="b">
        <v>0</v>
      </c>
      <c r="R2264" s="8" t="b">
        <v>1</v>
      </c>
      <c r="S2264" s="8" t="b">
        <v>0</v>
      </c>
      <c r="T2264" s="8" t="b">
        <v>0</v>
      </c>
      <c r="U2264" s="8" t="b">
        <v>1</v>
      </c>
      <c r="V2264" s="8" t="b">
        <v>0</v>
      </c>
      <c r="X2264" s="8" t="b">
        <v>0</v>
      </c>
      <c r="Y2264" s="8" t="b">
        <v>0</v>
      </c>
      <c r="Z2264" s="8" t="b">
        <v>0</v>
      </c>
      <c r="AA2264" s="8" t="b">
        <v>0</v>
      </c>
      <c r="AB2264" s="8" t="b">
        <v>0</v>
      </c>
      <c r="AC2264" s="8" t="b">
        <v>0</v>
      </c>
      <c r="AD2264" s="8" t="b">
        <v>0</v>
      </c>
      <c r="AE2264" s="8" t="b">
        <v>1</v>
      </c>
      <c r="AG2264" s="11" t="b" cm="1">
        <f t="array" ref="AG2264">IF(OR(Y2264:AA2264="TRUE", AE2264="true"), "Threatened")</f>
        <v>0</v>
      </c>
      <c r="AH2264" s="11" t="s">
        <v>5679</v>
      </c>
      <c r="AI2264" s="8" t="b">
        <v>1</v>
      </c>
    </row>
    <row r="2265" spans="1:35" ht="31.2">
      <c r="A2265" s="8">
        <v>-73.977352060000001</v>
      </c>
      <c r="B2265" s="8">
        <v>40.770819850000002</v>
      </c>
      <c r="C2265" s="8" t="s">
        <v>5680</v>
      </c>
      <c r="D2265" s="8" t="s">
        <v>2864</v>
      </c>
      <c r="E2265" s="8" t="b">
        <f t="shared" si="35"/>
        <v>0</v>
      </c>
      <c r="F2265" s="8" t="str" cm="1">
        <f t="array" ref="F2265">_xlfn._xlws.FILTER(E2265:E5463, C2265:C5463= "6D-PM-1020-01", "No Squirrels Found")</f>
        <v>No Squirrels Found</v>
      </c>
      <c r="G2265" s="8" t="s">
        <v>48</v>
      </c>
      <c r="H2265" s="10">
        <v>10082018</v>
      </c>
      <c r="I2265" s="10">
        <v>4</v>
      </c>
      <c r="J2265" s="8" t="s">
        <v>39</v>
      </c>
      <c r="K2265" s="8" t="s">
        <v>40</v>
      </c>
      <c r="L2265" s="8" t="s">
        <v>41</v>
      </c>
      <c r="M2265" s="8" t="s">
        <v>42</v>
      </c>
      <c r="O2265" s="8" t="s">
        <v>43</v>
      </c>
      <c r="P2265" s="8" t="b">
        <v>0</v>
      </c>
      <c r="R2265" s="8" t="b">
        <v>0</v>
      </c>
      <c r="S2265" s="8" t="b">
        <v>0</v>
      </c>
      <c r="T2265" s="8" t="b">
        <v>0</v>
      </c>
      <c r="U2265" s="8" t="b">
        <v>0</v>
      </c>
      <c r="V2265" s="8" t="b">
        <v>0</v>
      </c>
      <c r="X2265" s="8" t="b">
        <v>0</v>
      </c>
      <c r="Y2265" s="8" t="b">
        <v>0</v>
      </c>
      <c r="Z2265" s="8" t="b">
        <v>0</v>
      </c>
      <c r="AA2265" s="8" t="b">
        <v>0</v>
      </c>
      <c r="AB2265" s="8" t="b">
        <v>0</v>
      </c>
      <c r="AC2265" s="8" t="b">
        <v>0</v>
      </c>
      <c r="AD2265" s="8" t="b">
        <v>1</v>
      </c>
      <c r="AE2265" s="8" t="b">
        <v>0</v>
      </c>
      <c r="AG2265" s="11" t="b" cm="1">
        <f t="array" ref="AG2265">IF(OR(Y2265:AA2265="TRUE", AE2265="true"), "Threatened")</f>
        <v>0</v>
      </c>
      <c r="AH2265" s="11" t="s">
        <v>5681</v>
      </c>
      <c r="AI2265" s="8" t="b">
        <v>1</v>
      </c>
    </row>
    <row r="2266" spans="1:35" ht="31.2">
      <c r="A2266" s="8">
        <v>-73.97052601</v>
      </c>
      <c r="B2266" s="8">
        <v>40.782633369999999</v>
      </c>
      <c r="C2266" s="8" t="s">
        <v>5682</v>
      </c>
      <c r="D2266" s="8" t="s">
        <v>2662</v>
      </c>
      <c r="E2266" s="8" t="b">
        <f t="shared" si="35"/>
        <v>0</v>
      </c>
      <c r="F2266" s="8" t="str" cm="1">
        <f t="array" ref="F2266">_xlfn._xlws.FILTER(E2266:E5464, C2266:C5464= "6D-PM-1020-01", "No Squirrels Found")</f>
        <v>No Squirrels Found</v>
      </c>
      <c r="G2266" s="8" t="s">
        <v>34</v>
      </c>
      <c r="H2266" s="10">
        <v>10132018</v>
      </c>
      <c r="I2266" s="10">
        <v>4</v>
      </c>
      <c r="J2266" s="8" t="s">
        <v>39</v>
      </c>
      <c r="K2266" s="8" t="s">
        <v>40</v>
      </c>
      <c r="L2266" s="8" t="s">
        <v>749</v>
      </c>
      <c r="M2266" s="8" t="s">
        <v>750</v>
      </c>
      <c r="N2266" s="11" t="s">
        <v>5683</v>
      </c>
      <c r="O2266" s="8" t="s">
        <v>50</v>
      </c>
      <c r="P2266" s="8">
        <v>2</v>
      </c>
      <c r="R2266" s="8" t="b">
        <v>0</v>
      </c>
      <c r="S2266" s="8" t="b">
        <v>0</v>
      </c>
      <c r="T2266" s="8" t="b">
        <v>0</v>
      </c>
      <c r="U2266" s="8" t="b">
        <v>1</v>
      </c>
      <c r="V2266" s="8" t="b">
        <v>1</v>
      </c>
      <c r="X2266" s="8" t="b">
        <v>0</v>
      </c>
      <c r="Y2266" s="8" t="b">
        <v>0</v>
      </c>
      <c r="Z2266" s="8" t="b">
        <v>0</v>
      </c>
      <c r="AA2266" s="8" t="b">
        <v>0</v>
      </c>
      <c r="AB2266" s="8" t="b">
        <v>0</v>
      </c>
      <c r="AC2266" s="8" t="b">
        <v>0</v>
      </c>
      <c r="AD2266" s="8" t="b">
        <v>1</v>
      </c>
      <c r="AE2266" s="8" t="b">
        <v>0</v>
      </c>
      <c r="AG2266" s="11" t="b" cm="1">
        <f t="array" ref="AG2266">IF(OR(Y2266:AA2266="TRUE", AE2266="true"), "Threatened")</f>
        <v>0</v>
      </c>
      <c r="AH2266" s="11" t="s">
        <v>5684</v>
      </c>
      <c r="AI2266" s="8" t="b">
        <v>1</v>
      </c>
    </row>
    <row r="2267" spans="1:35" ht="31.2">
      <c r="A2267" s="8">
        <v>-73.971640249999993</v>
      </c>
      <c r="B2267" s="8">
        <v>40.766513379999999</v>
      </c>
      <c r="C2267" s="8" t="s">
        <v>5685</v>
      </c>
      <c r="D2267" s="8" t="s">
        <v>988</v>
      </c>
      <c r="E2267" s="8" t="b">
        <f t="shared" si="35"/>
        <v>0</v>
      </c>
      <c r="F2267" s="8" t="str" cm="1">
        <f t="array" ref="F2267">_xlfn._xlws.FILTER(E2267:E5465, C2267:C5465= "6D-PM-1020-01", "No Squirrels Found")</f>
        <v>No Squirrels Found</v>
      </c>
      <c r="G2267" s="8" t="s">
        <v>34</v>
      </c>
      <c r="H2267" s="10">
        <v>10132018</v>
      </c>
      <c r="I2267" s="10">
        <v>8</v>
      </c>
      <c r="J2267" s="8" t="s">
        <v>39</v>
      </c>
      <c r="K2267" s="8" t="s">
        <v>192</v>
      </c>
      <c r="M2267" s="8" t="s">
        <v>193</v>
      </c>
      <c r="O2267" s="8" t="s">
        <v>50</v>
      </c>
      <c r="P2267" s="8">
        <v>2</v>
      </c>
      <c r="R2267" s="8" t="b">
        <v>0</v>
      </c>
      <c r="S2267" s="8" t="b">
        <v>0</v>
      </c>
      <c r="T2267" s="8" t="b">
        <v>1</v>
      </c>
      <c r="U2267" s="8" t="b">
        <v>0</v>
      </c>
      <c r="V2267" s="8" t="b">
        <v>0</v>
      </c>
      <c r="X2267" s="8" t="b">
        <v>0</v>
      </c>
      <c r="Y2267" s="8" t="b">
        <v>0</v>
      </c>
      <c r="Z2267" s="8" t="b">
        <v>0</v>
      </c>
      <c r="AA2267" s="8" t="b">
        <v>0</v>
      </c>
      <c r="AB2267" s="8" t="b">
        <v>0</v>
      </c>
      <c r="AC2267" s="8" t="b">
        <v>0</v>
      </c>
      <c r="AD2267" s="8" t="b">
        <v>1</v>
      </c>
      <c r="AE2267" s="8" t="b">
        <v>0</v>
      </c>
      <c r="AG2267" s="11" t="b" cm="1">
        <f t="array" ref="AG2267">IF(OR(Y2267:AA2267="TRUE", AE2267="true"), "Threatened")</f>
        <v>0</v>
      </c>
      <c r="AH2267" s="11" t="s">
        <v>5686</v>
      </c>
      <c r="AI2267" s="8" t="b">
        <v>1</v>
      </c>
    </row>
    <row r="2268" spans="1:35" ht="31.2">
      <c r="A2268" s="8">
        <v>-73.972792630000001</v>
      </c>
      <c r="B2268" s="8">
        <v>40.770370560000003</v>
      </c>
      <c r="C2268" s="8" t="s">
        <v>5687</v>
      </c>
      <c r="D2268" s="8" t="s">
        <v>368</v>
      </c>
      <c r="E2268" s="8" t="b">
        <f t="shared" si="35"/>
        <v>0</v>
      </c>
      <c r="F2268" s="8" t="str" cm="1">
        <f t="array" ref="F2268">_xlfn._xlws.FILTER(E2268:E5466, C2268:C5466= "6D-PM-1020-01", "No Squirrels Found")</f>
        <v>No Squirrels Found</v>
      </c>
      <c r="G2268" s="8" t="s">
        <v>48</v>
      </c>
      <c r="H2268" s="10">
        <v>10082018</v>
      </c>
      <c r="I2268" s="10">
        <v>7</v>
      </c>
      <c r="J2268" s="8" t="s">
        <v>39</v>
      </c>
      <c r="K2268" s="8" t="s">
        <v>40</v>
      </c>
      <c r="M2268" s="8" t="s">
        <v>55</v>
      </c>
      <c r="O2268" s="8" t="s">
        <v>50</v>
      </c>
      <c r="P2268" s="8">
        <v>28</v>
      </c>
      <c r="Q2268" s="8" t="s">
        <v>5688</v>
      </c>
      <c r="R2268" s="8" t="b">
        <v>0</v>
      </c>
      <c r="S2268" s="8" t="b">
        <v>0</v>
      </c>
      <c r="T2268" s="8" t="b">
        <v>0</v>
      </c>
      <c r="U2268" s="8" t="b">
        <v>0</v>
      </c>
      <c r="V2268" s="8" t="b">
        <v>0</v>
      </c>
      <c r="W2268" s="11" t="s">
        <v>1665</v>
      </c>
      <c r="X2268" s="8" t="b">
        <v>0</v>
      </c>
      <c r="Y2268" s="8" t="b">
        <v>0</v>
      </c>
      <c r="Z2268" s="8" t="b">
        <v>0</v>
      </c>
      <c r="AA2268" s="8" t="b">
        <v>0</v>
      </c>
      <c r="AB2268" s="8" t="b">
        <v>0</v>
      </c>
      <c r="AC2268" s="8" t="b">
        <v>0</v>
      </c>
      <c r="AD2268" s="8" t="b">
        <v>1</v>
      </c>
      <c r="AE2268" s="8" t="b">
        <v>0</v>
      </c>
      <c r="AG2268" s="11" t="b" cm="1">
        <f t="array" ref="AG2268">IF(OR(Y2268:AA2268="TRUE", AE2268="true"), "Threatened")</f>
        <v>0</v>
      </c>
      <c r="AH2268" s="11" t="s">
        <v>5689</v>
      </c>
      <c r="AI2268" s="8" t="b">
        <v>0</v>
      </c>
    </row>
    <row r="2269" spans="1:35" ht="31.2">
      <c r="A2269" s="8">
        <v>-73.959019170000005</v>
      </c>
      <c r="B2269" s="8">
        <v>40.792613940000003</v>
      </c>
      <c r="C2269" s="8" t="s">
        <v>5690</v>
      </c>
      <c r="D2269" s="8" t="s">
        <v>1173</v>
      </c>
      <c r="E2269" s="8" t="b">
        <f t="shared" si="35"/>
        <v>0</v>
      </c>
      <c r="F2269" s="8" t="str" cm="1">
        <f t="array" ref="F2269">_xlfn._xlws.FILTER(E2269:E5467, C2269:C5467= "6D-PM-1020-01", "No Squirrels Found")</f>
        <v>No Squirrels Found</v>
      </c>
      <c r="G2269" s="8" t="s">
        <v>48</v>
      </c>
      <c r="H2269" s="10">
        <v>10082018</v>
      </c>
      <c r="I2269" s="10">
        <v>3</v>
      </c>
      <c r="J2269" s="8" t="s">
        <v>39</v>
      </c>
      <c r="K2269" s="8" t="s">
        <v>41</v>
      </c>
      <c r="L2269" s="8" t="s">
        <v>84</v>
      </c>
      <c r="M2269" s="8" t="s">
        <v>85</v>
      </c>
      <c r="O2269" s="8" t="s">
        <v>43</v>
      </c>
      <c r="P2269" s="8" t="b">
        <v>0</v>
      </c>
      <c r="R2269" s="8" t="b">
        <v>1</v>
      </c>
      <c r="S2269" s="8" t="b">
        <v>0</v>
      </c>
      <c r="T2269" s="8" t="b">
        <v>0</v>
      </c>
      <c r="U2269" s="8" t="b">
        <v>0</v>
      </c>
      <c r="V2269" s="8" t="b">
        <v>0</v>
      </c>
      <c r="X2269" s="8" t="b">
        <v>0</v>
      </c>
      <c r="Y2269" s="8" t="b">
        <v>0</v>
      </c>
      <c r="Z2269" s="8" t="b">
        <v>0</v>
      </c>
      <c r="AA2269" s="8" t="b">
        <v>0</v>
      </c>
      <c r="AB2269" s="8" t="b">
        <v>0</v>
      </c>
      <c r="AC2269" s="8" t="b">
        <v>0</v>
      </c>
      <c r="AD2269" s="8" t="b">
        <v>1</v>
      </c>
      <c r="AE2269" s="8" t="b">
        <v>0</v>
      </c>
      <c r="AG2269" s="11" t="b" cm="1">
        <f t="array" ref="AG2269">IF(OR(Y2269:AA2269="TRUE", AE2269="true"), "Threatened")</f>
        <v>0</v>
      </c>
      <c r="AH2269" s="11" t="s">
        <v>5691</v>
      </c>
      <c r="AI2269" s="8" t="b">
        <v>1</v>
      </c>
    </row>
    <row r="2270" spans="1:35" ht="31.2">
      <c r="A2270" s="8">
        <v>-73.96955183</v>
      </c>
      <c r="B2270" s="8">
        <v>40.776214600000003</v>
      </c>
      <c r="C2270" s="8" t="s">
        <v>5692</v>
      </c>
      <c r="D2270" s="8" t="s">
        <v>121</v>
      </c>
      <c r="E2270" s="8" t="b">
        <f t="shared" si="35"/>
        <v>0</v>
      </c>
      <c r="F2270" s="8" t="str" cm="1">
        <f t="array" ref="F2270">_xlfn._xlws.FILTER(E2270:E5468, C2270:C5468= "6D-PM-1020-01", "No Squirrels Found")</f>
        <v>No Squirrels Found</v>
      </c>
      <c r="G2270" s="8" t="s">
        <v>48</v>
      </c>
      <c r="H2270" s="10">
        <v>10082018</v>
      </c>
      <c r="I2270" s="10">
        <v>15</v>
      </c>
      <c r="J2270" s="8" t="s">
        <v>39</v>
      </c>
      <c r="K2270" s="8" t="s">
        <v>40</v>
      </c>
      <c r="M2270" s="8" t="s">
        <v>55</v>
      </c>
      <c r="O2270" s="8" t="s">
        <v>43</v>
      </c>
      <c r="P2270" s="8" t="b">
        <v>0</v>
      </c>
      <c r="R2270" s="8" t="b">
        <v>0</v>
      </c>
      <c r="S2270" s="8" t="b">
        <v>0</v>
      </c>
      <c r="T2270" s="8" t="b">
        <v>0</v>
      </c>
      <c r="U2270" s="8" t="b">
        <v>1</v>
      </c>
      <c r="V2270" s="8" t="b">
        <v>1</v>
      </c>
      <c r="W2270" s="11" t="s">
        <v>122</v>
      </c>
      <c r="X2270" s="8" t="b">
        <v>0</v>
      </c>
      <c r="Y2270" s="8" t="b">
        <v>0</v>
      </c>
      <c r="Z2270" s="8" t="b">
        <v>0</v>
      </c>
      <c r="AA2270" s="8" t="b">
        <v>0</v>
      </c>
      <c r="AB2270" s="8" t="b">
        <v>0</v>
      </c>
      <c r="AC2270" s="8" t="b">
        <v>0</v>
      </c>
      <c r="AD2270" s="8" t="b">
        <v>1</v>
      </c>
      <c r="AE2270" s="8" t="b">
        <v>0</v>
      </c>
      <c r="AG2270" s="11" t="b" cm="1">
        <f t="array" ref="AG2270">IF(OR(Y2270:AA2270="TRUE", AE2270="true"), "Threatened")</f>
        <v>0</v>
      </c>
      <c r="AH2270" s="11" t="s">
        <v>5693</v>
      </c>
      <c r="AI2270" s="8" t="b">
        <v>0</v>
      </c>
    </row>
    <row r="2271" spans="1:35" ht="31.2">
      <c r="A2271" s="8">
        <v>-73.970373260000002</v>
      </c>
      <c r="B2271" s="8">
        <v>40.770197940000003</v>
      </c>
      <c r="C2271" s="8" t="s">
        <v>5694</v>
      </c>
      <c r="D2271" s="8" t="s">
        <v>199</v>
      </c>
      <c r="E2271" s="8" t="b">
        <f t="shared" si="35"/>
        <v>0</v>
      </c>
      <c r="F2271" s="8" t="str" cm="1">
        <f t="array" ref="F2271">_xlfn._xlws.FILTER(E2271:E5469, C2271:C5469= "6D-PM-1020-01", "No Squirrels Found")</f>
        <v>No Squirrels Found</v>
      </c>
      <c r="G2271" s="8" t="s">
        <v>34</v>
      </c>
      <c r="H2271" s="10">
        <v>10142018</v>
      </c>
      <c r="I2271" s="10">
        <v>4</v>
      </c>
      <c r="J2271" s="8" t="s">
        <v>39</v>
      </c>
      <c r="K2271" s="8" t="s">
        <v>192</v>
      </c>
      <c r="M2271" s="8" t="s">
        <v>193</v>
      </c>
      <c r="O2271" s="8" t="s">
        <v>43</v>
      </c>
      <c r="P2271" s="8" t="b">
        <v>0</v>
      </c>
      <c r="R2271" s="8" t="b">
        <v>0</v>
      </c>
      <c r="S2271" s="8" t="b">
        <v>0</v>
      </c>
      <c r="T2271" s="8" t="b">
        <v>0</v>
      </c>
      <c r="U2271" s="8" t="b">
        <v>1</v>
      </c>
      <c r="V2271" s="8" t="b">
        <v>0</v>
      </c>
      <c r="X2271" s="8" t="b">
        <v>0</v>
      </c>
      <c r="Y2271" s="8" t="b">
        <v>0</v>
      </c>
      <c r="Z2271" s="8" t="b">
        <v>0</v>
      </c>
      <c r="AA2271" s="8" t="b">
        <v>0</v>
      </c>
      <c r="AB2271" s="8" t="b">
        <v>0</v>
      </c>
      <c r="AC2271" s="8" t="b">
        <v>0</v>
      </c>
      <c r="AD2271" s="8" t="b">
        <v>1</v>
      </c>
      <c r="AE2271" s="8" t="b">
        <v>0</v>
      </c>
      <c r="AG2271" s="11" t="b" cm="1">
        <f t="array" ref="AG2271">IF(OR(Y2271:AA2271="TRUE", AE2271="true"), "Threatened")</f>
        <v>0</v>
      </c>
      <c r="AH2271" s="11" t="s">
        <v>5695</v>
      </c>
      <c r="AI2271" s="8" t="b">
        <v>1</v>
      </c>
    </row>
    <row r="2272" spans="1:35" ht="31.2">
      <c r="A2272" s="8">
        <v>-73.967394949999999</v>
      </c>
      <c r="B2272" s="8">
        <v>40.782621849999998</v>
      </c>
      <c r="C2272" s="8" t="s">
        <v>5696</v>
      </c>
      <c r="D2272" s="8" t="s">
        <v>469</v>
      </c>
      <c r="E2272" s="8" t="b">
        <f t="shared" si="35"/>
        <v>0</v>
      </c>
      <c r="F2272" s="8" t="str" cm="1">
        <f t="array" ref="F2272">_xlfn._xlws.FILTER(E2272:E5470, C2272:C5470= "6D-PM-1020-01", "No Squirrels Found")</f>
        <v>No Squirrels Found</v>
      </c>
      <c r="G2272" s="8" t="s">
        <v>48</v>
      </c>
      <c r="H2272" s="10">
        <v>10082018</v>
      </c>
      <c r="I2272" s="10">
        <v>4</v>
      </c>
      <c r="J2272" s="8" t="s">
        <v>39</v>
      </c>
      <c r="K2272" s="8" t="s">
        <v>40</v>
      </c>
      <c r="L2272" s="8" t="s">
        <v>41</v>
      </c>
      <c r="M2272" s="8" t="s">
        <v>42</v>
      </c>
      <c r="O2272" s="8" t="s">
        <v>43</v>
      </c>
      <c r="P2272" s="8" t="b">
        <v>0</v>
      </c>
      <c r="R2272" s="8" t="b">
        <v>1</v>
      </c>
      <c r="S2272" s="8" t="b">
        <v>0</v>
      </c>
      <c r="T2272" s="8" t="b">
        <v>0</v>
      </c>
      <c r="U2272" s="8" t="b">
        <v>0</v>
      </c>
      <c r="V2272" s="8" t="b">
        <v>0</v>
      </c>
      <c r="X2272" s="8" t="b">
        <v>0</v>
      </c>
      <c r="Y2272" s="8" t="b">
        <v>0</v>
      </c>
      <c r="Z2272" s="8" t="b">
        <v>0</v>
      </c>
      <c r="AA2272" s="8" t="b">
        <v>0</v>
      </c>
      <c r="AB2272" s="8" t="b">
        <v>1</v>
      </c>
      <c r="AC2272" s="8" t="b">
        <v>0</v>
      </c>
      <c r="AD2272" s="8" t="b">
        <v>0</v>
      </c>
      <c r="AE2272" s="8" t="b">
        <v>1</v>
      </c>
      <c r="AG2272" s="11" t="b" cm="1">
        <f t="array" ref="AG2272">IF(OR(Y2272:AA2272="TRUE", AE2272="true"), "Threatened")</f>
        <v>0</v>
      </c>
      <c r="AH2272" s="11" t="s">
        <v>5697</v>
      </c>
      <c r="AI2272" s="8" t="b">
        <v>1</v>
      </c>
    </row>
    <row r="2273" spans="1:35" ht="31.2">
      <c r="A2273" s="8">
        <v>-73.956967090000006</v>
      </c>
      <c r="B2273" s="8">
        <v>40.794879289999997</v>
      </c>
      <c r="C2273" s="8" t="s">
        <v>37</v>
      </c>
      <c r="D2273" s="8" t="s">
        <v>38</v>
      </c>
      <c r="E2273" s="8" t="b">
        <f t="shared" si="35"/>
        <v>0</v>
      </c>
      <c r="F2273" s="8" t="str" cm="1">
        <f t="array" ref="F2273">_xlfn._xlws.FILTER(E2273:E5471, C2273:C5471= "6D-PM-1020-01", "No Squirrels Found")</f>
        <v>No Squirrels Found</v>
      </c>
      <c r="G2273" s="8" t="s">
        <v>34</v>
      </c>
      <c r="H2273" s="10">
        <v>10062018</v>
      </c>
      <c r="I2273" s="10">
        <v>3</v>
      </c>
      <c r="J2273" s="8" t="s">
        <v>39</v>
      </c>
      <c r="K2273" s="8" t="s">
        <v>40</v>
      </c>
      <c r="L2273" s="8" t="s">
        <v>41</v>
      </c>
      <c r="M2273" s="8" t="s">
        <v>42</v>
      </c>
      <c r="O2273" s="8" t="s">
        <v>43</v>
      </c>
      <c r="P2273" s="8" t="b">
        <v>0</v>
      </c>
      <c r="R2273" s="8" t="b">
        <v>1</v>
      </c>
      <c r="S2273" s="8" t="b">
        <v>0</v>
      </c>
      <c r="T2273" s="8" t="b">
        <v>0</v>
      </c>
      <c r="U2273" s="8" t="b">
        <v>0</v>
      </c>
      <c r="V2273" s="8" t="b">
        <v>0</v>
      </c>
      <c r="X2273" s="8" t="b">
        <v>0</v>
      </c>
      <c r="Y2273" s="8" t="b">
        <v>0</v>
      </c>
      <c r="Z2273" s="8" t="b">
        <v>0</v>
      </c>
      <c r="AA2273" s="8" t="b">
        <v>0</v>
      </c>
      <c r="AB2273" s="8" t="b">
        <v>0</v>
      </c>
      <c r="AC2273" s="8" t="b">
        <v>0</v>
      </c>
      <c r="AD2273" s="8" t="b">
        <v>0</v>
      </c>
      <c r="AE2273" s="8" t="b">
        <v>1</v>
      </c>
      <c r="AF2273" s="11" t="s">
        <v>44</v>
      </c>
      <c r="AG2273" s="11" t="b" cm="1">
        <f t="array" ref="AG2273">IF(OR(Y2273:AA2273="TRUE", AE2273="true"), "Threatened")</f>
        <v>0</v>
      </c>
      <c r="AH2273" s="11" t="s">
        <v>5698</v>
      </c>
      <c r="AI2273" s="8" t="b">
        <v>1</v>
      </c>
    </row>
    <row r="2274" spans="1:35" ht="31.2">
      <c r="A2274" s="8">
        <v>-73.967153400000001</v>
      </c>
      <c r="B2274" s="8">
        <v>40.781084980000003</v>
      </c>
      <c r="C2274" s="8" t="s">
        <v>5699</v>
      </c>
      <c r="D2274" s="8" t="s">
        <v>1183</v>
      </c>
      <c r="E2274" s="8" t="b">
        <f t="shared" si="35"/>
        <v>0</v>
      </c>
      <c r="F2274" s="8" t="str" cm="1">
        <f t="array" ref="F2274">_xlfn._xlws.FILTER(E2274:E5472, C2274:C5472= "6D-PM-1020-01", "No Squirrels Found")</f>
        <v>No Squirrels Found</v>
      </c>
      <c r="G2274" s="8" t="s">
        <v>48</v>
      </c>
      <c r="H2274" s="10">
        <v>10072018</v>
      </c>
      <c r="I2274" s="10">
        <v>2</v>
      </c>
      <c r="J2274" s="8" t="s">
        <v>39</v>
      </c>
      <c r="K2274" s="8" t="s">
        <v>40</v>
      </c>
      <c r="M2274" s="8" t="s">
        <v>55</v>
      </c>
      <c r="N2274" s="11" t="s">
        <v>1184</v>
      </c>
      <c r="O2274" s="8" t="s">
        <v>43</v>
      </c>
      <c r="P2274" s="8" t="b">
        <v>0</v>
      </c>
      <c r="R2274" s="8" t="b">
        <v>0</v>
      </c>
      <c r="S2274" s="8" t="b">
        <v>0</v>
      </c>
      <c r="T2274" s="8" t="b">
        <v>0</v>
      </c>
      <c r="U2274" s="8" t="b">
        <v>0</v>
      </c>
      <c r="V2274" s="8" t="b">
        <v>1</v>
      </c>
      <c r="W2274" s="11" t="s">
        <v>5700</v>
      </c>
      <c r="X2274" s="8" t="b">
        <v>0</v>
      </c>
      <c r="Y2274" s="8" t="b">
        <v>0</v>
      </c>
      <c r="Z2274" s="8" t="b">
        <v>0</v>
      </c>
      <c r="AA2274" s="8" t="b">
        <v>0</v>
      </c>
      <c r="AB2274" s="8" t="b">
        <v>1</v>
      </c>
      <c r="AC2274" s="8" t="b">
        <v>0</v>
      </c>
      <c r="AD2274" s="8" t="b">
        <v>0</v>
      </c>
      <c r="AE2274" s="8" t="b">
        <v>0</v>
      </c>
      <c r="AG2274" s="11" t="b" cm="1">
        <f t="array" ref="AG2274">IF(OR(Y2274:AA2274="TRUE", AE2274="true"), "Threatened")</f>
        <v>0</v>
      </c>
      <c r="AH2274" s="11" t="s">
        <v>5701</v>
      </c>
      <c r="AI2274" s="8" t="b">
        <v>0</v>
      </c>
    </row>
    <row r="2275" spans="1:35" ht="31.2">
      <c r="A2275" s="8">
        <v>-73.969804420000003</v>
      </c>
      <c r="B2275" s="8">
        <v>40.769700780000001</v>
      </c>
      <c r="C2275" s="8" t="s">
        <v>5702</v>
      </c>
      <c r="D2275" s="8" t="s">
        <v>1310</v>
      </c>
      <c r="E2275" s="8" t="b">
        <f t="shared" si="35"/>
        <v>0</v>
      </c>
      <c r="F2275" s="8" t="str" cm="1">
        <f t="array" ref="F2275">_xlfn._xlws.FILTER(E2275:E5473, C2275:C5473= "6D-PM-1020-01", "No Squirrels Found")</f>
        <v>No Squirrels Found</v>
      </c>
      <c r="G2275" s="8" t="s">
        <v>34</v>
      </c>
      <c r="H2275" s="10">
        <v>10132018</v>
      </c>
      <c r="I2275" s="10">
        <v>6</v>
      </c>
      <c r="J2275" s="8" t="s">
        <v>39</v>
      </c>
      <c r="K2275" s="8" t="s">
        <v>41</v>
      </c>
      <c r="M2275" s="8" t="s">
        <v>49</v>
      </c>
      <c r="N2275" s="11" t="s">
        <v>1259</v>
      </c>
      <c r="O2275" s="8" t="s">
        <v>43</v>
      </c>
      <c r="P2275" s="8" t="b">
        <v>0</v>
      </c>
      <c r="Q2275" s="8" t="s">
        <v>4636</v>
      </c>
      <c r="R2275" s="8" t="b">
        <v>0</v>
      </c>
      <c r="S2275" s="8" t="b">
        <v>0</v>
      </c>
      <c r="T2275" s="8" t="b">
        <v>0</v>
      </c>
      <c r="U2275" s="8" t="b">
        <v>1</v>
      </c>
      <c r="V2275" s="8" t="b">
        <v>0</v>
      </c>
      <c r="W2275" s="11" t="s">
        <v>5703</v>
      </c>
      <c r="X2275" s="8" t="b">
        <v>0</v>
      </c>
      <c r="Y2275" s="8" t="b">
        <v>0</v>
      </c>
      <c r="Z2275" s="8" t="b">
        <v>0</v>
      </c>
      <c r="AA2275" s="8" t="b">
        <v>0</v>
      </c>
      <c r="AB2275" s="8" t="b">
        <v>1</v>
      </c>
      <c r="AC2275" s="8" t="b">
        <v>0</v>
      </c>
      <c r="AD2275" s="8" t="b">
        <v>0</v>
      </c>
      <c r="AE2275" s="8" t="b">
        <v>1</v>
      </c>
      <c r="AG2275" s="11" t="b" cm="1">
        <f t="array" ref="AG2275">IF(OR(Y2275:AA2275="TRUE", AE2275="true"), "Threatened")</f>
        <v>0</v>
      </c>
      <c r="AH2275" s="11" t="s">
        <v>5704</v>
      </c>
      <c r="AI2275" s="8" t="b">
        <v>0</v>
      </c>
    </row>
    <row r="2276" spans="1:35" ht="31.2">
      <c r="A2276" s="8">
        <v>-73.96142184</v>
      </c>
      <c r="B2276" s="8">
        <v>40.793894510000001</v>
      </c>
      <c r="C2276" s="8" t="s">
        <v>5705</v>
      </c>
      <c r="D2276" s="8" t="s">
        <v>2398</v>
      </c>
      <c r="E2276" s="8" t="b">
        <f t="shared" si="35"/>
        <v>0</v>
      </c>
      <c r="F2276" s="8" t="str" cm="1">
        <f t="array" ref="F2276">_xlfn._xlws.FILTER(E2276:E5474, C2276:C5474= "6D-PM-1020-01", "No Squirrels Found")</f>
        <v>No Squirrels Found</v>
      </c>
      <c r="G2276" s="8" t="s">
        <v>48</v>
      </c>
      <c r="H2276" s="10">
        <v>10132018</v>
      </c>
      <c r="I2276" s="10">
        <v>1</v>
      </c>
      <c r="J2276" s="8" t="s">
        <v>39</v>
      </c>
      <c r="K2276" s="8" t="s">
        <v>40</v>
      </c>
      <c r="L2276" s="8" t="s">
        <v>41</v>
      </c>
      <c r="M2276" s="8" t="s">
        <v>42</v>
      </c>
      <c r="O2276" s="8" t="s">
        <v>43</v>
      </c>
      <c r="P2276" s="8" t="b">
        <v>0</v>
      </c>
      <c r="R2276" s="8" t="b">
        <v>1</v>
      </c>
      <c r="S2276" s="8" t="b">
        <v>0</v>
      </c>
      <c r="T2276" s="8" t="b">
        <v>0</v>
      </c>
      <c r="U2276" s="8" t="b">
        <v>0</v>
      </c>
      <c r="V2276" s="8" t="b">
        <v>1</v>
      </c>
      <c r="W2276" s="11" t="s">
        <v>2134</v>
      </c>
      <c r="X2276" s="8" t="b">
        <v>0</v>
      </c>
      <c r="Y2276" s="8" t="b">
        <v>0</v>
      </c>
      <c r="Z2276" s="8" t="b">
        <v>0</v>
      </c>
      <c r="AA2276" s="8" t="b">
        <v>0</v>
      </c>
      <c r="AB2276" s="8" t="b">
        <v>1</v>
      </c>
      <c r="AC2276" s="8" t="b">
        <v>1</v>
      </c>
      <c r="AD2276" s="8" t="b">
        <v>0</v>
      </c>
      <c r="AE2276" s="8" t="b">
        <v>0</v>
      </c>
      <c r="AG2276" s="11" t="b" cm="1">
        <f t="array" ref="AG2276">IF(OR(Y2276:AA2276="TRUE", AE2276="true"), "Threatened")</f>
        <v>0</v>
      </c>
      <c r="AH2276" s="11" t="s">
        <v>5706</v>
      </c>
      <c r="AI2276" s="8" t="b">
        <v>0</v>
      </c>
    </row>
    <row r="2277" spans="1:35" ht="31.2">
      <c r="A2277" s="8">
        <v>-73.961198580000001</v>
      </c>
      <c r="B2277" s="8">
        <v>40.791604820000003</v>
      </c>
      <c r="C2277" s="8" t="s">
        <v>5707</v>
      </c>
      <c r="D2277" s="8" t="s">
        <v>616</v>
      </c>
      <c r="E2277" s="8" t="b">
        <f t="shared" si="35"/>
        <v>0</v>
      </c>
      <c r="F2277" s="8" t="str" cm="1">
        <f t="array" ref="F2277">_xlfn._xlws.FILTER(E2277:E5475, C2277:C5475= "6D-PM-1020-01", "No Squirrels Found")</f>
        <v>No Squirrels Found</v>
      </c>
      <c r="G2277" s="8" t="s">
        <v>48</v>
      </c>
      <c r="H2277" s="10">
        <v>10142018</v>
      </c>
      <c r="I2277" s="10">
        <v>6</v>
      </c>
      <c r="J2277" s="8" t="s">
        <v>39</v>
      </c>
      <c r="K2277" s="8" t="s">
        <v>40</v>
      </c>
      <c r="L2277" s="8" t="s">
        <v>41</v>
      </c>
      <c r="M2277" s="8" t="s">
        <v>42</v>
      </c>
      <c r="O2277" s="8" t="s">
        <v>43</v>
      </c>
      <c r="P2277" s="8" t="b">
        <v>0</v>
      </c>
      <c r="R2277" s="8" t="b">
        <v>1</v>
      </c>
      <c r="S2277" s="8" t="b">
        <v>0</v>
      </c>
      <c r="T2277" s="8" t="b">
        <v>0</v>
      </c>
      <c r="U2277" s="8" t="b">
        <v>0</v>
      </c>
      <c r="V2277" s="8" t="b">
        <v>1</v>
      </c>
      <c r="X2277" s="8" t="b">
        <v>0</v>
      </c>
      <c r="Y2277" s="8" t="b">
        <v>0</v>
      </c>
      <c r="Z2277" s="8" t="b">
        <v>0</v>
      </c>
      <c r="AA2277" s="8" t="b">
        <v>0</v>
      </c>
      <c r="AB2277" s="8" t="b">
        <v>0</v>
      </c>
      <c r="AC2277" s="8" t="b">
        <v>0</v>
      </c>
      <c r="AD2277" s="8" t="b">
        <v>0</v>
      </c>
      <c r="AE2277" s="8" t="b">
        <v>1</v>
      </c>
      <c r="AG2277" s="11" t="b" cm="1">
        <f t="array" ref="AG2277">IF(OR(Y2277:AA2277="TRUE", AE2277="true"), "Threatened")</f>
        <v>0</v>
      </c>
      <c r="AH2277" s="11" t="s">
        <v>5708</v>
      </c>
      <c r="AI2277" s="8" t="b">
        <v>1</v>
      </c>
    </row>
    <row r="2278" spans="1:35" ht="31.2">
      <c r="A2278" s="8">
        <v>-73.953851209999996</v>
      </c>
      <c r="B2278" s="8">
        <v>40.798125769999999</v>
      </c>
      <c r="C2278" s="8" t="s">
        <v>5709</v>
      </c>
      <c r="D2278" s="8" t="s">
        <v>332</v>
      </c>
      <c r="E2278" s="8" t="b">
        <f t="shared" si="35"/>
        <v>0</v>
      </c>
      <c r="F2278" s="8" t="str" cm="1">
        <f t="array" ref="F2278">_xlfn._xlws.FILTER(E2278:E5476, C2278:C5476= "6D-PM-1020-01", "No Squirrels Found")</f>
        <v>No Squirrels Found</v>
      </c>
      <c r="G2278" s="8" t="s">
        <v>34</v>
      </c>
      <c r="H2278" s="10">
        <v>10122018</v>
      </c>
      <c r="I2278" s="10">
        <v>4</v>
      </c>
      <c r="J2278" s="8" t="s">
        <v>39</v>
      </c>
      <c r="K2278" s="8" t="s">
        <v>40</v>
      </c>
      <c r="L2278" s="8" t="s">
        <v>84</v>
      </c>
      <c r="M2278" s="8" t="s">
        <v>103</v>
      </c>
      <c r="O2278" s="8" t="s">
        <v>43</v>
      </c>
      <c r="P2278" s="8" t="b">
        <v>0</v>
      </c>
      <c r="R2278" s="8" t="b">
        <v>0</v>
      </c>
      <c r="S2278" s="8" t="b">
        <v>0</v>
      </c>
      <c r="T2278" s="8" t="b">
        <v>0</v>
      </c>
      <c r="U2278" s="8" t="b">
        <v>1</v>
      </c>
      <c r="V2278" s="8" t="b">
        <v>1</v>
      </c>
      <c r="X2278" s="8" t="b">
        <v>0</v>
      </c>
      <c r="Y2278" s="8" t="b">
        <v>0</v>
      </c>
      <c r="Z2278" s="8" t="b">
        <v>0</v>
      </c>
      <c r="AA2278" s="8" t="b">
        <v>0</v>
      </c>
      <c r="AB2278" s="8" t="b">
        <v>0</v>
      </c>
      <c r="AC2278" s="8" t="b">
        <v>0</v>
      </c>
      <c r="AD2278" s="8" t="b">
        <v>1</v>
      </c>
      <c r="AE2278" s="8" t="b">
        <v>0</v>
      </c>
      <c r="AG2278" s="11" t="b" cm="1">
        <f t="array" ref="AG2278">IF(OR(Y2278:AA2278="TRUE", AE2278="true"), "Threatened")</f>
        <v>0</v>
      </c>
      <c r="AH2278" s="11" t="s">
        <v>5710</v>
      </c>
      <c r="AI2278" s="8" t="b">
        <v>1</v>
      </c>
    </row>
    <row r="2279" spans="1:35" ht="31.2">
      <c r="A2279" s="8">
        <v>-73.964539029999997</v>
      </c>
      <c r="B2279" s="8">
        <v>40.780991630000003</v>
      </c>
      <c r="C2279" s="8" t="s">
        <v>5711</v>
      </c>
      <c r="D2279" s="8" t="s">
        <v>2206</v>
      </c>
      <c r="E2279" s="8" t="b">
        <f t="shared" si="35"/>
        <v>0</v>
      </c>
      <c r="F2279" s="8" t="str" cm="1">
        <f t="array" ref="F2279">_xlfn._xlws.FILTER(E2279:E5477, C2279:C5477= "6D-PM-1020-01", "No Squirrels Found")</f>
        <v>No Squirrels Found</v>
      </c>
      <c r="G2279" s="8" t="s">
        <v>34</v>
      </c>
      <c r="H2279" s="10">
        <v>10132018</v>
      </c>
      <c r="I2279" s="10">
        <v>1</v>
      </c>
      <c r="J2279" s="8" t="s">
        <v>39</v>
      </c>
      <c r="K2279" s="8" t="s">
        <v>41</v>
      </c>
      <c r="L2279" s="8" t="s">
        <v>84</v>
      </c>
      <c r="M2279" s="8" t="s">
        <v>85</v>
      </c>
      <c r="O2279" s="8" t="s">
        <v>43</v>
      </c>
      <c r="P2279" s="8" t="b">
        <v>0</v>
      </c>
      <c r="R2279" s="8" t="b">
        <v>1</v>
      </c>
      <c r="S2279" s="8" t="b">
        <v>0</v>
      </c>
      <c r="T2279" s="8" t="b">
        <v>0</v>
      </c>
      <c r="U2279" s="8" t="b">
        <v>0</v>
      </c>
      <c r="V2279" s="8" t="b">
        <v>1</v>
      </c>
      <c r="X2279" s="8" t="b">
        <v>0</v>
      </c>
      <c r="Y2279" s="8" t="b">
        <v>0</v>
      </c>
      <c r="Z2279" s="8" t="b">
        <v>0</v>
      </c>
      <c r="AA2279" s="8" t="b">
        <v>0</v>
      </c>
      <c r="AB2279" s="8" t="b">
        <v>1</v>
      </c>
      <c r="AC2279" s="8" t="b">
        <v>0</v>
      </c>
      <c r="AD2279" s="8" t="b">
        <v>0</v>
      </c>
      <c r="AE2279" s="8" t="b">
        <v>1</v>
      </c>
      <c r="AG2279" s="11" t="b" cm="1">
        <f t="array" ref="AG2279">IF(OR(Y2279:AA2279="TRUE", AE2279="true"), "Threatened")</f>
        <v>0</v>
      </c>
      <c r="AH2279" s="11" t="s">
        <v>5712</v>
      </c>
      <c r="AI2279" s="8" t="b">
        <v>1</v>
      </c>
    </row>
    <row r="2280" spans="1:35" ht="31.2">
      <c r="A2280" s="8">
        <v>-73.958608589999997</v>
      </c>
      <c r="B2280" s="8">
        <v>40.799032680000003</v>
      </c>
      <c r="C2280" s="8" t="s">
        <v>5713</v>
      </c>
      <c r="D2280" s="8" t="s">
        <v>458</v>
      </c>
      <c r="E2280" s="8" t="b">
        <f t="shared" si="35"/>
        <v>0</v>
      </c>
      <c r="F2280" s="8" t="str" cm="1">
        <f t="array" ref="F2280">_xlfn._xlws.FILTER(E2280:E5478, C2280:C5478= "6D-PM-1020-01", "No Squirrels Found")</f>
        <v>No Squirrels Found</v>
      </c>
      <c r="G2280" s="8" t="s">
        <v>34</v>
      </c>
      <c r="H2280" s="10">
        <v>10142018</v>
      </c>
      <c r="I2280" s="10">
        <v>4</v>
      </c>
      <c r="J2280" s="8" t="s">
        <v>39</v>
      </c>
      <c r="K2280" s="8" t="s">
        <v>40</v>
      </c>
      <c r="M2280" s="8" t="s">
        <v>55</v>
      </c>
      <c r="O2280" s="8" t="s">
        <v>43</v>
      </c>
      <c r="P2280" s="8" t="b">
        <v>0</v>
      </c>
      <c r="R2280" s="8" t="b">
        <v>1</v>
      </c>
      <c r="S2280" s="8" t="b">
        <v>0</v>
      </c>
      <c r="T2280" s="8" t="b">
        <v>0</v>
      </c>
      <c r="U2280" s="8" t="b">
        <v>0</v>
      </c>
      <c r="V2280" s="8" t="b">
        <v>0</v>
      </c>
      <c r="X2280" s="8" t="b">
        <v>0</v>
      </c>
      <c r="Y2280" s="8" t="b">
        <v>0</v>
      </c>
      <c r="Z2280" s="8" t="b">
        <v>0</v>
      </c>
      <c r="AA2280" s="8" t="b">
        <v>0</v>
      </c>
      <c r="AB2280" s="8" t="b">
        <v>0</v>
      </c>
      <c r="AC2280" s="8" t="b">
        <v>0</v>
      </c>
      <c r="AD2280" s="8" t="b">
        <v>0</v>
      </c>
      <c r="AE2280" s="8" t="b">
        <v>1</v>
      </c>
      <c r="AF2280" s="11" t="s">
        <v>5714</v>
      </c>
      <c r="AG2280" s="11" t="b" cm="1">
        <f t="array" ref="AG2280">IF(OR(Y2280:AA2280="TRUE", AE2280="true"), "Threatened")</f>
        <v>0</v>
      </c>
      <c r="AH2280" s="11" t="s">
        <v>5715</v>
      </c>
      <c r="AI2280" s="8" t="b">
        <v>1</v>
      </c>
    </row>
    <row r="2281" spans="1:35" ht="31.2">
      <c r="A2281" s="8">
        <v>-73.976714360000003</v>
      </c>
      <c r="B2281" s="8">
        <v>40.768475690000002</v>
      </c>
      <c r="C2281" s="8" t="s">
        <v>5716</v>
      </c>
      <c r="D2281" s="8" t="s">
        <v>512</v>
      </c>
      <c r="E2281" s="8" t="b">
        <f t="shared" si="35"/>
        <v>0</v>
      </c>
      <c r="F2281" s="8" t="str" cm="1">
        <f t="array" ref="F2281">_xlfn._xlws.FILTER(E2281:E5479, C2281:C5479= "6D-PM-1020-01", "No Squirrels Found")</f>
        <v>No Squirrels Found</v>
      </c>
      <c r="G2281" s="8" t="s">
        <v>48</v>
      </c>
      <c r="H2281" s="10">
        <v>10062018</v>
      </c>
      <c r="I2281" s="10">
        <v>2</v>
      </c>
      <c r="J2281" s="8" t="s">
        <v>39</v>
      </c>
      <c r="K2281" s="8" t="s">
        <v>41</v>
      </c>
      <c r="L2281" s="8" t="s">
        <v>40</v>
      </c>
      <c r="M2281" s="8" t="s">
        <v>110</v>
      </c>
      <c r="O2281" s="8" t="s">
        <v>50</v>
      </c>
      <c r="P2281" s="8">
        <v>25</v>
      </c>
      <c r="Q2281" s="8" t="s">
        <v>206</v>
      </c>
      <c r="R2281" s="8" t="b">
        <v>1</v>
      </c>
      <c r="S2281" s="8" t="b">
        <v>0</v>
      </c>
      <c r="T2281" s="8" t="b">
        <v>1</v>
      </c>
      <c r="U2281" s="8" t="b">
        <v>0</v>
      </c>
      <c r="V2281" s="8" t="b">
        <v>0</v>
      </c>
      <c r="X2281" s="8" t="b">
        <v>0</v>
      </c>
      <c r="Y2281" s="8" t="b">
        <v>0</v>
      </c>
      <c r="Z2281" s="8" t="b">
        <v>0</v>
      </c>
      <c r="AA2281" s="8" t="b">
        <v>0</v>
      </c>
      <c r="AB2281" s="8" t="b">
        <v>0</v>
      </c>
      <c r="AC2281" s="8" t="b">
        <v>0</v>
      </c>
      <c r="AD2281" s="8" t="b">
        <v>1</v>
      </c>
      <c r="AE2281" s="8" t="b">
        <v>0</v>
      </c>
      <c r="AG2281" s="11" t="b" cm="1">
        <f t="array" ref="AG2281">IF(OR(Y2281:AA2281="TRUE", AE2281="true"), "Threatened")</f>
        <v>0</v>
      </c>
      <c r="AH2281" s="11" t="s">
        <v>5717</v>
      </c>
      <c r="AI2281" s="8" t="b">
        <v>1</v>
      </c>
    </row>
    <row r="2282" spans="1:35" ht="31.2">
      <c r="A2282" s="8">
        <v>-73.969152080000001</v>
      </c>
      <c r="B2282" s="8">
        <v>40.771710400000003</v>
      </c>
      <c r="C2282" s="8" t="s">
        <v>5718</v>
      </c>
      <c r="D2282" s="8" t="s">
        <v>1254</v>
      </c>
      <c r="E2282" s="8" t="b">
        <f t="shared" si="35"/>
        <v>0</v>
      </c>
      <c r="F2282" s="8" t="str" cm="1">
        <f t="array" ref="F2282">_xlfn._xlws.FILTER(E2282:E5480, C2282:C5480= "6D-PM-1020-01", "No Squirrels Found")</f>
        <v>No Squirrels Found</v>
      </c>
      <c r="G2282" s="8" t="s">
        <v>48</v>
      </c>
      <c r="H2282" s="10">
        <v>10142018</v>
      </c>
      <c r="I2282" s="10">
        <v>6</v>
      </c>
      <c r="K2282" s="8" t="s">
        <v>41</v>
      </c>
      <c r="M2282" s="8" t="s">
        <v>49</v>
      </c>
      <c r="O2282" s="8" t="s">
        <v>43</v>
      </c>
      <c r="P2282" s="8" t="b">
        <v>0</v>
      </c>
      <c r="R2282" s="8" t="b">
        <v>0</v>
      </c>
      <c r="S2282" s="8" t="b">
        <v>0</v>
      </c>
      <c r="T2282" s="8" t="b">
        <v>0</v>
      </c>
      <c r="U2282" s="8" t="b">
        <v>0</v>
      </c>
      <c r="V2282" s="8" t="b">
        <v>1</v>
      </c>
      <c r="X2282" s="8" t="b">
        <v>0</v>
      </c>
      <c r="Y2282" s="8" t="b">
        <v>0</v>
      </c>
      <c r="Z2282" s="8" t="b">
        <v>0</v>
      </c>
      <c r="AA2282" s="8" t="b">
        <v>0</v>
      </c>
      <c r="AB2282" s="8" t="b">
        <v>0</v>
      </c>
      <c r="AC2282" s="8" t="b">
        <v>0</v>
      </c>
      <c r="AD2282" s="8" t="b">
        <v>0</v>
      </c>
      <c r="AE2282" s="8" t="b">
        <v>0</v>
      </c>
      <c r="AG2282" s="11" t="b" cm="1">
        <f t="array" ref="AG2282">IF(OR(Y2282:AA2282="TRUE", AE2282="true"), "Threatened")</f>
        <v>0</v>
      </c>
      <c r="AH2282" s="11" t="s">
        <v>5719</v>
      </c>
      <c r="AI2282" s="8" t="b">
        <v>1</v>
      </c>
    </row>
    <row r="2283" spans="1:35" ht="31.2">
      <c r="A2283" s="8">
        <v>-73.972205650000006</v>
      </c>
      <c r="B2283" s="8">
        <v>40.780511179999998</v>
      </c>
      <c r="C2283" s="8" t="s">
        <v>5720</v>
      </c>
      <c r="D2283" s="8" t="s">
        <v>1885</v>
      </c>
      <c r="E2283" s="8" t="b">
        <f t="shared" si="35"/>
        <v>0</v>
      </c>
      <c r="F2283" s="8" t="str" cm="1">
        <f t="array" ref="F2283">_xlfn._xlws.FILTER(E2283:E5481, C2283:C5481= "6D-PM-1020-01", "No Squirrels Found")</f>
        <v>No Squirrels Found</v>
      </c>
      <c r="G2283" s="8" t="s">
        <v>34</v>
      </c>
      <c r="H2283" s="10">
        <v>10132018</v>
      </c>
      <c r="I2283" s="10">
        <v>3</v>
      </c>
      <c r="J2283" s="8" t="s">
        <v>39</v>
      </c>
      <c r="K2283" s="8" t="s">
        <v>40</v>
      </c>
      <c r="M2283" s="8" t="s">
        <v>55</v>
      </c>
      <c r="O2283" s="8" t="s">
        <v>50</v>
      </c>
      <c r="P2283" s="8">
        <v>15</v>
      </c>
      <c r="Q2283" s="8" t="s">
        <v>206</v>
      </c>
      <c r="R2283" s="8" t="b">
        <v>0</v>
      </c>
      <c r="S2283" s="8" t="b">
        <v>0</v>
      </c>
      <c r="T2283" s="8" t="b">
        <v>0</v>
      </c>
      <c r="U2283" s="8" t="b">
        <v>0</v>
      </c>
      <c r="V2283" s="8" t="b">
        <v>0</v>
      </c>
      <c r="W2283" s="11" t="s">
        <v>5721</v>
      </c>
      <c r="X2283" s="8" t="b">
        <v>0</v>
      </c>
      <c r="Y2283" s="8" t="b">
        <v>0</v>
      </c>
      <c r="Z2283" s="8" t="b">
        <v>0</v>
      </c>
      <c r="AA2283" s="8" t="b">
        <v>0</v>
      </c>
      <c r="AB2283" s="8" t="b">
        <v>0</v>
      </c>
      <c r="AC2283" s="8" t="b">
        <v>0</v>
      </c>
      <c r="AD2283" s="8" t="b">
        <v>1</v>
      </c>
      <c r="AE2283" s="8" t="b">
        <v>0</v>
      </c>
      <c r="AG2283" s="11" t="b" cm="1">
        <f t="array" ref="AG2283">IF(OR(Y2283:AA2283="TRUE", AE2283="true"), "Threatened")</f>
        <v>0</v>
      </c>
      <c r="AH2283" s="11" t="s">
        <v>5722</v>
      </c>
      <c r="AI2283" s="8" t="b">
        <v>0</v>
      </c>
    </row>
    <row r="2284" spans="1:35" ht="31.2">
      <c r="A2284" s="8">
        <v>-73.962898280000005</v>
      </c>
      <c r="B2284" s="8">
        <v>40.788430480000002</v>
      </c>
      <c r="C2284" s="8" t="s">
        <v>5723</v>
      </c>
      <c r="D2284" s="8" t="s">
        <v>1052</v>
      </c>
      <c r="E2284" s="8" t="b">
        <f t="shared" si="35"/>
        <v>0</v>
      </c>
      <c r="F2284" s="8" t="str" cm="1">
        <f t="array" ref="F2284">_xlfn._xlws.FILTER(E2284:E5482, C2284:C5482= "6D-PM-1020-01", "No Squirrels Found")</f>
        <v>No Squirrels Found</v>
      </c>
      <c r="G2284" s="8" t="s">
        <v>34</v>
      </c>
      <c r="H2284" s="10">
        <v>10192018</v>
      </c>
      <c r="I2284" s="10">
        <v>1</v>
      </c>
      <c r="J2284" s="8" t="s">
        <v>39</v>
      </c>
      <c r="K2284" s="8" t="s">
        <v>40</v>
      </c>
      <c r="L2284" s="8" t="s">
        <v>84</v>
      </c>
      <c r="M2284" s="8" t="s">
        <v>103</v>
      </c>
      <c r="O2284" s="8" t="s">
        <v>43</v>
      </c>
      <c r="P2284" s="8" t="b">
        <v>0</v>
      </c>
      <c r="R2284" s="8" t="b">
        <v>0</v>
      </c>
      <c r="S2284" s="8" t="b">
        <v>0</v>
      </c>
      <c r="T2284" s="8" t="b">
        <v>0</v>
      </c>
      <c r="U2284" s="8" t="b">
        <v>0</v>
      </c>
      <c r="V2284" s="8" t="b">
        <v>1</v>
      </c>
      <c r="X2284" s="8" t="b">
        <v>0</v>
      </c>
      <c r="Y2284" s="8" t="b">
        <v>0</v>
      </c>
      <c r="Z2284" s="8" t="b">
        <v>0</v>
      </c>
      <c r="AA2284" s="8" t="b">
        <v>0</v>
      </c>
      <c r="AB2284" s="8" t="b">
        <v>0</v>
      </c>
      <c r="AC2284" s="8" t="b">
        <v>0</v>
      </c>
      <c r="AD2284" s="8" t="b">
        <v>1</v>
      </c>
      <c r="AE2284" s="8" t="b">
        <v>0</v>
      </c>
      <c r="AG2284" s="11" t="b" cm="1">
        <f t="array" ref="AG2284">IF(OR(Y2284:AA2284="TRUE", AE2284="true"), "Threatened")</f>
        <v>0</v>
      </c>
      <c r="AH2284" s="11" t="s">
        <v>5724</v>
      </c>
      <c r="AI2284" s="8" t="b">
        <v>1</v>
      </c>
    </row>
    <row r="2285" spans="1:35" ht="31.2">
      <c r="A2285" s="8">
        <v>-73.97301813</v>
      </c>
      <c r="B2285" s="8">
        <v>40.779460129999997</v>
      </c>
      <c r="C2285" s="8" t="s">
        <v>5725</v>
      </c>
      <c r="D2285" s="8" t="s">
        <v>1106</v>
      </c>
      <c r="E2285" s="8" t="b">
        <f t="shared" si="35"/>
        <v>0</v>
      </c>
      <c r="F2285" s="8" t="str" cm="1">
        <f t="array" ref="F2285">_xlfn._xlws.FILTER(E2285:E5483, C2285:C5483= "6D-PM-1020-01", "No Squirrels Found")</f>
        <v>No Squirrels Found</v>
      </c>
      <c r="G2285" s="8" t="s">
        <v>48</v>
      </c>
      <c r="H2285" s="10">
        <v>10132018</v>
      </c>
      <c r="I2285" s="10">
        <v>2</v>
      </c>
      <c r="J2285" s="8" t="s">
        <v>39</v>
      </c>
      <c r="K2285" s="8" t="s">
        <v>192</v>
      </c>
      <c r="M2285" s="8" t="s">
        <v>193</v>
      </c>
      <c r="O2285" s="8" t="s">
        <v>50</v>
      </c>
      <c r="R2285" s="8" t="b">
        <v>0</v>
      </c>
      <c r="S2285" s="8" t="b">
        <v>0</v>
      </c>
      <c r="T2285" s="8" t="b">
        <v>0</v>
      </c>
      <c r="U2285" s="8" t="b">
        <v>0</v>
      </c>
      <c r="V2285" s="8" t="b">
        <v>1</v>
      </c>
      <c r="X2285" s="8" t="b">
        <v>0</v>
      </c>
      <c r="Y2285" s="8" t="b">
        <v>0</v>
      </c>
      <c r="Z2285" s="8" t="b">
        <v>0</v>
      </c>
      <c r="AA2285" s="8" t="b">
        <v>0</v>
      </c>
      <c r="AB2285" s="8" t="b">
        <v>0</v>
      </c>
      <c r="AC2285" s="8" t="b">
        <v>1</v>
      </c>
      <c r="AD2285" s="8" t="b">
        <v>0</v>
      </c>
      <c r="AE2285" s="8" t="b">
        <v>0</v>
      </c>
      <c r="AG2285" s="11" t="b" cm="1">
        <f t="array" ref="AG2285">IF(OR(Y2285:AA2285="TRUE", AE2285="true"), "Threatened")</f>
        <v>0</v>
      </c>
      <c r="AH2285" s="11" t="s">
        <v>5726</v>
      </c>
      <c r="AI2285" s="8" t="b">
        <v>1</v>
      </c>
    </row>
    <row r="2286" spans="1:35" ht="31.2">
      <c r="A2286" s="8">
        <v>-73.957632509999996</v>
      </c>
      <c r="B2286" s="8">
        <v>40.798844870000003</v>
      </c>
      <c r="C2286" s="8" t="s">
        <v>5727</v>
      </c>
      <c r="D2286" s="8" t="s">
        <v>382</v>
      </c>
      <c r="E2286" s="8" t="b">
        <f t="shared" si="35"/>
        <v>0</v>
      </c>
      <c r="F2286" s="8" t="str" cm="1">
        <f t="array" ref="F2286">_xlfn._xlws.FILTER(E2286:E5484, C2286:C5484= "6D-PM-1020-01", "No Squirrels Found")</f>
        <v>No Squirrels Found</v>
      </c>
      <c r="G2286" s="8" t="s">
        <v>48</v>
      </c>
      <c r="H2286" s="10">
        <v>10102018</v>
      </c>
      <c r="I2286" s="10">
        <v>4</v>
      </c>
      <c r="J2286" s="8" t="s">
        <v>39</v>
      </c>
      <c r="K2286" s="8" t="s">
        <v>40</v>
      </c>
      <c r="L2286" s="8" t="s">
        <v>117</v>
      </c>
      <c r="M2286" s="8" t="s">
        <v>118</v>
      </c>
      <c r="O2286" s="8" t="s">
        <v>43</v>
      </c>
      <c r="P2286" s="8" t="b">
        <v>0</v>
      </c>
      <c r="R2286" s="8" t="b">
        <v>0</v>
      </c>
      <c r="S2286" s="8" t="b">
        <v>0</v>
      </c>
      <c r="T2286" s="8" t="b">
        <v>0</v>
      </c>
      <c r="U2286" s="8" t="b">
        <v>0</v>
      </c>
      <c r="V2286" s="8" t="b">
        <v>1</v>
      </c>
      <c r="X2286" s="8" t="b">
        <v>0</v>
      </c>
      <c r="Y2286" s="8" t="b">
        <v>0</v>
      </c>
      <c r="Z2286" s="8" t="b">
        <v>0</v>
      </c>
      <c r="AA2286" s="8" t="b">
        <v>0</v>
      </c>
      <c r="AB2286" s="8" t="b">
        <v>0</v>
      </c>
      <c r="AC2286" s="8" t="b">
        <v>0</v>
      </c>
      <c r="AD2286" s="8" t="b">
        <v>0</v>
      </c>
      <c r="AE2286" s="8" t="b">
        <v>0</v>
      </c>
      <c r="AG2286" s="11" t="b" cm="1">
        <f t="array" ref="AG2286">IF(OR(Y2286:AA2286="TRUE", AE2286="true"), "Threatened")</f>
        <v>0</v>
      </c>
      <c r="AH2286" s="11" t="s">
        <v>5728</v>
      </c>
      <c r="AI2286" s="8" t="b">
        <v>1</v>
      </c>
    </row>
    <row r="2287" spans="1:35" ht="31.2">
      <c r="A2287" s="8">
        <v>-73.955441570000005</v>
      </c>
      <c r="B2287" s="8">
        <v>40.798420139999998</v>
      </c>
      <c r="C2287" s="8" t="s">
        <v>5729</v>
      </c>
      <c r="D2287" s="8" t="s">
        <v>353</v>
      </c>
      <c r="E2287" s="8" t="b">
        <f t="shared" si="35"/>
        <v>0</v>
      </c>
      <c r="F2287" s="8" t="str" cm="1">
        <f t="array" ref="F2287">_xlfn._xlws.FILTER(E2287:E5485, C2287:C5485= "6D-PM-1020-01", "No Squirrels Found")</f>
        <v>No Squirrels Found</v>
      </c>
      <c r="G2287" s="8" t="s">
        <v>48</v>
      </c>
      <c r="H2287" s="10">
        <v>10142018</v>
      </c>
      <c r="I2287" s="10">
        <v>3</v>
      </c>
      <c r="J2287" s="8" t="s">
        <v>39</v>
      </c>
      <c r="K2287" s="8" t="s">
        <v>40</v>
      </c>
      <c r="L2287" s="8" t="s">
        <v>1924</v>
      </c>
      <c r="M2287" s="8" t="s">
        <v>1925</v>
      </c>
      <c r="O2287" s="8" t="s">
        <v>43</v>
      </c>
      <c r="P2287" s="8" t="b">
        <v>0</v>
      </c>
      <c r="R2287" s="8" t="b">
        <v>0</v>
      </c>
      <c r="S2287" s="8" t="b">
        <v>0</v>
      </c>
      <c r="T2287" s="8" t="b">
        <v>0</v>
      </c>
      <c r="U2287" s="8" t="b">
        <v>0</v>
      </c>
      <c r="V2287" s="8" t="b">
        <v>1</v>
      </c>
      <c r="X2287" s="8" t="b">
        <v>0</v>
      </c>
      <c r="Y2287" s="8" t="b">
        <v>0</v>
      </c>
      <c r="Z2287" s="8" t="b">
        <v>0</v>
      </c>
      <c r="AA2287" s="8" t="b">
        <v>0</v>
      </c>
      <c r="AB2287" s="8" t="b">
        <v>0</v>
      </c>
      <c r="AC2287" s="8" t="b">
        <v>0</v>
      </c>
      <c r="AD2287" s="8" t="b">
        <v>1</v>
      </c>
      <c r="AE2287" s="8" t="b">
        <v>0</v>
      </c>
      <c r="AG2287" s="11" t="b" cm="1">
        <f t="array" ref="AG2287">IF(OR(Y2287:AA2287="TRUE", AE2287="true"), "Threatened")</f>
        <v>0</v>
      </c>
      <c r="AH2287" s="11" t="s">
        <v>5730</v>
      </c>
      <c r="AI2287" s="8" t="b">
        <v>1</v>
      </c>
    </row>
    <row r="2288" spans="1:35" ht="31.2">
      <c r="A2288" s="8">
        <v>-73.976817330000003</v>
      </c>
      <c r="B2288" s="8">
        <v>40.766126180000001</v>
      </c>
      <c r="C2288" s="8" t="s">
        <v>5731</v>
      </c>
      <c r="D2288" s="8" t="s">
        <v>1862</v>
      </c>
      <c r="E2288" s="8" t="b">
        <f t="shared" si="35"/>
        <v>0</v>
      </c>
      <c r="F2288" s="8" t="str" cm="1">
        <f t="array" ref="F2288">_xlfn._xlws.FILTER(E2288:E5486, C2288:C5486= "6D-PM-1020-01", "No Squirrels Found")</f>
        <v>No Squirrels Found</v>
      </c>
      <c r="G2288" s="8" t="s">
        <v>34</v>
      </c>
      <c r="H2288" s="10">
        <v>10192018</v>
      </c>
      <c r="I2288" s="10">
        <v>1</v>
      </c>
      <c r="J2288" s="8" t="s">
        <v>39</v>
      </c>
      <c r="K2288" s="8" t="s">
        <v>40</v>
      </c>
      <c r="L2288" s="8" t="s">
        <v>41</v>
      </c>
      <c r="M2288" s="8" t="s">
        <v>42</v>
      </c>
      <c r="O2288" s="8" t="s">
        <v>43</v>
      </c>
      <c r="P2288" s="8" t="b">
        <v>0</v>
      </c>
      <c r="R2288" s="8" t="b">
        <v>0</v>
      </c>
      <c r="S2288" s="8" t="b">
        <v>0</v>
      </c>
      <c r="T2288" s="8" t="b">
        <v>0</v>
      </c>
      <c r="U2288" s="8" t="b">
        <v>0</v>
      </c>
      <c r="V2288" s="8" t="b">
        <v>1</v>
      </c>
      <c r="X2288" s="8" t="b">
        <v>0</v>
      </c>
      <c r="Y2288" s="8" t="b">
        <v>0</v>
      </c>
      <c r="Z2288" s="8" t="b">
        <v>0</v>
      </c>
      <c r="AA2288" s="8" t="b">
        <v>0</v>
      </c>
      <c r="AB2288" s="8" t="b">
        <v>0</v>
      </c>
      <c r="AC2288" s="8" t="b">
        <v>0</v>
      </c>
      <c r="AD2288" s="8" t="b">
        <v>0</v>
      </c>
      <c r="AE2288" s="8" t="b">
        <v>1</v>
      </c>
      <c r="AG2288" s="11" t="b" cm="1">
        <f t="array" ref="AG2288">IF(OR(Y2288:AA2288="TRUE", AE2288="true"), "Threatened")</f>
        <v>0</v>
      </c>
      <c r="AH2288" s="11" t="s">
        <v>5732</v>
      </c>
      <c r="AI2288" s="8" t="b">
        <v>1</v>
      </c>
    </row>
    <row r="2289" spans="1:35" ht="31.2">
      <c r="A2289" s="8">
        <v>-73.957700959999997</v>
      </c>
      <c r="B2289" s="8">
        <v>40.796126039999997</v>
      </c>
      <c r="C2289" s="8" t="s">
        <v>5733</v>
      </c>
      <c r="D2289" s="8" t="s">
        <v>191</v>
      </c>
      <c r="E2289" s="8" t="b">
        <f t="shared" si="35"/>
        <v>0</v>
      </c>
      <c r="F2289" s="8" t="str" cm="1">
        <f t="array" ref="F2289">_xlfn._xlws.FILTER(E2289:E5487, C2289:C5487= "6D-PM-1020-01", "No Squirrels Found")</f>
        <v>No Squirrels Found</v>
      </c>
      <c r="G2289" s="8" t="s">
        <v>34</v>
      </c>
      <c r="H2289" s="10">
        <v>10142018</v>
      </c>
      <c r="I2289" s="10">
        <v>10</v>
      </c>
      <c r="J2289" s="8" t="s">
        <v>54</v>
      </c>
      <c r="K2289" s="8" t="s">
        <v>40</v>
      </c>
      <c r="L2289" s="8" t="s">
        <v>84</v>
      </c>
      <c r="M2289" s="8" t="s">
        <v>103</v>
      </c>
      <c r="O2289" s="8" t="s">
        <v>50</v>
      </c>
      <c r="P2289" s="8">
        <v>10</v>
      </c>
      <c r="R2289" s="8" t="b">
        <v>0</v>
      </c>
      <c r="S2289" s="8" t="b">
        <v>0</v>
      </c>
      <c r="T2289" s="8" t="b">
        <v>1</v>
      </c>
      <c r="U2289" s="8" t="b">
        <v>1</v>
      </c>
      <c r="V2289" s="8" t="b">
        <v>1</v>
      </c>
      <c r="W2289" s="11" t="s">
        <v>5734</v>
      </c>
      <c r="X2289" s="8" t="b">
        <v>0</v>
      </c>
      <c r="Y2289" s="8" t="b">
        <v>0</v>
      </c>
      <c r="Z2289" s="8" t="b">
        <v>0</v>
      </c>
      <c r="AA2289" s="8" t="b">
        <v>0</v>
      </c>
      <c r="AB2289" s="8" t="b">
        <v>0</v>
      </c>
      <c r="AC2289" s="8" t="b">
        <v>0</v>
      </c>
      <c r="AD2289" s="8" t="b">
        <v>0</v>
      </c>
      <c r="AE2289" s="8" t="b">
        <v>1</v>
      </c>
      <c r="AG2289" s="11" t="b" cm="1">
        <f t="array" ref="AG2289">IF(OR(Y2289:AA2289="TRUE", AE2289="true"), "Threatened")</f>
        <v>0</v>
      </c>
      <c r="AH2289" s="11" t="s">
        <v>5735</v>
      </c>
      <c r="AI2289" s="8" t="b">
        <v>0</v>
      </c>
    </row>
    <row r="2290" spans="1:35" ht="31.2">
      <c r="A2290" s="8">
        <v>-73.974580059999994</v>
      </c>
      <c r="B2290" s="8">
        <v>40.767356540000002</v>
      </c>
      <c r="C2290" s="8" t="s">
        <v>5736</v>
      </c>
      <c r="D2290" s="8" t="s">
        <v>1706</v>
      </c>
      <c r="E2290" s="8" t="b">
        <f t="shared" si="35"/>
        <v>0</v>
      </c>
      <c r="F2290" s="8" t="str" cm="1">
        <f t="array" ref="F2290">_xlfn._xlws.FILTER(E2290:E5488, C2290:C5488= "6D-PM-1020-01", "No Squirrels Found")</f>
        <v>No Squirrels Found</v>
      </c>
      <c r="G2290" s="8" t="s">
        <v>48</v>
      </c>
      <c r="H2290" s="10">
        <v>10062018</v>
      </c>
      <c r="I2290" s="10">
        <v>8</v>
      </c>
      <c r="J2290" s="8" t="s">
        <v>54</v>
      </c>
      <c r="K2290" s="8" t="s">
        <v>40</v>
      </c>
      <c r="L2290" s="8" t="s">
        <v>117</v>
      </c>
      <c r="M2290" s="8" t="s">
        <v>118</v>
      </c>
      <c r="O2290" s="8" t="s">
        <v>43</v>
      </c>
      <c r="P2290" s="8" t="b">
        <v>0</v>
      </c>
      <c r="Q2290" s="8" t="s">
        <v>3333</v>
      </c>
      <c r="R2290" s="8" t="b">
        <v>1</v>
      </c>
      <c r="S2290" s="8" t="b">
        <v>0</v>
      </c>
      <c r="T2290" s="8" t="b">
        <v>0</v>
      </c>
      <c r="U2290" s="8" t="b">
        <v>0</v>
      </c>
      <c r="V2290" s="8" t="b">
        <v>1</v>
      </c>
      <c r="X2290" s="8" t="b">
        <v>0</v>
      </c>
      <c r="Y2290" s="8" t="b">
        <v>0</v>
      </c>
      <c r="Z2290" s="8" t="b">
        <v>0</v>
      </c>
      <c r="AA2290" s="8" t="b">
        <v>0</v>
      </c>
      <c r="AB2290" s="8" t="b">
        <v>0</v>
      </c>
      <c r="AC2290" s="8" t="b">
        <v>0</v>
      </c>
      <c r="AD2290" s="8" t="b">
        <v>1</v>
      </c>
      <c r="AE2290" s="8" t="b">
        <v>0</v>
      </c>
      <c r="AG2290" s="11" t="b" cm="1">
        <f t="array" ref="AG2290">IF(OR(Y2290:AA2290="TRUE", AE2290="true"), "Threatened")</f>
        <v>0</v>
      </c>
      <c r="AH2290" s="11" t="s">
        <v>5737</v>
      </c>
      <c r="AI2290" s="8" t="b">
        <v>1</v>
      </c>
    </row>
    <row r="2291" spans="1:35" ht="31.2">
      <c r="A2291" s="8">
        <v>-73.956564569999998</v>
      </c>
      <c r="B2291" s="8">
        <v>40.795903989999999</v>
      </c>
      <c r="C2291" s="8" t="s">
        <v>5738</v>
      </c>
      <c r="D2291" s="8" t="s">
        <v>841</v>
      </c>
      <c r="E2291" s="8" t="b">
        <f t="shared" si="35"/>
        <v>0</v>
      </c>
      <c r="F2291" s="8" t="str" cm="1">
        <f t="array" ref="F2291">_xlfn._xlws.FILTER(E2291:E5489, C2291:C5489= "6D-PM-1020-01", "No Squirrels Found")</f>
        <v>No Squirrels Found</v>
      </c>
      <c r="G2291" s="8" t="s">
        <v>34</v>
      </c>
      <c r="H2291" s="10">
        <v>10062018</v>
      </c>
      <c r="I2291" s="10">
        <v>3</v>
      </c>
      <c r="J2291" s="8" t="s">
        <v>39</v>
      </c>
      <c r="K2291" s="8" t="s">
        <v>40</v>
      </c>
      <c r="L2291" s="8" t="s">
        <v>41</v>
      </c>
      <c r="M2291" s="8" t="s">
        <v>42</v>
      </c>
      <c r="O2291" s="8" t="s">
        <v>43</v>
      </c>
      <c r="P2291" s="8" t="b">
        <v>0</v>
      </c>
      <c r="R2291" s="8" t="b">
        <v>0</v>
      </c>
      <c r="S2291" s="8" t="b">
        <v>0</v>
      </c>
      <c r="T2291" s="8" t="b">
        <v>0</v>
      </c>
      <c r="U2291" s="8" t="b">
        <v>1</v>
      </c>
      <c r="V2291" s="8" t="b">
        <v>1</v>
      </c>
      <c r="X2291" s="8" t="b">
        <v>0</v>
      </c>
      <c r="Y2291" s="8" t="b">
        <v>0</v>
      </c>
      <c r="Z2291" s="8" t="b">
        <v>0</v>
      </c>
      <c r="AA2291" s="8" t="b">
        <v>0</v>
      </c>
      <c r="AB2291" s="8" t="b">
        <v>0</v>
      </c>
      <c r="AC2291" s="8" t="b">
        <v>0</v>
      </c>
      <c r="AD2291" s="8" t="b">
        <v>1</v>
      </c>
      <c r="AE2291" s="8" t="b">
        <v>0</v>
      </c>
      <c r="AG2291" s="11" t="b" cm="1">
        <f t="array" ref="AG2291">IF(OR(Y2291:AA2291="TRUE", AE2291="true"), "Threatened")</f>
        <v>0</v>
      </c>
      <c r="AH2291" s="11" t="s">
        <v>5739</v>
      </c>
      <c r="AI2291" s="8" t="b">
        <v>1</v>
      </c>
    </row>
    <row r="2292" spans="1:35" ht="31.2">
      <c r="A2292" s="8">
        <v>-73.97568948</v>
      </c>
      <c r="B2292" s="8">
        <v>40.768163819999998</v>
      </c>
      <c r="C2292" s="8" t="s">
        <v>5740</v>
      </c>
      <c r="D2292" s="8" t="s">
        <v>794</v>
      </c>
      <c r="E2292" s="8" t="b">
        <f t="shared" si="35"/>
        <v>0</v>
      </c>
      <c r="F2292" s="8" t="str" cm="1">
        <f t="array" ref="F2292">_xlfn._xlws.FILTER(E2292:E5490, C2292:C5490= "6D-PM-1020-01", "No Squirrels Found")</f>
        <v>No Squirrels Found</v>
      </c>
      <c r="G2292" s="8" t="s">
        <v>48</v>
      </c>
      <c r="H2292" s="10">
        <v>10202018</v>
      </c>
      <c r="I2292" s="10">
        <v>3</v>
      </c>
      <c r="J2292" s="8" t="s">
        <v>39</v>
      </c>
      <c r="K2292" s="8" t="s">
        <v>41</v>
      </c>
      <c r="L2292" s="8" t="s">
        <v>192</v>
      </c>
      <c r="M2292" s="8" t="s">
        <v>1145</v>
      </c>
      <c r="O2292" s="8" t="s">
        <v>43</v>
      </c>
      <c r="P2292" s="8" t="b">
        <v>0</v>
      </c>
      <c r="R2292" s="8" t="b">
        <v>0</v>
      </c>
      <c r="S2292" s="8" t="b">
        <v>0</v>
      </c>
      <c r="T2292" s="8" t="b">
        <v>0</v>
      </c>
      <c r="U2292" s="8" t="b">
        <v>0</v>
      </c>
      <c r="V2292" s="8" t="b">
        <v>1</v>
      </c>
      <c r="X2292" s="8" t="b">
        <v>0</v>
      </c>
      <c r="Y2292" s="8" t="b">
        <v>0</v>
      </c>
      <c r="Z2292" s="8" t="b">
        <v>0</v>
      </c>
      <c r="AA2292" s="8" t="b">
        <v>0</v>
      </c>
      <c r="AB2292" s="8" t="b">
        <v>0</v>
      </c>
      <c r="AC2292" s="8" t="b">
        <v>0</v>
      </c>
      <c r="AD2292" s="8" t="b">
        <v>1</v>
      </c>
      <c r="AE2292" s="8" t="b">
        <v>0</v>
      </c>
      <c r="AG2292" s="11" t="b" cm="1">
        <f t="array" ref="AG2292">IF(OR(Y2292:AA2292="TRUE", AE2292="true"), "Threatened")</f>
        <v>0</v>
      </c>
      <c r="AH2292" s="11" t="s">
        <v>5741</v>
      </c>
      <c r="AI2292" s="8" t="b">
        <v>1</v>
      </c>
    </row>
    <row r="2293" spans="1:35" ht="31.2">
      <c r="A2293" s="8">
        <v>-73.966989190000007</v>
      </c>
      <c r="B2293" s="8">
        <v>40.783563520000001</v>
      </c>
      <c r="C2293" s="8" t="s">
        <v>5742</v>
      </c>
      <c r="D2293" s="8" t="s">
        <v>698</v>
      </c>
      <c r="E2293" s="8" t="b">
        <f t="shared" si="35"/>
        <v>0</v>
      </c>
      <c r="F2293" s="8" t="str" cm="1">
        <f t="array" ref="F2293">_xlfn._xlws.FILTER(E2293:E5491, C2293:C5491= "6D-PM-1020-01", "No Squirrels Found")</f>
        <v>No Squirrels Found</v>
      </c>
      <c r="G2293" s="8" t="s">
        <v>34</v>
      </c>
      <c r="H2293" s="10">
        <v>10062018</v>
      </c>
      <c r="I2293" s="10">
        <v>7</v>
      </c>
      <c r="J2293" s="8" t="s">
        <v>39</v>
      </c>
      <c r="K2293" s="8" t="s">
        <v>40</v>
      </c>
      <c r="M2293" s="8" t="s">
        <v>55</v>
      </c>
      <c r="O2293" s="8" t="s">
        <v>50</v>
      </c>
      <c r="P2293" s="8">
        <v>10</v>
      </c>
      <c r="R2293" s="8" t="b">
        <v>0</v>
      </c>
      <c r="S2293" s="8" t="b">
        <v>0</v>
      </c>
      <c r="T2293" s="8" t="b">
        <v>1</v>
      </c>
      <c r="U2293" s="8" t="b">
        <v>0</v>
      </c>
      <c r="V2293" s="8" t="b">
        <v>0</v>
      </c>
      <c r="X2293" s="8" t="b">
        <v>0</v>
      </c>
      <c r="Y2293" s="8" t="b">
        <v>0</v>
      </c>
      <c r="Z2293" s="8" t="b">
        <v>0</v>
      </c>
      <c r="AA2293" s="8" t="b">
        <v>0</v>
      </c>
      <c r="AB2293" s="8" t="b">
        <v>0</v>
      </c>
      <c r="AC2293" s="8" t="b">
        <v>0</v>
      </c>
      <c r="AD2293" s="8" t="b">
        <v>0</v>
      </c>
      <c r="AE2293" s="8" t="b">
        <v>0</v>
      </c>
      <c r="AG2293" s="11" t="b" cm="1">
        <f t="array" ref="AG2293">IF(OR(Y2293:AA2293="TRUE", AE2293="true"), "Threatened")</f>
        <v>0</v>
      </c>
      <c r="AH2293" s="11" t="s">
        <v>5743</v>
      </c>
      <c r="AI2293" s="8" t="b">
        <v>1</v>
      </c>
    </row>
    <row r="2294" spans="1:35" ht="31.2">
      <c r="A2294" s="8">
        <v>-73.967530920000002</v>
      </c>
      <c r="B2294" s="8">
        <v>40.778864990000002</v>
      </c>
      <c r="C2294" s="8" t="s">
        <v>5744</v>
      </c>
      <c r="D2294" s="8" t="s">
        <v>215</v>
      </c>
      <c r="E2294" s="8" t="b">
        <f t="shared" si="35"/>
        <v>0</v>
      </c>
      <c r="F2294" s="8" t="str" cm="1">
        <f t="array" ref="F2294">_xlfn._xlws.FILTER(E2294:E5492, C2294:C5492= "6D-PM-1020-01", "No Squirrels Found")</f>
        <v>No Squirrels Found</v>
      </c>
      <c r="G2294" s="8" t="s">
        <v>48</v>
      </c>
      <c r="H2294" s="10">
        <v>10172018</v>
      </c>
      <c r="I2294" s="10">
        <v>9</v>
      </c>
      <c r="J2294" s="8" t="s">
        <v>39</v>
      </c>
      <c r="K2294" s="8" t="s">
        <v>40</v>
      </c>
      <c r="M2294" s="8" t="s">
        <v>55</v>
      </c>
      <c r="O2294" s="8" t="s">
        <v>43</v>
      </c>
      <c r="P2294" s="8" t="b">
        <v>0</v>
      </c>
      <c r="R2294" s="8" t="b">
        <v>1</v>
      </c>
      <c r="S2294" s="8" t="b">
        <v>0</v>
      </c>
      <c r="T2294" s="8" t="b">
        <v>0</v>
      </c>
      <c r="U2294" s="8" t="b">
        <v>0</v>
      </c>
      <c r="V2294" s="8" t="b">
        <v>0</v>
      </c>
      <c r="X2294" s="8" t="b">
        <v>0</v>
      </c>
      <c r="Y2294" s="8" t="b">
        <v>0</v>
      </c>
      <c r="Z2294" s="8" t="b">
        <v>0</v>
      </c>
      <c r="AA2294" s="8" t="b">
        <v>0</v>
      </c>
      <c r="AB2294" s="8" t="b">
        <v>0</v>
      </c>
      <c r="AC2294" s="8" t="b">
        <v>0</v>
      </c>
      <c r="AD2294" s="8" t="b">
        <v>1</v>
      </c>
      <c r="AE2294" s="8" t="b">
        <v>0</v>
      </c>
      <c r="AG2294" s="11" t="b" cm="1">
        <f t="array" ref="AG2294">IF(OR(Y2294:AA2294="TRUE", AE2294="true"), "Threatened")</f>
        <v>0</v>
      </c>
      <c r="AH2294" s="11" t="s">
        <v>5745</v>
      </c>
      <c r="AI2294" s="8" t="b">
        <v>1</v>
      </c>
    </row>
    <row r="2295" spans="1:35" ht="31.2">
      <c r="A2295" s="8">
        <v>-73.963082060000005</v>
      </c>
      <c r="B2295" s="8">
        <v>40.782163230000002</v>
      </c>
      <c r="C2295" s="8" t="s">
        <v>5746</v>
      </c>
      <c r="D2295" s="8" t="s">
        <v>1287</v>
      </c>
      <c r="E2295" s="8" t="b">
        <f t="shared" si="35"/>
        <v>0</v>
      </c>
      <c r="F2295" s="8" t="str" cm="1">
        <f t="array" ref="F2295">_xlfn._xlws.FILTER(E2295:E5493, C2295:C5493= "6D-PM-1020-01", "No Squirrels Found")</f>
        <v>No Squirrels Found</v>
      </c>
      <c r="G2295" s="8" t="s">
        <v>34</v>
      </c>
      <c r="H2295" s="10">
        <v>10182018</v>
      </c>
      <c r="I2295" s="10">
        <v>1</v>
      </c>
      <c r="J2295" s="8" t="s">
        <v>39</v>
      </c>
      <c r="K2295" s="8" t="s">
        <v>40</v>
      </c>
      <c r="L2295" s="8" t="s">
        <v>117</v>
      </c>
      <c r="M2295" s="8" t="s">
        <v>118</v>
      </c>
      <c r="N2295" s="11" t="s">
        <v>1383</v>
      </c>
      <c r="O2295" s="8" t="s">
        <v>43</v>
      </c>
      <c r="P2295" s="8" t="b">
        <v>0</v>
      </c>
      <c r="R2295" s="8" t="b">
        <v>1</v>
      </c>
      <c r="S2295" s="8" t="b">
        <v>0</v>
      </c>
      <c r="T2295" s="8" t="b">
        <v>0</v>
      </c>
      <c r="U2295" s="8" t="b">
        <v>1</v>
      </c>
      <c r="V2295" s="8" t="b">
        <v>0</v>
      </c>
      <c r="X2295" s="8" t="b">
        <v>0</v>
      </c>
      <c r="Y2295" s="8" t="b">
        <v>0</v>
      </c>
      <c r="Z2295" s="8" t="b">
        <v>0</v>
      </c>
      <c r="AA2295" s="8" t="b">
        <v>1</v>
      </c>
      <c r="AB2295" s="8" t="b">
        <v>0</v>
      </c>
      <c r="AC2295" s="8" t="b">
        <v>0</v>
      </c>
      <c r="AD2295" s="8" t="b">
        <v>1</v>
      </c>
      <c r="AE2295" s="8" t="b">
        <v>0</v>
      </c>
      <c r="AG2295" s="11" t="b" cm="1">
        <f t="array" ref="AG2295">IF(OR(Y2295:AA2295="TRUE", AE2295="true"), "Threatened")</f>
        <v>0</v>
      </c>
      <c r="AH2295" s="11" t="s">
        <v>5747</v>
      </c>
      <c r="AI2295" s="8" t="b">
        <v>1</v>
      </c>
    </row>
    <row r="2296" spans="1:35" ht="31.2">
      <c r="A2296" s="8">
        <v>-73.959063209999997</v>
      </c>
      <c r="B2296" s="8">
        <v>40.79631466</v>
      </c>
      <c r="C2296" s="8" t="s">
        <v>5748</v>
      </c>
      <c r="D2296" s="8" t="s">
        <v>442</v>
      </c>
      <c r="E2296" s="8" t="b">
        <f t="shared" si="35"/>
        <v>0</v>
      </c>
      <c r="F2296" s="8" t="str" cm="1">
        <f t="array" ref="F2296">_xlfn._xlws.FILTER(E2296:E5494, C2296:C5494= "6D-PM-1020-01", "No Squirrels Found")</f>
        <v>No Squirrels Found</v>
      </c>
      <c r="G2296" s="8" t="s">
        <v>48</v>
      </c>
      <c r="H2296" s="10">
        <v>10192018</v>
      </c>
      <c r="I2296" s="10">
        <v>4</v>
      </c>
      <c r="J2296" s="8" t="s">
        <v>39</v>
      </c>
      <c r="K2296" s="8" t="s">
        <v>40</v>
      </c>
      <c r="M2296" s="8" t="s">
        <v>55</v>
      </c>
      <c r="O2296" s="8" t="s">
        <v>50</v>
      </c>
      <c r="P2296" s="8">
        <v>20</v>
      </c>
      <c r="R2296" s="8" t="b">
        <v>0</v>
      </c>
      <c r="S2296" s="8" t="b">
        <v>0</v>
      </c>
      <c r="T2296" s="8" t="b">
        <v>0</v>
      </c>
      <c r="U2296" s="8" t="b">
        <v>0</v>
      </c>
      <c r="V2296" s="8" t="b">
        <v>0</v>
      </c>
      <c r="W2296" s="11" t="s">
        <v>652</v>
      </c>
      <c r="X2296" s="8" t="b">
        <v>1</v>
      </c>
      <c r="Y2296" s="8" t="b">
        <v>1</v>
      </c>
      <c r="Z2296" s="8" t="b">
        <v>0</v>
      </c>
      <c r="AA2296" s="8" t="b">
        <v>1</v>
      </c>
      <c r="AB2296" s="8" t="b">
        <v>0</v>
      </c>
      <c r="AC2296" s="8" t="b">
        <v>0</v>
      </c>
      <c r="AD2296" s="8" t="b">
        <v>1</v>
      </c>
      <c r="AE2296" s="8" t="b">
        <v>0</v>
      </c>
      <c r="AF2296" s="11" t="s">
        <v>3070</v>
      </c>
      <c r="AG2296" s="11" t="b" cm="1">
        <f t="array" ref="AG2296">IF(OR(Y2296:AA2296="TRUE", AE2296="true"), "Threatened")</f>
        <v>0</v>
      </c>
      <c r="AH2296" s="11" t="s">
        <v>5749</v>
      </c>
      <c r="AI2296" s="8" t="b">
        <v>0</v>
      </c>
    </row>
    <row r="2297" spans="1:35" ht="31.2">
      <c r="A2297" s="8">
        <v>-73.965596980000001</v>
      </c>
      <c r="B2297" s="8">
        <v>40.77977388</v>
      </c>
      <c r="C2297" s="8" t="s">
        <v>5750</v>
      </c>
      <c r="D2297" s="8" t="s">
        <v>1035</v>
      </c>
      <c r="E2297" s="8" t="b">
        <f t="shared" si="35"/>
        <v>0</v>
      </c>
      <c r="F2297" s="8" t="str" cm="1">
        <f t="array" ref="F2297">_xlfn._xlws.FILTER(E2297:E5495, C2297:C5495= "6D-PM-1020-01", "No Squirrels Found")</f>
        <v>No Squirrels Found</v>
      </c>
      <c r="G2297" s="8" t="s">
        <v>34</v>
      </c>
      <c r="H2297" s="10">
        <v>10172018</v>
      </c>
      <c r="I2297" s="10">
        <v>2</v>
      </c>
      <c r="J2297" s="8" t="s">
        <v>39</v>
      </c>
      <c r="K2297" s="8" t="s">
        <v>40</v>
      </c>
      <c r="M2297" s="8" t="s">
        <v>55</v>
      </c>
      <c r="O2297" s="8" t="s">
        <v>43</v>
      </c>
      <c r="P2297" s="8" t="b">
        <v>0</v>
      </c>
      <c r="R2297" s="8" t="b">
        <v>0</v>
      </c>
      <c r="S2297" s="8" t="b">
        <v>0</v>
      </c>
      <c r="T2297" s="8" t="b">
        <v>0</v>
      </c>
      <c r="U2297" s="8" t="b">
        <v>0</v>
      </c>
      <c r="V2297" s="8" t="b">
        <v>1</v>
      </c>
      <c r="X2297" s="8" t="b">
        <v>0</v>
      </c>
      <c r="Y2297" s="8" t="b">
        <v>0</v>
      </c>
      <c r="Z2297" s="8" t="b">
        <v>0</v>
      </c>
      <c r="AA2297" s="8" t="b">
        <v>0</v>
      </c>
      <c r="AB2297" s="8" t="b">
        <v>0</v>
      </c>
      <c r="AC2297" s="8" t="b">
        <v>0</v>
      </c>
      <c r="AD2297" s="8" t="b">
        <v>1</v>
      </c>
      <c r="AE2297" s="8" t="b">
        <v>0</v>
      </c>
      <c r="AG2297" s="11" t="b" cm="1">
        <f t="array" ref="AG2297">IF(OR(Y2297:AA2297="TRUE", AE2297="true"), "Threatened")</f>
        <v>0</v>
      </c>
      <c r="AH2297" s="11" t="s">
        <v>5751</v>
      </c>
      <c r="AI2297" s="8" t="b">
        <v>1</v>
      </c>
    </row>
    <row r="2298" spans="1:35" ht="31.2">
      <c r="A2298" s="8">
        <v>-73.978777109999996</v>
      </c>
      <c r="B2298" s="8">
        <v>40.769356209999998</v>
      </c>
      <c r="C2298" s="8" t="s">
        <v>5752</v>
      </c>
      <c r="D2298" s="8" t="s">
        <v>465</v>
      </c>
      <c r="E2298" s="8" t="b">
        <f t="shared" si="35"/>
        <v>0</v>
      </c>
      <c r="F2298" s="8" t="str" cm="1">
        <f t="array" ref="F2298">_xlfn._xlws.FILTER(E2298:E5496, C2298:C5496= "6D-PM-1020-01", "No Squirrels Found")</f>
        <v>No Squirrels Found</v>
      </c>
      <c r="G2298" s="8" t="s">
        <v>48</v>
      </c>
      <c r="H2298" s="10">
        <v>10102018</v>
      </c>
      <c r="I2298" s="10">
        <v>7</v>
      </c>
      <c r="J2298" s="8" t="s">
        <v>39</v>
      </c>
      <c r="K2298" s="8" t="s">
        <v>40</v>
      </c>
      <c r="M2298" s="8" t="s">
        <v>55</v>
      </c>
      <c r="O2298" s="8" t="s">
        <v>50</v>
      </c>
      <c r="P2298" s="8">
        <v>10</v>
      </c>
      <c r="R2298" s="8" t="b">
        <v>0</v>
      </c>
      <c r="S2298" s="8" t="b">
        <v>0</v>
      </c>
      <c r="T2298" s="8" t="b">
        <v>1</v>
      </c>
      <c r="U2298" s="8" t="b">
        <v>0</v>
      </c>
      <c r="V2298" s="8" t="b">
        <v>0</v>
      </c>
      <c r="W2298" s="11" t="s">
        <v>5753</v>
      </c>
      <c r="X2298" s="8" t="b">
        <v>0</v>
      </c>
      <c r="Y2298" s="8" t="b">
        <v>0</v>
      </c>
      <c r="Z2298" s="8" t="b">
        <v>0</v>
      </c>
      <c r="AA2298" s="8" t="b">
        <v>1</v>
      </c>
      <c r="AB2298" s="8" t="b">
        <v>0</v>
      </c>
      <c r="AC2298" s="8" t="b">
        <v>0</v>
      </c>
      <c r="AD2298" s="8" t="b">
        <v>1</v>
      </c>
      <c r="AE2298" s="8" t="b">
        <v>0</v>
      </c>
      <c r="AG2298" s="11" t="b" cm="1">
        <f t="array" ref="AG2298">IF(OR(Y2298:AA2298="TRUE", AE2298="true"), "Threatened")</f>
        <v>0</v>
      </c>
      <c r="AH2298" s="11" t="s">
        <v>5754</v>
      </c>
      <c r="AI2298" s="8" t="b">
        <v>0</v>
      </c>
    </row>
    <row r="2299" spans="1:35" ht="31.2">
      <c r="A2299" s="8">
        <v>-73.975537180000003</v>
      </c>
      <c r="B2299" s="8">
        <v>40.773356120000003</v>
      </c>
      <c r="C2299" s="8" t="s">
        <v>5755</v>
      </c>
      <c r="D2299" s="8" t="s">
        <v>1403</v>
      </c>
      <c r="E2299" s="8" t="b">
        <f t="shared" si="35"/>
        <v>0</v>
      </c>
      <c r="F2299" s="8" t="str" cm="1">
        <f t="array" ref="F2299">_xlfn._xlws.FILTER(E2299:E5497, C2299:C5497= "6D-PM-1020-01", "No Squirrels Found")</f>
        <v>No Squirrels Found</v>
      </c>
      <c r="G2299" s="8" t="s">
        <v>34</v>
      </c>
      <c r="H2299" s="10">
        <v>10062018</v>
      </c>
      <c r="I2299" s="10">
        <v>2</v>
      </c>
      <c r="J2299" s="8" t="s">
        <v>39</v>
      </c>
      <c r="K2299" s="8" t="s">
        <v>40</v>
      </c>
      <c r="L2299" s="8" t="s">
        <v>84</v>
      </c>
      <c r="M2299" s="8" t="s">
        <v>103</v>
      </c>
      <c r="O2299" s="8" t="s">
        <v>50</v>
      </c>
      <c r="P2299" s="8">
        <v>15</v>
      </c>
      <c r="R2299" s="8" t="b">
        <v>0</v>
      </c>
      <c r="S2299" s="8" t="b">
        <v>1</v>
      </c>
      <c r="T2299" s="8" t="b">
        <v>0</v>
      </c>
      <c r="U2299" s="8" t="b">
        <v>0</v>
      </c>
      <c r="V2299" s="8" t="b">
        <v>0</v>
      </c>
      <c r="X2299" s="8" t="b">
        <v>0</v>
      </c>
      <c r="Y2299" s="8" t="b">
        <v>0</v>
      </c>
      <c r="Z2299" s="8" t="b">
        <v>0</v>
      </c>
      <c r="AA2299" s="8" t="b">
        <v>0</v>
      </c>
      <c r="AB2299" s="8" t="b">
        <v>0</v>
      </c>
      <c r="AC2299" s="8" t="b">
        <v>0</v>
      </c>
      <c r="AD2299" s="8" t="b">
        <v>1</v>
      </c>
      <c r="AE2299" s="8" t="b">
        <v>0</v>
      </c>
      <c r="AG2299" s="11" t="b" cm="1">
        <f t="array" ref="AG2299">IF(OR(Y2299:AA2299="TRUE", AE2299="true"), "Threatened")</f>
        <v>0</v>
      </c>
      <c r="AH2299" s="11" t="s">
        <v>5756</v>
      </c>
      <c r="AI2299" s="8" t="b">
        <v>1</v>
      </c>
    </row>
    <row r="2300" spans="1:35" ht="31.2">
      <c r="A2300" s="8">
        <v>-73.960555479999996</v>
      </c>
      <c r="B2300" s="8">
        <v>40.79014737</v>
      </c>
      <c r="C2300" s="8" t="s">
        <v>5757</v>
      </c>
      <c r="D2300" s="8" t="s">
        <v>1409</v>
      </c>
      <c r="E2300" s="8" t="b">
        <f t="shared" si="35"/>
        <v>0</v>
      </c>
      <c r="F2300" s="8" t="str" cm="1">
        <f t="array" ref="F2300">_xlfn._xlws.FILTER(E2300:E5498, C2300:C5498= "6D-PM-1020-01", "No Squirrels Found")</f>
        <v>No Squirrels Found</v>
      </c>
      <c r="G2300" s="8" t="s">
        <v>34</v>
      </c>
      <c r="H2300" s="10">
        <v>10062018</v>
      </c>
      <c r="I2300" s="10">
        <v>9</v>
      </c>
      <c r="J2300" s="8" t="s">
        <v>39</v>
      </c>
      <c r="K2300" s="8" t="s">
        <v>40</v>
      </c>
      <c r="L2300" s="8" t="s">
        <v>117</v>
      </c>
      <c r="M2300" s="8" t="s">
        <v>118</v>
      </c>
      <c r="O2300" s="8" t="s">
        <v>43</v>
      </c>
      <c r="P2300" s="8" t="b">
        <v>0</v>
      </c>
      <c r="R2300" s="8" t="b">
        <v>0</v>
      </c>
      <c r="S2300" s="8" t="b">
        <v>0</v>
      </c>
      <c r="T2300" s="8" t="b">
        <v>0</v>
      </c>
      <c r="U2300" s="8" t="b">
        <v>1</v>
      </c>
      <c r="V2300" s="8" t="b">
        <v>0</v>
      </c>
      <c r="X2300" s="8" t="b">
        <v>0</v>
      </c>
      <c r="Y2300" s="8" t="b">
        <v>0</v>
      </c>
      <c r="Z2300" s="8" t="b">
        <v>0</v>
      </c>
      <c r="AA2300" s="8" t="b">
        <v>0</v>
      </c>
      <c r="AB2300" s="8" t="b">
        <v>0</v>
      </c>
      <c r="AC2300" s="8" t="b">
        <v>0</v>
      </c>
      <c r="AD2300" s="8" t="b">
        <v>1</v>
      </c>
      <c r="AE2300" s="8" t="b">
        <v>0</v>
      </c>
      <c r="AG2300" s="11" t="b" cm="1">
        <f t="array" ref="AG2300">IF(OR(Y2300:AA2300="TRUE", AE2300="true"), "Threatened")</f>
        <v>0</v>
      </c>
      <c r="AH2300" s="11" t="s">
        <v>5758</v>
      </c>
      <c r="AI2300" s="8" t="b">
        <v>1</v>
      </c>
    </row>
    <row r="2301" spans="1:35" ht="31.2">
      <c r="A2301" s="8">
        <v>-73.978925180000005</v>
      </c>
      <c r="B2301" s="8">
        <v>40.769955850000002</v>
      </c>
      <c r="C2301" s="8" t="s">
        <v>5759</v>
      </c>
      <c r="D2301" s="8" t="s">
        <v>889</v>
      </c>
      <c r="E2301" s="8" t="b">
        <f t="shared" si="35"/>
        <v>0</v>
      </c>
      <c r="F2301" s="8" t="str" cm="1">
        <f t="array" ref="F2301">_xlfn._xlws.FILTER(E2301:E5499, C2301:C5499= "6D-PM-1020-01", "No Squirrels Found")</f>
        <v>No Squirrels Found</v>
      </c>
      <c r="G2301" s="8" t="s">
        <v>48</v>
      </c>
      <c r="H2301" s="10">
        <v>10102018</v>
      </c>
      <c r="I2301" s="10">
        <v>2</v>
      </c>
      <c r="J2301" s="8" t="s">
        <v>54</v>
      </c>
      <c r="K2301" s="8" t="s">
        <v>41</v>
      </c>
      <c r="L2301" s="8" t="s">
        <v>135</v>
      </c>
      <c r="M2301" s="8" t="s">
        <v>136</v>
      </c>
      <c r="O2301" s="8" t="s">
        <v>50</v>
      </c>
      <c r="P2301" s="8">
        <v>30</v>
      </c>
      <c r="R2301" s="8" t="b">
        <v>0</v>
      </c>
      <c r="S2301" s="8" t="b">
        <v>0</v>
      </c>
      <c r="T2301" s="8" t="b">
        <v>1</v>
      </c>
      <c r="U2301" s="8" t="b">
        <v>1</v>
      </c>
      <c r="V2301" s="8" t="b">
        <v>1</v>
      </c>
      <c r="X2301" s="8" t="b">
        <v>1</v>
      </c>
      <c r="Y2301" s="8" t="b">
        <v>0</v>
      </c>
      <c r="Z2301" s="8" t="b">
        <v>0</v>
      </c>
      <c r="AA2301" s="8" t="b">
        <v>0</v>
      </c>
      <c r="AB2301" s="8" t="b">
        <v>0</v>
      </c>
      <c r="AC2301" s="8" t="b">
        <v>0</v>
      </c>
      <c r="AD2301" s="8" t="b">
        <v>1</v>
      </c>
      <c r="AE2301" s="8" t="b">
        <v>0</v>
      </c>
      <c r="AG2301" s="11" t="b" cm="1">
        <f t="array" ref="AG2301">IF(OR(Y2301:AA2301="TRUE", AE2301="true"), "Threatened")</f>
        <v>0</v>
      </c>
      <c r="AH2301" s="11" t="s">
        <v>5760</v>
      </c>
      <c r="AI2301" s="8" t="b">
        <v>1</v>
      </c>
    </row>
    <row r="2302" spans="1:35" ht="31.2">
      <c r="A2302" s="8">
        <v>-73.968906910000001</v>
      </c>
      <c r="B2302" s="8">
        <v>40.781627829999998</v>
      </c>
      <c r="C2302" s="8" t="s">
        <v>5761</v>
      </c>
      <c r="D2302" s="8" t="s">
        <v>319</v>
      </c>
      <c r="E2302" s="8" t="b">
        <f t="shared" si="35"/>
        <v>0</v>
      </c>
      <c r="F2302" s="8" t="str" cm="1">
        <f t="array" ref="F2302">_xlfn._xlws.FILTER(E2302:E5500, C2302:C5500= "6D-PM-1020-01", "No Squirrels Found")</f>
        <v>No Squirrels Found</v>
      </c>
      <c r="G2302" s="8" t="s">
        <v>34</v>
      </c>
      <c r="H2302" s="10">
        <v>10182018</v>
      </c>
      <c r="I2302" s="10">
        <v>7</v>
      </c>
      <c r="J2302" s="8" t="s">
        <v>54</v>
      </c>
      <c r="K2302" s="8" t="s">
        <v>40</v>
      </c>
      <c r="L2302" s="8" t="s">
        <v>117</v>
      </c>
      <c r="M2302" s="8" t="s">
        <v>118</v>
      </c>
      <c r="N2302" s="11" t="s">
        <v>4307</v>
      </c>
      <c r="O2302" s="8" t="s">
        <v>43</v>
      </c>
      <c r="P2302" s="8" t="b">
        <v>0</v>
      </c>
      <c r="R2302" s="8" t="b">
        <v>1</v>
      </c>
      <c r="S2302" s="8" t="b">
        <v>0</v>
      </c>
      <c r="T2302" s="8" t="b">
        <v>1</v>
      </c>
      <c r="U2302" s="8" t="b">
        <v>0</v>
      </c>
      <c r="V2302" s="8" t="b">
        <v>0</v>
      </c>
      <c r="X2302" s="8" t="b">
        <v>0</v>
      </c>
      <c r="Y2302" s="8" t="b">
        <v>0</v>
      </c>
      <c r="Z2302" s="8" t="b">
        <v>0</v>
      </c>
      <c r="AA2302" s="8" t="b">
        <v>0</v>
      </c>
      <c r="AB2302" s="8" t="b">
        <v>0</v>
      </c>
      <c r="AC2302" s="8" t="b">
        <v>0</v>
      </c>
      <c r="AD2302" s="8" t="b">
        <v>0</v>
      </c>
      <c r="AE2302" s="8" t="b">
        <v>0</v>
      </c>
      <c r="AG2302" s="11" t="b" cm="1">
        <f t="array" ref="AG2302">IF(OR(Y2302:AA2302="TRUE", AE2302="true"), "Threatened")</f>
        <v>0</v>
      </c>
      <c r="AH2302" s="11" t="s">
        <v>5762</v>
      </c>
      <c r="AI2302" s="8" t="b">
        <v>1</v>
      </c>
    </row>
    <row r="2303" spans="1:35" ht="31.2">
      <c r="A2303" s="8">
        <v>-73.975433390000006</v>
      </c>
      <c r="B2303" s="8">
        <v>40.773239089999997</v>
      </c>
      <c r="C2303" s="8" t="s">
        <v>5763</v>
      </c>
      <c r="D2303" s="8" t="s">
        <v>805</v>
      </c>
      <c r="E2303" s="8" t="b">
        <f t="shared" si="35"/>
        <v>0</v>
      </c>
      <c r="F2303" s="8" t="str" cm="1">
        <f t="array" ref="F2303">_xlfn._xlws.FILTER(E2303:E5501, C2303:C5501= "6D-PM-1020-01", "No Squirrels Found")</f>
        <v>No Squirrels Found</v>
      </c>
      <c r="G2303" s="8" t="s">
        <v>34</v>
      </c>
      <c r="H2303" s="10">
        <v>10132018</v>
      </c>
      <c r="I2303" s="10">
        <v>1</v>
      </c>
      <c r="J2303" s="8" t="s">
        <v>39</v>
      </c>
      <c r="K2303" s="8" t="s">
        <v>40</v>
      </c>
      <c r="L2303" s="8" t="s">
        <v>41</v>
      </c>
      <c r="M2303" s="8" t="s">
        <v>42</v>
      </c>
      <c r="O2303" s="8" t="s">
        <v>43</v>
      </c>
      <c r="P2303" s="8" t="b">
        <v>0</v>
      </c>
      <c r="R2303" s="8" t="b">
        <v>0</v>
      </c>
      <c r="S2303" s="8" t="b">
        <v>0</v>
      </c>
      <c r="T2303" s="8" t="b">
        <v>0</v>
      </c>
      <c r="U2303" s="8" t="b">
        <v>0</v>
      </c>
      <c r="V2303" s="8" t="b">
        <v>1</v>
      </c>
      <c r="X2303" s="8" t="b">
        <v>0</v>
      </c>
      <c r="Y2303" s="8" t="b">
        <v>0</v>
      </c>
      <c r="Z2303" s="8" t="b">
        <v>0</v>
      </c>
      <c r="AA2303" s="8" t="b">
        <v>0</v>
      </c>
      <c r="AB2303" s="8" t="b">
        <v>1</v>
      </c>
      <c r="AC2303" s="8" t="b">
        <v>0</v>
      </c>
      <c r="AD2303" s="8" t="b">
        <v>1</v>
      </c>
      <c r="AE2303" s="8" t="b">
        <v>0</v>
      </c>
      <c r="AG2303" s="11" t="b" cm="1">
        <f t="array" ref="AG2303">IF(OR(Y2303:AA2303="TRUE", AE2303="true"), "Threatened")</f>
        <v>0</v>
      </c>
      <c r="AH2303" s="11" t="s">
        <v>5764</v>
      </c>
      <c r="AI2303" s="8" t="b">
        <v>1</v>
      </c>
    </row>
    <row r="2304" spans="1:35" ht="31.2">
      <c r="A2304" s="8">
        <v>-73.958947050000006</v>
      </c>
      <c r="B2304" s="8">
        <v>40.791281759999997</v>
      </c>
      <c r="C2304" s="8" t="s">
        <v>5765</v>
      </c>
      <c r="D2304" s="8" t="s">
        <v>1214</v>
      </c>
      <c r="E2304" s="8" t="b">
        <f t="shared" si="35"/>
        <v>0</v>
      </c>
      <c r="F2304" s="8" t="str" cm="1">
        <f t="array" ref="F2304">_xlfn._xlws.FILTER(E2304:E5502, C2304:C5502= "6D-PM-1020-01", "No Squirrels Found")</f>
        <v>No Squirrels Found</v>
      </c>
      <c r="G2304" s="8" t="s">
        <v>48</v>
      </c>
      <c r="H2304" s="10">
        <v>10142018</v>
      </c>
      <c r="I2304" s="10">
        <v>10</v>
      </c>
      <c r="J2304" s="8" t="s">
        <v>54</v>
      </c>
      <c r="K2304" s="8" t="s">
        <v>40</v>
      </c>
      <c r="L2304" s="8" t="s">
        <v>117</v>
      </c>
      <c r="M2304" s="8" t="s">
        <v>118</v>
      </c>
      <c r="O2304" s="8" t="s">
        <v>50</v>
      </c>
      <c r="P2304" s="8">
        <v>15</v>
      </c>
      <c r="R2304" s="8" t="b">
        <v>0</v>
      </c>
      <c r="S2304" s="8" t="b">
        <v>1</v>
      </c>
      <c r="T2304" s="8" t="b">
        <v>0</v>
      </c>
      <c r="U2304" s="8" t="b">
        <v>0</v>
      </c>
      <c r="V2304" s="8" t="b">
        <v>0</v>
      </c>
      <c r="X2304" s="8" t="b">
        <v>0</v>
      </c>
      <c r="Y2304" s="8" t="b">
        <v>0</v>
      </c>
      <c r="Z2304" s="8" t="b">
        <v>0</v>
      </c>
      <c r="AA2304" s="8" t="b">
        <v>0</v>
      </c>
      <c r="AB2304" s="8" t="b">
        <v>0</v>
      </c>
      <c r="AC2304" s="8" t="b">
        <v>0</v>
      </c>
      <c r="AD2304" s="8" t="b">
        <v>1</v>
      </c>
      <c r="AE2304" s="8" t="b">
        <v>0</v>
      </c>
      <c r="AG2304" s="11" t="b" cm="1">
        <f t="array" ref="AG2304">IF(OR(Y2304:AA2304="TRUE", AE2304="true"), "Threatened")</f>
        <v>0</v>
      </c>
      <c r="AH2304" s="11" t="s">
        <v>5766</v>
      </c>
      <c r="AI2304" s="8" t="b">
        <v>1</v>
      </c>
    </row>
    <row r="2305" spans="1:35" ht="31.2">
      <c r="A2305" s="8">
        <v>-73.971525119999995</v>
      </c>
      <c r="B2305" s="8">
        <v>40.774621779999997</v>
      </c>
      <c r="C2305" s="8" t="s">
        <v>5767</v>
      </c>
      <c r="D2305" s="8" t="s">
        <v>1115</v>
      </c>
      <c r="E2305" s="8" t="b">
        <f t="shared" si="35"/>
        <v>0</v>
      </c>
      <c r="F2305" s="8" t="str" cm="1">
        <f t="array" ref="F2305">_xlfn._xlws.FILTER(E2305:E5503, C2305:C5503= "6D-PM-1020-01", "No Squirrels Found")</f>
        <v>No Squirrels Found</v>
      </c>
      <c r="G2305" s="8" t="s">
        <v>34</v>
      </c>
      <c r="H2305" s="10">
        <v>10122018</v>
      </c>
      <c r="I2305" s="10">
        <v>7</v>
      </c>
      <c r="J2305" s="8" t="s">
        <v>39</v>
      </c>
      <c r="K2305" s="8" t="s">
        <v>40</v>
      </c>
      <c r="L2305" s="8" t="s">
        <v>84</v>
      </c>
      <c r="M2305" s="8" t="s">
        <v>103</v>
      </c>
      <c r="O2305" s="8" t="s">
        <v>43</v>
      </c>
      <c r="P2305" s="8" t="b">
        <v>0</v>
      </c>
      <c r="R2305" s="8" t="b">
        <v>0</v>
      </c>
      <c r="S2305" s="8" t="b">
        <v>0</v>
      </c>
      <c r="T2305" s="8" t="b">
        <v>0</v>
      </c>
      <c r="U2305" s="8" t="b">
        <v>1</v>
      </c>
      <c r="V2305" s="8" t="b">
        <v>0</v>
      </c>
      <c r="X2305" s="8" t="b">
        <v>0</v>
      </c>
      <c r="Y2305" s="8" t="b">
        <v>0</v>
      </c>
      <c r="Z2305" s="8" t="b">
        <v>0</v>
      </c>
      <c r="AA2305" s="8" t="b">
        <v>0</v>
      </c>
      <c r="AB2305" s="8" t="b">
        <v>0</v>
      </c>
      <c r="AC2305" s="8" t="b">
        <v>0</v>
      </c>
      <c r="AD2305" s="8" t="b">
        <v>1</v>
      </c>
      <c r="AE2305" s="8" t="b">
        <v>0</v>
      </c>
      <c r="AG2305" s="11" t="b" cm="1">
        <f t="array" ref="AG2305">IF(OR(Y2305:AA2305="TRUE", AE2305="true"), "Threatened")</f>
        <v>0</v>
      </c>
      <c r="AH2305" s="11" t="s">
        <v>5768</v>
      </c>
      <c r="AI2305" s="8" t="b">
        <v>1</v>
      </c>
    </row>
    <row r="2306" spans="1:35" ht="31.2">
      <c r="A2306" s="8">
        <v>-73.967983320000002</v>
      </c>
      <c r="B2306" s="8">
        <v>40.773854710000002</v>
      </c>
      <c r="C2306" s="8" t="s">
        <v>5769</v>
      </c>
      <c r="D2306" s="8" t="s">
        <v>1391</v>
      </c>
      <c r="E2306" s="8" t="b">
        <f t="shared" si="35"/>
        <v>0</v>
      </c>
      <c r="F2306" s="8" t="str" cm="1">
        <f t="array" ref="F2306">_xlfn._xlws.FILTER(E2306:E5504, C2306:C5504= "6D-PM-1020-01", "No Squirrels Found")</f>
        <v>No Squirrels Found</v>
      </c>
      <c r="G2306" s="8" t="s">
        <v>34</v>
      </c>
      <c r="H2306" s="10">
        <v>10072018</v>
      </c>
      <c r="I2306" s="10">
        <v>5</v>
      </c>
      <c r="K2306" s="8" t="s">
        <v>40</v>
      </c>
      <c r="L2306" s="8" t="s">
        <v>41</v>
      </c>
      <c r="M2306" s="8" t="s">
        <v>42</v>
      </c>
      <c r="O2306" s="8" t="s">
        <v>43</v>
      </c>
      <c r="P2306" s="8" t="b">
        <v>0</v>
      </c>
      <c r="R2306" s="8" t="b">
        <v>0</v>
      </c>
      <c r="S2306" s="8" t="b">
        <v>0</v>
      </c>
      <c r="T2306" s="8" t="b">
        <v>0</v>
      </c>
      <c r="U2306" s="8" t="b">
        <v>0</v>
      </c>
      <c r="V2306" s="8" t="b">
        <v>1</v>
      </c>
      <c r="X2306" s="8" t="b">
        <v>0</v>
      </c>
      <c r="Y2306" s="8" t="b">
        <v>0</v>
      </c>
      <c r="Z2306" s="8" t="b">
        <v>0</v>
      </c>
      <c r="AA2306" s="8" t="b">
        <v>0</v>
      </c>
      <c r="AB2306" s="8" t="b">
        <v>0</v>
      </c>
      <c r="AC2306" s="8" t="b">
        <v>0</v>
      </c>
      <c r="AD2306" s="8" t="b">
        <v>1</v>
      </c>
      <c r="AE2306" s="8" t="b">
        <v>0</v>
      </c>
      <c r="AG2306" s="11" t="b" cm="1">
        <f t="array" ref="AG2306">IF(OR(Y2306:AA2306="TRUE", AE2306="true"), "Threatened")</f>
        <v>0</v>
      </c>
      <c r="AH2306" s="11" t="s">
        <v>5770</v>
      </c>
      <c r="AI2306" s="8" t="b">
        <v>1</v>
      </c>
    </row>
    <row r="2307" spans="1:35" ht="31.2">
      <c r="A2307" s="8">
        <v>-73.9564539</v>
      </c>
      <c r="B2307" s="8">
        <v>40.793658440000002</v>
      </c>
      <c r="C2307" s="8" t="s">
        <v>5771</v>
      </c>
      <c r="D2307" s="8" t="s">
        <v>702</v>
      </c>
      <c r="E2307" s="8" t="b">
        <f t="shared" ref="E2307:E2370" si="36">OR(D2307 = "05D", D2307 = "07D", D2307 = "06C", D2307 = "06E")</f>
        <v>0</v>
      </c>
      <c r="F2307" s="8" t="str" cm="1">
        <f t="array" ref="F2307">_xlfn._xlws.FILTER(E2307:E5505, C2307:C5505= "6D-PM-1020-01", "No Squirrels Found")</f>
        <v>No Squirrels Found</v>
      </c>
      <c r="G2307" s="8" t="s">
        <v>34</v>
      </c>
      <c r="H2307" s="10">
        <v>10122018</v>
      </c>
      <c r="I2307" s="10">
        <v>5</v>
      </c>
      <c r="J2307" s="8" t="s">
        <v>39</v>
      </c>
      <c r="K2307" s="8" t="s">
        <v>40</v>
      </c>
      <c r="L2307" s="8" t="s">
        <v>84</v>
      </c>
      <c r="M2307" s="8" t="s">
        <v>103</v>
      </c>
      <c r="O2307" s="8" t="s">
        <v>43</v>
      </c>
      <c r="P2307" s="8" t="b">
        <v>0</v>
      </c>
      <c r="R2307" s="8" t="b">
        <v>0</v>
      </c>
      <c r="S2307" s="8" t="b">
        <v>0</v>
      </c>
      <c r="T2307" s="8" t="b">
        <v>0</v>
      </c>
      <c r="U2307" s="8" t="b">
        <v>0</v>
      </c>
      <c r="V2307" s="8" t="b">
        <v>1</v>
      </c>
      <c r="X2307" s="8" t="b">
        <v>0</v>
      </c>
      <c r="Y2307" s="8" t="b">
        <v>0</v>
      </c>
      <c r="Z2307" s="8" t="b">
        <v>0</v>
      </c>
      <c r="AA2307" s="8" t="b">
        <v>0</v>
      </c>
      <c r="AB2307" s="8" t="b">
        <v>0</v>
      </c>
      <c r="AC2307" s="8" t="b">
        <v>0</v>
      </c>
      <c r="AD2307" s="8" t="b">
        <v>1</v>
      </c>
      <c r="AE2307" s="8" t="b">
        <v>0</v>
      </c>
      <c r="AG2307" s="11" t="b" cm="1">
        <f t="array" ref="AG2307">IF(OR(Y2307:AA2307="TRUE", AE2307="true"), "Threatened")</f>
        <v>0</v>
      </c>
      <c r="AH2307" s="11" t="s">
        <v>5772</v>
      </c>
      <c r="AI2307" s="8" t="b">
        <v>1</v>
      </c>
    </row>
    <row r="2308" spans="1:35" ht="31.2">
      <c r="A2308" s="8">
        <v>-73.973699699999997</v>
      </c>
      <c r="B2308" s="8">
        <v>40.778497950000002</v>
      </c>
      <c r="C2308" s="8" t="s">
        <v>5773</v>
      </c>
      <c r="D2308" s="8" t="s">
        <v>797</v>
      </c>
      <c r="E2308" s="8" t="b">
        <f t="shared" si="36"/>
        <v>0</v>
      </c>
      <c r="F2308" s="8" t="str" cm="1">
        <f t="array" ref="F2308">_xlfn._xlws.FILTER(E2308:E5506, C2308:C5506= "6D-PM-1020-01", "No Squirrels Found")</f>
        <v>No Squirrels Found</v>
      </c>
      <c r="G2308" s="8" t="s">
        <v>34</v>
      </c>
      <c r="H2308" s="10">
        <v>10142018</v>
      </c>
      <c r="I2308" s="10">
        <v>2</v>
      </c>
      <c r="J2308" s="8" t="s">
        <v>39</v>
      </c>
      <c r="K2308" s="8" t="s">
        <v>40</v>
      </c>
      <c r="L2308" s="8" t="s">
        <v>117</v>
      </c>
      <c r="M2308" s="8" t="s">
        <v>118</v>
      </c>
      <c r="O2308" s="8" t="s">
        <v>43</v>
      </c>
      <c r="P2308" s="8" t="b">
        <v>0</v>
      </c>
      <c r="R2308" s="8" t="b">
        <v>1</v>
      </c>
      <c r="S2308" s="8" t="b">
        <v>0</v>
      </c>
      <c r="T2308" s="8" t="b">
        <v>0</v>
      </c>
      <c r="U2308" s="8" t="b">
        <v>0</v>
      </c>
      <c r="V2308" s="8" t="b">
        <v>0</v>
      </c>
      <c r="X2308" s="8" t="b">
        <v>0</v>
      </c>
      <c r="Y2308" s="8" t="b">
        <v>0</v>
      </c>
      <c r="Z2308" s="8" t="b">
        <v>0</v>
      </c>
      <c r="AA2308" s="8" t="b">
        <v>0</v>
      </c>
      <c r="AB2308" s="8" t="b">
        <v>0</v>
      </c>
      <c r="AC2308" s="8" t="b">
        <v>0</v>
      </c>
      <c r="AD2308" s="8" t="b">
        <v>0</v>
      </c>
      <c r="AE2308" s="8" t="b">
        <v>1</v>
      </c>
      <c r="AG2308" s="11" t="b" cm="1">
        <f t="array" ref="AG2308">IF(OR(Y2308:AA2308="TRUE", AE2308="true"), "Threatened")</f>
        <v>0</v>
      </c>
      <c r="AH2308" s="11" t="s">
        <v>5774</v>
      </c>
      <c r="AI2308" s="8" t="b">
        <v>1</v>
      </c>
    </row>
    <row r="2309" spans="1:35" ht="31.2">
      <c r="A2309" s="8">
        <v>-73.968857490000005</v>
      </c>
      <c r="B2309" s="8">
        <v>40.778077019999998</v>
      </c>
      <c r="C2309" s="8" t="s">
        <v>5775</v>
      </c>
      <c r="D2309" s="8" t="s">
        <v>271</v>
      </c>
      <c r="E2309" s="8" t="b">
        <f t="shared" si="36"/>
        <v>0</v>
      </c>
      <c r="F2309" s="8" t="str" cm="1">
        <f t="array" ref="F2309">_xlfn._xlws.FILTER(E2309:E5507, C2309:C5507= "6D-PM-1020-01", "No Squirrels Found")</f>
        <v>No Squirrels Found</v>
      </c>
      <c r="G2309" s="8" t="s">
        <v>48</v>
      </c>
      <c r="H2309" s="10">
        <v>10142018</v>
      </c>
      <c r="I2309" s="10">
        <v>10</v>
      </c>
      <c r="J2309" s="8" t="s">
        <v>39</v>
      </c>
      <c r="K2309" s="8" t="s">
        <v>40</v>
      </c>
      <c r="L2309" s="8" t="s">
        <v>41</v>
      </c>
      <c r="M2309" s="8" t="s">
        <v>42</v>
      </c>
      <c r="O2309" s="8" t="s">
        <v>50</v>
      </c>
      <c r="P2309" s="8">
        <v>25</v>
      </c>
      <c r="R2309" s="8" t="b">
        <v>0</v>
      </c>
      <c r="S2309" s="8" t="b">
        <v>0</v>
      </c>
      <c r="T2309" s="8" t="b">
        <v>1</v>
      </c>
      <c r="U2309" s="8" t="b">
        <v>0</v>
      </c>
      <c r="V2309" s="8" t="b">
        <v>0</v>
      </c>
      <c r="X2309" s="8" t="b">
        <v>0</v>
      </c>
      <c r="Y2309" s="8" t="b">
        <v>0</v>
      </c>
      <c r="Z2309" s="8" t="b">
        <v>0</v>
      </c>
      <c r="AA2309" s="8" t="b">
        <v>0</v>
      </c>
      <c r="AB2309" s="8" t="b">
        <v>0</v>
      </c>
      <c r="AC2309" s="8" t="b">
        <v>0</v>
      </c>
      <c r="AD2309" s="8" t="b">
        <v>0</v>
      </c>
      <c r="AE2309" s="8" t="b">
        <v>0</v>
      </c>
      <c r="AG2309" s="11" t="b" cm="1">
        <f t="array" ref="AG2309">IF(OR(Y2309:AA2309="TRUE", AE2309="true"), "Threatened")</f>
        <v>0</v>
      </c>
      <c r="AH2309" s="11" t="s">
        <v>5776</v>
      </c>
      <c r="AI2309" s="8" t="b">
        <v>1</v>
      </c>
    </row>
    <row r="2310" spans="1:35" ht="31.2">
      <c r="A2310" s="8">
        <v>-73.966824259999996</v>
      </c>
      <c r="B2310" s="8">
        <v>40.775340540000002</v>
      </c>
      <c r="C2310" s="8" t="s">
        <v>5777</v>
      </c>
      <c r="D2310" s="8" t="s">
        <v>1320</v>
      </c>
      <c r="E2310" s="8" t="b">
        <f t="shared" si="36"/>
        <v>0</v>
      </c>
      <c r="F2310" s="8" t="str" cm="1">
        <f t="array" ref="F2310">_xlfn._xlws.FILTER(E2310:E5508, C2310:C5508= "6D-PM-1020-01", "No Squirrels Found")</f>
        <v>No Squirrels Found</v>
      </c>
      <c r="G2310" s="8" t="s">
        <v>34</v>
      </c>
      <c r="H2310" s="10">
        <v>10122018</v>
      </c>
      <c r="I2310" s="10">
        <v>4</v>
      </c>
      <c r="J2310" s="8" t="s">
        <v>39</v>
      </c>
      <c r="K2310" s="8" t="s">
        <v>41</v>
      </c>
      <c r="L2310" s="8" t="s">
        <v>40</v>
      </c>
      <c r="M2310" s="8" t="s">
        <v>110</v>
      </c>
      <c r="O2310" s="8" t="s">
        <v>43</v>
      </c>
      <c r="P2310" s="8" t="b">
        <v>0</v>
      </c>
      <c r="R2310" s="8" t="b">
        <v>0</v>
      </c>
      <c r="S2310" s="8" t="b">
        <v>0</v>
      </c>
      <c r="T2310" s="8" t="b">
        <v>0</v>
      </c>
      <c r="U2310" s="8" t="b">
        <v>1</v>
      </c>
      <c r="V2310" s="8" t="b">
        <v>0</v>
      </c>
      <c r="X2310" s="8" t="b">
        <v>0</v>
      </c>
      <c r="Y2310" s="8" t="b">
        <v>0</v>
      </c>
      <c r="Z2310" s="8" t="b">
        <v>0</v>
      </c>
      <c r="AA2310" s="8" t="b">
        <v>0</v>
      </c>
      <c r="AB2310" s="8" t="b">
        <v>0</v>
      </c>
      <c r="AC2310" s="8" t="b">
        <v>0</v>
      </c>
      <c r="AD2310" s="8" t="b">
        <v>1</v>
      </c>
      <c r="AE2310" s="8" t="b">
        <v>0</v>
      </c>
      <c r="AG2310" s="11" t="b" cm="1">
        <f t="array" ref="AG2310">IF(OR(Y2310:AA2310="TRUE", AE2310="true"), "Threatened")</f>
        <v>0</v>
      </c>
      <c r="AH2310" s="11" t="s">
        <v>5778</v>
      </c>
      <c r="AI2310" s="8" t="b">
        <v>1</v>
      </c>
    </row>
    <row r="2311" spans="1:35" ht="31.2">
      <c r="A2311" s="8">
        <v>-73.971286320000004</v>
      </c>
      <c r="B2311" s="8">
        <v>40.77469876</v>
      </c>
      <c r="C2311" s="8" t="s">
        <v>5779</v>
      </c>
      <c r="D2311" s="8" t="s">
        <v>738</v>
      </c>
      <c r="E2311" s="8" t="b">
        <f t="shared" si="36"/>
        <v>0</v>
      </c>
      <c r="F2311" s="8" t="str" cm="1">
        <f t="array" ref="F2311">_xlfn._xlws.FILTER(E2311:E5509, C2311:C5509= "6D-PM-1020-01", "No Squirrels Found")</f>
        <v>No Squirrels Found</v>
      </c>
      <c r="G2311" s="8" t="s">
        <v>48</v>
      </c>
      <c r="H2311" s="10">
        <v>10172018</v>
      </c>
      <c r="I2311" s="10">
        <v>1</v>
      </c>
      <c r="J2311" s="8" t="s">
        <v>39</v>
      </c>
      <c r="K2311" s="8" t="s">
        <v>40</v>
      </c>
      <c r="L2311" s="8" t="s">
        <v>117</v>
      </c>
      <c r="M2311" s="8" t="s">
        <v>118</v>
      </c>
      <c r="O2311" s="8" t="s">
        <v>43</v>
      </c>
      <c r="P2311" s="8" t="b">
        <v>0</v>
      </c>
      <c r="R2311" s="8" t="b">
        <v>0</v>
      </c>
      <c r="S2311" s="8" t="b">
        <v>0</v>
      </c>
      <c r="T2311" s="8" t="b">
        <v>0</v>
      </c>
      <c r="U2311" s="8" t="b">
        <v>0</v>
      </c>
      <c r="V2311" s="8" t="b">
        <v>1</v>
      </c>
      <c r="X2311" s="8" t="b">
        <v>0</v>
      </c>
      <c r="Y2311" s="8" t="b">
        <v>0</v>
      </c>
      <c r="Z2311" s="8" t="b">
        <v>0</v>
      </c>
      <c r="AA2311" s="8" t="b">
        <v>0</v>
      </c>
      <c r="AB2311" s="8" t="b">
        <v>0</v>
      </c>
      <c r="AC2311" s="8" t="b">
        <v>0</v>
      </c>
      <c r="AD2311" s="8" t="b">
        <v>1</v>
      </c>
      <c r="AE2311" s="8" t="b">
        <v>0</v>
      </c>
      <c r="AG2311" s="11" t="b" cm="1">
        <f t="array" ref="AG2311">IF(OR(Y2311:AA2311="TRUE", AE2311="true"), "Threatened")</f>
        <v>0</v>
      </c>
      <c r="AH2311" s="11" t="s">
        <v>5780</v>
      </c>
      <c r="AI2311" s="8" t="b">
        <v>1</v>
      </c>
    </row>
    <row r="2312" spans="1:35" ht="31.2">
      <c r="A2312" s="8">
        <v>-73.968017189999998</v>
      </c>
      <c r="B2312" s="8">
        <v>40.77246444</v>
      </c>
      <c r="C2312" s="8" t="s">
        <v>5781</v>
      </c>
      <c r="D2312" s="8" t="s">
        <v>1270</v>
      </c>
      <c r="E2312" s="8" t="b">
        <f t="shared" si="36"/>
        <v>0</v>
      </c>
      <c r="F2312" s="8" t="str" cm="1">
        <f t="array" ref="F2312">_xlfn._xlws.FILTER(E2312:E5510, C2312:C5510= "6D-PM-1020-01", "No Squirrels Found")</f>
        <v>No Squirrels Found</v>
      </c>
      <c r="G2312" s="8" t="s">
        <v>34</v>
      </c>
      <c r="H2312" s="10">
        <v>10122018</v>
      </c>
      <c r="I2312" s="10">
        <v>7</v>
      </c>
      <c r="J2312" s="8" t="s">
        <v>54</v>
      </c>
      <c r="K2312" s="8" t="s">
        <v>40</v>
      </c>
      <c r="M2312" s="8" t="s">
        <v>55</v>
      </c>
      <c r="O2312" s="8" t="s">
        <v>43</v>
      </c>
      <c r="P2312" s="8" t="b">
        <v>0</v>
      </c>
      <c r="R2312" s="8" t="b">
        <v>0</v>
      </c>
      <c r="S2312" s="8" t="b">
        <v>0</v>
      </c>
      <c r="T2312" s="8" t="b">
        <v>0</v>
      </c>
      <c r="U2312" s="8" t="b">
        <v>0</v>
      </c>
      <c r="V2312" s="8" t="b">
        <v>1</v>
      </c>
      <c r="W2312" s="11" t="s">
        <v>5782</v>
      </c>
      <c r="X2312" s="8" t="b">
        <v>0</v>
      </c>
      <c r="Y2312" s="8" t="b">
        <v>0</v>
      </c>
      <c r="Z2312" s="8" t="b">
        <v>0</v>
      </c>
      <c r="AA2312" s="8" t="b">
        <v>0</v>
      </c>
      <c r="AB2312" s="8" t="b">
        <v>0</v>
      </c>
      <c r="AC2312" s="8" t="b">
        <v>0</v>
      </c>
      <c r="AD2312" s="8" t="b">
        <v>0</v>
      </c>
      <c r="AE2312" s="8" t="b">
        <v>0</v>
      </c>
      <c r="AG2312" s="11" t="b" cm="1">
        <f t="array" ref="AG2312">IF(OR(Y2312:AA2312="TRUE", AE2312="true"), "Threatened")</f>
        <v>0</v>
      </c>
      <c r="AH2312" s="11" t="s">
        <v>5783</v>
      </c>
      <c r="AI2312" s="8" t="b">
        <v>0</v>
      </c>
    </row>
    <row r="2313" spans="1:35" ht="31.2">
      <c r="A2313" s="8">
        <v>-73.976586699999999</v>
      </c>
      <c r="B2313" s="8">
        <v>40.767430429999997</v>
      </c>
      <c r="C2313" s="8" t="s">
        <v>5784</v>
      </c>
      <c r="D2313" s="8" t="s">
        <v>47</v>
      </c>
      <c r="E2313" s="8" t="b">
        <f t="shared" si="36"/>
        <v>0</v>
      </c>
      <c r="F2313" s="8" t="str" cm="1">
        <f t="array" ref="F2313">_xlfn._xlws.FILTER(E2313:E5511, C2313:C5511= "6D-PM-1020-01", "No Squirrels Found")</f>
        <v>No Squirrels Found</v>
      </c>
      <c r="G2313" s="8" t="s">
        <v>34</v>
      </c>
      <c r="H2313" s="10">
        <v>10142018</v>
      </c>
      <c r="I2313" s="10">
        <v>1</v>
      </c>
      <c r="J2313" s="8" t="s">
        <v>39</v>
      </c>
      <c r="K2313" s="8" t="s">
        <v>40</v>
      </c>
      <c r="L2313" s="8" t="s">
        <v>84</v>
      </c>
      <c r="M2313" s="8" t="s">
        <v>103</v>
      </c>
      <c r="O2313" s="8" t="s">
        <v>43</v>
      </c>
      <c r="P2313" s="8" t="b">
        <v>0</v>
      </c>
      <c r="R2313" s="8" t="b">
        <v>0</v>
      </c>
      <c r="S2313" s="8" t="b">
        <v>0</v>
      </c>
      <c r="T2313" s="8" t="b">
        <v>0</v>
      </c>
      <c r="U2313" s="8" t="b">
        <v>0</v>
      </c>
      <c r="V2313" s="8" t="b">
        <v>1</v>
      </c>
      <c r="X2313" s="8" t="b">
        <v>0</v>
      </c>
      <c r="Y2313" s="8" t="b">
        <v>0</v>
      </c>
      <c r="Z2313" s="8" t="b">
        <v>0</v>
      </c>
      <c r="AA2313" s="8" t="b">
        <v>0</v>
      </c>
      <c r="AB2313" s="8" t="b">
        <v>1</v>
      </c>
      <c r="AC2313" s="8" t="b">
        <v>1</v>
      </c>
      <c r="AD2313" s="8" t="b">
        <v>0</v>
      </c>
      <c r="AE2313" s="8" t="b">
        <v>0</v>
      </c>
      <c r="AG2313" s="11" t="b" cm="1">
        <f t="array" ref="AG2313">IF(OR(Y2313:AA2313="TRUE", AE2313="true"), "Threatened")</f>
        <v>0</v>
      </c>
      <c r="AH2313" s="11" t="s">
        <v>5785</v>
      </c>
      <c r="AI2313" s="8" t="b">
        <v>1</v>
      </c>
    </row>
    <row r="2314" spans="1:35" ht="31.2">
      <c r="A2314" s="8">
        <v>-73.964617399999995</v>
      </c>
      <c r="B2314" s="8">
        <v>40.77812875</v>
      </c>
      <c r="C2314" s="8" t="s">
        <v>5786</v>
      </c>
      <c r="D2314" s="8" t="s">
        <v>1813</v>
      </c>
      <c r="E2314" s="8" t="b">
        <f t="shared" si="36"/>
        <v>0</v>
      </c>
      <c r="F2314" s="8" t="str" cm="1">
        <f t="array" ref="F2314">_xlfn._xlws.FILTER(E2314:E5512, C2314:C5512= "6D-PM-1020-01", "No Squirrels Found")</f>
        <v>No Squirrels Found</v>
      </c>
      <c r="G2314" s="8" t="s">
        <v>48</v>
      </c>
      <c r="H2314" s="10">
        <v>10182018</v>
      </c>
      <c r="I2314" s="10">
        <v>1</v>
      </c>
      <c r="J2314" s="8" t="s">
        <v>39</v>
      </c>
      <c r="K2314" s="8" t="s">
        <v>40</v>
      </c>
      <c r="L2314" s="8" t="s">
        <v>41</v>
      </c>
      <c r="M2314" s="8" t="s">
        <v>42</v>
      </c>
      <c r="O2314" s="8" t="s">
        <v>43</v>
      </c>
      <c r="P2314" s="8" t="b">
        <v>0</v>
      </c>
      <c r="Q2314" s="8" t="s">
        <v>5787</v>
      </c>
      <c r="R2314" s="8" t="b">
        <v>1</v>
      </c>
      <c r="S2314" s="8" t="b">
        <v>1</v>
      </c>
      <c r="T2314" s="8" t="b">
        <v>0</v>
      </c>
      <c r="U2314" s="8" t="b">
        <v>0</v>
      </c>
      <c r="V2314" s="8" t="b">
        <v>0</v>
      </c>
      <c r="W2314" s="11" t="s">
        <v>3821</v>
      </c>
      <c r="X2314" s="8" t="b">
        <v>0</v>
      </c>
      <c r="Y2314" s="8" t="b">
        <v>0</v>
      </c>
      <c r="Z2314" s="8" t="b">
        <v>0</v>
      </c>
      <c r="AA2314" s="8" t="b">
        <v>0</v>
      </c>
      <c r="AB2314" s="8" t="b">
        <v>0</v>
      </c>
      <c r="AC2314" s="8" t="b">
        <v>0</v>
      </c>
      <c r="AD2314" s="8" t="b">
        <v>0</v>
      </c>
      <c r="AE2314" s="8" t="b">
        <v>0</v>
      </c>
      <c r="AG2314" s="11" t="b" cm="1">
        <f t="array" ref="AG2314">IF(OR(Y2314:AA2314="TRUE", AE2314="true"), "Threatened")</f>
        <v>0</v>
      </c>
      <c r="AH2314" s="11" t="s">
        <v>5788</v>
      </c>
      <c r="AI2314" s="8" t="b">
        <v>0</v>
      </c>
    </row>
    <row r="2315" spans="1:35" ht="31.2">
      <c r="A2315" s="8">
        <v>-73.966396140000001</v>
      </c>
      <c r="B2315" s="8">
        <v>40.775069109999997</v>
      </c>
      <c r="C2315" s="8" t="s">
        <v>5789</v>
      </c>
      <c r="D2315" s="8" t="s">
        <v>1320</v>
      </c>
      <c r="E2315" s="8" t="b">
        <f t="shared" si="36"/>
        <v>0</v>
      </c>
      <c r="F2315" s="8" t="str" cm="1">
        <f t="array" ref="F2315">_xlfn._xlws.FILTER(E2315:E5513, C2315:C5513= "6D-PM-1020-01", "No Squirrels Found")</f>
        <v>No Squirrels Found</v>
      </c>
      <c r="G2315" s="8" t="s">
        <v>34</v>
      </c>
      <c r="H2315" s="10">
        <v>10122018</v>
      </c>
      <c r="I2315" s="10">
        <v>6</v>
      </c>
      <c r="J2315" s="8" t="s">
        <v>39</v>
      </c>
      <c r="K2315" s="8" t="s">
        <v>40</v>
      </c>
      <c r="L2315" s="8" t="s">
        <v>117</v>
      </c>
      <c r="M2315" s="8" t="s">
        <v>118</v>
      </c>
      <c r="N2315" s="11" t="s">
        <v>5790</v>
      </c>
      <c r="O2315" s="8" t="s">
        <v>43</v>
      </c>
      <c r="P2315" s="8" t="b">
        <v>0</v>
      </c>
      <c r="R2315" s="8" t="b">
        <v>0</v>
      </c>
      <c r="S2315" s="8" t="b">
        <v>0</v>
      </c>
      <c r="T2315" s="8" t="b">
        <v>0</v>
      </c>
      <c r="U2315" s="8" t="b">
        <v>1</v>
      </c>
      <c r="V2315" s="8" t="b">
        <v>1</v>
      </c>
      <c r="X2315" s="8" t="b">
        <v>0</v>
      </c>
      <c r="Y2315" s="8" t="b">
        <v>0</v>
      </c>
      <c r="Z2315" s="8" t="b">
        <v>0</v>
      </c>
      <c r="AA2315" s="8" t="b">
        <v>0</v>
      </c>
      <c r="AB2315" s="8" t="b">
        <v>1</v>
      </c>
      <c r="AC2315" s="8" t="b">
        <v>0</v>
      </c>
      <c r="AD2315" s="8" t="b">
        <v>1</v>
      </c>
      <c r="AE2315" s="8" t="b">
        <v>0</v>
      </c>
      <c r="AG2315" s="11" t="b" cm="1">
        <f t="array" ref="AG2315">IF(OR(Y2315:AA2315="TRUE", AE2315="true"), "Threatened")</f>
        <v>0</v>
      </c>
      <c r="AH2315" s="11" t="s">
        <v>5791</v>
      </c>
      <c r="AI2315" s="8" t="b">
        <v>1</v>
      </c>
    </row>
    <row r="2316" spans="1:35" ht="31.2">
      <c r="A2316" s="8">
        <v>-73.976784969999997</v>
      </c>
      <c r="B2316" s="8">
        <v>40.76856652</v>
      </c>
      <c r="C2316" s="8" t="s">
        <v>5792</v>
      </c>
      <c r="D2316" s="8" t="s">
        <v>512</v>
      </c>
      <c r="E2316" s="8" t="b">
        <f t="shared" si="36"/>
        <v>0</v>
      </c>
      <c r="F2316" s="8" t="str" cm="1">
        <f t="array" ref="F2316">_xlfn._xlws.FILTER(E2316:E5514, C2316:C5514= "6D-PM-1020-01", "No Squirrels Found")</f>
        <v>No Squirrels Found</v>
      </c>
      <c r="G2316" s="8" t="s">
        <v>34</v>
      </c>
      <c r="H2316" s="10">
        <v>10102018</v>
      </c>
      <c r="I2316" s="10">
        <v>4</v>
      </c>
      <c r="J2316" s="8" t="s">
        <v>39</v>
      </c>
      <c r="K2316" s="8" t="s">
        <v>40</v>
      </c>
      <c r="L2316" s="8" t="s">
        <v>41</v>
      </c>
      <c r="M2316" s="8" t="s">
        <v>42</v>
      </c>
      <c r="O2316" s="8" t="s">
        <v>43</v>
      </c>
      <c r="P2316" s="8" t="b">
        <v>0</v>
      </c>
      <c r="R2316" s="8" t="b">
        <v>0</v>
      </c>
      <c r="S2316" s="8" t="b">
        <v>0</v>
      </c>
      <c r="T2316" s="8" t="b">
        <v>0</v>
      </c>
      <c r="U2316" s="8" t="b">
        <v>0</v>
      </c>
      <c r="V2316" s="8" t="b">
        <v>1</v>
      </c>
      <c r="X2316" s="8" t="b">
        <v>0</v>
      </c>
      <c r="Y2316" s="8" t="b">
        <v>0</v>
      </c>
      <c r="Z2316" s="8" t="b">
        <v>0</v>
      </c>
      <c r="AA2316" s="8" t="b">
        <v>0</v>
      </c>
      <c r="AB2316" s="8" t="b">
        <v>0</v>
      </c>
      <c r="AC2316" s="8" t="b">
        <v>0</v>
      </c>
      <c r="AD2316" s="8" t="b">
        <v>0</v>
      </c>
      <c r="AE2316" s="8" t="b">
        <v>0</v>
      </c>
      <c r="AG2316" s="11" t="b" cm="1">
        <f t="array" ref="AG2316">IF(OR(Y2316:AA2316="TRUE", AE2316="true"), "Threatened")</f>
        <v>0</v>
      </c>
      <c r="AH2316" s="11" t="s">
        <v>5793</v>
      </c>
      <c r="AI2316" s="8" t="b">
        <v>1</v>
      </c>
    </row>
    <row r="2317" spans="1:35" ht="31.2">
      <c r="A2317" s="8">
        <v>-73.957697359999997</v>
      </c>
      <c r="B2317" s="8">
        <v>40.79975769</v>
      </c>
      <c r="C2317" s="8" t="s">
        <v>5794</v>
      </c>
      <c r="D2317" s="8" t="s">
        <v>2384</v>
      </c>
      <c r="E2317" s="8" t="b">
        <f t="shared" si="36"/>
        <v>0</v>
      </c>
      <c r="F2317" s="8" t="str" cm="1">
        <f t="array" ref="F2317">_xlfn._xlws.FILTER(E2317:E5515, C2317:C5515= "6D-PM-1020-01", "No Squirrels Found")</f>
        <v>No Squirrels Found</v>
      </c>
      <c r="G2317" s="8" t="s">
        <v>34</v>
      </c>
      <c r="H2317" s="10">
        <v>10142018</v>
      </c>
      <c r="I2317" s="10">
        <v>1</v>
      </c>
      <c r="J2317" s="8" t="s">
        <v>39</v>
      </c>
      <c r="K2317" s="8" t="s">
        <v>40</v>
      </c>
      <c r="L2317" s="8" t="s">
        <v>41</v>
      </c>
      <c r="M2317" s="8" t="s">
        <v>42</v>
      </c>
      <c r="O2317" s="8" t="s">
        <v>43</v>
      </c>
      <c r="P2317" s="8" t="b">
        <v>0</v>
      </c>
      <c r="R2317" s="8" t="b">
        <v>1</v>
      </c>
      <c r="S2317" s="8" t="b">
        <v>0</v>
      </c>
      <c r="T2317" s="8" t="b">
        <v>0</v>
      </c>
      <c r="U2317" s="8" t="b">
        <v>0</v>
      </c>
      <c r="V2317" s="8" t="b">
        <v>1</v>
      </c>
      <c r="W2317" s="11" t="s">
        <v>5795</v>
      </c>
      <c r="X2317" s="8" t="b">
        <v>0</v>
      </c>
      <c r="Y2317" s="8" t="b">
        <v>0</v>
      </c>
      <c r="Z2317" s="8" t="b">
        <v>0</v>
      </c>
      <c r="AA2317" s="8" t="b">
        <v>0</v>
      </c>
      <c r="AB2317" s="8" t="b">
        <v>0</v>
      </c>
      <c r="AC2317" s="8" t="b">
        <v>0</v>
      </c>
      <c r="AD2317" s="8" t="b">
        <v>0</v>
      </c>
      <c r="AE2317" s="8" t="b">
        <v>0</v>
      </c>
      <c r="AF2317" s="11" t="s">
        <v>5796</v>
      </c>
      <c r="AG2317" s="11" t="b" cm="1">
        <f t="array" ref="AG2317">IF(OR(Y2317:AA2317="TRUE", AE2317="true"), "Threatened")</f>
        <v>0</v>
      </c>
      <c r="AH2317" s="11" t="s">
        <v>5797</v>
      </c>
      <c r="AI2317" s="8" t="b">
        <v>0</v>
      </c>
    </row>
    <row r="2318" spans="1:35" ht="31.2">
      <c r="A2318" s="8">
        <v>-73.976736970000005</v>
      </c>
      <c r="B2318" s="8">
        <v>40.773507440000003</v>
      </c>
      <c r="C2318" s="8" t="s">
        <v>5798</v>
      </c>
      <c r="D2318" s="8" t="s">
        <v>249</v>
      </c>
      <c r="E2318" s="8" t="b">
        <f t="shared" si="36"/>
        <v>0</v>
      </c>
      <c r="F2318" s="8" t="str" cm="1">
        <f t="array" ref="F2318">_xlfn._xlws.FILTER(E2318:E5516, C2318:C5516= "6D-PM-1020-01", "No Squirrels Found")</f>
        <v>No Squirrels Found</v>
      </c>
      <c r="G2318" s="8" t="s">
        <v>34</v>
      </c>
      <c r="H2318" s="10">
        <v>10122018</v>
      </c>
      <c r="I2318" s="10">
        <v>5</v>
      </c>
      <c r="J2318" s="8" t="s">
        <v>39</v>
      </c>
      <c r="K2318" s="8" t="s">
        <v>41</v>
      </c>
      <c r="L2318" s="8" t="s">
        <v>84</v>
      </c>
      <c r="M2318" s="8" t="s">
        <v>85</v>
      </c>
      <c r="O2318" s="8" t="s">
        <v>43</v>
      </c>
      <c r="P2318" s="8" t="b">
        <v>0</v>
      </c>
      <c r="R2318" s="8" t="b">
        <v>0</v>
      </c>
      <c r="S2318" s="8" t="b">
        <v>0</v>
      </c>
      <c r="T2318" s="8" t="b">
        <v>1</v>
      </c>
      <c r="U2318" s="8" t="b">
        <v>1</v>
      </c>
      <c r="V2318" s="8" t="b">
        <v>1</v>
      </c>
      <c r="X2318" s="8" t="b">
        <v>0</v>
      </c>
      <c r="Y2318" s="8" t="b">
        <v>0</v>
      </c>
      <c r="Z2318" s="8" t="b">
        <v>0</v>
      </c>
      <c r="AA2318" s="8" t="b">
        <v>0</v>
      </c>
      <c r="AB2318" s="8" t="b">
        <v>0</v>
      </c>
      <c r="AC2318" s="8" t="b">
        <v>0</v>
      </c>
      <c r="AD2318" s="8" t="b">
        <v>1</v>
      </c>
      <c r="AE2318" s="8" t="b">
        <v>0</v>
      </c>
      <c r="AG2318" s="11" t="b" cm="1">
        <f t="array" ref="AG2318">IF(OR(Y2318:AA2318="TRUE", AE2318="true"), "Threatened")</f>
        <v>0</v>
      </c>
      <c r="AH2318" s="11" t="s">
        <v>5799</v>
      </c>
      <c r="AI2318" s="8" t="b">
        <v>1</v>
      </c>
    </row>
    <row r="2319" spans="1:35" ht="31.2">
      <c r="A2319" s="8">
        <v>-73.967458690000001</v>
      </c>
      <c r="B2319" s="8">
        <v>40.776992249999999</v>
      </c>
      <c r="C2319" s="8" t="s">
        <v>5800</v>
      </c>
      <c r="D2319" s="8" t="s">
        <v>326</v>
      </c>
      <c r="E2319" s="8" t="b">
        <f t="shared" si="36"/>
        <v>0</v>
      </c>
      <c r="F2319" s="8" t="str" cm="1">
        <f t="array" ref="F2319">_xlfn._xlws.FILTER(E2319:E5517, C2319:C5517= "6D-PM-1020-01", "No Squirrels Found")</f>
        <v>No Squirrels Found</v>
      </c>
      <c r="G2319" s="8" t="s">
        <v>48</v>
      </c>
      <c r="H2319" s="10">
        <v>10082018</v>
      </c>
      <c r="I2319" s="10">
        <v>2</v>
      </c>
      <c r="J2319" s="8" t="s">
        <v>39</v>
      </c>
      <c r="K2319" s="8" t="s">
        <v>40</v>
      </c>
      <c r="M2319" s="8" t="s">
        <v>55</v>
      </c>
      <c r="O2319" s="8" t="s">
        <v>43</v>
      </c>
      <c r="P2319" s="8" t="b">
        <v>0</v>
      </c>
      <c r="R2319" s="8" t="b">
        <v>1</v>
      </c>
      <c r="S2319" s="8" t="b">
        <v>0</v>
      </c>
      <c r="T2319" s="8" t="b">
        <v>0</v>
      </c>
      <c r="U2319" s="8" t="b">
        <v>0</v>
      </c>
      <c r="V2319" s="8" t="b">
        <v>0</v>
      </c>
      <c r="X2319" s="8" t="b">
        <v>0</v>
      </c>
      <c r="Y2319" s="8" t="b">
        <v>0</v>
      </c>
      <c r="Z2319" s="8" t="b">
        <v>0</v>
      </c>
      <c r="AA2319" s="8" t="b">
        <v>0</v>
      </c>
      <c r="AB2319" s="8" t="b">
        <v>0</v>
      </c>
      <c r="AC2319" s="8" t="b">
        <v>0</v>
      </c>
      <c r="AD2319" s="8" t="b">
        <v>0</v>
      </c>
      <c r="AE2319" s="8" t="b">
        <v>1</v>
      </c>
      <c r="AG2319" s="11" t="b" cm="1">
        <f t="array" ref="AG2319">IF(OR(Y2319:AA2319="TRUE", AE2319="true"), "Threatened")</f>
        <v>0</v>
      </c>
      <c r="AH2319" s="11" t="s">
        <v>5801</v>
      </c>
      <c r="AI2319" s="8" t="b">
        <v>1</v>
      </c>
    </row>
    <row r="2320" spans="1:35" ht="31.2">
      <c r="A2320" s="8">
        <v>-73.97568708</v>
      </c>
      <c r="B2320" s="8">
        <v>40.77336468</v>
      </c>
      <c r="C2320" s="8" t="s">
        <v>5802</v>
      </c>
      <c r="D2320" s="8" t="s">
        <v>802</v>
      </c>
      <c r="E2320" s="8" t="b">
        <f t="shared" si="36"/>
        <v>0</v>
      </c>
      <c r="F2320" s="8" t="str" cm="1">
        <f t="array" ref="F2320">_xlfn._xlws.FILTER(E2320:E5518, C2320:C5518= "6D-PM-1020-01", "No Squirrels Found")</f>
        <v>No Squirrels Found</v>
      </c>
      <c r="G2320" s="8" t="s">
        <v>48</v>
      </c>
      <c r="H2320" s="10">
        <v>10102018</v>
      </c>
      <c r="I2320" s="10">
        <v>9</v>
      </c>
      <c r="J2320" s="8" t="s">
        <v>39</v>
      </c>
      <c r="K2320" s="8" t="s">
        <v>40</v>
      </c>
      <c r="L2320" s="8" t="s">
        <v>41</v>
      </c>
      <c r="M2320" s="8" t="s">
        <v>42</v>
      </c>
      <c r="O2320" s="8" t="s">
        <v>43</v>
      </c>
      <c r="P2320" s="8" t="b">
        <v>0</v>
      </c>
      <c r="R2320" s="8" t="b">
        <v>1</v>
      </c>
      <c r="S2320" s="8" t="b">
        <v>0</v>
      </c>
      <c r="T2320" s="8" t="b">
        <v>0</v>
      </c>
      <c r="U2320" s="8" t="b">
        <v>1</v>
      </c>
      <c r="V2320" s="8" t="b">
        <v>0</v>
      </c>
      <c r="W2320" s="11" t="s">
        <v>5803</v>
      </c>
      <c r="X2320" s="8" t="b">
        <v>0</v>
      </c>
      <c r="Y2320" s="8" t="b">
        <v>0</v>
      </c>
      <c r="Z2320" s="8" t="b">
        <v>0</v>
      </c>
      <c r="AA2320" s="8" t="b">
        <v>0</v>
      </c>
      <c r="AB2320" s="8" t="b">
        <v>0</v>
      </c>
      <c r="AC2320" s="8" t="b">
        <v>0</v>
      </c>
      <c r="AD2320" s="8" t="b">
        <v>0</v>
      </c>
      <c r="AE2320" s="8" t="b">
        <v>0</v>
      </c>
      <c r="AG2320" s="11" t="b" cm="1">
        <f t="array" ref="AG2320">IF(OR(Y2320:AA2320="TRUE", AE2320="true"), "Threatened")</f>
        <v>0</v>
      </c>
      <c r="AH2320" s="11" t="s">
        <v>5804</v>
      </c>
      <c r="AI2320" s="8" t="b">
        <v>0</v>
      </c>
    </row>
    <row r="2321" spans="1:35" ht="31.2">
      <c r="A2321" s="8">
        <v>-73.95768975</v>
      </c>
      <c r="B2321" s="8">
        <v>40.796469530000003</v>
      </c>
      <c r="C2321" s="8" t="s">
        <v>5805</v>
      </c>
      <c r="D2321" s="8" t="s">
        <v>191</v>
      </c>
      <c r="E2321" s="8" t="b">
        <f t="shared" si="36"/>
        <v>0</v>
      </c>
      <c r="F2321" s="8" t="str" cm="1">
        <f t="array" ref="F2321">_xlfn._xlws.FILTER(E2321:E5519, C2321:C5519= "6D-PM-1020-01", "No Squirrels Found")</f>
        <v>No Squirrels Found</v>
      </c>
      <c r="G2321" s="8" t="s">
        <v>48</v>
      </c>
      <c r="H2321" s="10">
        <v>10192018</v>
      </c>
      <c r="I2321" s="10">
        <v>2</v>
      </c>
      <c r="J2321" s="8" t="s">
        <v>39</v>
      </c>
      <c r="K2321" s="8" t="s">
        <v>40</v>
      </c>
      <c r="L2321" s="8" t="s">
        <v>41</v>
      </c>
      <c r="M2321" s="8" t="s">
        <v>42</v>
      </c>
      <c r="O2321" s="8" t="s">
        <v>43</v>
      </c>
      <c r="P2321" s="8" t="b">
        <v>0</v>
      </c>
      <c r="R2321" s="8" t="b">
        <v>1</v>
      </c>
      <c r="S2321" s="8" t="b">
        <v>0</v>
      </c>
      <c r="T2321" s="8" t="b">
        <v>0</v>
      </c>
      <c r="U2321" s="8" t="b">
        <v>0</v>
      </c>
      <c r="V2321" s="8" t="b">
        <v>0</v>
      </c>
      <c r="X2321" s="8" t="b">
        <v>0</v>
      </c>
      <c r="Y2321" s="8" t="b">
        <v>0</v>
      </c>
      <c r="Z2321" s="8" t="b">
        <v>0</v>
      </c>
      <c r="AA2321" s="8" t="b">
        <v>0</v>
      </c>
      <c r="AB2321" s="8" t="b">
        <v>1</v>
      </c>
      <c r="AC2321" s="8" t="b">
        <v>0</v>
      </c>
      <c r="AD2321" s="8" t="b">
        <v>1</v>
      </c>
      <c r="AE2321" s="8" t="b">
        <v>0</v>
      </c>
      <c r="AG2321" s="11" t="b" cm="1">
        <f t="array" ref="AG2321">IF(OR(Y2321:AA2321="TRUE", AE2321="true"), "Threatened")</f>
        <v>0</v>
      </c>
      <c r="AH2321" s="11" t="s">
        <v>5806</v>
      </c>
      <c r="AI2321" s="8" t="b">
        <v>1</v>
      </c>
    </row>
    <row r="2322" spans="1:35" ht="31.2">
      <c r="A2322" s="8">
        <v>-73.974306040000002</v>
      </c>
      <c r="B2322" s="8">
        <v>40.768790180000003</v>
      </c>
      <c r="C2322" s="8" t="s">
        <v>5807</v>
      </c>
      <c r="D2322" s="8" t="s">
        <v>264</v>
      </c>
      <c r="E2322" s="8" t="b">
        <f t="shared" si="36"/>
        <v>0</v>
      </c>
      <c r="F2322" s="8" t="str" cm="1">
        <f t="array" ref="F2322">_xlfn._xlws.FILTER(E2322:E5520, C2322:C5520= "6D-PM-1020-01", "No Squirrels Found")</f>
        <v>No Squirrels Found</v>
      </c>
      <c r="G2322" s="8" t="s">
        <v>34</v>
      </c>
      <c r="H2322" s="10">
        <v>10072018</v>
      </c>
      <c r="I2322" s="10">
        <v>2</v>
      </c>
      <c r="J2322" s="8" t="s">
        <v>39</v>
      </c>
      <c r="K2322" s="8" t="s">
        <v>40</v>
      </c>
      <c r="L2322" s="8" t="s">
        <v>41</v>
      </c>
      <c r="M2322" s="8" t="s">
        <v>42</v>
      </c>
      <c r="O2322" s="8" t="s">
        <v>43</v>
      </c>
      <c r="P2322" s="8" t="b">
        <v>0</v>
      </c>
      <c r="R2322" s="8" t="b">
        <v>0</v>
      </c>
      <c r="S2322" s="8" t="b">
        <v>0</v>
      </c>
      <c r="T2322" s="8" t="b">
        <v>0</v>
      </c>
      <c r="U2322" s="8" t="b">
        <v>0</v>
      </c>
      <c r="V2322" s="8" t="b">
        <v>1</v>
      </c>
      <c r="X2322" s="8" t="b">
        <v>0</v>
      </c>
      <c r="Y2322" s="8" t="b">
        <v>0</v>
      </c>
      <c r="Z2322" s="8" t="b">
        <v>0</v>
      </c>
      <c r="AA2322" s="8" t="b">
        <v>0</v>
      </c>
      <c r="AB2322" s="8" t="b">
        <v>1</v>
      </c>
      <c r="AC2322" s="8" t="b">
        <v>0</v>
      </c>
      <c r="AD2322" s="8" t="b">
        <v>1</v>
      </c>
      <c r="AE2322" s="8" t="b">
        <v>0</v>
      </c>
      <c r="AG2322" s="11" t="b" cm="1">
        <f t="array" ref="AG2322">IF(OR(Y2322:AA2322="TRUE", AE2322="true"), "Threatened")</f>
        <v>0</v>
      </c>
      <c r="AH2322" s="11" t="s">
        <v>5808</v>
      </c>
      <c r="AI2322" s="8" t="b">
        <v>1</v>
      </c>
    </row>
    <row r="2323" spans="1:35" ht="31.2">
      <c r="A2323" s="8">
        <v>-73.972367790000007</v>
      </c>
      <c r="B2323" s="8">
        <v>40.766731540000002</v>
      </c>
      <c r="C2323" s="8" t="s">
        <v>5809</v>
      </c>
      <c r="D2323" s="8" t="s">
        <v>1902</v>
      </c>
      <c r="E2323" s="8" t="b">
        <f t="shared" si="36"/>
        <v>0</v>
      </c>
      <c r="F2323" s="8" t="str" cm="1">
        <f t="array" ref="F2323">_xlfn._xlws.FILTER(E2323:E5521, C2323:C5521= "6D-PM-1020-01", "No Squirrels Found")</f>
        <v>No Squirrels Found</v>
      </c>
      <c r="G2323" s="8" t="s">
        <v>48</v>
      </c>
      <c r="H2323" s="10">
        <v>10082018</v>
      </c>
      <c r="I2323" s="10">
        <v>4</v>
      </c>
      <c r="J2323" s="8" t="s">
        <v>39</v>
      </c>
      <c r="K2323" s="8" t="s">
        <v>192</v>
      </c>
      <c r="M2323" s="8" t="s">
        <v>193</v>
      </c>
      <c r="O2323" s="8" t="s">
        <v>50</v>
      </c>
      <c r="P2323" s="8">
        <v>50</v>
      </c>
      <c r="R2323" s="8" t="b">
        <v>0</v>
      </c>
      <c r="S2323" s="8" t="b">
        <v>0</v>
      </c>
      <c r="T2323" s="8" t="b">
        <v>0</v>
      </c>
      <c r="U2323" s="8" t="b">
        <v>0</v>
      </c>
      <c r="V2323" s="8" t="b">
        <v>1</v>
      </c>
      <c r="X2323" s="8" t="b">
        <v>0</v>
      </c>
      <c r="Y2323" s="8" t="b">
        <v>0</v>
      </c>
      <c r="Z2323" s="8" t="b">
        <v>0</v>
      </c>
      <c r="AA2323" s="8" t="b">
        <v>0</v>
      </c>
      <c r="AB2323" s="8" t="b">
        <v>0</v>
      </c>
      <c r="AC2323" s="8" t="b">
        <v>0</v>
      </c>
      <c r="AD2323" s="8" t="b">
        <v>0</v>
      </c>
      <c r="AE2323" s="8" t="b">
        <v>0</v>
      </c>
      <c r="AG2323" s="11" t="b" cm="1">
        <f t="array" ref="AG2323">IF(OR(Y2323:AA2323="TRUE", AE2323="true"), "Threatened")</f>
        <v>0</v>
      </c>
      <c r="AH2323" s="11" t="s">
        <v>5810</v>
      </c>
      <c r="AI2323" s="8" t="b">
        <v>1</v>
      </c>
    </row>
    <row r="2324" spans="1:35" ht="31.2">
      <c r="A2324" s="8">
        <v>-73.971592200000003</v>
      </c>
      <c r="B2324" s="8">
        <v>40.774615310000002</v>
      </c>
      <c r="C2324" s="8" t="s">
        <v>5811</v>
      </c>
      <c r="D2324" s="8" t="s">
        <v>1115</v>
      </c>
      <c r="E2324" s="8" t="b">
        <f t="shared" si="36"/>
        <v>0</v>
      </c>
      <c r="F2324" s="8" t="str" cm="1">
        <f t="array" ref="F2324">_xlfn._xlws.FILTER(E2324:E5522, C2324:C5522= "6D-PM-1020-01", "No Squirrels Found")</f>
        <v>No Squirrels Found</v>
      </c>
      <c r="G2324" s="8" t="s">
        <v>34</v>
      </c>
      <c r="H2324" s="10">
        <v>10122018</v>
      </c>
      <c r="I2324" s="10">
        <v>6</v>
      </c>
      <c r="J2324" s="8" t="s">
        <v>39</v>
      </c>
      <c r="K2324" s="8" t="s">
        <v>40</v>
      </c>
      <c r="L2324" s="8" t="s">
        <v>117</v>
      </c>
      <c r="M2324" s="8" t="s">
        <v>118</v>
      </c>
      <c r="N2324" s="11" t="s">
        <v>1383</v>
      </c>
      <c r="O2324" s="8" t="s">
        <v>50</v>
      </c>
      <c r="P2324" s="8">
        <v>5</v>
      </c>
      <c r="R2324" s="8" t="b">
        <v>0</v>
      </c>
      <c r="S2324" s="8" t="b">
        <v>0</v>
      </c>
      <c r="T2324" s="8" t="b">
        <v>1</v>
      </c>
      <c r="U2324" s="8" t="b">
        <v>1</v>
      </c>
      <c r="V2324" s="8" t="b">
        <v>0</v>
      </c>
      <c r="X2324" s="8" t="b">
        <v>0</v>
      </c>
      <c r="Y2324" s="8" t="b">
        <v>0</v>
      </c>
      <c r="Z2324" s="8" t="b">
        <v>0</v>
      </c>
      <c r="AA2324" s="8" t="b">
        <v>0</v>
      </c>
      <c r="AB2324" s="8" t="b">
        <v>0</v>
      </c>
      <c r="AC2324" s="8" t="b">
        <v>0</v>
      </c>
      <c r="AD2324" s="8" t="b">
        <v>1</v>
      </c>
      <c r="AE2324" s="8" t="b">
        <v>0</v>
      </c>
      <c r="AG2324" s="11" t="b" cm="1">
        <f t="array" ref="AG2324">IF(OR(Y2324:AA2324="TRUE", AE2324="true"), "Threatened")</f>
        <v>0</v>
      </c>
      <c r="AH2324" s="11" t="s">
        <v>5812</v>
      </c>
      <c r="AI2324" s="8" t="b">
        <v>1</v>
      </c>
    </row>
    <row r="2325" spans="1:35" ht="31.2">
      <c r="A2325" s="8">
        <v>-73.973724759999996</v>
      </c>
      <c r="B2325" s="8">
        <v>40.775946930000003</v>
      </c>
      <c r="C2325" s="8" t="s">
        <v>5813</v>
      </c>
      <c r="D2325" s="8" t="s">
        <v>773</v>
      </c>
      <c r="E2325" s="8" t="b">
        <f t="shared" si="36"/>
        <v>0</v>
      </c>
      <c r="F2325" s="8" t="str" cm="1">
        <f t="array" ref="F2325">_xlfn._xlws.FILTER(E2325:E5523, C2325:C5523= "6D-PM-1020-01", "No Squirrels Found")</f>
        <v>No Squirrels Found</v>
      </c>
      <c r="G2325" s="8" t="s">
        <v>34</v>
      </c>
      <c r="H2325" s="10">
        <v>10172018</v>
      </c>
      <c r="I2325" s="10">
        <v>1</v>
      </c>
      <c r="J2325" s="8" t="s">
        <v>54</v>
      </c>
      <c r="K2325" s="8" t="s">
        <v>40</v>
      </c>
      <c r="L2325" s="8" t="s">
        <v>41</v>
      </c>
      <c r="M2325" s="8" t="s">
        <v>42</v>
      </c>
      <c r="O2325" s="8" t="s">
        <v>43</v>
      </c>
      <c r="P2325" s="8" t="b">
        <v>0</v>
      </c>
      <c r="R2325" s="8" t="b">
        <v>1</v>
      </c>
      <c r="S2325" s="8" t="b">
        <v>0</v>
      </c>
      <c r="T2325" s="8" t="b">
        <v>0</v>
      </c>
      <c r="U2325" s="8" t="b">
        <v>1</v>
      </c>
      <c r="V2325" s="8" t="b">
        <v>0</v>
      </c>
      <c r="W2325" s="11" t="s">
        <v>5814</v>
      </c>
      <c r="X2325" s="8" t="b">
        <v>0</v>
      </c>
      <c r="Y2325" s="8" t="b">
        <v>0</v>
      </c>
      <c r="Z2325" s="8" t="b">
        <v>0</v>
      </c>
      <c r="AA2325" s="8" t="b">
        <v>0</v>
      </c>
      <c r="AB2325" s="8" t="b">
        <v>1</v>
      </c>
      <c r="AC2325" s="8" t="b">
        <v>0</v>
      </c>
      <c r="AD2325" s="8" t="b">
        <v>1</v>
      </c>
      <c r="AE2325" s="8" t="b">
        <v>0</v>
      </c>
      <c r="AG2325" s="11" t="b" cm="1">
        <f t="array" ref="AG2325">IF(OR(Y2325:AA2325="TRUE", AE2325="true"), "Threatened")</f>
        <v>0</v>
      </c>
      <c r="AH2325" s="11" t="s">
        <v>5815</v>
      </c>
      <c r="AI2325" s="8" t="b">
        <v>0</v>
      </c>
    </row>
    <row r="2326" spans="1:35" ht="31.2">
      <c r="A2326" s="8">
        <v>-73.972836090000001</v>
      </c>
      <c r="B2326" s="8">
        <v>40.766063729999999</v>
      </c>
      <c r="C2326" s="8" t="s">
        <v>5816</v>
      </c>
      <c r="D2326" s="8" t="s">
        <v>1902</v>
      </c>
      <c r="E2326" s="8" t="b">
        <f t="shared" si="36"/>
        <v>0</v>
      </c>
      <c r="F2326" s="8" t="str" cm="1">
        <f t="array" ref="F2326">_xlfn._xlws.FILTER(E2326:E5524, C2326:C5524= "6D-PM-1020-01", "No Squirrels Found")</f>
        <v>No Squirrels Found</v>
      </c>
      <c r="G2326" s="8" t="s">
        <v>34</v>
      </c>
      <c r="H2326" s="10">
        <v>10142018</v>
      </c>
      <c r="I2326" s="10">
        <v>4</v>
      </c>
      <c r="J2326" s="8" t="s">
        <v>39</v>
      </c>
      <c r="K2326" s="8" t="s">
        <v>192</v>
      </c>
      <c r="L2326" s="8" t="s">
        <v>41</v>
      </c>
      <c r="M2326" s="8" t="s">
        <v>717</v>
      </c>
      <c r="O2326" s="8" t="s">
        <v>43</v>
      </c>
      <c r="P2326" s="8" t="b">
        <v>0</v>
      </c>
      <c r="R2326" s="8" t="b">
        <v>0</v>
      </c>
      <c r="S2326" s="8" t="b">
        <v>0</v>
      </c>
      <c r="T2326" s="8" t="b">
        <v>0</v>
      </c>
      <c r="U2326" s="8" t="b">
        <v>1</v>
      </c>
      <c r="V2326" s="8" t="b">
        <v>0</v>
      </c>
      <c r="X2326" s="8" t="b">
        <v>0</v>
      </c>
      <c r="Y2326" s="8" t="b">
        <v>0</v>
      </c>
      <c r="Z2326" s="8" t="b">
        <v>0</v>
      </c>
      <c r="AA2326" s="8" t="b">
        <v>0</v>
      </c>
      <c r="AB2326" s="8" t="b">
        <v>0</v>
      </c>
      <c r="AC2326" s="8" t="b">
        <v>0</v>
      </c>
      <c r="AD2326" s="8" t="b">
        <v>1</v>
      </c>
      <c r="AE2326" s="8" t="b">
        <v>0</v>
      </c>
      <c r="AG2326" s="11" t="b" cm="1">
        <f t="array" ref="AG2326">IF(OR(Y2326:AA2326="TRUE", AE2326="true"), "Threatened")</f>
        <v>0</v>
      </c>
      <c r="AH2326" s="11" t="s">
        <v>5817</v>
      </c>
      <c r="AI2326" s="8" t="b">
        <v>1</v>
      </c>
    </row>
    <row r="2327" spans="1:35" ht="31.2">
      <c r="A2327" s="8">
        <v>-73.969169219999998</v>
      </c>
      <c r="B2327" s="8">
        <v>40.77253305</v>
      </c>
      <c r="C2327" s="8" t="s">
        <v>5818</v>
      </c>
      <c r="D2327" s="8" t="s">
        <v>1254</v>
      </c>
      <c r="E2327" s="8" t="b">
        <f t="shared" si="36"/>
        <v>0</v>
      </c>
      <c r="F2327" s="8" t="str" cm="1">
        <f t="array" ref="F2327">_xlfn._xlws.FILTER(E2327:E5525, C2327:C5525= "6D-PM-1020-01", "No Squirrels Found")</f>
        <v>No Squirrels Found</v>
      </c>
      <c r="G2327" s="8" t="s">
        <v>34</v>
      </c>
      <c r="H2327" s="10">
        <v>10072018</v>
      </c>
      <c r="I2327" s="10">
        <v>2</v>
      </c>
      <c r="J2327" s="8" t="s">
        <v>39</v>
      </c>
      <c r="K2327" s="8" t="s">
        <v>40</v>
      </c>
      <c r="L2327" s="8" t="s">
        <v>84</v>
      </c>
      <c r="M2327" s="8" t="s">
        <v>103</v>
      </c>
      <c r="O2327" s="8" t="s">
        <v>43</v>
      </c>
      <c r="P2327" s="8" t="b">
        <v>0</v>
      </c>
      <c r="R2327" s="8" t="b">
        <v>0</v>
      </c>
      <c r="S2327" s="8" t="b">
        <v>0</v>
      </c>
      <c r="T2327" s="8" t="b">
        <v>0</v>
      </c>
      <c r="U2327" s="8" t="b">
        <v>0</v>
      </c>
      <c r="V2327" s="8" t="b">
        <v>1</v>
      </c>
      <c r="X2327" s="8" t="b">
        <v>0</v>
      </c>
      <c r="Y2327" s="8" t="b">
        <v>0</v>
      </c>
      <c r="Z2327" s="8" t="b">
        <v>0</v>
      </c>
      <c r="AA2327" s="8" t="b">
        <v>0</v>
      </c>
      <c r="AB2327" s="8" t="b">
        <v>1</v>
      </c>
      <c r="AC2327" s="8" t="b">
        <v>0</v>
      </c>
      <c r="AD2327" s="8" t="b">
        <v>0</v>
      </c>
      <c r="AE2327" s="8" t="b">
        <v>0</v>
      </c>
      <c r="AG2327" s="11" t="b" cm="1">
        <f t="array" ref="AG2327">IF(OR(Y2327:AA2327="TRUE", AE2327="true"), "Threatened")</f>
        <v>0</v>
      </c>
      <c r="AH2327" s="11" t="s">
        <v>5819</v>
      </c>
      <c r="AI2327" s="8" t="b">
        <v>1</v>
      </c>
    </row>
    <row r="2328" spans="1:35" ht="31.2">
      <c r="A2328" s="8">
        <v>-73.956780100000003</v>
      </c>
      <c r="B2328" s="8">
        <v>40.796009669999997</v>
      </c>
      <c r="C2328" s="8" t="s">
        <v>5820</v>
      </c>
      <c r="D2328" s="8" t="s">
        <v>841</v>
      </c>
      <c r="E2328" s="8" t="b">
        <f t="shared" si="36"/>
        <v>0</v>
      </c>
      <c r="F2328" s="8" t="str" cm="1">
        <f t="array" ref="F2328">_xlfn._xlws.FILTER(E2328:E5526, C2328:C5526= "6D-PM-1020-01", "No Squirrels Found")</f>
        <v>No Squirrels Found</v>
      </c>
      <c r="G2328" s="8" t="s">
        <v>48</v>
      </c>
      <c r="H2328" s="10">
        <v>10172018</v>
      </c>
      <c r="I2328" s="10">
        <v>1</v>
      </c>
      <c r="M2328" s="8" t="s">
        <v>35</v>
      </c>
      <c r="O2328" s="8" t="s">
        <v>50</v>
      </c>
      <c r="P2328" s="8">
        <v>30</v>
      </c>
      <c r="R2328" s="8" t="b">
        <v>0</v>
      </c>
      <c r="S2328" s="8" t="b">
        <v>0</v>
      </c>
      <c r="T2328" s="8" t="b">
        <v>0</v>
      </c>
      <c r="U2328" s="8" t="b">
        <v>0</v>
      </c>
      <c r="V2328" s="8" t="b">
        <v>0</v>
      </c>
      <c r="X2328" s="8" t="b">
        <v>1</v>
      </c>
      <c r="Y2328" s="8" t="b">
        <v>0</v>
      </c>
      <c r="Z2328" s="8" t="b">
        <v>0</v>
      </c>
      <c r="AA2328" s="8" t="b">
        <v>0</v>
      </c>
      <c r="AB2328" s="8" t="b">
        <v>0</v>
      </c>
      <c r="AC2328" s="8" t="b">
        <v>0</v>
      </c>
      <c r="AD2328" s="8" t="b">
        <v>0</v>
      </c>
      <c r="AE2328" s="8" t="b">
        <v>0</v>
      </c>
      <c r="AG2328" s="11" t="b" cm="1">
        <f t="array" ref="AG2328">IF(OR(Y2328:AA2328="TRUE", AE2328="true"), "Threatened")</f>
        <v>0</v>
      </c>
      <c r="AH2328" s="11" t="s">
        <v>5821</v>
      </c>
      <c r="AI2328" s="8" t="b">
        <v>1</v>
      </c>
    </row>
    <row r="2329" spans="1:35" ht="31.2">
      <c r="A2329" s="8">
        <v>-73.967862080000003</v>
      </c>
      <c r="B2329" s="8">
        <v>40.784719029999998</v>
      </c>
      <c r="C2329" s="8" t="s">
        <v>5822</v>
      </c>
      <c r="D2329" s="8" t="s">
        <v>2184</v>
      </c>
      <c r="E2329" s="8" t="b">
        <f t="shared" si="36"/>
        <v>0</v>
      </c>
      <c r="F2329" s="8" t="str" cm="1">
        <f t="array" ref="F2329">_xlfn._xlws.FILTER(E2329:E5527, C2329:C5527= "6D-PM-1020-01", "No Squirrels Found")</f>
        <v>No Squirrels Found</v>
      </c>
      <c r="G2329" s="8" t="s">
        <v>34</v>
      </c>
      <c r="H2329" s="10">
        <v>10122018</v>
      </c>
      <c r="I2329" s="10">
        <v>3</v>
      </c>
      <c r="J2329" s="8" t="s">
        <v>39</v>
      </c>
      <c r="K2329" s="8" t="s">
        <v>40</v>
      </c>
      <c r="L2329" s="8" t="s">
        <v>84</v>
      </c>
      <c r="M2329" s="8" t="s">
        <v>103</v>
      </c>
      <c r="O2329" s="8" t="s">
        <v>43</v>
      </c>
      <c r="P2329" s="8" t="b">
        <v>0</v>
      </c>
      <c r="R2329" s="8" t="b">
        <v>0</v>
      </c>
      <c r="S2329" s="8" t="b">
        <v>1</v>
      </c>
      <c r="T2329" s="8" t="b">
        <v>0</v>
      </c>
      <c r="U2329" s="8" t="b">
        <v>0</v>
      </c>
      <c r="V2329" s="8" t="b">
        <v>1</v>
      </c>
      <c r="W2329" s="11" t="s">
        <v>2185</v>
      </c>
      <c r="X2329" s="8" t="b">
        <v>0</v>
      </c>
      <c r="Y2329" s="8" t="b">
        <v>0</v>
      </c>
      <c r="Z2329" s="8" t="b">
        <v>0</v>
      </c>
      <c r="AA2329" s="8" t="b">
        <v>0</v>
      </c>
      <c r="AB2329" s="8" t="b">
        <v>1</v>
      </c>
      <c r="AC2329" s="8" t="b">
        <v>0</v>
      </c>
      <c r="AD2329" s="8" t="b">
        <v>0</v>
      </c>
      <c r="AE2329" s="8" t="b">
        <v>1</v>
      </c>
      <c r="AG2329" s="11" t="b" cm="1">
        <f t="array" ref="AG2329">IF(OR(Y2329:AA2329="TRUE", AE2329="true"), "Threatened")</f>
        <v>0</v>
      </c>
      <c r="AH2329" s="11" t="s">
        <v>5823</v>
      </c>
      <c r="AI2329" s="8" t="b">
        <v>0</v>
      </c>
    </row>
    <row r="2330" spans="1:35" ht="31.2">
      <c r="A2330" s="8">
        <v>-73.971751519999998</v>
      </c>
      <c r="B2330" s="8">
        <v>40.77479993</v>
      </c>
      <c r="C2330" s="8" t="s">
        <v>5824</v>
      </c>
      <c r="D2330" s="8" t="s">
        <v>98</v>
      </c>
      <c r="E2330" s="8" t="b">
        <f t="shared" si="36"/>
        <v>0</v>
      </c>
      <c r="F2330" s="8" t="str" cm="1">
        <f t="array" ref="F2330">_xlfn._xlws.FILTER(E2330:E5528, C2330:C5528= "6D-PM-1020-01", "No Squirrels Found")</f>
        <v>No Squirrels Found</v>
      </c>
      <c r="G2330" s="8" t="s">
        <v>34</v>
      </c>
      <c r="H2330" s="10">
        <v>10062018</v>
      </c>
      <c r="I2330" s="10">
        <v>4</v>
      </c>
      <c r="J2330" s="8" t="s">
        <v>39</v>
      </c>
      <c r="K2330" s="8" t="s">
        <v>192</v>
      </c>
      <c r="M2330" s="8" t="s">
        <v>193</v>
      </c>
      <c r="O2330" s="8" t="s">
        <v>43</v>
      </c>
      <c r="P2330" s="8" t="b">
        <v>0</v>
      </c>
      <c r="R2330" s="8" t="b">
        <v>1</v>
      </c>
      <c r="S2330" s="8" t="b">
        <v>0</v>
      </c>
      <c r="T2330" s="8" t="b">
        <v>0</v>
      </c>
      <c r="U2330" s="8" t="b">
        <v>0</v>
      </c>
      <c r="V2330" s="8" t="b">
        <v>1</v>
      </c>
      <c r="X2330" s="8" t="b">
        <v>0</v>
      </c>
      <c r="Y2330" s="8" t="b">
        <v>0</v>
      </c>
      <c r="Z2330" s="8" t="b">
        <v>0</v>
      </c>
      <c r="AA2330" s="8" t="b">
        <v>0</v>
      </c>
      <c r="AB2330" s="8" t="b">
        <v>0</v>
      </c>
      <c r="AC2330" s="8" t="b">
        <v>0</v>
      </c>
      <c r="AD2330" s="8" t="b">
        <v>0</v>
      </c>
      <c r="AE2330" s="8" t="b">
        <v>1</v>
      </c>
      <c r="AG2330" s="11" t="b" cm="1">
        <f t="array" ref="AG2330">IF(OR(Y2330:AA2330="TRUE", AE2330="true"), "Threatened")</f>
        <v>0</v>
      </c>
      <c r="AH2330" s="11" t="s">
        <v>5825</v>
      </c>
      <c r="AI2330" s="8" t="b">
        <v>1</v>
      </c>
    </row>
    <row r="2331" spans="1:35" ht="31.2">
      <c r="A2331" s="8">
        <v>-73.972461850000002</v>
      </c>
      <c r="B2331" s="8">
        <v>40.774502159999997</v>
      </c>
      <c r="C2331" s="8" t="s">
        <v>5826</v>
      </c>
      <c r="D2331" s="8" t="s">
        <v>98</v>
      </c>
      <c r="E2331" s="8" t="b">
        <f t="shared" si="36"/>
        <v>0</v>
      </c>
      <c r="F2331" s="8" t="str" cm="1">
        <f t="array" ref="F2331">_xlfn._xlws.FILTER(E2331:E5529, C2331:C5529= "6D-PM-1020-01", "No Squirrels Found")</f>
        <v>No Squirrels Found</v>
      </c>
      <c r="G2331" s="8" t="s">
        <v>48</v>
      </c>
      <c r="H2331" s="10">
        <v>10102018</v>
      </c>
      <c r="I2331" s="10">
        <v>2</v>
      </c>
      <c r="J2331" s="8" t="s">
        <v>39</v>
      </c>
      <c r="K2331" s="8" t="s">
        <v>41</v>
      </c>
      <c r="L2331" s="8" t="s">
        <v>135</v>
      </c>
      <c r="M2331" s="8" t="s">
        <v>136</v>
      </c>
      <c r="O2331" s="8" t="s">
        <v>43</v>
      </c>
      <c r="P2331" s="8" t="b">
        <v>0</v>
      </c>
      <c r="R2331" s="8" t="b">
        <v>0</v>
      </c>
      <c r="S2331" s="8" t="b">
        <v>0</v>
      </c>
      <c r="T2331" s="8" t="b">
        <v>0</v>
      </c>
      <c r="U2331" s="8" t="b">
        <v>0</v>
      </c>
      <c r="V2331" s="8" t="b">
        <v>1</v>
      </c>
      <c r="W2331" s="11" t="s">
        <v>122</v>
      </c>
      <c r="X2331" s="8" t="b">
        <v>0</v>
      </c>
      <c r="Y2331" s="8" t="b">
        <v>0</v>
      </c>
      <c r="Z2331" s="8" t="b">
        <v>0</v>
      </c>
      <c r="AA2331" s="8" t="b">
        <v>0</v>
      </c>
      <c r="AB2331" s="8" t="b">
        <v>1</v>
      </c>
      <c r="AC2331" s="8" t="b">
        <v>0</v>
      </c>
      <c r="AD2331" s="8" t="b">
        <v>0</v>
      </c>
      <c r="AE2331" s="8" t="b">
        <v>1</v>
      </c>
      <c r="AG2331" s="11" t="b" cm="1">
        <f t="array" ref="AG2331">IF(OR(Y2331:AA2331="TRUE", AE2331="true"), "Threatened")</f>
        <v>0</v>
      </c>
      <c r="AH2331" s="11" t="s">
        <v>5827</v>
      </c>
      <c r="AI2331" s="8" t="b">
        <v>0</v>
      </c>
    </row>
    <row r="2332" spans="1:35" ht="31.2">
      <c r="A2332" s="8">
        <v>-73.969468180000007</v>
      </c>
      <c r="B2332" s="8">
        <v>40.770585799999999</v>
      </c>
      <c r="C2332" s="8" t="s">
        <v>5828</v>
      </c>
      <c r="D2332" s="8" t="s">
        <v>1326</v>
      </c>
      <c r="E2332" s="8" t="b">
        <f t="shared" si="36"/>
        <v>0</v>
      </c>
      <c r="F2332" s="8" t="str" cm="1">
        <f t="array" ref="F2332">_xlfn._xlws.FILTER(E2332:E5530, C2332:C5530= "6D-PM-1020-01", "No Squirrels Found")</f>
        <v>No Squirrels Found</v>
      </c>
      <c r="G2332" s="8" t="s">
        <v>48</v>
      </c>
      <c r="H2332" s="10">
        <v>10062018</v>
      </c>
      <c r="I2332" s="10">
        <v>6</v>
      </c>
      <c r="J2332" s="8" t="s">
        <v>39</v>
      </c>
      <c r="K2332" s="8" t="s">
        <v>40</v>
      </c>
      <c r="L2332" s="8" t="s">
        <v>84</v>
      </c>
      <c r="M2332" s="8" t="s">
        <v>103</v>
      </c>
      <c r="O2332" s="8" t="s">
        <v>50</v>
      </c>
      <c r="R2332" s="8" t="b">
        <v>0</v>
      </c>
      <c r="S2332" s="8" t="b">
        <v>0</v>
      </c>
      <c r="T2332" s="8" t="b">
        <v>0</v>
      </c>
      <c r="U2332" s="8" t="b">
        <v>0</v>
      </c>
      <c r="V2332" s="8" t="b">
        <v>1</v>
      </c>
      <c r="X2332" s="8" t="b">
        <v>0</v>
      </c>
      <c r="Y2332" s="8" t="b">
        <v>0</v>
      </c>
      <c r="Z2332" s="8" t="b">
        <v>0</v>
      </c>
      <c r="AA2332" s="8" t="b">
        <v>0</v>
      </c>
      <c r="AB2332" s="8" t="b">
        <v>0</v>
      </c>
      <c r="AC2332" s="8" t="b">
        <v>0</v>
      </c>
      <c r="AD2332" s="8" t="b">
        <v>1</v>
      </c>
      <c r="AE2332" s="8" t="b">
        <v>0</v>
      </c>
      <c r="AG2332" s="11" t="b" cm="1">
        <f t="array" ref="AG2332">IF(OR(Y2332:AA2332="TRUE", AE2332="true"), "Threatened")</f>
        <v>0</v>
      </c>
      <c r="AH2332" s="11" t="s">
        <v>5829</v>
      </c>
      <c r="AI2332" s="8" t="b">
        <v>1</v>
      </c>
    </row>
    <row r="2333" spans="1:35" ht="31.2">
      <c r="A2333" s="8">
        <v>-73.970979749999998</v>
      </c>
      <c r="B2333" s="8">
        <v>40.776909570000001</v>
      </c>
      <c r="C2333" s="8" t="s">
        <v>5830</v>
      </c>
      <c r="D2333" s="8" t="s">
        <v>741</v>
      </c>
      <c r="E2333" s="8" t="b">
        <f t="shared" si="36"/>
        <v>0</v>
      </c>
      <c r="F2333" s="8" t="str" cm="1">
        <f t="array" ref="F2333">_xlfn._xlws.FILTER(E2333:E5531, C2333:C5531= "6D-PM-1020-01", "No Squirrels Found")</f>
        <v>No Squirrels Found</v>
      </c>
      <c r="G2333" s="8" t="s">
        <v>48</v>
      </c>
      <c r="H2333" s="10">
        <v>10142018</v>
      </c>
      <c r="I2333" s="10">
        <v>7</v>
      </c>
      <c r="J2333" s="8" t="s">
        <v>39</v>
      </c>
      <c r="K2333" s="8" t="s">
        <v>40</v>
      </c>
      <c r="L2333" s="8" t="s">
        <v>117</v>
      </c>
      <c r="M2333" s="8" t="s">
        <v>118</v>
      </c>
      <c r="O2333" s="8" t="s">
        <v>43</v>
      </c>
      <c r="P2333" s="8" t="b">
        <v>0</v>
      </c>
      <c r="R2333" s="8" t="b">
        <v>0</v>
      </c>
      <c r="S2333" s="8" t="b">
        <v>0</v>
      </c>
      <c r="T2333" s="8" t="b">
        <v>0</v>
      </c>
      <c r="U2333" s="8" t="b">
        <v>0</v>
      </c>
      <c r="V2333" s="8" t="b">
        <v>1</v>
      </c>
      <c r="X2333" s="8" t="b">
        <v>0</v>
      </c>
      <c r="Y2333" s="8" t="b">
        <v>0</v>
      </c>
      <c r="Z2333" s="8" t="b">
        <v>0</v>
      </c>
      <c r="AA2333" s="8" t="b">
        <v>0</v>
      </c>
      <c r="AB2333" s="8" t="b">
        <v>0</v>
      </c>
      <c r="AC2333" s="8" t="b">
        <v>1</v>
      </c>
      <c r="AD2333" s="8" t="b">
        <v>0</v>
      </c>
      <c r="AE2333" s="8" t="b">
        <v>0</v>
      </c>
      <c r="AG2333" s="11" t="b" cm="1">
        <f t="array" ref="AG2333">IF(OR(Y2333:AA2333="TRUE", AE2333="true"), "Threatened")</f>
        <v>0</v>
      </c>
      <c r="AH2333" s="11" t="s">
        <v>5831</v>
      </c>
      <c r="AI2333" s="8" t="b">
        <v>1</v>
      </c>
    </row>
    <row r="2334" spans="1:35" ht="31.2">
      <c r="A2334" s="8">
        <v>-73.977192489999993</v>
      </c>
      <c r="B2334" s="8">
        <v>40.766672270000001</v>
      </c>
      <c r="C2334" s="8" t="s">
        <v>5832</v>
      </c>
      <c r="D2334" s="8" t="s">
        <v>2590</v>
      </c>
      <c r="E2334" s="8" t="b">
        <f t="shared" si="36"/>
        <v>0</v>
      </c>
      <c r="F2334" s="8" t="str" cm="1">
        <f t="array" ref="F2334">_xlfn._xlws.FILTER(E2334:E5532, C2334:C5532= "6D-PM-1020-01", "No Squirrels Found")</f>
        <v>No Squirrels Found</v>
      </c>
      <c r="G2334" s="8" t="s">
        <v>34</v>
      </c>
      <c r="H2334" s="10">
        <v>10072018</v>
      </c>
      <c r="I2334" s="10">
        <v>1</v>
      </c>
      <c r="J2334" s="8" t="s">
        <v>39</v>
      </c>
      <c r="K2334" s="8" t="s">
        <v>40</v>
      </c>
      <c r="L2334" s="8" t="s">
        <v>117</v>
      </c>
      <c r="M2334" s="8" t="s">
        <v>118</v>
      </c>
      <c r="O2334" s="8" t="s">
        <v>43</v>
      </c>
      <c r="P2334" s="8" t="b">
        <v>0</v>
      </c>
      <c r="R2334" s="8" t="b">
        <v>0</v>
      </c>
      <c r="S2334" s="8" t="b">
        <v>0</v>
      </c>
      <c r="T2334" s="8" t="b">
        <v>0</v>
      </c>
      <c r="U2334" s="8" t="b">
        <v>0</v>
      </c>
      <c r="V2334" s="8" t="b">
        <v>1</v>
      </c>
      <c r="X2334" s="8" t="b">
        <v>0</v>
      </c>
      <c r="Y2334" s="8" t="b">
        <v>0</v>
      </c>
      <c r="Z2334" s="8" t="b">
        <v>0</v>
      </c>
      <c r="AA2334" s="8" t="b">
        <v>0</v>
      </c>
      <c r="AB2334" s="8" t="b">
        <v>0</v>
      </c>
      <c r="AC2334" s="8" t="b">
        <v>1</v>
      </c>
      <c r="AD2334" s="8" t="b">
        <v>0</v>
      </c>
      <c r="AE2334" s="8" t="b">
        <v>0</v>
      </c>
      <c r="AF2334" s="11" t="s">
        <v>5833</v>
      </c>
      <c r="AG2334" s="11" t="b" cm="1">
        <f t="array" ref="AG2334">IF(OR(Y2334:AA2334="TRUE", AE2334="true"), "Threatened")</f>
        <v>0</v>
      </c>
      <c r="AH2334" s="11" t="s">
        <v>5834</v>
      </c>
      <c r="AI2334" s="8" t="b">
        <v>1</v>
      </c>
    </row>
    <row r="2335" spans="1:35" ht="31.2">
      <c r="A2335" s="8">
        <v>-73.975492299999999</v>
      </c>
      <c r="B2335" s="8">
        <v>40.77076864</v>
      </c>
      <c r="C2335" s="8" t="s">
        <v>5835</v>
      </c>
      <c r="D2335" s="8" t="s">
        <v>734</v>
      </c>
      <c r="E2335" s="8" t="b">
        <f t="shared" si="36"/>
        <v>0</v>
      </c>
      <c r="F2335" s="8" t="str" cm="1">
        <f t="array" ref="F2335">_xlfn._xlws.FILTER(E2335:E5533, C2335:C5533= "6D-PM-1020-01", "No Squirrels Found")</f>
        <v>No Squirrels Found</v>
      </c>
      <c r="G2335" s="8" t="s">
        <v>48</v>
      </c>
      <c r="H2335" s="10">
        <v>10082018</v>
      </c>
      <c r="I2335" s="10">
        <v>3</v>
      </c>
      <c r="J2335" s="8" t="s">
        <v>54</v>
      </c>
      <c r="K2335" s="8" t="s">
        <v>40</v>
      </c>
      <c r="M2335" s="8" t="s">
        <v>55</v>
      </c>
      <c r="O2335" s="8" t="s">
        <v>50</v>
      </c>
      <c r="P2335" s="8">
        <v>10</v>
      </c>
      <c r="R2335" s="8" t="b">
        <v>0</v>
      </c>
      <c r="S2335" s="8" t="b">
        <v>0</v>
      </c>
      <c r="T2335" s="8" t="b">
        <v>0</v>
      </c>
      <c r="U2335" s="8" t="b">
        <v>0</v>
      </c>
      <c r="V2335" s="8" t="b">
        <v>0</v>
      </c>
      <c r="X2335" s="8" t="b">
        <v>0</v>
      </c>
      <c r="Y2335" s="8" t="b">
        <v>0</v>
      </c>
      <c r="Z2335" s="8" t="b">
        <v>0</v>
      </c>
      <c r="AA2335" s="8" t="b">
        <v>0</v>
      </c>
      <c r="AB2335" s="8" t="b">
        <v>0</v>
      </c>
      <c r="AC2335" s="8" t="b">
        <v>0</v>
      </c>
      <c r="AD2335" s="8" t="b">
        <v>0</v>
      </c>
      <c r="AE2335" s="8" t="b">
        <v>0</v>
      </c>
      <c r="AG2335" s="11" t="b" cm="1">
        <f t="array" ref="AG2335">IF(OR(Y2335:AA2335="TRUE", AE2335="true"), "Threatened")</f>
        <v>0</v>
      </c>
      <c r="AH2335" s="11" t="s">
        <v>5836</v>
      </c>
      <c r="AI2335" s="8" t="b">
        <v>1</v>
      </c>
    </row>
    <row r="2336" spans="1:35" ht="31.2">
      <c r="A2336" s="8">
        <v>-73.97046795</v>
      </c>
      <c r="B2336" s="8">
        <v>40.77733842</v>
      </c>
      <c r="C2336" s="8" t="s">
        <v>5837</v>
      </c>
      <c r="D2336" s="8" t="s">
        <v>741</v>
      </c>
      <c r="E2336" s="8" t="b">
        <f t="shared" si="36"/>
        <v>0</v>
      </c>
      <c r="F2336" s="8" t="str" cm="1">
        <f t="array" ref="F2336">_xlfn._xlws.FILTER(E2336:E5534, C2336:C5534= "6D-PM-1020-01", "No Squirrels Found")</f>
        <v>No Squirrels Found</v>
      </c>
      <c r="G2336" s="8" t="s">
        <v>34</v>
      </c>
      <c r="H2336" s="10">
        <v>10192018</v>
      </c>
      <c r="I2336" s="10">
        <v>10</v>
      </c>
      <c r="J2336" s="8" t="s">
        <v>39</v>
      </c>
      <c r="K2336" s="8" t="s">
        <v>40</v>
      </c>
      <c r="M2336" s="8" t="s">
        <v>55</v>
      </c>
      <c r="O2336" s="8" t="s">
        <v>50</v>
      </c>
      <c r="P2336" s="8">
        <v>20</v>
      </c>
      <c r="R2336" s="8" t="b">
        <v>0</v>
      </c>
      <c r="S2336" s="8" t="b">
        <v>0</v>
      </c>
      <c r="T2336" s="8" t="b">
        <v>1</v>
      </c>
      <c r="U2336" s="8" t="b">
        <v>0</v>
      </c>
      <c r="V2336" s="8" t="b">
        <v>0</v>
      </c>
      <c r="X2336" s="8" t="b">
        <v>0</v>
      </c>
      <c r="Y2336" s="8" t="b">
        <v>0</v>
      </c>
      <c r="Z2336" s="8" t="b">
        <v>0</v>
      </c>
      <c r="AA2336" s="8" t="b">
        <v>1</v>
      </c>
      <c r="AB2336" s="8" t="b">
        <v>0</v>
      </c>
      <c r="AC2336" s="8" t="b">
        <v>0</v>
      </c>
      <c r="AD2336" s="8" t="b">
        <v>0</v>
      </c>
      <c r="AE2336" s="8" t="b">
        <v>1</v>
      </c>
      <c r="AG2336" s="11" t="b" cm="1">
        <f t="array" ref="AG2336">IF(OR(Y2336:AA2336="TRUE", AE2336="true"), "Threatened")</f>
        <v>0</v>
      </c>
      <c r="AH2336" s="11" t="s">
        <v>5838</v>
      </c>
      <c r="AI2336" s="8" t="b">
        <v>1</v>
      </c>
    </row>
    <row r="2337" spans="1:35" ht="31.2">
      <c r="A2337" s="8">
        <v>-73.953126319999996</v>
      </c>
      <c r="B2337" s="8">
        <v>40.796567510000003</v>
      </c>
      <c r="C2337" s="8" t="s">
        <v>5839</v>
      </c>
      <c r="D2337" s="8" t="s">
        <v>5235</v>
      </c>
      <c r="E2337" s="8" t="b">
        <f t="shared" si="36"/>
        <v>0</v>
      </c>
      <c r="F2337" s="8" t="str" cm="1">
        <f t="array" ref="F2337">_xlfn._xlws.FILTER(E2337:E5535, C2337:C5535= "6D-PM-1020-01", "No Squirrels Found")</f>
        <v>No Squirrels Found</v>
      </c>
      <c r="G2337" s="8" t="s">
        <v>34</v>
      </c>
      <c r="H2337" s="10">
        <v>10062018</v>
      </c>
      <c r="I2337" s="10">
        <v>1</v>
      </c>
      <c r="J2337" s="8" t="s">
        <v>39</v>
      </c>
      <c r="K2337" s="8" t="s">
        <v>40</v>
      </c>
      <c r="L2337" s="8" t="s">
        <v>41</v>
      </c>
      <c r="M2337" s="8" t="s">
        <v>42</v>
      </c>
      <c r="O2337" s="8" t="s">
        <v>43</v>
      </c>
      <c r="P2337" s="8" t="b">
        <v>0</v>
      </c>
      <c r="R2337" s="8" t="b">
        <v>0</v>
      </c>
      <c r="S2337" s="8" t="b">
        <v>0</v>
      </c>
      <c r="T2337" s="8" t="b">
        <v>0</v>
      </c>
      <c r="U2337" s="8" t="b">
        <v>0</v>
      </c>
      <c r="V2337" s="8" t="b">
        <v>1</v>
      </c>
      <c r="X2337" s="8" t="b">
        <v>0</v>
      </c>
      <c r="Y2337" s="8" t="b">
        <v>0</v>
      </c>
      <c r="Z2337" s="8" t="b">
        <v>0</v>
      </c>
      <c r="AA2337" s="8" t="b">
        <v>0</v>
      </c>
      <c r="AB2337" s="8" t="b">
        <v>0</v>
      </c>
      <c r="AC2337" s="8" t="b">
        <v>0</v>
      </c>
      <c r="AD2337" s="8" t="b">
        <v>1</v>
      </c>
      <c r="AE2337" s="8" t="b">
        <v>0</v>
      </c>
      <c r="AG2337" s="11" t="b" cm="1">
        <f t="array" ref="AG2337">IF(OR(Y2337:AA2337="TRUE", AE2337="true"), "Threatened")</f>
        <v>0</v>
      </c>
      <c r="AH2337" s="11" t="s">
        <v>5840</v>
      </c>
      <c r="AI2337" s="8" t="b">
        <v>1</v>
      </c>
    </row>
    <row r="2338" spans="1:35" ht="31.2">
      <c r="A2338" s="8">
        <v>-73.967349010000007</v>
      </c>
      <c r="B2338" s="8">
        <v>40.778272809999997</v>
      </c>
      <c r="C2338" s="8" t="s">
        <v>5841</v>
      </c>
      <c r="D2338" s="8" t="s">
        <v>131</v>
      </c>
      <c r="E2338" s="8" t="b">
        <f t="shared" si="36"/>
        <v>0</v>
      </c>
      <c r="F2338" s="8" t="str" cm="1">
        <f t="array" ref="F2338">_xlfn._xlws.FILTER(E2338:E5536, C2338:C5536= "6D-PM-1020-01", "No Squirrels Found")</f>
        <v>No Squirrels Found</v>
      </c>
      <c r="G2338" s="8" t="s">
        <v>34</v>
      </c>
      <c r="H2338" s="10">
        <v>10202018</v>
      </c>
      <c r="I2338" s="10">
        <v>2</v>
      </c>
      <c r="J2338" s="8" t="s">
        <v>39</v>
      </c>
      <c r="K2338" s="8" t="s">
        <v>40</v>
      </c>
      <c r="L2338" s="8" t="s">
        <v>41</v>
      </c>
      <c r="M2338" s="8" t="s">
        <v>42</v>
      </c>
      <c r="O2338" s="8" t="s">
        <v>50</v>
      </c>
      <c r="P2338" s="8">
        <v>25</v>
      </c>
      <c r="R2338" s="8" t="b">
        <v>0</v>
      </c>
      <c r="S2338" s="8" t="b">
        <v>0</v>
      </c>
      <c r="T2338" s="8" t="b">
        <v>0</v>
      </c>
      <c r="U2338" s="8" t="b">
        <v>1</v>
      </c>
      <c r="V2338" s="8" t="b">
        <v>0</v>
      </c>
      <c r="X2338" s="8" t="b">
        <v>0</v>
      </c>
      <c r="Y2338" s="8" t="b">
        <v>0</v>
      </c>
      <c r="Z2338" s="8" t="b">
        <v>0</v>
      </c>
      <c r="AA2338" s="8" t="b">
        <v>0</v>
      </c>
      <c r="AB2338" s="8" t="b">
        <v>0</v>
      </c>
      <c r="AC2338" s="8" t="b">
        <v>0</v>
      </c>
      <c r="AD2338" s="8" t="b">
        <v>0</v>
      </c>
      <c r="AE2338" s="8" t="b">
        <v>1</v>
      </c>
      <c r="AG2338" s="11" t="b" cm="1">
        <f t="array" ref="AG2338">IF(OR(Y2338:AA2338="TRUE", AE2338="true"), "Threatened")</f>
        <v>0</v>
      </c>
      <c r="AH2338" s="11" t="s">
        <v>5842</v>
      </c>
      <c r="AI2338" s="8" t="b">
        <v>1</v>
      </c>
    </row>
    <row r="2339" spans="1:35" ht="31.2">
      <c r="A2339" s="8">
        <v>-73.971662109999997</v>
      </c>
      <c r="B2339" s="8">
        <v>40.77428622</v>
      </c>
      <c r="C2339" s="8" t="s">
        <v>5843</v>
      </c>
      <c r="D2339" s="8" t="s">
        <v>1115</v>
      </c>
      <c r="E2339" s="8" t="b">
        <f t="shared" si="36"/>
        <v>0</v>
      </c>
      <c r="F2339" s="8" t="str" cm="1">
        <f t="array" ref="F2339">_xlfn._xlws.FILTER(E2339:E5537, C2339:C5537= "6D-PM-1020-01", "No Squirrels Found")</f>
        <v>No Squirrels Found</v>
      </c>
      <c r="G2339" s="8" t="s">
        <v>48</v>
      </c>
      <c r="H2339" s="10">
        <v>10132018</v>
      </c>
      <c r="I2339" s="10">
        <v>1</v>
      </c>
      <c r="J2339" s="8" t="s">
        <v>39</v>
      </c>
      <c r="K2339" s="8" t="s">
        <v>40</v>
      </c>
      <c r="M2339" s="8" t="s">
        <v>55</v>
      </c>
      <c r="O2339" s="8" t="s">
        <v>43</v>
      </c>
      <c r="P2339" s="8" t="b">
        <v>0</v>
      </c>
      <c r="R2339" s="8" t="b">
        <v>0</v>
      </c>
      <c r="S2339" s="8" t="b">
        <v>0</v>
      </c>
      <c r="T2339" s="8" t="b">
        <v>1</v>
      </c>
      <c r="U2339" s="8" t="b">
        <v>1</v>
      </c>
      <c r="V2339" s="8" t="b">
        <v>0</v>
      </c>
      <c r="X2339" s="8" t="b">
        <v>0</v>
      </c>
      <c r="Y2339" s="8" t="b">
        <v>0</v>
      </c>
      <c r="Z2339" s="8" t="b">
        <v>0</v>
      </c>
      <c r="AA2339" s="8" t="b">
        <v>0</v>
      </c>
      <c r="AB2339" s="8" t="b">
        <v>0</v>
      </c>
      <c r="AC2339" s="8" t="b">
        <v>0</v>
      </c>
      <c r="AD2339" s="8" t="b">
        <v>0</v>
      </c>
      <c r="AE2339" s="8" t="b">
        <v>1</v>
      </c>
      <c r="AG2339" s="11" t="b" cm="1">
        <f t="array" ref="AG2339">IF(OR(Y2339:AA2339="TRUE", AE2339="true"), "Threatened")</f>
        <v>0</v>
      </c>
      <c r="AH2339" s="11" t="s">
        <v>5844</v>
      </c>
      <c r="AI2339" s="8" t="b">
        <v>1</v>
      </c>
    </row>
    <row r="2340" spans="1:35" ht="31.2">
      <c r="A2340" s="8">
        <v>-73.969511780000005</v>
      </c>
      <c r="B2340" s="8">
        <v>40.780267569999999</v>
      </c>
      <c r="C2340" s="8" t="s">
        <v>5845</v>
      </c>
      <c r="D2340" s="8" t="s">
        <v>631</v>
      </c>
      <c r="E2340" s="8" t="b">
        <f t="shared" si="36"/>
        <v>0</v>
      </c>
      <c r="F2340" s="8" t="str" cm="1">
        <f t="array" ref="F2340">_xlfn._xlws.FILTER(E2340:E5538, C2340:C5538= "6D-PM-1020-01", "No Squirrels Found")</f>
        <v>No Squirrels Found</v>
      </c>
      <c r="G2340" s="8" t="s">
        <v>34</v>
      </c>
      <c r="H2340" s="10">
        <v>10182018</v>
      </c>
      <c r="I2340" s="10">
        <v>7</v>
      </c>
      <c r="K2340" s="8" t="s">
        <v>40</v>
      </c>
      <c r="M2340" s="8" t="s">
        <v>55</v>
      </c>
      <c r="O2340" s="8" t="s">
        <v>43</v>
      </c>
      <c r="P2340" s="8" t="b">
        <v>0</v>
      </c>
      <c r="R2340" s="8" t="b">
        <v>0</v>
      </c>
      <c r="S2340" s="8" t="b">
        <v>0</v>
      </c>
      <c r="T2340" s="8" t="b">
        <v>0</v>
      </c>
      <c r="U2340" s="8" t="b">
        <v>1</v>
      </c>
      <c r="V2340" s="8" t="b">
        <v>1</v>
      </c>
      <c r="X2340" s="8" t="b">
        <v>0</v>
      </c>
      <c r="Y2340" s="8" t="b">
        <v>0</v>
      </c>
      <c r="Z2340" s="8" t="b">
        <v>0</v>
      </c>
      <c r="AA2340" s="8" t="b">
        <v>0</v>
      </c>
      <c r="AB2340" s="8" t="b">
        <v>0</v>
      </c>
      <c r="AC2340" s="8" t="b">
        <v>0</v>
      </c>
      <c r="AD2340" s="8" t="b">
        <v>0</v>
      </c>
      <c r="AE2340" s="8" t="b">
        <v>0</v>
      </c>
      <c r="AG2340" s="11" t="b" cm="1">
        <f t="array" ref="AG2340">IF(OR(Y2340:AA2340="TRUE", AE2340="true"), "Threatened")</f>
        <v>0</v>
      </c>
      <c r="AH2340" s="11" t="s">
        <v>5846</v>
      </c>
      <c r="AI2340" s="8" t="b">
        <v>1</v>
      </c>
    </row>
    <row r="2341" spans="1:35" ht="31.2">
      <c r="A2341" s="8">
        <v>-73.973028479999996</v>
      </c>
      <c r="B2341" s="8">
        <v>40.77024625</v>
      </c>
      <c r="C2341" s="8" t="s">
        <v>5847</v>
      </c>
      <c r="D2341" s="8" t="s">
        <v>368</v>
      </c>
      <c r="E2341" s="8" t="b">
        <f t="shared" si="36"/>
        <v>0</v>
      </c>
      <c r="F2341" s="8" t="str" cm="1">
        <f t="array" ref="F2341">_xlfn._xlws.FILTER(E2341:E5539, C2341:C5539= "6D-PM-1020-01", "No Squirrels Found")</f>
        <v>No Squirrels Found</v>
      </c>
      <c r="G2341" s="8" t="s">
        <v>48</v>
      </c>
      <c r="H2341" s="10">
        <v>10082018</v>
      </c>
      <c r="I2341" s="10">
        <v>4</v>
      </c>
      <c r="J2341" s="8" t="s">
        <v>39</v>
      </c>
      <c r="K2341" s="8" t="s">
        <v>40</v>
      </c>
      <c r="L2341" s="8" t="s">
        <v>84</v>
      </c>
      <c r="M2341" s="8" t="s">
        <v>103</v>
      </c>
      <c r="O2341" s="8" t="s">
        <v>43</v>
      </c>
      <c r="P2341" s="8" t="b">
        <v>0</v>
      </c>
      <c r="Q2341" s="8" t="s">
        <v>236</v>
      </c>
      <c r="R2341" s="8" t="b">
        <v>0</v>
      </c>
      <c r="S2341" s="8" t="b">
        <v>1</v>
      </c>
      <c r="T2341" s="8" t="b">
        <v>0</v>
      </c>
      <c r="U2341" s="8" t="b">
        <v>0</v>
      </c>
      <c r="V2341" s="8" t="b">
        <v>0</v>
      </c>
      <c r="X2341" s="8" t="b">
        <v>0</v>
      </c>
      <c r="Y2341" s="8" t="b">
        <v>0</v>
      </c>
      <c r="Z2341" s="8" t="b">
        <v>0</v>
      </c>
      <c r="AA2341" s="8" t="b">
        <v>0</v>
      </c>
      <c r="AB2341" s="8" t="b">
        <v>0</v>
      </c>
      <c r="AC2341" s="8" t="b">
        <v>0</v>
      </c>
      <c r="AD2341" s="8" t="b">
        <v>1</v>
      </c>
      <c r="AE2341" s="8" t="b">
        <v>0</v>
      </c>
      <c r="AG2341" s="11" t="b" cm="1">
        <f t="array" ref="AG2341">IF(OR(Y2341:AA2341="TRUE", AE2341="true"), "Threatened")</f>
        <v>0</v>
      </c>
      <c r="AH2341" s="11" t="s">
        <v>5848</v>
      </c>
      <c r="AI2341" s="8" t="b">
        <v>1</v>
      </c>
    </row>
    <row r="2342" spans="1:35" ht="31.2">
      <c r="A2342" s="8">
        <v>-73.966536329999997</v>
      </c>
      <c r="B2342" s="8">
        <v>40.784496789999999</v>
      </c>
      <c r="C2342" s="8" t="s">
        <v>5849</v>
      </c>
      <c r="D2342" s="8" t="s">
        <v>286</v>
      </c>
      <c r="E2342" s="8" t="b">
        <f t="shared" si="36"/>
        <v>0</v>
      </c>
      <c r="F2342" s="8" t="str" cm="1">
        <f t="array" ref="F2342">_xlfn._xlws.FILTER(E2342:E5540, C2342:C5540= "6D-PM-1020-01", "No Squirrels Found")</f>
        <v>No Squirrels Found</v>
      </c>
      <c r="G2342" s="8" t="s">
        <v>34</v>
      </c>
      <c r="H2342" s="10">
        <v>10142018</v>
      </c>
      <c r="I2342" s="10">
        <v>4</v>
      </c>
      <c r="J2342" s="8" t="s">
        <v>39</v>
      </c>
      <c r="K2342" s="8" t="s">
        <v>40</v>
      </c>
      <c r="M2342" s="8" t="s">
        <v>55</v>
      </c>
      <c r="O2342" s="8" t="s">
        <v>50</v>
      </c>
      <c r="P2342" s="8">
        <v>8</v>
      </c>
      <c r="R2342" s="8" t="b">
        <v>0</v>
      </c>
      <c r="S2342" s="8" t="b">
        <v>0</v>
      </c>
      <c r="T2342" s="8" t="b">
        <v>0</v>
      </c>
      <c r="U2342" s="8" t="b">
        <v>0</v>
      </c>
      <c r="V2342" s="8" t="b">
        <v>0</v>
      </c>
      <c r="W2342" s="11" t="s">
        <v>5850</v>
      </c>
      <c r="X2342" s="8" t="b">
        <v>0</v>
      </c>
      <c r="Y2342" s="8" t="b">
        <v>0</v>
      </c>
      <c r="Z2342" s="8" t="b">
        <v>0</v>
      </c>
      <c r="AA2342" s="8" t="b">
        <v>0</v>
      </c>
      <c r="AB2342" s="8" t="b">
        <v>0</v>
      </c>
      <c r="AC2342" s="8" t="b">
        <v>0</v>
      </c>
      <c r="AD2342" s="8" t="b">
        <v>0</v>
      </c>
      <c r="AE2342" s="8" t="b">
        <v>0</v>
      </c>
      <c r="AG2342" s="11" t="b" cm="1">
        <f t="array" ref="AG2342">IF(OR(Y2342:AA2342="TRUE", AE2342="true"), "Threatened")</f>
        <v>0</v>
      </c>
      <c r="AH2342" s="11" t="s">
        <v>5851</v>
      </c>
      <c r="AI2342" s="8" t="b">
        <v>0</v>
      </c>
    </row>
    <row r="2343" spans="1:35" ht="31.2">
      <c r="A2343" s="8">
        <v>-73.953364579999999</v>
      </c>
      <c r="B2343" s="8">
        <v>40.798370920000004</v>
      </c>
      <c r="C2343" s="8" t="s">
        <v>5852</v>
      </c>
      <c r="D2343" s="8" t="s">
        <v>1368</v>
      </c>
      <c r="E2343" s="8" t="b">
        <f t="shared" si="36"/>
        <v>0</v>
      </c>
      <c r="F2343" s="8" t="str" cm="1">
        <f t="array" ref="F2343">_xlfn._xlws.FILTER(E2343:E5541, C2343:C5541= "6D-PM-1020-01", "No Squirrels Found")</f>
        <v>No Squirrels Found</v>
      </c>
      <c r="G2343" s="8" t="s">
        <v>48</v>
      </c>
      <c r="H2343" s="10">
        <v>10192018</v>
      </c>
      <c r="I2343" s="10">
        <v>1</v>
      </c>
      <c r="J2343" s="8" t="s">
        <v>39</v>
      </c>
      <c r="K2343" s="8" t="s">
        <v>40</v>
      </c>
      <c r="L2343" s="8" t="s">
        <v>41</v>
      </c>
      <c r="M2343" s="8" t="s">
        <v>42</v>
      </c>
      <c r="O2343" s="8" t="s">
        <v>43</v>
      </c>
      <c r="P2343" s="8" t="b">
        <v>0</v>
      </c>
      <c r="R2343" s="8" t="b">
        <v>0</v>
      </c>
      <c r="S2343" s="8" t="b">
        <v>0</v>
      </c>
      <c r="T2343" s="8" t="b">
        <v>0</v>
      </c>
      <c r="U2343" s="8" t="b">
        <v>0</v>
      </c>
      <c r="V2343" s="8" t="b">
        <v>0</v>
      </c>
      <c r="X2343" s="8" t="b">
        <v>0</v>
      </c>
      <c r="Y2343" s="8" t="b">
        <v>0</v>
      </c>
      <c r="Z2343" s="8" t="b">
        <v>0</v>
      </c>
      <c r="AA2343" s="8" t="b">
        <v>0</v>
      </c>
      <c r="AB2343" s="8" t="b">
        <v>1</v>
      </c>
      <c r="AC2343" s="8" t="b">
        <v>0</v>
      </c>
      <c r="AD2343" s="8" t="b">
        <v>0</v>
      </c>
      <c r="AE2343" s="8" t="b">
        <v>1</v>
      </c>
      <c r="AF2343" s="11" t="s">
        <v>782</v>
      </c>
      <c r="AG2343" s="11" t="b" cm="1">
        <f t="array" ref="AG2343">IF(OR(Y2343:AA2343="TRUE", AE2343="true"), "Threatened")</f>
        <v>0</v>
      </c>
      <c r="AH2343" s="11" t="s">
        <v>5853</v>
      </c>
      <c r="AI2343" s="8" t="b">
        <v>1</v>
      </c>
    </row>
    <row r="2344" spans="1:35" ht="31.2">
      <c r="A2344" s="8">
        <v>-73.971919490000005</v>
      </c>
      <c r="B2344" s="8">
        <v>40.7748001</v>
      </c>
      <c r="C2344" s="8" t="s">
        <v>5854</v>
      </c>
      <c r="D2344" s="8" t="s">
        <v>98</v>
      </c>
      <c r="E2344" s="8" t="b">
        <f t="shared" si="36"/>
        <v>0</v>
      </c>
      <c r="F2344" s="8" t="str" cm="1">
        <f t="array" ref="F2344">_xlfn._xlws.FILTER(E2344:E5542, C2344:C5542= "6D-PM-1020-01", "No Squirrels Found")</f>
        <v>No Squirrels Found</v>
      </c>
      <c r="G2344" s="8" t="s">
        <v>48</v>
      </c>
      <c r="H2344" s="10">
        <v>10102018</v>
      </c>
      <c r="I2344" s="10">
        <v>4</v>
      </c>
      <c r="J2344" s="8" t="s">
        <v>39</v>
      </c>
      <c r="K2344" s="8" t="s">
        <v>40</v>
      </c>
      <c r="L2344" s="8" t="s">
        <v>117</v>
      </c>
      <c r="M2344" s="8" t="s">
        <v>118</v>
      </c>
      <c r="O2344" s="8" t="s">
        <v>43</v>
      </c>
      <c r="P2344" s="8" t="b">
        <v>0</v>
      </c>
      <c r="R2344" s="8" t="b">
        <v>0</v>
      </c>
      <c r="S2344" s="8" t="b">
        <v>0</v>
      </c>
      <c r="T2344" s="8" t="b">
        <v>0</v>
      </c>
      <c r="U2344" s="8" t="b">
        <v>1</v>
      </c>
      <c r="V2344" s="8" t="b">
        <v>1</v>
      </c>
      <c r="X2344" s="8" t="b">
        <v>0</v>
      </c>
      <c r="Y2344" s="8" t="b">
        <v>0</v>
      </c>
      <c r="Z2344" s="8" t="b">
        <v>0</v>
      </c>
      <c r="AA2344" s="8" t="b">
        <v>0</v>
      </c>
      <c r="AB2344" s="8" t="b">
        <v>1</v>
      </c>
      <c r="AC2344" s="8" t="b">
        <v>0</v>
      </c>
      <c r="AD2344" s="8" t="b">
        <v>0</v>
      </c>
      <c r="AE2344" s="8" t="b">
        <v>0</v>
      </c>
      <c r="AG2344" s="11" t="b" cm="1">
        <f t="array" ref="AG2344">IF(OR(Y2344:AA2344="TRUE", AE2344="true"), "Threatened")</f>
        <v>0</v>
      </c>
      <c r="AH2344" s="11" t="s">
        <v>5855</v>
      </c>
      <c r="AI2344" s="8" t="b">
        <v>1</v>
      </c>
    </row>
    <row r="2345" spans="1:35" ht="31.2">
      <c r="A2345" s="8">
        <v>-73.978631030000003</v>
      </c>
      <c r="B2345" s="8">
        <v>40.766934939999999</v>
      </c>
      <c r="C2345" s="8" t="s">
        <v>5856</v>
      </c>
      <c r="D2345" s="8" t="s">
        <v>1278</v>
      </c>
      <c r="E2345" s="8" t="b">
        <f t="shared" si="36"/>
        <v>0</v>
      </c>
      <c r="F2345" s="8" t="str" cm="1">
        <f t="array" ref="F2345">_xlfn._xlws.FILTER(E2345:E5543, C2345:C5543= "6D-PM-1020-01", "No Squirrels Found")</f>
        <v>No Squirrels Found</v>
      </c>
      <c r="G2345" s="8" t="s">
        <v>48</v>
      </c>
      <c r="H2345" s="10">
        <v>10062018</v>
      </c>
      <c r="I2345" s="10">
        <v>5</v>
      </c>
      <c r="J2345" s="8" t="s">
        <v>39</v>
      </c>
      <c r="K2345" s="8" t="s">
        <v>41</v>
      </c>
      <c r="L2345" s="8" t="s">
        <v>84</v>
      </c>
      <c r="M2345" s="8" t="s">
        <v>85</v>
      </c>
      <c r="O2345" s="8" t="s">
        <v>43</v>
      </c>
      <c r="P2345" s="8" t="b">
        <v>0</v>
      </c>
      <c r="R2345" s="8" t="b">
        <v>0</v>
      </c>
      <c r="S2345" s="8" t="b">
        <v>0</v>
      </c>
      <c r="T2345" s="8" t="b">
        <v>0</v>
      </c>
      <c r="U2345" s="8" t="b">
        <v>1</v>
      </c>
      <c r="V2345" s="8" t="b">
        <v>0</v>
      </c>
      <c r="X2345" s="8" t="b">
        <v>0</v>
      </c>
      <c r="Y2345" s="8" t="b">
        <v>0</v>
      </c>
      <c r="Z2345" s="8" t="b">
        <v>0</v>
      </c>
      <c r="AA2345" s="8" t="b">
        <v>0</v>
      </c>
      <c r="AB2345" s="8" t="b">
        <v>1</v>
      </c>
      <c r="AC2345" s="8" t="b">
        <v>0</v>
      </c>
      <c r="AD2345" s="8" t="b">
        <v>0</v>
      </c>
      <c r="AE2345" s="8" t="b">
        <v>0</v>
      </c>
      <c r="AG2345" s="11" t="b" cm="1">
        <f t="array" ref="AG2345">IF(OR(Y2345:AA2345="TRUE", AE2345="true"), "Threatened")</f>
        <v>0</v>
      </c>
      <c r="AH2345" s="11" t="s">
        <v>5857</v>
      </c>
      <c r="AI2345" s="8" t="b">
        <v>1</v>
      </c>
    </row>
    <row r="2346" spans="1:35" ht="31.2">
      <c r="A2346" s="8">
        <v>-73.965738549999998</v>
      </c>
      <c r="B2346" s="8">
        <v>40.788696270000003</v>
      </c>
      <c r="C2346" s="8" t="s">
        <v>5858</v>
      </c>
      <c r="D2346" s="8" t="s">
        <v>4414</v>
      </c>
      <c r="E2346" s="8" t="b">
        <f t="shared" si="36"/>
        <v>0</v>
      </c>
      <c r="F2346" s="8" t="str" cm="1">
        <f t="array" ref="F2346">_xlfn._xlws.FILTER(E2346:E5544, C2346:C5544= "6D-PM-1020-01", "No Squirrels Found")</f>
        <v>No Squirrels Found</v>
      </c>
      <c r="G2346" s="8" t="s">
        <v>34</v>
      </c>
      <c r="H2346" s="10">
        <v>10062018</v>
      </c>
      <c r="I2346" s="10">
        <v>1</v>
      </c>
      <c r="J2346" s="8" t="s">
        <v>39</v>
      </c>
      <c r="K2346" s="8" t="s">
        <v>40</v>
      </c>
      <c r="M2346" s="8" t="s">
        <v>55</v>
      </c>
      <c r="O2346" s="8" t="s">
        <v>43</v>
      </c>
      <c r="P2346" s="8" t="b">
        <v>0</v>
      </c>
      <c r="Q2346" s="8" t="s">
        <v>5859</v>
      </c>
      <c r="R2346" s="8" t="b">
        <v>0</v>
      </c>
      <c r="S2346" s="8" t="b">
        <v>0</v>
      </c>
      <c r="T2346" s="8" t="b">
        <v>0</v>
      </c>
      <c r="U2346" s="8" t="b">
        <v>1</v>
      </c>
      <c r="V2346" s="8" t="b">
        <v>1</v>
      </c>
      <c r="X2346" s="8" t="b">
        <v>0</v>
      </c>
      <c r="Y2346" s="8" t="b">
        <v>0</v>
      </c>
      <c r="Z2346" s="8" t="b">
        <v>0</v>
      </c>
      <c r="AA2346" s="8" t="b">
        <v>0</v>
      </c>
      <c r="AB2346" s="8" t="b">
        <v>0</v>
      </c>
      <c r="AC2346" s="8" t="b">
        <v>0</v>
      </c>
      <c r="AD2346" s="8" t="b">
        <v>0</v>
      </c>
      <c r="AE2346" s="8" t="b">
        <v>1</v>
      </c>
      <c r="AG2346" s="11" t="b" cm="1">
        <f t="array" ref="AG2346">IF(OR(Y2346:AA2346="TRUE", AE2346="true"), "Threatened")</f>
        <v>0</v>
      </c>
      <c r="AH2346" s="11" t="s">
        <v>5860</v>
      </c>
      <c r="AI2346" s="8" t="b">
        <v>1</v>
      </c>
    </row>
    <row r="2347" spans="1:35" ht="31.2">
      <c r="A2347" s="8">
        <v>-73.956217730000006</v>
      </c>
      <c r="B2347" s="8">
        <v>40.79834133</v>
      </c>
      <c r="C2347" s="8" t="s">
        <v>5861</v>
      </c>
      <c r="D2347" s="8" t="s">
        <v>1133</v>
      </c>
      <c r="E2347" s="8" t="b">
        <f t="shared" si="36"/>
        <v>0</v>
      </c>
      <c r="F2347" s="8" t="str" cm="1">
        <f t="array" ref="F2347">_xlfn._xlws.FILTER(E2347:E5545, C2347:C5545= "6D-PM-1020-01", "No Squirrels Found")</f>
        <v>No Squirrels Found</v>
      </c>
      <c r="G2347" s="8" t="s">
        <v>34</v>
      </c>
      <c r="H2347" s="10">
        <v>10072018</v>
      </c>
      <c r="I2347" s="10">
        <v>3</v>
      </c>
      <c r="J2347" s="8" t="s">
        <v>39</v>
      </c>
      <c r="K2347" s="8" t="s">
        <v>40</v>
      </c>
      <c r="L2347" s="8" t="s">
        <v>84</v>
      </c>
      <c r="M2347" s="8" t="s">
        <v>103</v>
      </c>
      <c r="O2347" s="8" t="s">
        <v>43</v>
      </c>
      <c r="P2347" s="8" t="b">
        <v>0</v>
      </c>
      <c r="R2347" s="8" t="b">
        <v>1</v>
      </c>
      <c r="S2347" s="8" t="b">
        <v>0</v>
      </c>
      <c r="T2347" s="8" t="b">
        <v>0</v>
      </c>
      <c r="U2347" s="8" t="b">
        <v>0</v>
      </c>
      <c r="V2347" s="8" t="b">
        <v>0</v>
      </c>
      <c r="X2347" s="8" t="b">
        <v>0</v>
      </c>
      <c r="Y2347" s="8" t="b">
        <v>0</v>
      </c>
      <c r="Z2347" s="8" t="b">
        <v>0</v>
      </c>
      <c r="AA2347" s="8" t="b">
        <v>0</v>
      </c>
      <c r="AB2347" s="8" t="b">
        <v>0</v>
      </c>
      <c r="AC2347" s="8" t="b">
        <v>0</v>
      </c>
      <c r="AD2347" s="8" t="b">
        <v>0</v>
      </c>
      <c r="AE2347" s="8" t="b">
        <v>0</v>
      </c>
      <c r="AG2347" s="11" t="b" cm="1">
        <f t="array" ref="AG2347">IF(OR(Y2347:AA2347="TRUE", AE2347="true"), "Threatened")</f>
        <v>0</v>
      </c>
      <c r="AH2347" s="11" t="s">
        <v>5862</v>
      </c>
      <c r="AI2347" s="8" t="b">
        <v>1</v>
      </c>
    </row>
    <row r="2348" spans="1:35" ht="31.2">
      <c r="A2348" s="8">
        <v>-73.966312459999997</v>
      </c>
      <c r="B2348" s="8">
        <v>40.779544000000001</v>
      </c>
      <c r="C2348" s="8" t="s">
        <v>5863</v>
      </c>
      <c r="D2348" s="8" t="s">
        <v>1526</v>
      </c>
      <c r="E2348" s="8" t="b">
        <f t="shared" si="36"/>
        <v>0</v>
      </c>
      <c r="F2348" s="8" t="str" cm="1">
        <f t="array" ref="F2348">_xlfn._xlws.FILTER(E2348:E5546, C2348:C5546= "6D-PM-1020-01", "No Squirrels Found")</f>
        <v>No Squirrels Found</v>
      </c>
      <c r="G2348" s="8" t="s">
        <v>34</v>
      </c>
      <c r="H2348" s="10">
        <v>10082018</v>
      </c>
      <c r="I2348" s="10">
        <v>2</v>
      </c>
      <c r="J2348" s="8" t="s">
        <v>39</v>
      </c>
      <c r="K2348" s="8" t="s">
        <v>40</v>
      </c>
      <c r="M2348" s="8" t="s">
        <v>55</v>
      </c>
      <c r="R2348" s="8" t="b">
        <v>0</v>
      </c>
      <c r="S2348" s="8" t="b">
        <v>0</v>
      </c>
      <c r="T2348" s="8" t="b">
        <v>0</v>
      </c>
      <c r="U2348" s="8" t="b">
        <v>0</v>
      </c>
      <c r="V2348" s="8" t="b">
        <v>0</v>
      </c>
      <c r="W2348" s="11" t="s">
        <v>5864</v>
      </c>
      <c r="X2348" s="8" t="b">
        <v>0</v>
      </c>
      <c r="Y2348" s="8" t="b">
        <v>0</v>
      </c>
      <c r="Z2348" s="8" t="b">
        <v>0</v>
      </c>
      <c r="AA2348" s="8" t="b">
        <v>0</v>
      </c>
      <c r="AB2348" s="8" t="b">
        <v>0</v>
      </c>
      <c r="AC2348" s="8" t="b">
        <v>0</v>
      </c>
      <c r="AD2348" s="8" t="b">
        <v>0</v>
      </c>
      <c r="AE2348" s="8" t="b">
        <v>1</v>
      </c>
      <c r="AG2348" s="11" t="b" cm="1">
        <f t="array" ref="AG2348">IF(OR(Y2348:AA2348="TRUE", AE2348="true"), "Threatened")</f>
        <v>0</v>
      </c>
      <c r="AH2348" s="11" t="s">
        <v>5865</v>
      </c>
      <c r="AI2348" s="8" t="b">
        <v>0</v>
      </c>
    </row>
    <row r="2349" spans="1:35" ht="31.2">
      <c r="A2349" s="8">
        <v>-73.953196550000001</v>
      </c>
      <c r="B2349" s="8">
        <v>40.794743799999999</v>
      </c>
      <c r="C2349" s="8" t="s">
        <v>5866</v>
      </c>
      <c r="D2349" s="8" t="s">
        <v>293</v>
      </c>
      <c r="E2349" s="8" t="b">
        <f t="shared" si="36"/>
        <v>0</v>
      </c>
      <c r="F2349" s="8" t="str" cm="1">
        <f t="array" ref="F2349">_xlfn._xlws.FILTER(E2349:E5547, C2349:C5547= "6D-PM-1020-01", "No Squirrels Found")</f>
        <v>No Squirrels Found</v>
      </c>
      <c r="G2349" s="8" t="s">
        <v>34</v>
      </c>
      <c r="H2349" s="10">
        <v>10202018</v>
      </c>
      <c r="I2349" s="10">
        <v>11</v>
      </c>
      <c r="J2349" s="8" t="s">
        <v>39</v>
      </c>
      <c r="K2349" s="8" t="s">
        <v>40</v>
      </c>
      <c r="L2349" s="8" t="s">
        <v>117</v>
      </c>
      <c r="M2349" s="8" t="s">
        <v>118</v>
      </c>
      <c r="O2349" s="8" t="s">
        <v>43</v>
      </c>
      <c r="P2349" s="8" t="b">
        <v>0</v>
      </c>
      <c r="R2349" s="8" t="b">
        <v>0</v>
      </c>
      <c r="S2349" s="8" t="b">
        <v>0</v>
      </c>
      <c r="T2349" s="8" t="b">
        <v>0</v>
      </c>
      <c r="U2349" s="8" t="b">
        <v>1</v>
      </c>
      <c r="V2349" s="8" t="b">
        <v>0</v>
      </c>
      <c r="X2349" s="8" t="b">
        <v>0</v>
      </c>
      <c r="Y2349" s="8" t="b">
        <v>0</v>
      </c>
      <c r="Z2349" s="8" t="b">
        <v>0</v>
      </c>
      <c r="AA2349" s="8" t="b">
        <v>1</v>
      </c>
      <c r="AB2349" s="8" t="b">
        <v>0</v>
      </c>
      <c r="AC2349" s="8" t="b">
        <v>1</v>
      </c>
      <c r="AD2349" s="8" t="b">
        <v>1</v>
      </c>
      <c r="AE2349" s="8" t="b">
        <v>0</v>
      </c>
      <c r="AG2349" s="11" t="b" cm="1">
        <f t="array" ref="AG2349">IF(OR(Y2349:AA2349="TRUE", AE2349="true"), "Threatened")</f>
        <v>0</v>
      </c>
      <c r="AH2349" s="11" t="s">
        <v>5867</v>
      </c>
      <c r="AI2349" s="8" t="b">
        <v>1</v>
      </c>
    </row>
    <row r="2350" spans="1:35" ht="31.2">
      <c r="A2350" s="8">
        <v>-73.980033739999996</v>
      </c>
      <c r="B2350" s="8">
        <v>40.768360829999999</v>
      </c>
      <c r="C2350" s="8" t="s">
        <v>5868</v>
      </c>
      <c r="D2350" s="8" t="s">
        <v>219</v>
      </c>
      <c r="E2350" s="8" t="b">
        <f t="shared" si="36"/>
        <v>0</v>
      </c>
      <c r="F2350" s="8" t="str" cm="1">
        <f t="array" ref="F2350">_xlfn._xlws.FILTER(E2350:E5548, C2350:C5548= "6D-PM-1020-01", "No Squirrels Found")</f>
        <v>No Squirrels Found</v>
      </c>
      <c r="G2350" s="8" t="s">
        <v>34</v>
      </c>
      <c r="H2350" s="10">
        <v>10132018</v>
      </c>
      <c r="I2350" s="10">
        <v>4</v>
      </c>
      <c r="J2350" s="8" t="s">
        <v>39</v>
      </c>
      <c r="K2350" s="8" t="s">
        <v>40</v>
      </c>
      <c r="L2350" s="8" t="s">
        <v>84</v>
      </c>
      <c r="M2350" s="8" t="s">
        <v>103</v>
      </c>
      <c r="O2350" s="8" t="s">
        <v>43</v>
      </c>
      <c r="P2350" s="8" t="b">
        <v>0</v>
      </c>
      <c r="R2350" s="8" t="b">
        <v>0</v>
      </c>
      <c r="S2350" s="8" t="b">
        <v>0</v>
      </c>
      <c r="T2350" s="8" t="b">
        <v>0</v>
      </c>
      <c r="U2350" s="8" t="b">
        <v>0</v>
      </c>
      <c r="V2350" s="8" t="b">
        <v>0</v>
      </c>
      <c r="X2350" s="8" t="b">
        <v>0</v>
      </c>
      <c r="Y2350" s="8" t="b">
        <v>0</v>
      </c>
      <c r="Z2350" s="8" t="b">
        <v>0</v>
      </c>
      <c r="AA2350" s="8" t="b">
        <v>0</v>
      </c>
      <c r="AB2350" s="8" t="b">
        <v>0</v>
      </c>
      <c r="AC2350" s="8" t="b">
        <v>0</v>
      </c>
      <c r="AD2350" s="8" t="b">
        <v>0</v>
      </c>
      <c r="AE2350" s="8" t="b">
        <v>0</v>
      </c>
      <c r="AG2350" s="11" t="b" cm="1">
        <f t="array" ref="AG2350">IF(OR(Y2350:AA2350="TRUE", AE2350="true"), "Threatened")</f>
        <v>0</v>
      </c>
      <c r="AH2350" s="11" t="s">
        <v>5869</v>
      </c>
      <c r="AI2350" s="8" t="b">
        <v>1</v>
      </c>
    </row>
    <row r="2351" spans="1:35" ht="31.2">
      <c r="A2351" s="8">
        <v>-73.956477739999997</v>
      </c>
      <c r="B2351" s="8">
        <v>40.79930684</v>
      </c>
      <c r="C2351" s="8" t="s">
        <v>5870</v>
      </c>
      <c r="D2351" s="8" t="s">
        <v>350</v>
      </c>
      <c r="E2351" s="8" t="b">
        <f t="shared" si="36"/>
        <v>0</v>
      </c>
      <c r="F2351" s="8" t="str" cm="1">
        <f t="array" ref="F2351">_xlfn._xlws.FILTER(E2351:E5549, C2351:C5549= "6D-PM-1020-01", "No Squirrels Found")</f>
        <v>No Squirrels Found</v>
      </c>
      <c r="G2351" s="8" t="s">
        <v>48</v>
      </c>
      <c r="H2351" s="10">
        <v>10072018</v>
      </c>
      <c r="I2351" s="10">
        <v>1</v>
      </c>
      <c r="J2351" s="8" t="s">
        <v>39</v>
      </c>
      <c r="K2351" s="8" t="s">
        <v>40</v>
      </c>
      <c r="L2351" s="8" t="s">
        <v>41</v>
      </c>
      <c r="M2351" s="8" t="s">
        <v>42</v>
      </c>
      <c r="O2351" s="8" t="s">
        <v>43</v>
      </c>
      <c r="P2351" s="8" t="b">
        <v>0</v>
      </c>
      <c r="R2351" s="8" t="b">
        <v>0</v>
      </c>
      <c r="S2351" s="8" t="b">
        <v>0</v>
      </c>
      <c r="T2351" s="8" t="b">
        <v>0</v>
      </c>
      <c r="U2351" s="8" t="b">
        <v>0</v>
      </c>
      <c r="V2351" s="8" t="b">
        <v>0</v>
      </c>
      <c r="W2351" s="11" t="s">
        <v>2549</v>
      </c>
      <c r="X2351" s="8" t="b">
        <v>0</v>
      </c>
      <c r="Y2351" s="8" t="b">
        <v>0</v>
      </c>
      <c r="Z2351" s="8" t="b">
        <v>0</v>
      </c>
      <c r="AA2351" s="8" t="b">
        <v>0</v>
      </c>
      <c r="AB2351" s="8" t="b">
        <v>0</v>
      </c>
      <c r="AC2351" s="8" t="b">
        <v>0</v>
      </c>
      <c r="AD2351" s="8" t="b">
        <v>0</v>
      </c>
      <c r="AE2351" s="8" t="b">
        <v>1</v>
      </c>
      <c r="AG2351" s="11" t="b" cm="1">
        <f t="array" ref="AG2351">IF(OR(Y2351:AA2351="TRUE", AE2351="true"), "Threatened")</f>
        <v>0</v>
      </c>
      <c r="AH2351" s="11" t="s">
        <v>5871</v>
      </c>
      <c r="AI2351" s="8" t="b">
        <v>0</v>
      </c>
    </row>
    <row r="2352" spans="1:35" ht="31.2">
      <c r="A2352" s="8">
        <v>-73.974581850000007</v>
      </c>
      <c r="B2352" s="8">
        <v>40.765449889999999</v>
      </c>
      <c r="C2352" s="8" t="s">
        <v>5872</v>
      </c>
      <c r="D2352" s="8" t="s">
        <v>966</v>
      </c>
      <c r="E2352" s="8" t="b">
        <f t="shared" si="36"/>
        <v>0</v>
      </c>
      <c r="F2352" s="8" t="str" cm="1">
        <f t="array" ref="F2352">_xlfn._xlws.FILTER(E2352:E5550, C2352:C5550= "6D-PM-1020-01", "No Squirrels Found")</f>
        <v>No Squirrels Found</v>
      </c>
      <c r="G2352" s="8" t="s">
        <v>48</v>
      </c>
      <c r="H2352" s="10">
        <v>10062018</v>
      </c>
      <c r="I2352" s="10">
        <v>1</v>
      </c>
      <c r="J2352" s="8" t="s">
        <v>39</v>
      </c>
      <c r="K2352" s="8" t="s">
        <v>192</v>
      </c>
      <c r="M2352" s="8" t="s">
        <v>193</v>
      </c>
      <c r="O2352" s="8" t="s">
        <v>43</v>
      </c>
      <c r="P2352" s="8" t="b">
        <v>0</v>
      </c>
      <c r="R2352" s="8" t="b">
        <v>0</v>
      </c>
      <c r="S2352" s="8" t="b">
        <v>1</v>
      </c>
      <c r="T2352" s="8" t="b">
        <v>0</v>
      </c>
      <c r="U2352" s="8" t="b">
        <v>0</v>
      </c>
      <c r="V2352" s="8" t="b">
        <v>1</v>
      </c>
      <c r="X2352" s="8" t="b">
        <v>0</v>
      </c>
      <c r="Y2352" s="8" t="b">
        <v>0</v>
      </c>
      <c r="Z2352" s="8" t="b">
        <v>0</v>
      </c>
      <c r="AA2352" s="8" t="b">
        <v>0</v>
      </c>
      <c r="AB2352" s="8" t="b">
        <v>1</v>
      </c>
      <c r="AC2352" s="8" t="b">
        <v>0</v>
      </c>
      <c r="AD2352" s="8" t="b">
        <v>1</v>
      </c>
      <c r="AE2352" s="8" t="b">
        <v>0</v>
      </c>
      <c r="AG2352" s="11" t="b" cm="1">
        <f t="array" ref="AG2352">IF(OR(Y2352:AA2352="TRUE", AE2352="true"), "Threatened")</f>
        <v>0</v>
      </c>
      <c r="AH2352" s="11" t="s">
        <v>5873</v>
      </c>
      <c r="AI2352" s="8" t="b">
        <v>1</v>
      </c>
    </row>
    <row r="2353" spans="1:35" ht="31.2">
      <c r="A2353" s="8">
        <v>-73.972731039999999</v>
      </c>
      <c r="B2353" s="8">
        <v>40.778701679999998</v>
      </c>
      <c r="C2353" s="8" t="s">
        <v>5874</v>
      </c>
      <c r="D2353" s="8" t="s">
        <v>1141</v>
      </c>
      <c r="E2353" s="8" t="b">
        <f t="shared" si="36"/>
        <v>0</v>
      </c>
      <c r="F2353" s="8" t="str" cm="1">
        <f t="array" ref="F2353">_xlfn._xlws.FILTER(E2353:E5551, C2353:C5551= "6D-PM-1020-01", "No Squirrels Found")</f>
        <v>No Squirrels Found</v>
      </c>
      <c r="G2353" s="8" t="s">
        <v>34</v>
      </c>
      <c r="H2353" s="10">
        <v>10172018</v>
      </c>
      <c r="I2353" s="10">
        <v>2</v>
      </c>
      <c r="J2353" s="8" t="s">
        <v>39</v>
      </c>
      <c r="K2353" s="8" t="s">
        <v>40</v>
      </c>
      <c r="L2353" s="8" t="s">
        <v>84</v>
      </c>
      <c r="M2353" s="8" t="s">
        <v>103</v>
      </c>
      <c r="O2353" s="8" t="s">
        <v>43</v>
      </c>
      <c r="P2353" s="8" t="b">
        <v>0</v>
      </c>
      <c r="Q2353" s="8" t="s">
        <v>206</v>
      </c>
      <c r="R2353" s="8" t="b">
        <v>0</v>
      </c>
      <c r="S2353" s="8" t="b">
        <v>0</v>
      </c>
      <c r="T2353" s="8" t="b">
        <v>1</v>
      </c>
      <c r="U2353" s="8" t="b">
        <v>1</v>
      </c>
      <c r="V2353" s="8" t="b">
        <v>1</v>
      </c>
      <c r="W2353" s="11" t="s">
        <v>5875</v>
      </c>
      <c r="X2353" s="8" t="b">
        <v>0</v>
      </c>
      <c r="Y2353" s="8" t="b">
        <v>0</v>
      </c>
      <c r="Z2353" s="8" t="b">
        <v>0</v>
      </c>
      <c r="AA2353" s="8" t="b">
        <v>0</v>
      </c>
      <c r="AB2353" s="8" t="b">
        <v>0</v>
      </c>
      <c r="AC2353" s="8" t="b">
        <v>0</v>
      </c>
      <c r="AD2353" s="8" t="b">
        <v>0</v>
      </c>
      <c r="AE2353" s="8" t="b">
        <v>1</v>
      </c>
      <c r="AG2353" s="11" t="b" cm="1">
        <f t="array" ref="AG2353">IF(OR(Y2353:AA2353="TRUE", AE2353="true"), "Threatened")</f>
        <v>0</v>
      </c>
      <c r="AH2353" s="11" t="s">
        <v>5876</v>
      </c>
      <c r="AI2353" s="8" t="b">
        <v>0</v>
      </c>
    </row>
    <row r="2354" spans="1:35" ht="31.2">
      <c r="A2354" s="8">
        <v>-73.963623179999999</v>
      </c>
      <c r="B2354" s="8">
        <v>40.792745109999998</v>
      </c>
      <c r="C2354" s="8" t="s">
        <v>5877</v>
      </c>
      <c r="D2354" s="8" t="s">
        <v>125</v>
      </c>
      <c r="E2354" s="8" t="b">
        <f t="shared" si="36"/>
        <v>0</v>
      </c>
      <c r="F2354" s="8" t="str" cm="1">
        <f t="array" ref="F2354">_xlfn._xlws.FILTER(E2354:E5552, C2354:C5552= "6D-PM-1020-01", "No Squirrels Found")</f>
        <v>No Squirrels Found</v>
      </c>
      <c r="G2354" s="8" t="s">
        <v>34</v>
      </c>
      <c r="H2354" s="10">
        <v>10132018</v>
      </c>
      <c r="I2354" s="10">
        <v>4</v>
      </c>
      <c r="J2354" s="8" t="s">
        <v>39</v>
      </c>
      <c r="K2354" s="8" t="s">
        <v>40</v>
      </c>
      <c r="L2354" s="8" t="s">
        <v>84</v>
      </c>
      <c r="M2354" s="8" t="s">
        <v>103</v>
      </c>
      <c r="O2354" s="8" t="s">
        <v>43</v>
      </c>
      <c r="P2354" s="8" t="b">
        <v>0</v>
      </c>
      <c r="R2354" s="8" t="b">
        <v>0</v>
      </c>
      <c r="S2354" s="8" t="b">
        <v>0</v>
      </c>
      <c r="T2354" s="8" t="b">
        <v>0</v>
      </c>
      <c r="U2354" s="8" t="b">
        <v>0</v>
      </c>
      <c r="V2354" s="8" t="b">
        <v>1</v>
      </c>
      <c r="X2354" s="8" t="b">
        <v>0</v>
      </c>
      <c r="Y2354" s="8" t="b">
        <v>0</v>
      </c>
      <c r="Z2354" s="8" t="b">
        <v>0</v>
      </c>
      <c r="AA2354" s="8" t="b">
        <v>0</v>
      </c>
      <c r="AB2354" s="8" t="b">
        <v>1</v>
      </c>
      <c r="AC2354" s="8" t="b">
        <v>0</v>
      </c>
      <c r="AD2354" s="8" t="b">
        <v>1</v>
      </c>
      <c r="AE2354" s="8" t="b">
        <v>0</v>
      </c>
      <c r="AG2354" s="11" t="b" cm="1">
        <f t="array" ref="AG2354">IF(OR(Y2354:AA2354="TRUE", AE2354="true"), "Threatened")</f>
        <v>0</v>
      </c>
      <c r="AH2354" s="11" t="s">
        <v>5878</v>
      </c>
      <c r="AI2354" s="8" t="b">
        <v>1</v>
      </c>
    </row>
    <row r="2355" spans="1:35" ht="31.2">
      <c r="A2355" s="8">
        <v>-73.963674019999999</v>
      </c>
      <c r="B2355" s="8">
        <v>40.79035382</v>
      </c>
      <c r="C2355" s="8" t="s">
        <v>5879</v>
      </c>
      <c r="D2355" s="8" t="s">
        <v>911</v>
      </c>
      <c r="E2355" s="8" t="b">
        <f t="shared" si="36"/>
        <v>0</v>
      </c>
      <c r="F2355" s="8" t="str" cm="1">
        <f t="array" ref="F2355">_xlfn._xlws.FILTER(E2355:E5553, C2355:C5553= "6D-PM-1020-01", "No Squirrels Found")</f>
        <v>No Squirrels Found</v>
      </c>
      <c r="G2355" s="8" t="s">
        <v>48</v>
      </c>
      <c r="H2355" s="10">
        <v>10072018</v>
      </c>
      <c r="I2355" s="10">
        <v>12</v>
      </c>
      <c r="J2355" s="8" t="s">
        <v>39</v>
      </c>
      <c r="K2355" s="8" t="s">
        <v>40</v>
      </c>
      <c r="M2355" s="8" t="s">
        <v>55</v>
      </c>
      <c r="O2355" s="8" t="s">
        <v>50</v>
      </c>
      <c r="P2355" s="8">
        <v>4</v>
      </c>
      <c r="R2355" s="8" t="b">
        <v>0</v>
      </c>
      <c r="S2355" s="8" t="b">
        <v>0</v>
      </c>
      <c r="T2355" s="8" t="b">
        <v>1</v>
      </c>
      <c r="U2355" s="8" t="b">
        <v>0</v>
      </c>
      <c r="V2355" s="8" t="b">
        <v>1</v>
      </c>
      <c r="X2355" s="8" t="b">
        <v>0</v>
      </c>
      <c r="Y2355" s="8" t="b">
        <v>0</v>
      </c>
      <c r="Z2355" s="8" t="b">
        <v>0</v>
      </c>
      <c r="AA2355" s="8" t="b">
        <v>0</v>
      </c>
      <c r="AB2355" s="8" t="b">
        <v>0</v>
      </c>
      <c r="AC2355" s="8" t="b">
        <v>0</v>
      </c>
      <c r="AD2355" s="8" t="b">
        <v>0</v>
      </c>
      <c r="AE2355" s="8" t="b">
        <v>1</v>
      </c>
      <c r="AG2355" s="11" t="b" cm="1">
        <f t="array" ref="AG2355">IF(OR(Y2355:AA2355="TRUE", AE2355="true"), "Threatened")</f>
        <v>0</v>
      </c>
      <c r="AH2355" s="11" t="s">
        <v>5880</v>
      </c>
      <c r="AI2355" s="8" t="b">
        <v>1</v>
      </c>
    </row>
    <row r="2356" spans="1:35" ht="31.2">
      <c r="A2356" s="8">
        <v>-73.972865440000007</v>
      </c>
      <c r="B2356" s="8">
        <v>40.77248531</v>
      </c>
      <c r="C2356" s="8" t="s">
        <v>5881</v>
      </c>
      <c r="D2356" s="8" t="s">
        <v>1923</v>
      </c>
      <c r="E2356" s="8" t="b">
        <f t="shared" si="36"/>
        <v>0</v>
      </c>
      <c r="F2356" s="8" t="str" cm="1">
        <f t="array" ref="F2356">_xlfn._xlws.FILTER(E2356:E5554, C2356:C5554= "6D-PM-1020-01", "No Squirrels Found")</f>
        <v>No Squirrels Found</v>
      </c>
      <c r="G2356" s="8" t="s">
        <v>48</v>
      </c>
      <c r="H2356" s="10">
        <v>10082018</v>
      </c>
      <c r="I2356" s="10">
        <v>4</v>
      </c>
      <c r="J2356" s="8" t="s">
        <v>39</v>
      </c>
      <c r="K2356" s="8" t="s">
        <v>40</v>
      </c>
      <c r="L2356" s="8" t="s">
        <v>84</v>
      </c>
      <c r="M2356" s="8" t="s">
        <v>103</v>
      </c>
      <c r="O2356" s="8" t="s">
        <v>43</v>
      </c>
      <c r="P2356" s="8" t="b">
        <v>0</v>
      </c>
      <c r="R2356" s="8" t="b">
        <v>0</v>
      </c>
      <c r="S2356" s="8" t="b">
        <v>0</v>
      </c>
      <c r="T2356" s="8" t="b">
        <v>0</v>
      </c>
      <c r="U2356" s="8" t="b">
        <v>1</v>
      </c>
      <c r="V2356" s="8" t="b">
        <v>0</v>
      </c>
      <c r="X2356" s="8" t="b">
        <v>0</v>
      </c>
      <c r="Y2356" s="8" t="b">
        <v>0</v>
      </c>
      <c r="Z2356" s="8" t="b">
        <v>0</v>
      </c>
      <c r="AA2356" s="8" t="b">
        <v>0</v>
      </c>
      <c r="AB2356" s="8" t="b">
        <v>0</v>
      </c>
      <c r="AC2356" s="8" t="b">
        <v>0</v>
      </c>
      <c r="AD2356" s="8" t="b">
        <v>1</v>
      </c>
      <c r="AE2356" s="8" t="b">
        <v>0</v>
      </c>
      <c r="AG2356" s="11" t="b" cm="1">
        <f t="array" ref="AG2356">IF(OR(Y2356:AA2356="TRUE", AE2356="true"), "Threatened")</f>
        <v>0</v>
      </c>
      <c r="AH2356" s="11" t="s">
        <v>5882</v>
      </c>
      <c r="AI2356" s="8" t="b">
        <v>1</v>
      </c>
    </row>
    <row r="2357" spans="1:35" ht="31.2">
      <c r="A2357" s="8">
        <v>-73.961135530000007</v>
      </c>
      <c r="B2357" s="8">
        <v>40.793069350000003</v>
      </c>
      <c r="C2357" s="8" t="s">
        <v>5883</v>
      </c>
      <c r="D2357" s="8" t="s">
        <v>3812</v>
      </c>
      <c r="E2357" s="8" t="b">
        <f t="shared" si="36"/>
        <v>0</v>
      </c>
      <c r="F2357" s="8" t="str" cm="1">
        <f t="array" ref="F2357">_xlfn._xlws.FILTER(E2357:E5555, C2357:C5555= "6D-PM-1020-01", "No Squirrels Found")</f>
        <v>No Squirrels Found</v>
      </c>
      <c r="G2357" s="8" t="s">
        <v>48</v>
      </c>
      <c r="H2357" s="10">
        <v>10072018</v>
      </c>
      <c r="I2357" s="10">
        <v>2</v>
      </c>
      <c r="J2357" s="8" t="s">
        <v>39</v>
      </c>
      <c r="K2357" s="8" t="s">
        <v>40</v>
      </c>
      <c r="M2357" s="8" t="s">
        <v>55</v>
      </c>
      <c r="O2357" s="8" t="s">
        <v>50</v>
      </c>
      <c r="P2357" s="8">
        <v>40</v>
      </c>
      <c r="R2357" s="8" t="b">
        <v>0</v>
      </c>
      <c r="S2357" s="8" t="b">
        <v>0</v>
      </c>
      <c r="T2357" s="8" t="b">
        <v>1</v>
      </c>
      <c r="U2357" s="8" t="b">
        <v>0</v>
      </c>
      <c r="V2357" s="8" t="b">
        <v>0</v>
      </c>
      <c r="X2357" s="8" t="b">
        <v>0</v>
      </c>
      <c r="Y2357" s="8" t="b">
        <v>0</v>
      </c>
      <c r="Z2357" s="8" t="b">
        <v>0</v>
      </c>
      <c r="AA2357" s="8" t="b">
        <v>0</v>
      </c>
      <c r="AB2357" s="8" t="b">
        <v>0</v>
      </c>
      <c r="AC2357" s="8" t="b">
        <v>0</v>
      </c>
      <c r="AD2357" s="8" t="b">
        <v>1</v>
      </c>
      <c r="AE2357" s="8" t="b">
        <v>0</v>
      </c>
      <c r="AG2357" s="11" t="b" cm="1">
        <f t="array" ref="AG2357">IF(OR(Y2357:AA2357="TRUE", AE2357="true"), "Threatened")</f>
        <v>0</v>
      </c>
      <c r="AH2357" s="11" t="s">
        <v>5884</v>
      </c>
      <c r="AI2357" s="8" t="b">
        <v>1</v>
      </c>
    </row>
    <row r="2358" spans="1:35" ht="31.2">
      <c r="A2358" s="8">
        <v>-73.963230100000004</v>
      </c>
      <c r="B2358" s="8">
        <v>40.792570720000001</v>
      </c>
      <c r="C2358" s="8" t="s">
        <v>5885</v>
      </c>
      <c r="D2358" s="8" t="s">
        <v>125</v>
      </c>
      <c r="E2358" s="8" t="b">
        <f t="shared" si="36"/>
        <v>0</v>
      </c>
      <c r="F2358" s="8" t="str" cm="1">
        <f t="array" ref="F2358">_xlfn._xlws.FILTER(E2358:E5556, C2358:C5556= "6D-PM-1020-01", "No Squirrels Found")</f>
        <v>No Squirrels Found</v>
      </c>
      <c r="G2358" s="8" t="s">
        <v>34</v>
      </c>
      <c r="H2358" s="10">
        <v>10132018</v>
      </c>
      <c r="I2358" s="10">
        <v>6</v>
      </c>
      <c r="J2358" s="8" t="s">
        <v>54</v>
      </c>
      <c r="K2358" s="8" t="s">
        <v>40</v>
      </c>
      <c r="L2358" s="8" t="s">
        <v>41</v>
      </c>
      <c r="M2358" s="8" t="s">
        <v>42</v>
      </c>
      <c r="O2358" s="8" t="s">
        <v>43</v>
      </c>
      <c r="P2358" s="8" t="b">
        <v>0</v>
      </c>
      <c r="R2358" s="8" t="b">
        <v>1</v>
      </c>
      <c r="S2358" s="8" t="b">
        <v>0</v>
      </c>
      <c r="T2358" s="8" t="b">
        <v>0</v>
      </c>
      <c r="U2358" s="8" t="b">
        <v>0</v>
      </c>
      <c r="V2358" s="8" t="b">
        <v>0</v>
      </c>
      <c r="X2358" s="8" t="b">
        <v>0</v>
      </c>
      <c r="Y2358" s="8" t="b">
        <v>0</v>
      </c>
      <c r="Z2358" s="8" t="b">
        <v>0</v>
      </c>
      <c r="AA2358" s="8" t="b">
        <v>0</v>
      </c>
      <c r="AB2358" s="8" t="b">
        <v>0</v>
      </c>
      <c r="AC2358" s="8" t="b">
        <v>0</v>
      </c>
      <c r="AD2358" s="8" t="b">
        <v>0</v>
      </c>
      <c r="AE2358" s="8" t="b">
        <v>1</v>
      </c>
      <c r="AG2358" s="11" t="b" cm="1">
        <f t="array" ref="AG2358">IF(OR(Y2358:AA2358="TRUE", AE2358="true"), "Threatened")</f>
        <v>0</v>
      </c>
      <c r="AH2358" s="11" t="s">
        <v>5886</v>
      </c>
      <c r="AI2358" s="8" t="b">
        <v>1</v>
      </c>
    </row>
    <row r="2359" spans="1:35" ht="31.2">
      <c r="A2359" s="8">
        <v>-73.978837909999996</v>
      </c>
      <c r="B2359" s="8">
        <v>40.768389659999997</v>
      </c>
      <c r="C2359" s="8" t="s">
        <v>5887</v>
      </c>
      <c r="D2359" s="8" t="s">
        <v>1235</v>
      </c>
      <c r="E2359" s="8" t="b">
        <f t="shared" si="36"/>
        <v>0</v>
      </c>
      <c r="F2359" s="8" t="str" cm="1">
        <f t="array" ref="F2359">_xlfn._xlws.FILTER(E2359:E5557, C2359:C5557= "6D-PM-1020-01", "No Squirrels Found")</f>
        <v>No Squirrels Found</v>
      </c>
      <c r="G2359" s="8" t="s">
        <v>34</v>
      </c>
      <c r="H2359" s="10">
        <v>10132018</v>
      </c>
      <c r="I2359" s="10">
        <v>6</v>
      </c>
      <c r="J2359" s="8" t="s">
        <v>39</v>
      </c>
      <c r="K2359" s="8" t="s">
        <v>40</v>
      </c>
      <c r="L2359" s="8" t="s">
        <v>84</v>
      </c>
      <c r="M2359" s="8" t="s">
        <v>103</v>
      </c>
      <c r="O2359" s="8" t="s">
        <v>43</v>
      </c>
      <c r="P2359" s="8" t="b">
        <v>0</v>
      </c>
      <c r="R2359" s="8" t="b">
        <v>0</v>
      </c>
      <c r="S2359" s="8" t="b">
        <v>0</v>
      </c>
      <c r="T2359" s="8" t="b">
        <v>0</v>
      </c>
      <c r="U2359" s="8" t="b">
        <v>0</v>
      </c>
      <c r="V2359" s="8" t="b">
        <v>1</v>
      </c>
      <c r="W2359" s="11" t="s">
        <v>5888</v>
      </c>
      <c r="X2359" s="8" t="b">
        <v>0</v>
      </c>
      <c r="Y2359" s="8" t="b">
        <v>0</v>
      </c>
      <c r="Z2359" s="8" t="b">
        <v>0</v>
      </c>
      <c r="AA2359" s="8" t="b">
        <v>0</v>
      </c>
      <c r="AB2359" s="8" t="b">
        <v>1</v>
      </c>
      <c r="AC2359" s="8" t="b">
        <v>1</v>
      </c>
      <c r="AD2359" s="8" t="b">
        <v>0</v>
      </c>
      <c r="AE2359" s="8" t="b">
        <v>0</v>
      </c>
      <c r="AG2359" s="11" t="b" cm="1">
        <f t="array" ref="AG2359">IF(OR(Y2359:AA2359="TRUE", AE2359="true"), "Threatened")</f>
        <v>0</v>
      </c>
      <c r="AH2359" s="11" t="s">
        <v>5889</v>
      </c>
      <c r="AI2359" s="8" t="b">
        <v>0</v>
      </c>
    </row>
    <row r="2360" spans="1:35" ht="31.2">
      <c r="A2360" s="8">
        <v>-73.970078529999995</v>
      </c>
      <c r="B2360" s="8">
        <v>40.777714109999998</v>
      </c>
      <c r="C2360" s="8" t="s">
        <v>5890</v>
      </c>
      <c r="D2360" s="8" t="s">
        <v>554</v>
      </c>
      <c r="E2360" s="8" t="b">
        <f t="shared" si="36"/>
        <v>0</v>
      </c>
      <c r="F2360" s="8" t="str" cm="1">
        <f t="array" ref="F2360">_xlfn._xlws.FILTER(E2360:E5558, C2360:C5558= "6D-PM-1020-01", "No Squirrels Found")</f>
        <v>No Squirrels Found</v>
      </c>
      <c r="G2360" s="8" t="s">
        <v>48</v>
      </c>
      <c r="H2360" s="10">
        <v>10072018</v>
      </c>
      <c r="I2360" s="10">
        <v>1</v>
      </c>
      <c r="J2360" s="8" t="s">
        <v>39</v>
      </c>
      <c r="K2360" s="8" t="s">
        <v>40</v>
      </c>
      <c r="M2360" s="8" t="s">
        <v>55</v>
      </c>
      <c r="O2360" s="8" t="s">
        <v>43</v>
      </c>
      <c r="P2360" s="8" t="b">
        <v>0</v>
      </c>
      <c r="R2360" s="8" t="b">
        <v>0</v>
      </c>
      <c r="S2360" s="8" t="b">
        <v>0</v>
      </c>
      <c r="T2360" s="8" t="b">
        <v>0</v>
      </c>
      <c r="U2360" s="8" t="b">
        <v>0</v>
      </c>
      <c r="V2360" s="8" t="b">
        <v>1</v>
      </c>
      <c r="X2360" s="8" t="b">
        <v>0</v>
      </c>
      <c r="Y2360" s="8" t="b">
        <v>0</v>
      </c>
      <c r="Z2360" s="8" t="b">
        <v>0</v>
      </c>
      <c r="AA2360" s="8" t="b">
        <v>0</v>
      </c>
      <c r="AB2360" s="8" t="b">
        <v>0</v>
      </c>
      <c r="AC2360" s="8" t="b">
        <v>0</v>
      </c>
      <c r="AD2360" s="8" t="b">
        <v>1</v>
      </c>
      <c r="AE2360" s="8" t="b">
        <v>0</v>
      </c>
      <c r="AG2360" s="11" t="b" cm="1">
        <f t="array" ref="AG2360">IF(OR(Y2360:AA2360="TRUE", AE2360="true"), "Threatened")</f>
        <v>0</v>
      </c>
      <c r="AH2360" s="11" t="s">
        <v>5891</v>
      </c>
      <c r="AI2360" s="8" t="b">
        <v>1</v>
      </c>
    </row>
    <row r="2361" spans="1:35" ht="31.2">
      <c r="A2361" s="8">
        <v>-73.957332500000007</v>
      </c>
      <c r="B2361" s="8">
        <v>40.787466209999998</v>
      </c>
      <c r="C2361" s="8" t="s">
        <v>5892</v>
      </c>
      <c r="D2361" s="8" t="s">
        <v>5625</v>
      </c>
      <c r="E2361" s="8" t="b">
        <f t="shared" si="36"/>
        <v>0</v>
      </c>
      <c r="F2361" s="8" t="str" cm="1">
        <f t="array" ref="F2361">_xlfn._xlws.FILTER(E2361:E5559, C2361:C5559= "6D-PM-1020-01", "No Squirrels Found")</f>
        <v>No Squirrels Found</v>
      </c>
      <c r="G2361" s="8" t="s">
        <v>48</v>
      </c>
      <c r="H2361" s="10">
        <v>10072018</v>
      </c>
      <c r="I2361" s="10">
        <v>1</v>
      </c>
      <c r="J2361" s="8" t="s">
        <v>39</v>
      </c>
      <c r="K2361" s="8" t="s">
        <v>40</v>
      </c>
      <c r="M2361" s="8" t="s">
        <v>55</v>
      </c>
      <c r="O2361" s="8" t="s">
        <v>43</v>
      </c>
      <c r="P2361" s="8" t="b">
        <v>0</v>
      </c>
      <c r="R2361" s="8" t="b">
        <v>0</v>
      </c>
      <c r="S2361" s="8" t="b">
        <v>0</v>
      </c>
      <c r="T2361" s="8" t="b">
        <v>0</v>
      </c>
      <c r="U2361" s="8" t="b">
        <v>0</v>
      </c>
      <c r="V2361" s="8" t="b">
        <v>1</v>
      </c>
      <c r="X2361" s="8" t="b">
        <v>0</v>
      </c>
      <c r="Y2361" s="8" t="b">
        <v>0</v>
      </c>
      <c r="Z2361" s="8" t="b">
        <v>0</v>
      </c>
      <c r="AA2361" s="8" t="b">
        <v>0</v>
      </c>
      <c r="AB2361" s="8" t="b">
        <v>0</v>
      </c>
      <c r="AC2361" s="8" t="b">
        <v>0</v>
      </c>
      <c r="AD2361" s="8" t="b">
        <v>1</v>
      </c>
      <c r="AE2361" s="8" t="b">
        <v>0</v>
      </c>
      <c r="AG2361" s="11" t="b" cm="1">
        <f t="array" ref="AG2361">IF(OR(Y2361:AA2361="TRUE", AE2361="true"), "Threatened")</f>
        <v>0</v>
      </c>
      <c r="AH2361" s="11" t="s">
        <v>5893</v>
      </c>
      <c r="AI2361" s="8" t="b">
        <v>1</v>
      </c>
    </row>
    <row r="2362" spans="1:35" ht="31.2">
      <c r="A2362" s="8">
        <v>-73.970803230000001</v>
      </c>
      <c r="B2362" s="8">
        <v>40.778426570000001</v>
      </c>
      <c r="C2362" s="8" t="s">
        <v>5894</v>
      </c>
      <c r="D2362" s="8" t="s">
        <v>1631</v>
      </c>
      <c r="E2362" s="8" t="b">
        <f t="shared" si="36"/>
        <v>0</v>
      </c>
      <c r="F2362" s="8" t="str" cm="1">
        <f t="array" ref="F2362">_xlfn._xlws.FILTER(E2362:E5560, C2362:C5560= "6D-PM-1020-01", "No Squirrels Found")</f>
        <v>No Squirrels Found</v>
      </c>
      <c r="G2362" s="8" t="s">
        <v>48</v>
      </c>
      <c r="H2362" s="10">
        <v>10102018</v>
      </c>
      <c r="I2362" s="10">
        <v>2</v>
      </c>
      <c r="J2362" s="8" t="s">
        <v>39</v>
      </c>
      <c r="K2362" s="8" t="s">
        <v>40</v>
      </c>
      <c r="M2362" s="8" t="s">
        <v>55</v>
      </c>
      <c r="O2362" s="8" t="s">
        <v>50</v>
      </c>
      <c r="P2362" s="8">
        <v>15</v>
      </c>
      <c r="R2362" s="8" t="b">
        <v>0</v>
      </c>
      <c r="S2362" s="8" t="b">
        <v>0</v>
      </c>
      <c r="T2362" s="8" t="b">
        <v>1</v>
      </c>
      <c r="U2362" s="8" t="b">
        <v>0</v>
      </c>
      <c r="V2362" s="8" t="b">
        <v>0</v>
      </c>
      <c r="W2362" s="11" t="s">
        <v>509</v>
      </c>
      <c r="X2362" s="8" t="b">
        <v>0</v>
      </c>
      <c r="Y2362" s="8" t="b">
        <v>0</v>
      </c>
      <c r="Z2362" s="8" t="b">
        <v>0</v>
      </c>
      <c r="AA2362" s="8" t="b">
        <v>0</v>
      </c>
      <c r="AB2362" s="8" t="b">
        <v>0</v>
      </c>
      <c r="AC2362" s="8" t="b">
        <v>0</v>
      </c>
      <c r="AD2362" s="8" t="b">
        <v>1</v>
      </c>
      <c r="AE2362" s="8" t="b">
        <v>0</v>
      </c>
      <c r="AG2362" s="11" t="b" cm="1">
        <f t="array" ref="AG2362">IF(OR(Y2362:AA2362="TRUE", AE2362="true"), "Threatened")</f>
        <v>0</v>
      </c>
      <c r="AH2362" s="11" t="s">
        <v>5895</v>
      </c>
      <c r="AI2362" s="8" t="b">
        <v>0</v>
      </c>
    </row>
    <row r="2363" spans="1:35" ht="31.2">
      <c r="A2363" s="8">
        <v>-73.970026390000001</v>
      </c>
      <c r="B2363" s="8">
        <v>40.769933510000001</v>
      </c>
      <c r="C2363" s="8" t="s">
        <v>5896</v>
      </c>
      <c r="D2363" s="8" t="s">
        <v>113</v>
      </c>
      <c r="E2363" s="8" t="b">
        <f t="shared" si="36"/>
        <v>0</v>
      </c>
      <c r="F2363" s="8" t="str" cm="1">
        <f t="array" ref="F2363">_xlfn._xlws.FILTER(E2363:E5561, C2363:C5561= "6D-PM-1020-01", "No Squirrels Found")</f>
        <v>No Squirrels Found</v>
      </c>
      <c r="G2363" s="8" t="s">
        <v>34</v>
      </c>
      <c r="H2363" s="10">
        <v>10062018</v>
      </c>
      <c r="I2363" s="10">
        <v>7</v>
      </c>
      <c r="J2363" s="8" t="s">
        <v>39</v>
      </c>
      <c r="K2363" s="8" t="s">
        <v>40</v>
      </c>
      <c r="M2363" s="8" t="s">
        <v>55</v>
      </c>
      <c r="O2363" s="8" t="s">
        <v>50</v>
      </c>
      <c r="P2363" s="8">
        <v>15</v>
      </c>
      <c r="R2363" s="8" t="b">
        <v>0</v>
      </c>
      <c r="S2363" s="8" t="b">
        <v>1</v>
      </c>
      <c r="T2363" s="8" t="b">
        <v>1</v>
      </c>
      <c r="U2363" s="8" t="b">
        <v>0</v>
      </c>
      <c r="V2363" s="8" t="b">
        <v>0</v>
      </c>
      <c r="W2363" s="11" t="s">
        <v>5897</v>
      </c>
      <c r="X2363" s="8" t="b">
        <v>0</v>
      </c>
      <c r="Y2363" s="8" t="b">
        <v>0</v>
      </c>
      <c r="Z2363" s="8" t="b">
        <v>0</v>
      </c>
      <c r="AA2363" s="8" t="b">
        <v>0</v>
      </c>
      <c r="AB2363" s="8" t="b">
        <v>0</v>
      </c>
      <c r="AC2363" s="8" t="b">
        <v>0</v>
      </c>
      <c r="AD2363" s="8" t="b">
        <v>1</v>
      </c>
      <c r="AE2363" s="8" t="b">
        <v>0</v>
      </c>
      <c r="AG2363" s="11" t="b" cm="1">
        <f t="array" ref="AG2363">IF(OR(Y2363:AA2363="TRUE", AE2363="true"), "Threatened")</f>
        <v>0</v>
      </c>
      <c r="AH2363" s="11" t="s">
        <v>5898</v>
      </c>
      <c r="AI2363" s="8" t="b">
        <v>0</v>
      </c>
    </row>
    <row r="2364" spans="1:35" ht="31.2">
      <c r="A2364" s="8">
        <v>-73.969063840000004</v>
      </c>
      <c r="B2364" s="8">
        <v>40.771386929999998</v>
      </c>
      <c r="C2364" s="8" t="s">
        <v>5899</v>
      </c>
      <c r="D2364" s="8" t="s">
        <v>2059</v>
      </c>
      <c r="E2364" s="8" t="b">
        <f t="shared" si="36"/>
        <v>0</v>
      </c>
      <c r="F2364" s="8" t="str" cm="1">
        <f t="array" ref="F2364">_xlfn._xlws.FILTER(E2364:E5562, C2364:C5562= "6D-PM-1020-01", "No Squirrels Found")</f>
        <v>No Squirrels Found</v>
      </c>
      <c r="G2364" s="8" t="s">
        <v>48</v>
      </c>
      <c r="H2364" s="10">
        <v>10062018</v>
      </c>
      <c r="I2364" s="10">
        <v>6</v>
      </c>
      <c r="J2364" s="8" t="s">
        <v>39</v>
      </c>
      <c r="K2364" s="8" t="s">
        <v>40</v>
      </c>
      <c r="L2364" s="8" t="s">
        <v>84</v>
      </c>
      <c r="M2364" s="8" t="s">
        <v>103</v>
      </c>
      <c r="O2364" s="8" t="s">
        <v>43</v>
      </c>
      <c r="P2364" s="8" t="b">
        <v>0</v>
      </c>
      <c r="R2364" s="8" t="b">
        <v>0</v>
      </c>
      <c r="S2364" s="8" t="b">
        <v>0</v>
      </c>
      <c r="T2364" s="8" t="b">
        <v>0</v>
      </c>
      <c r="U2364" s="8" t="b">
        <v>0</v>
      </c>
      <c r="V2364" s="8" t="b">
        <v>1</v>
      </c>
      <c r="X2364" s="8" t="b">
        <v>0</v>
      </c>
      <c r="Y2364" s="8" t="b">
        <v>0</v>
      </c>
      <c r="Z2364" s="8" t="b">
        <v>0</v>
      </c>
      <c r="AA2364" s="8" t="b">
        <v>1</v>
      </c>
      <c r="AB2364" s="8" t="b">
        <v>1</v>
      </c>
      <c r="AC2364" s="8" t="b">
        <v>0</v>
      </c>
      <c r="AD2364" s="8" t="b">
        <v>1</v>
      </c>
      <c r="AE2364" s="8" t="b">
        <v>0</v>
      </c>
      <c r="AG2364" s="11" t="b" cm="1">
        <f t="array" ref="AG2364">IF(OR(Y2364:AA2364="TRUE", AE2364="true"), "Threatened")</f>
        <v>0</v>
      </c>
      <c r="AH2364" s="11" t="s">
        <v>5900</v>
      </c>
      <c r="AI2364" s="8" t="b">
        <v>1</v>
      </c>
    </row>
    <row r="2365" spans="1:35" ht="31.2">
      <c r="A2365" s="8">
        <v>-73.958718300000001</v>
      </c>
      <c r="B2365" s="8">
        <v>40.790920909999997</v>
      </c>
      <c r="C2365" s="8" t="s">
        <v>5901</v>
      </c>
      <c r="D2365" s="8" t="s">
        <v>75</v>
      </c>
      <c r="E2365" s="8" t="b">
        <f t="shared" si="36"/>
        <v>0</v>
      </c>
      <c r="F2365" s="8" t="str" cm="1">
        <f t="array" ref="F2365">_xlfn._xlws.FILTER(E2365:E5563, C2365:C5563= "6D-PM-1020-01", "No Squirrels Found")</f>
        <v>No Squirrels Found</v>
      </c>
      <c r="G2365" s="8" t="s">
        <v>34</v>
      </c>
      <c r="H2365" s="10">
        <v>10172018</v>
      </c>
      <c r="I2365" s="10">
        <v>2</v>
      </c>
      <c r="J2365" s="8" t="s">
        <v>39</v>
      </c>
      <c r="K2365" s="8" t="s">
        <v>40</v>
      </c>
      <c r="M2365" s="8" t="s">
        <v>55</v>
      </c>
      <c r="O2365" s="8" t="s">
        <v>43</v>
      </c>
      <c r="P2365" s="8" t="b">
        <v>0</v>
      </c>
      <c r="R2365" s="8" t="b">
        <v>0</v>
      </c>
      <c r="S2365" s="8" t="b">
        <v>0</v>
      </c>
      <c r="T2365" s="8" t="b">
        <v>0</v>
      </c>
      <c r="U2365" s="8" t="b">
        <v>0</v>
      </c>
      <c r="V2365" s="8" t="b">
        <v>1</v>
      </c>
      <c r="X2365" s="8" t="b">
        <v>0</v>
      </c>
      <c r="Y2365" s="8" t="b">
        <v>0</v>
      </c>
      <c r="Z2365" s="8" t="b">
        <v>0</v>
      </c>
      <c r="AA2365" s="8" t="b">
        <v>0</v>
      </c>
      <c r="AB2365" s="8" t="b">
        <v>0</v>
      </c>
      <c r="AC2365" s="8" t="b">
        <v>0</v>
      </c>
      <c r="AD2365" s="8" t="b">
        <v>1</v>
      </c>
      <c r="AE2365" s="8" t="b">
        <v>0</v>
      </c>
      <c r="AG2365" s="11" t="b" cm="1">
        <f t="array" ref="AG2365">IF(OR(Y2365:AA2365="TRUE", AE2365="true"), "Threatened")</f>
        <v>0</v>
      </c>
      <c r="AH2365" s="11" t="s">
        <v>5902</v>
      </c>
      <c r="AI2365" s="8" t="b">
        <v>1</v>
      </c>
    </row>
    <row r="2366" spans="1:35" ht="31.2">
      <c r="A2366" s="8">
        <v>-73.968877329999998</v>
      </c>
      <c r="B2366" s="8">
        <v>40.776666990000002</v>
      </c>
      <c r="C2366" s="8" t="s">
        <v>5903</v>
      </c>
      <c r="D2366" s="8" t="s">
        <v>246</v>
      </c>
      <c r="E2366" s="8" t="b">
        <f t="shared" si="36"/>
        <v>0</v>
      </c>
      <c r="F2366" s="8" t="str" cm="1">
        <f t="array" ref="F2366">_xlfn._xlws.FILTER(E2366:E5564, C2366:C5564= "6D-PM-1020-01", "No Squirrels Found")</f>
        <v>No Squirrels Found</v>
      </c>
      <c r="G2366" s="8" t="s">
        <v>48</v>
      </c>
      <c r="H2366" s="10">
        <v>10072018</v>
      </c>
      <c r="I2366" s="10">
        <v>5</v>
      </c>
      <c r="J2366" s="8" t="s">
        <v>39</v>
      </c>
      <c r="K2366" s="8" t="s">
        <v>40</v>
      </c>
      <c r="L2366" s="8" t="s">
        <v>41</v>
      </c>
      <c r="M2366" s="8" t="s">
        <v>42</v>
      </c>
      <c r="O2366" s="8" t="s">
        <v>43</v>
      </c>
      <c r="P2366" s="8" t="b">
        <v>0</v>
      </c>
      <c r="R2366" s="8" t="b">
        <v>1</v>
      </c>
      <c r="S2366" s="8" t="b">
        <v>1</v>
      </c>
      <c r="T2366" s="8" t="b">
        <v>0</v>
      </c>
      <c r="U2366" s="8" t="b">
        <v>0</v>
      </c>
      <c r="V2366" s="8" t="b">
        <v>0</v>
      </c>
      <c r="X2366" s="8" t="b">
        <v>0</v>
      </c>
      <c r="Y2366" s="8" t="b">
        <v>0</v>
      </c>
      <c r="Z2366" s="8" t="b">
        <v>0</v>
      </c>
      <c r="AA2366" s="8" t="b">
        <v>0</v>
      </c>
      <c r="AB2366" s="8" t="b">
        <v>0</v>
      </c>
      <c r="AC2366" s="8" t="b">
        <v>0</v>
      </c>
      <c r="AD2366" s="8" t="b">
        <v>0</v>
      </c>
      <c r="AE2366" s="8" t="b">
        <v>1</v>
      </c>
      <c r="AG2366" s="11" t="b" cm="1">
        <f t="array" ref="AG2366">IF(OR(Y2366:AA2366="TRUE", AE2366="true"), "Threatened")</f>
        <v>0</v>
      </c>
      <c r="AH2366" s="11" t="s">
        <v>5904</v>
      </c>
      <c r="AI2366" s="8" t="b">
        <v>1</v>
      </c>
    </row>
    <row r="2367" spans="1:35" ht="31.2">
      <c r="A2367" s="8">
        <v>-73.96761918</v>
      </c>
      <c r="B2367" s="8">
        <v>40.77764174</v>
      </c>
      <c r="C2367" s="8" t="s">
        <v>5905</v>
      </c>
      <c r="D2367" s="8" t="s">
        <v>960</v>
      </c>
      <c r="E2367" s="8" t="b">
        <f t="shared" si="36"/>
        <v>0</v>
      </c>
      <c r="F2367" s="8" t="str" cm="1">
        <f t="array" ref="F2367">_xlfn._xlws.FILTER(E2367:E5565, C2367:C5565= "6D-PM-1020-01", "No Squirrels Found")</f>
        <v>No Squirrels Found</v>
      </c>
      <c r="G2367" s="8" t="s">
        <v>34</v>
      </c>
      <c r="H2367" s="10">
        <v>10132018</v>
      </c>
      <c r="I2367" s="10">
        <v>4</v>
      </c>
      <c r="J2367" s="8" t="s">
        <v>39</v>
      </c>
      <c r="K2367" s="8" t="s">
        <v>40</v>
      </c>
      <c r="L2367" s="8" t="s">
        <v>41</v>
      </c>
      <c r="M2367" s="8" t="s">
        <v>42</v>
      </c>
      <c r="O2367" s="8" t="s">
        <v>50</v>
      </c>
      <c r="P2367" s="8">
        <v>10</v>
      </c>
      <c r="R2367" s="8" t="b">
        <v>0</v>
      </c>
      <c r="S2367" s="8" t="b">
        <v>0</v>
      </c>
      <c r="T2367" s="8" t="b">
        <v>1</v>
      </c>
      <c r="U2367" s="8" t="b">
        <v>1</v>
      </c>
      <c r="V2367" s="8" t="b">
        <v>1</v>
      </c>
      <c r="X2367" s="8" t="b">
        <v>0</v>
      </c>
      <c r="Y2367" s="8" t="b">
        <v>0</v>
      </c>
      <c r="Z2367" s="8" t="b">
        <v>0</v>
      </c>
      <c r="AA2367" s="8" t="b">
        <v>0</v>
      </c>
      <c r="AB2367" s="8" t="b">
        <v>0</v>
      </c>
      <c r="AC2367" s="8" t="b">
        <v>0</v>
      </c>
      <c r="AD2367" s="8" t="b">
        <v>0</v>
      </c>
      <c r="AE2367" s="8" t="b">
        <v>1</v>
      </c>
      <c r="AG2367" s="11" t="b" cm="1">
        <f t="array" ref="AG2367">IF(OR(Y2367:AA2367="TRUE", AE2367="true"), "Threatened")</f>
        <v>0</v>
      </c>
      <c r="AH2367" s="11" t="s">
        <v>5906</v>
      </c>
      <c r="AI2367" s="8" t="b">
        <v>1</v>
      </c>
    </row>
    <row r="2368" spans="1:35" ht="31.2">
      <c r="A2368" s="8">
        <v>-73.968167190000003</v>
      </c>
      <c r="B2368" s="8">
        <v>40.775377050000003</v>
      </c>
      <c r="C2368" s="8" t="s">
        <v>5907</v>
      </c>
      <c r="D2368" s="8" t="s">
        <v>677</v>
      </c>
      <c r="E2368" s="8" t="b">
        <f t="shared" si="36"/>
        <v>0</v>
      </c>
      <c r="F2368" s="8" t="str" cm="1">
        <f t="array" ref="F2368">_xlfn._xlws.FILTER(E2368:E5566, C2368:C5566= "6D-PM-1020-01", "No Squirrels Found")</f>
        <v>No Squirrels Found</v>
      </c>
      <c r="G2368" s="8" t="s">
        <v>48</v>
      </c>
      <c r="H2368" s="10">
        <v>10122018</v>
      </c>
      <c r="I2368" s="10">
        <v>4</v>
      </c>
      <c r="J2368" s="8" t="s">
        <v>39</v>
      </c>
      <c r="K2368" s="8" t="s">
        <v>41</v>
      </c>
      <c r="L2368" s="8" t="s">
        <v>192</v>
      </c>
      <c r="M2368" s="8" t="s">
        <v>1145</v>
      </c>
      <c r="O2368" s="8" t="s">
        <v>43</v>
      </c>
      <c r="P2368" s="8" t="b">
        <v>0</v>
      </c>
      <c r="R2368" s="8" t="b">
        <v>0</v>
      </c>
      <c r="S2368" s="8" t="b">
        <v>0</v>
      </c>
      <c r="T2368" s="8" t="b">
        <v>0</v>
      </c>
      <c r="U2368" s="8" t="b">
        <v>0</v>
      </c>
      <c r="V2368" s="8" t="b">
        <v>1</v>
      </c>
      <c r="X2368" s="8" t="b">
        <v>0</v>
      </c>
      <c r="Y2368" s="8" t="b">
        <v>0</v>
      </c>
      <c r="Z2368" s="8" t="b">
        <v>0</v>
      </c>
      <c r="AA2368" s="8" t="b">
        <v>0</v>
      </c>
      <c r="AB2368" s="8" t="b">
        <v>1</v>
      </c>
      <c r="AC2368" s="8" t="b">
        <v>0</v>
      </c>
      <c r="AD2368" s="8" t="b">
        <v>1</v>
      </c>
      <c r="AE2368" s="8" t="b">
        <v>0</v>
      </c>
      <c r="AG2368" s="11" t="b" cm="1">
        <f t="array" ref="AG2368">IF(OR(Y2368:AA2368="TRUE", AE2368="true"), "Threatened")</f>
        <v>0</v>
      </c>
      <c r="AH2368" s="11" t="s">
        <v>5908</v>
      </c>
      <c r="AI2368" s="8" t="b">
        <v>1</v>
      </c>
    </row>
    <row r="2369" spans="1:35" ht="31.2">
      <c r="A2369" s="8">
        <v>-73.973192519999998</v>
      </c>
      <c r="B2369" s="8">
        <v>40.774896269999999</v>
      </c>
      <c r="C2369" s="8" t="s">
        <v>5909</v>
      </c>
      <c r="D2369" s="8" t="s">
        <v>98</v>
      </c>
      <c r="E2369" s="8" t="b">
        <f t="shared" si="36"/>
        <v>0</v>
      </c>
      <c r="F2369" s="8" t="str" cm="1">
        <f t="array" ref="F2369">_xlfn._xlws.FILTER(E2369:E5567, C2369:C5567= "6D-PM-1020-01", "No Squirrels Found")</f>
        <v>No Squirrels Found</v>
      </c>
      <c r="G2369" s="8" t="s">
        <v>34</v>
      </c>
      <c r="H2369" s="10">
        <v>10062018</v>
      </c>
      <c r="I2369" s="10">
        <v>2</v>
      </c>
      <c r="J2369" s="8" t="s">
        <v>54</v>
      </c>
      <c r="K2369" s="8" t="s">
        <v>40</v>
      </c>
      <c r="L2369" s="8" t="s">
        <v>41</v>
      </c>
      <c r="M2369" s="8" t="s">
        <v>42</v>
      </c>
      <c r="O2369" s="8" t="s">
        <v>50</v>
      </c>
      <c r="P2369" s="8">
        <v>20</v>
      </c>
      <c r="R2369" s="8" t="b">
        <v>0</v>
      </c>
      <c r="S2369" s="8" t="b">
        <v>0</v>
      </c>
      <c r="T2369" s="8" t="b">
        <v>1</v>
      </c>
      <c r="U2369" s="8" t="b">
        <v>0</v>
      </c>
      <c r="V2369" s="8" t="b">
        <v>0</v>
      </c>
      <c r="X2369" s="8" t="b">
        <v>0</v>
      </c>
      <c r="Y2369" s="8" t="b">
        <v>0</v>
      </c>
      <c r="Z2369" s="8" t="b">
        <v>0</v>
      </c>
      <c r="AA2369" s="8" t="b">
        <v>0</v>
      </c>
      <c r="AB2369" s="8" t="b">
        <v>0</v>
      </c>
      <c r="AC2369" s="8" t="b">
        <v>0</v>
      </c>
      <c r="AD2369" s="8" t="b">
        <v>1</v>
      </c>
      <c r="AE2369" s="8" t="b">
        <v>0</v>
      </c>
      <c r="AG2369" s="11" t="b" cm="1">
        <f t="array" ref="AG2369">IF(OR(Y2369:AA2369="TRUE", AE2369="true"), "Threatened")</f>
        <v>0</v>
      </c>
      <c r="AH2369" s="11" t="s">
        <v>5910</v>
      </c>
      <c r="AI2369" s="8" t="b">
        <v>1</v>
      </c>
    </row>
    <row r="2370" spans="1:35" ht="31.2">
      <c r="A2370" s="8">
        <v>-73.980195609999996</v>
      </c>
      <c r="B2370" s="8">
        <v>40.767836440000004</v>
      </c>
      <c r="C2370" s="8" t="s">
        <v>5911</v>
      </c>
      <c r="D2370" s="8" t="s">
        <v>855</v>
      </c>
      <c r="E2370" s="8" t="b">
        <f t="shared" si="36"/>
        <v>0</v>
      </c>
      <c r="F2370" s="8" t="str" cm="1">
        <f t="array" ref="F2370">_xlfn._xlws.FILTER(E2370:E5568, C2370:C5568= "6D-PM-1020-01", "No Squirrels Found")</f>
        <v>No Squirrels Found</v>
      </c>
      <c r="G2370" s="8" t="s">
        <v>48</v>
      </c>
      <c r="H2370" s="10">
        <v>10122018</v>
      </c>
      <c r="I2370" s="10">
        <v>8</v>
      </c>
      <c r="J2370" s="8" t="s">
        <v>39</v>
      </c>
      <c r="K2370" s="8" t="s">
        <v>40</v>
      </c>
      <c r="L2370" s="8" t="s">
        <v>41</v>
      </c>
      <c r="M2370" s="8" t="s">
        <v>42</v>
      </c>
      <c r="O2370" s="8" t="s">
        <v>43</v>
      </c>
      <c r="P2370" s="8" t="b">
        <v>0</v>
      </c>
      <c r="R2370" s="8" t="b">
        <v>0</v>
      </c>
      <c r="S2370" s="8" t="b">
        <v>1</v>
      </c>
      <c r="T2370" s="8" t="b">
        <v>0</v>
      </c>
      <c r="U2370" s="8" t="b">
        <v>1</v>
      </c>
      <c r="V2370" s="8" t="b">
        <v>0</v>
      </c>
      <c r="X2370" s="8" t="b">
        <v>0</v>
      </c>
      <c r="Y2370" s="8" t="b">
        <v>0</v>
      </c>
      <c r="Z2370" s="8" t="b">
        <v>0</v>
      </c>
      <c r="AA2370" s="8" t="b">
        <v>0</v>
      </c>
      <c r="AB2370" s="8" t="b">
        <v>0</v>
      </c>
      <c r="AC2370" s="8" t="b">
        <v>0</v>
      </c>
      <c r="AD2370" s="8" t="b">
        <v>1</v>
      </c>
      <c r="AE2370" s="8" t="b">
        <v>0</v>
      </c>
      <c r="AG2370" s="11" t="b" cm="1">
        <f t="array" ref="AG2370">IF(OR(Y2370:AA2370="TRUE", AE2370="true"), "Threatened")</f>
        <v>0</v>
      </c>
      <c r="AH2370" s="11" t="s">
        <v>5912</v>
      </c>
      <c r="AI2370" s="8" t="b">
        <v>1</v>
      </c>
    </row>
    <row r="2371" spans="1:35" ht="31.2">
      <c r="A2371" s="8">
        <v>-73.95731198</v>
      </c>
      <c r="B2371" s="8">
        <v>40.787534790000002</v>
      </c>
      <c r="C2371" s="8" t="s">
        <v>5913</v>
      </c>
      <c r="D2371" s="8" t="s">
        <v>5625</v>
      </c>
      <c r="E2371" s="8" t="b">
        <f t="shared" ref="E2371:E2434" si="37">OR(D2371 = "05D", D2371 = "07D", D2371 = "06C", D2371 = "06E")</f>
        <v>0</v>
      </c>
      <c r="F2371" s="8" t="str" cm="1">
        <f t="array" ref="F2371">_xlfn._xlws.FILTER(E2371:E5569, C2371:C5569= "6D-PM-1020-01", "No Squirrels Found")</f>
        <v>No Squirrels Found</v>
      </c>
      <c r="G2371" s="8" t="s">
        <v>48</v>
      </c>
      <c r="H2371" s="10">
        <v>10072018</v>
      </c>
      <c r="I2371" s="10">
        <v>2</v>
      </c>
      <c r="J2371" s="8" t="s">
        <v>39</v>
      </c>
      <c r="K2371" s="8" t="s">
        <v>40</v>
      </c>
      <c r="M2371" s="8" t="s">
        <v>55</v>
      </c>
      <c r="O2371" s="8" t="s">
        <v>43</v>
      </c>
      <c r="P2371" s="8" t="b">
        <v>0</v>
      </c>
      <c r="R2371" s="8" t="b">
        <v>0</v>
      </c>
      <c r="S2371" s="8" t="b">
        <v>0</v>
      </c>
      <c r="T2371" s="8" t="b">
        <v>0</v>
      </c>
      <c r="U2371" s="8" t="b">
        <v>1</v>
      </c>
      <c r="V2371" s="8" t="b">
        <v>0</v>
      </c>
      <c r="W2371" s="11" t="s">
        <v>5914</v>
      </c>
      <c r="X2371" s="8" t="b">
        <v>0</v>
      </c>
      <c r="Y2371" s="8" t="b">
        <v>0</v>
      </c>
      <c r="Z2371" s="8" t="b">
        <v>0</v>
      </c>
      <c r="AA2371" s="8" t="b">
        <v>0</v>
      </c>
      <c r="AB2371" s="8" t="b">
        <v>1</v>
      </c>
      <c r="AC2371" s="8" t="b">
        <v>0</v>
      </c>
      <c r="AD2371" s="8" t="b">
        <v>0</v>
      </c>
      <c r="AE2371" s="8" t="b">
        <v>0</v>
      </c>
      <c r="AG2371" s="11" t="b" cm="1">
        <f t="array" ref="AG2371">IF(OR(Y2371:AA2371="TRUE", AE2371="true"), "Threatened")</f>
        <v>0</v>
      </c>
      <c r="AH2371" s="11" t="s">
        <v>5915</v>
      </c>
      <c r="AI2371" s="8" t="b">
        <v>0</v>
      </c>
    </row>
    <row r="2372" spans="1:35" ht="31.2">
      <c r="A2372" s="8">
        <v>-73.976952019999999</v>
      </c>
      <c r="B2372" s="8">
        <v>40.774006730000004</v>
      </c>
      <c r="C2372" s="8" t="s">
        <v>5916</v>
      </c>
      <c r="D2372" s="8" t="s">
        <v>859</v>
      </c>
      <c r="E2372" s="8" t="b">
        <f t="shared" si="37"/>
        <v>0</v>
      </c>
      <c r="F2372" s="8" t="str" cm="1">
        <f t="array" ref="F2372">_xlfn._xlws.FILTER(E2372:E5570, C2372:C5570= "6D-PM-1020-01", "No Squirrels Found")</f>
        <v>No Squirrels Found</v>
      </c>
      <c r="G2372" s="8" t="s">
        <v>48</v>
      </c>
      <c r="H2372" s="10">
        <v>10132018</v>
      </c>
      <c r="I2372" s="10">
        <v>1</v>
      </c>
      <c r="J2372" s="8" t="s">
        <v>39</v>
      </c>
      <c r="K2372" s="8" t="s">
        <v>40</v>
      </c>
      <c r="L2372" s="8" t="s">
        <v>41</v>
      </c>
      <c r="M2372" s="8" t="s">
        <v>42</v>
      </c>
      <c r="O2372" s="8" t="s">
        <v>43</v>
      </c>
      <c r="P2372" s="8" t="b">
        <v>0</v>
      </c>
      <c r="R2372" s="8" t="b">
        <v>1</v>
      </c>
      <c r="S2372" s="8" t="b">
        <v>0</v>
      </c>
      <c r="T2372" s="8" t="b">
        <v>0</v>
      </c>
      <c r="U2372" s="8" t="b">
        <v>0</v>
      </c>
      <c r="V2372" s="8" t="b">
        <v>0</v>
      </c>
      <c r="X2372" s="8" t="b">
        <v>0</v>
      </c>
      <c r="Y2372" s="8" t="b">
        <v>0</v>
      </c>
      <c r="Z2372" s="8" t="b">
        <v>0</v>
      </c>
      <c r="AA2372" s="8" t="b">
        <v>0</v>
      </c>
      <c r="AB2372" s="8" t="b">
        <v>0</v>
      </c>
      <c r="AC2372" s="8" t="b">
        <v>0</v>
      </c>
      <c r="AD2372" s="8" t="b">
        <v>0</v>
      </c>
      <c r="AE2372" s="8" t="b">
        <v>1</v>
      </c>
      <c r="AG2372" s="11" t="b" cm="1">
        <f t="array" ref="AG2372">IF(OR(Y2372:AA2372="TRUE", AE2372="true"), "Threatened")</f>
        <v>0</v>
      </c>
      <c r="AH2372" s="11" t="s">
        <v>5917</v>
      </c>
      <c r="AI2372" s="8" t="b">
        <v>1</v>
      </c>
    </row>
    <row r="2373" spans="1:35" ht="31.2">
      <c r="A2373" s="8">
        <v>-73.972487999999998</v>
      </c>
      <c r="B2373" s="8">
        <v>40.771098199999997</v>
      </c>
      <c r="C2373" s="8" t="s">
        <v>5918</v>
      </c>
      <c r="D2373" s="8" t="s">
        <v>776</v>
      </c>
      <c r="E2373" s="8" t="b">
        <f t="shared" si="37"/>
        <v>0</v>
      </c>
      <c r="F2373" s="8" t="str" cm="1">
        <f t="array" ref="F2373">_xlfn._xlws.FILTER(E2373:E5571, C2373:C5571= "6D-PM-1020-01", "No Squirrels Found")</f>
        <v>No Squirrels Found</v>
      </c>
      <c r="G2373" s="8" t="s">
        <v>34</v>
      </c>
      <c r="H2373" s="10">
        <v>10122018</v>
      </c>
      <c r="I2373" s="10">
        <v>7</v>
      </c>
      <c r="J2373" s="8" t="s">
        <v>39</v>
      </c>
      <c r="K2373" s="8" t="s">
        <v>40</v>
      </c>
      <c r="L2373" s="8" t="s">
        <v>41</v>
      </c>
      <c r="M2373" s="8" t="s">
        <v>42</v>
      </c>
      <c r="O2373" s="8" t="s">
        <v>50</v>
      </c>
      <c r="P2373" s="8">
        <v>17</v>
      </c>
      <c r="R2373" s="8" t="b">
        <v>0</v>
      </c>
      <c r="S2373" s="8" t="b">
        <v>0</v>
      </c>
      <c r="T2373" s="8" t="b">
        <v>1</v>
      </c>
      <c r="U2373" s="8" t="b">
        <v>0</v>
      </c>
      <c r="V2373" s="8" t="b">
        <v>0</v>
      </c>
      <c r="W2373" s="11" t="s">
        <v>5919</v>
      </c>
      <c r="X2373" s="8" t="b">
        <v>0</v>
      </c>
      <c r="Y2373" s="8" t="b">
        <v>0</v>
      </c>
      <c r="Z2373" s="8" t="b">
        <v>0</v>
      </c>
      <c r="AA2373" s="8" t="b">
        <v>0</v>
      </c>
      <c r="AB2373" s="8" t="b">
        <v>0</v>
      </c>
      <c r="AC2373" s="8" t="b">
        <v>0</v>
      </c>
      <c r="AD2373" s="8" t="b">
        <v>0</v>
      </c>
      <c r="AE2373" s="8" t="b">
        <v>0</v>
      </c>
      <c r="AG2373" s="11" t="b" cm="1">
        <f t="array" ref="AG2373">IF(OR(Y2373:AA2373="TRUE", AE2373="true"), "Threatened")</f>
        <v>0</v>
      </c>
      <c r="AH2373" s="11" t="s">
        <v>5920</v>
      </c>
      <c r="AI2373" s="8" t="b">
        <v>0</v>
      </c>
    </row>
    <row r="2374" spans="1:35" ht="31.2">
      <c r="A2374" s="8">
        <v>-73.961327679999997</v>
      </c>
      <c r="B2374" s="8">
        <v>40.794381399999999</v>
      </c>
      <c r="C2374" s="8" t="s">
        <v>5921</v>
      </c>
      <c r="D2374" s="8" t="s">
        <v>434</v>
      </c>
      <c r="E2374" s="8" t="b">
        <f t="shared" si="37"/>
        <v>0</v>
      </c>
      <c r="F2374" s="8" t="str" cm="1">
        <f t="array" ref="F2374">_xlfn._xlws.FILTER(E2374:E5572, C2374:C5572= "6D-PM-1020-01", "No Squirrels Found")</f>
        <v>No Squirrels Found</v>
      </c>
      <c r="G2374" s="8" t="s">
        <v>34</v>
      </c>
      <c r="H2374" s="10">
        <v>10132018</v>
      </c>
      <c r="I2374" s="10">
        <v>3</v>
      </c>
      <c r="J2374" s="8" t="s">
        <v>39</v>
      </c>
      <c r="K2374" s="8" t="s">
        <v>40</v>
      </c>
      <c r="M2374" s="8" t="s">
        <v>55</v>
      </c>
      <c r="O2374" s="8" t="s">
        <v>43</v>
      </c>
      <c r="P2374" s="8" t="b">
        <v>0</v>
      </c>
      <c r="R2374" s="8" t="b">
        <v>1</v>
      </c>
      <c r="S2374" s="8" t="b">
        <v>0</v>
      </c>
      <c r="T2374" s="8" t="b">
        <v>0</v>
      </c>
      <c r="U2374" s="8" t="b">
        <v>0</v>
      </c>
      <c r="V2374" s="8" t="b">
        <v>1</v>
      </c>
      <c r="W2374" s="11" t="s">
        <v>5922</v>
      </c>
      <c r="X2374" s="8" t="b">
        <v>0</v>
      </c>
      <c r="Y2374" s="8" t="b">
        <v>0</v>
      </c>
      <c r="Z2374" s="8" t="b">
        <v>0</v>
      </c>
      <c r="AA2374" s="8" t="b">
        <v>0</v>
      </c>
      <c r="AB2374" s="8" t="b">
        <v>0</v>
      </c>
      <c r="AC2374" s="8" t="b">
        <v>0</v>
      </c>
      <c r="AD2374" s="8" t="b">
        <v>0</v>
      </c>
      <c r="AE2374" s="8" t="b">
        <v>1</v>
      </c>
      <c r="AF2374" s="11" t="s">
        <v>1294</v>
      </c>
      <c r="AG2374" s="11" t="b" cm="1">
        <f t="array" ref="AG2374">IF(OR(Y2374:AA2374="TRUE", AE2374="true"), "Threatened")</f>
        <v>0</v>
      </c>
      <c r="AH2374" s="11" t="s">
        <v>5923</v>
      </c>
      <c r="AI2374" s="8" t="b">
        <v>0</v>
      </c>
    </row>
    <row r="2375" spans="1:35" ht="31.2">
      <c r="A2375" s="8">
        <v>-73.955137059999998</v>
      </c>
      <c r="B2375" s="8">
        <v>40.794646550000003</v>
      </c>
      <c r="C2375" s="8" t="s">
        <v>5924</v>
      </c>
      <c r="D2375" s="8" t="s">
        <v>378</v>
      </c>
      <c r="E2375" s="8" t="b">
        <f t="shared" si="37"/>
        <v>0</v>
      </c>
      <c r="F2375" s="8" t="str" cm="1">
        <f t="array" ref="F2375">_xlfn._xlws.FILTER(E2375:E5573, C2375:C5573= "6D-PM-1020-01", "No Squirrels Found")</f>
        <v>No Squirrels Found</v>
      </c>
      <c r="G2375" s="8" t="s">
        <v>48</v>
      </c>
      <c r="H2375" s="10">
        <v>10182018</v>
      </c>
      <c r="I2375" s="10">
        <v>6</v>
      </c>
      <c r="J2375" s="8" t="s">
        <v>39</v>
      </c>
      <c r="K2375" s="8" t="s">
        <v>40</v>
      </c>
      <c r="L2375" s="8" t="s">
        <v>41</v>
      </c>
      <c r="M2375" s="8" t="s">
        <v>42</v>
      </c>
      <c r="O2375" s="8" t="s">
        <v>43</v>
      </c>
      <c r="P2375" s="8" t="b">
        <v>0</v>
      </c>
      <c r="R2375" s="8" t="b">
        <v>0</v>
      </c>
      <c r="S2375" s="8" t="b">
        <v>0</v>
      </c>
      <c r="T2375" s="8" t="b">
        <v>0</v>
      </c>
      <c r="U2375" s="8" t="b">
        <v>0</v>
      </c>
      <c r="V2375" s="8" t="b">
        <v>0</v>
      </c>
      <c r="W2375" s="11" t="s">
        <v>5925</v>
      </c>
      <c r="X2375" s="8" t="b">
        <v>0</v>
      </c>
      <c r="Y2375" s="8" t="b">
        <v>0</v>
      </c>
      <c r="Z2375" s="8" t="b">
        <v>0</v>
      </c>
      <c r="AA2375" s="8" t="b">
        <v>0</v>
      </c>
      <c r="AB2375" s="8" t="b">
        <v>0</v>
      </c>
      <c r="AC2375" s="8" t="b">
        <v>0</v>
      </c>
      <c r="AD2375" s="8" t="b">
        <v>0</v>
      </c>
      <c r="AE2375" s="8" t="b">
        <v>1</v>
      </c>
      <c r="AG2375" s="11" t="b" cm="1">
        <f t="array" ref="AG2375">IF(OR(Y2375:AA2375="TRUE", AE2375="true"), "Threatened")</f>
        <v>0</v>
      </c>
      <c r="AH2375" s="11" t="s">
        <v>5926</v>
      </c>
      <c r="AI2375" s="8" t="b">
        <v>0</v>
      </c>
    </row>
    <row r="2376" spans="1:35" ht="31.2">
      <c r="A2376" s="8">
        <v>-73.956372060000007</v>
      </c>
      <c r="B2376" s="8">
        <v>40.787945329999999</v>
      </c>
      <c r="C2376" s="8" t="s">
        <v>5927</v>
      </c>
      <c r="D2376" s="8" t="s">
        <v>1877</v>
      </c>
      <c r="E2376" s="8" t="b">
        <f t="shared" si="37"/>
        <v>0</v>
      </c>
      <c r="F2376" s="8" t="str" cm="1">
        <f t="array" ref="F2376">_xlfn._xlws.FILTER(E2376:E5574, C2376:C5574= "6D-PM-1020-01", "No Squirrels Found")</f>
        <v>No Squirrels Found</v>
      </c>
      <c r="G2376" s="8" t="s">
        <v>34</v>
      </c>
      <c r="H2376" s="10">
        <v>10192018</v>
      </c>
      <c r="I2376" s="10">
        <v>1</v>
      </c>
      <c r="J2376" s="8" t="s">
        <v>39</v>
      </c>
      <c r="K2376" s="8" t="s">
        <v>40</v>
      </c>
      <c r="M2376" s="8" t="s">
        <v>55</v>
      </c>
      <c r="O2376" s="8" t="s">
        <v>43</v>
      </c>
      <c r="P2376" s="8" t="b">
        <v>0</v>
      </c>
      <c r="R2376" s="8" t="b">
        <v>0</v>
      </c>
      <c r="S2376" s="8" t="b">
        <v>0</v>
      </c>
      <c r="T2376" s="8" t="b">
        <v>0</v>
      </c>
      <c r="U2376" s="8" t="b">
        <v>0</v>
      </c>
      <c r="V2376" s="8" t="b">
        <v>1</v>
      </c>
      <c r="X2376" s="8" t="b">
        <v>0</v>
      </c>
      <c r="Y2376" s="8" t="b">
        <v>0</v>
      </c>
      <c r="Z2376" s="8" t="b">
        <v>0</v>
      </c>
      <c r="AA2376" s="8" t="b">
        <v>0</v>
      </c>
      <c r="AB2376" s="8" t="b">
        <v>0</v>
      </c>
      <c r="AC2376" s="8" t="b">
        <v>0</v>
      </c>
      <c r="AD2376" s="8" t="b">
        <v>1</v>
      </c>
      <c r="AE2376" s="8" t="b">
        <v>0</v>
      </c>
      <c r="AG2376" s="11" t="b" cm="1">
        <f t="array" ref="AG2376">IF(OR(Y2376:AA2376="TRUE", AE2376="true"), "Threatened")</f>
        <v>0</v>
      </c>
      <c r="AH2376" s="11" t="s">
        <v>5928</v>
      </c>
      <c r="AI2376" s="8" t="b">
        <v>1</v>
      </c>
    </row>
    <row r="2377" spans="1:35" ht="31.2">
      <c r="A2377" s="8">
        <v>-73.959420460000004</v>
      </c>
      <c r="B2377" s="8">
        <v>40.79059238</v>
      </c>
      <c r="C2377" s="8" t="s">
        <v>5929</v>
      </c>
      <c r="D2377" s="8" t="s">
        <v>75</v>
      </c>
      <c r="E2377" s="8" t="b">
        <f t="shared" si="37"/>
        <v>0</v>
      </c>
      <c r="F2377" s="8" t="str" cm="1">
        <f t="array" ref="F2377">_xlfn._xlws.FILTER(E2377:E5575, C2377:C5575= "6D-PM-1020-01", "No Squirrels Found")</f>
        <v>No Squirrels Found</v>
      </c>
      <c r="G2377" s="8" t="s">
        <v>34</v>
      </c>
      <c r="H2377" s="10">
        <v>10172018</v>
      </c>
      <c r="I2377" s="10">
        <v>11</v>
      </c>
      <c r="J2377" s="8" t="s">
        <v>39</v>
      </c>
      <c r="K2377" s="8" t="s">
        <v>40</v>
      </c>
      <c r="M2377" s="8" t="s">
        <v>55</v>
      </c>
      <c r="O2377" s="8" t="s">
        <v>43</v>
      </c>
      <c r="P2377" s="8" t="b">
        <v>0</v>
      </c>
      <c r="R2377" s="8" t="b">
        <v>0</v>
      </c>
      <c r="S2377" s="8" t="b">
        <v>0</v>
      </c>
      <c r="T2377" s="8" t="b">
        <v>0</v>
      </c>
      <c r="U2377" s="8" t="b">
        <v>1</v>
      </c>
      <c r="V2377" s="8" t="b">
        <v>1</v>
      </c>
      <c r="X2377" s="8" t="b">
        <v>0</v>
      </c>
      <c r="Y2377" s="8" t="b">
        <v>0</v>
      </c>
      <c r="Z2377" s="8" t="b">
        <v>0</v>
      </c>
      <c r="AA2377" s="8" t="b">
        <v>0</v>
      </c>
      <c r="AB2377" s="8" t="b">
        <v>0</v>
      </c>
      <c r="AC2377" s="8" t="b">
        <v>0</v>
      </c>
      <c r="AD2377" s="8" t="b">
        <v>0</v>
      </c>
      <c r="AE2377" s="8" t="b">
        <v>0</v>
      </c>
      <c r="AG2377" s="11" t="b" cm="1">
        <f t="array" ref="AG2377">IF(OR(Y2377:AA2377="TRUE", AE2377="true"), "Threatened")</f>
        <v>0</v>
      </c>
      <c r="AH2377" s="11" t="s">
        <v>5930</v>
      </c>
      <c r="AI2377" s="8" t="b">
        <v>1</v>
      </c>
    </row>
    <row r="2378" spans="1:35" ht="31.2">
      <c r="A2378" s="8">
        <v>-73.970432860000003</v>
      </c>
      <c r="B2378" s="8">
        <v>40.77393472</v>
      </c>
      <c r="C2378" s="8" t="s">
        <v>5931</v>
      </c>
      <c r="D2378" s="8" t="s">
        <v>1168</v>
      </c>
      <c r="E2378" s="8" t="b">
        <f t="shared" si="37"/>
        <v>0</v>
      </c>
      <c r="F2378" s="8" t="str" cm="1">
        <f t="array" ref="F2378">_xlfn._xlws.FILTER(E2378:E5576, C2378:C5576= "6D-PM-1020-01", "No Squirrels Found")</f>
        <v>No Squirrels Found</v>
      </c>
      <c r="G2378" s="8" t="s">
        <v>48</v>
      </c>
      <c r="H2378" s="10">
        <v>10132018</v>
      </c>
      <c r="I2378" s="10">
        <v>3</v>
      </c>
      <c r="J2378" s="8" t="s">
        <v>39</v>
      </c>
      <c r="K2378" s="8" t="s">
        <v>40</v>
      </c>
      <c r="M2378" s="8" t="s">
        <v>55</v>
      </c>
      <c r="O2378" s="8" t="s">
        <v>50</v>
      </c>
      <c r="P2378" s="8">
        <v>30</v>
      </c>
      <c r="R2378" s="8" t="b">
        <v>0</v>
      </c>
      <c r="S2378" s="8" t="b">
        <v>0</v>
      </c>
      <c r="T2378" s="8" t="b">
        <v>1</v>
      </c>
      <c r="U2378" s="8" t="b">
        <v>0</v>
      </c>
      <c r="V2378" s="8" t="b">
        <v>0</v>
      </c>
      <c r="X2378" s="8" t="b">
        <v>0</v>
      </c>
      <c r="Y2378" s="8" t="b">
        <v>0</v>
      </c>
      <c r="Z2378" s="8" t="b">
        <v>0</v>
      </c>
      <c r="AA2378" s="8" t="b">
        <v>0</v>
      </c>
      <c r="AB2378" s="8" t="b">
        <v>0</v>
      </c>
      <c r="AC2378" s="8" t="b">
        <v>0</v>
      </c>
      <c r="AD2378" s="8" t="b">
        <v>0</v>
      </c>
      <c r="AE2378" s="8" t="b">
        <v>0</v>
      </c>
      <c r="AG2378" s="11" t="b" cm="1">
        <f t="array" ref="AG2378">IF(OR(Y2378:AA2378="TRUE", AE2378="true"), "Threatened")</f>
        <v>0</v>
      </c>
      <c r="AH2378" s="11" t="s">
        <v>5932</v>
      </c>
      <c r="AI2378" s="8" t="b">
        <v>1</v>
      </c>
    </row>
    <row r="2379" spans="1:35" ht="31.2">
      <c r="A2379" s="8">
        <v>-73.974759289999994</v>
      </c>
      <c r="B2379" s="8">
        <v>40.776376290000002</v>
      </c>
      <c r="C2379" s="8" t="s">
        <v>5933</v>
      </c>
      <c r="D2379" s="8" t="s">
        <v>1031</v>
      </c>
      <c r="E2379" s="8" t="b">
        <f t="shared" si="37"/>
        <v>0</v>
      </c>
      <c r="F2379" s="8" t="str" cm="1">
        <f t="array" ref="F2379">_xlfn._xlws.FILTER(E2379:E5577, C2379:C5577= "6D-PM-1020-01", "No Squirrels Found")</f>
        <v>No Squirrels Found</v>
      </c>
      <c r="G2379" s="8" t="s">
        <v>34</v>
      </c>
      <c r="H2379" s="10">
        <v>10132018</v>
      </c>
      <c r="I2379" s="10">
        <v>1</v>
      </c>
      <c r="J2379" s="8" t="s">
        <v>39</v>
      </c>
      <c r="K2379" s="8" t="s">
        <v>40</v>
      </c>
      <c r="M2379" s="8" t="s">
        <v>55</v>
      </c>
      <c r="N2379" s="11" t="s">
        <v>5934</v>
      </c>
      <c r="O2379" s="8" t="s">
        <v>43</v>
      </c>
      <c r="P2379" s="8" t="b">
        <v>0</v>
      </c>
      <c r="R2379" s="8" t="b">
        <v>0</v>
      </c>
      <c r="S2379" s="8" t="b">
        <v>0</v>
      </c>
      <c r="T2379" s="8" t="b">
        <v>0</v>
      </c>
      <c r="U2379" s="8" t="b">
        <v>0</v>
      </c>
      <c r="V2379" s="8" t="b">
        <v>1</v>
      </c>
      <c r="X2379" s="8" t="b">
        <v>0</v>
      </c>
      <c r="Y2379" s="8" t="b">
        <v>0</v>
      </c>
      <c r="Z2379" s="8" t="b">
        <v>0</v>
      </c>
      <c r="AA2379" s="8" t="b">
        <v>0</v>
      </c>
      <c r="AB2379" s="8" t="b">
        <v>1</v>
      </c>
      <c r="AC2379" s="8" t="b">
        <v>0</v>
      </c>
      <c r="AD2379" s="8" t="b">
        <v>1</v>
      </c>
      <c r="AE2379" s="8" t="b">
        <v>0</v>
      </c>
      <c r="AG2379" s="11" t="b" cm="1">
        <f t="array" ref="AG2379">IF(OR(Y2379:AA2379="TRUE", AE2379="true"), "Threatened")</f>
        <v>0</v>
      </c>
      <c r="AH2379" s="11" t="s">
        <v>5935</v>
      </c>
      <c r="AI2379" s="8" t="b">
        <v>1</v>
      </c>
    </row>
    <row r="2380" spans="1:35" ht="31.2">
      <c r="A2380" s="8">
        <v>-73.971186509999995</v>
      </c>
      <c r="B2380" s="8">
        <v>40.778503999999998</v>
      </c>
      <c r="C2380" s="8" t="s">
        <v>5936</v>
      </c>
      <c r="D2380" s="8" t="s">
        <v>1631</v>
      </c>
      <c r="E2380" s="8" t="b">
        <f t="shared" si="37"/>
        <v>0</v>
      </c>
      <c r="F2380" s="8" t="str" cm="1">
        <f t="array" ref="F2380">_xlfn._xlws.FILTER(E2380:E5578, C2380:C5578= "6D-PM-1020-01", "No Squirrels Found")</f>
        <v>No Squirrels Found</v>
      </c>
      <c r="G2380" s="8" t="s">
        <v>48</v>
      </c>
      <c r="H2380" s="10">
        <v>10102018</v>
      </c>
      <c r="I2380" s="10">
        <v>3</v>
      </c>
      <c r="J2380" s="8" t="s">
        <v>39</v>
      </c>
      <c r="K2380" s="8" t="s">
        <v>40</v>
      </c>
      <c r="M2380" s="8" t="s">
        <v>55</v>
      </c>
      <c r="O2380" s="8" t="s">
        <v>50</v>
      </c>
      <c r="P2380" s="8">
        <v>6</v>
      </c>
      <c r="R2380" s="8" t="b">
        <v>0</v>
      </c>
      <c r="S2380" s="8" t="b">
        <v>0</v>
      </c>
      <c r="T2380" s="8" t="b">
        <v>0</v>
      </c>
      <c r="U2380" s="8" t="b">
        <v>1</v>
      </c>
      <c r="V2380" s="8" t="b">
        <v>0</v>
      </c>
      <c r="W2380" s="11" t="s">
        <v>141</v>
      </c>
      <c r="X2380" s="8" t="b">
        <v>0</v>
      </c>
      <c r="Y2380" s="8" t="b">
        <v>0</v>
      </c>
      <c r="Z2380" s="8" t="b">
        <v>0</v>
      </c>
      <c r="AA2380" s="8" t="b">
        <v>0</v>
      </c>
      <c r="AB2380" s="8" t="b">
        <v>0</v>
      </c>
      <c r="AC2380" s="8" t="b">
        <v>0</v>
      </c>
      <c r="AD2380" s="8" t="b">
        <v>1</v>
      </c>
      <c r="AE2380" s="8" t="b">
        <v>0</v>
      </c>
      <c r="AG2380" s="11" t="b" cm="1">
        <f t="array" ref="AG2380">IF(OR(Y2380:AA2380="TRUE", AE2380="true"), "Threatened")</f>
        <v>0</v>
      </c>
      <c r="AH2380" s="11" t="s">
        <v>5937</v>
      </c>
      <c r="AI2380" s="8" t="b">
        <v>0</v>
      </c>
    </row>
    <row r="2381" spans="1:35" ht="31.2">
      <c r="A2381" s="8">
        <v>-73.976137570000006</v>
      </c>
      <c r="B2381" s="8">
        <v>40.766223189999998</v>
      </c>
      <c r="C2381" s="8" t="s">
        <v>5938</v>
      </c>
      <c r="D2381" s="8" t="s">
        <v>1862</v>
      </c>
      <c r="E2381" s="8" t="b">
        <f t="shared" si="37"/>
        <v>0</v>
      </c>
      <c r="F2381" s="8" t="str" cm="1">
        <f t="array" ref="F2381">_xlfn._xlws.FILTER(E2381:E5579, C2381:C5579= "6D-PM-1020-01", "No Squirrels Found")</f>
        <v>No Squirrels Found</v>
      </c>
      <c r="G2381" s="8" t="s">
        <v>34</v>
      </c>
      <c r="H2381" s="10">
        <v>10192018</v>
      </c>
      <c r="I2381" s="10">
        <v>2</v>
      </c>
      <c r="J2381" s="8" t="s">
        <v>39</v>
      </c>
      <c r="K2381" s="8" t="s">
        <v>40</v>
      </c>
      <c r="L2381" s="8" t="s">
        <v>41</v>
      </c>
      <c r="M2381" s="8" t="s">
        <v>42</v>
      </c>
      <c r="O2381" s="8" t="s">
        <v>50</v>
      </c>
      <c r="P2381" s="8">
        <v>2</v>
      </c>
      <c r="R2381" s="8" t="b">
        <v>0</v>
      </c>
      <c r="S2381" s="8" t="b">
        <v>0</v>
      </c>
      <c r="T2381" s="8" t="b">
        <v>1</v>
      </c>
      <c r="U2381" s="8" t="b">
        <v>1</v>
      </c>
      <c r="V2381" s="8" t="b">
        <v>0</v>
      </c>
      <c r="X2381" s="8" t="b">
        <v>0</v>
      </c>
      <c r="Y2381" s="8" t="b">
        <v>0</v>
      </c>
      <c r="Z2381" s="8" t="b">
        <v>0</v>
      </c>
      <c r="AA2381" s="8" t="b">
        <v>0</v>
      </c>
      <c r="AB2381" s="8" t="b">
        <v>0</v>
      </c>
      <c r="AC2381" s="8" t="b">
        <v>1</v>
      </c>
      <c r="AD2381" s="8" t="b">
        <v>0</v>
      </c>
      <c r="AE2381" s="8" t="b">
        <v>0</v>
      </c>
      <c r="AG2381" s="11" t="b" cm="1">
        <f t="array" ref="AG2381">IF(OR(Y2381:AA2381="TRUE", AE2381="true"), "Threatened")</f>
        <v>0</v>
      </c>
      <c r="AH2381" s="11" t="s">
        <v>5939</v>
      </c>
      <c r="AI2381" s="8" t="b">
        <v>1</v>
      </c>
    </row>
    <row r="2382" spans="1:35" ht="31.2">
      <c r="A2382" s="8">
        <v>-73.958841500000005</v>
      </c>
      <c r="B2382" s="8">
        <v>40.795352549999997</v>
      </c>
      <c r="C2382" s="8" t="s">
        <v>5940</v>
      </c>
      <c r="D2382" s="8" t="s">
        <v>928</v>
      </c>
      <c r="E2382" s="8" t="b">
        <f t="shared" si="37"/>
        <v>0</v>
      </c>
      <c r="F2382" s="8" t="str" cm="1">
        <f t="array" ref="F2382">_xlfn._xlws.FILTER(E2382:E5580, C2382:C5580= "6D-PM-1020-01", "No Squirrels Found")</f>
        <v>No Squirrels Found</v>
      </c>
      <c r="G2382" s="8" t="s">
        <v>48</v>
      </c>
      <c r="H2382" s="10">
        <v>10122018</v>
      </c>
      <c r="I2382" s="10">
        <v>1</v>
      </c>
      <c r="J2382" s="8" t="s">
        <v>39</v>
      </c>
      <c r="K2382" s="8" t="s">
        <v>40</v>
      </c>
      <c r="L2382" s="8" t="s">
        <v>41</v>
      </c>
      <c r="M2382" s="8" t="s">
        <v>42</v>
      </c>
      <c r="O2382" s="8" t="s">
        <v>43</v>
      </c>
      <c r="P2382" s="8" t="b">
        <v>0</v>
      </c>
      <c r="R2382" s="8" t="b">
        <v>0</v>
      </c>
      <c r="S2382" s="8" t="b">
        <v>0</v>
      </c>
      <c r="T2382" s="8" t="b">
        <v>0</v>
      </c>
      <c r="U2382" s="8" t="b">
        <v>0</v>
      </c>
      <c r="V2382" s="8" t="b">
        <v>1</v>
      </c>
      <c r="W2382" s="11" t="s">
        <v>3885</v>
      </c>
      <c r="X2382" s="8" t="b">
        <v>0</v>
      </c>
      <c r="Y2382" s="8" t="b">
        <v>0</v>
      </c>
      <c r="Z2382" s="8" t="b">
        <v>0</v>
      </c>
      <c r="AA2382" s="8" t="b">
        <v>0</v>
      </c>
      <c r="AB2382" s="8" t="b">
        <v>0</v>
      </c>
      <c r="AC2382" s="8" t="b">
        <v>0</v>
      </c>
      <c r="AD2382" s="8" t="b">
        <v>0</v>
      </c>
      <c r="AE2382" s="8" t="b">
        <v>1</v>
      </c>
      <c r="AG2382" s="11" t="b" cm="1">
        <f t="array" ref="AG2382">IF(OR(Y2382:AA2382="TRUE", AE2382="true"), "Threatened")</f>
        <v>0</v>
      </c>
      <c r="AH2382" s="11" t="s">
        <v>5941</v>
      </c>
      <c r="AI2382" s="8" t="b">
        <v>0</v>
      </c>
    </row>
    <row r="2383" spans="1:35" ht="31.2">
      <c r="A2383" s="8">
        <v>-73.974397049999993</v>
      </c>
      <c r="B2383" s="8">
        <v>40.768788020000002</v>
      </c>
      <c r="C2383" s="8" t="s">
        <v>5942</v>
      </c>
      <c r="D2383" s="8" t="s">
        <v>264</v>
      </c>
      <c r="E2383" s="8" t="b">
        <f t="shared" si="37"/>
        <v>0</v>
      </c>
      <c r="F2383" s="8" t="str" cm="1">
        <f t="array" ref="F2383">_xlfn._xlws.FILTER(E2383:E5581, C2383:C5581= "6D-PM-1020-01", "No Squirrels Found")</f>
        <v>No Squirrels Found</v>
      </c>
      <c r="G2383" s="8" t="s">
        <v>34</v>
      </c>
      <c r="H2383" s="10">
        <v>10072018</v>
      </c>
      <c r="I2383" s="10">
        <v>1</v>
      </c>
      <c r="J2383" s="8" t="s">
        <v>39</v>
      </c>
      <c r="K2383" s="8" t="s">
        <v>40</v>
      </c>
      <c r="L2383" s="8" t="s">
        <v>41</v>
      </c>
      <c r="M2383" s="8" t="s">
        <v>42</v>
      </c>
      <c r="O2383" s="8" t="s">
        <v>43</v>
      </c>
      <c r="P2383" s="8" t="b">
        <v>0</v>
      </c>
      <c r="R2383" s="8" t="b">
        <v>0</v>
      </c>
      <c r="S2383" s="8" t="b">
        <v>0</v>
      </c>
      <c r="T2383" s="8" t="b">
        <v>0</v>
      </c>
      <c r="U2383" s="8" t="b">
        <v>1</v>
      </c>
      <c r="V2383" s="8" t="b">
        <v>0</v>
      </c>
      <c r="X2383" s="8" t="b">
        <v>0</v>
      </c>
      <c r="Y2383" s="8" t="b">
        <v>0</v>
      </c>
      <c r="Z2383" s="8" t="b">
        <v>0</v>
      </c>
      <c r="AA2383" s="8" t="b">
        <v>0</v>
      </c>
      <c r="AB2383" s="8" t="b">
        <v>1</v>
      </c>
      <c r="AC2383" s="8" t="b">
        <v>0</v>
      </c>
      <c r="AD2383" s="8" t="b">
        <v>1</v>
      </c>
      <c r="AE2383" s="8" t="b">
        <v>0</v>
      </c>
      <c r="AG2383" s="11" t="b" cm="1">
        <f t="array" ref="AG2383">IF(OR(Y2383:AA2383="TRUE", AE2383="true"), "Threatened")</f>
        <v>0</v>
      </c>
      <c r="AH2383" s="11" t="s">
        <v>5943</v>
      </c>
      <c r="AI2383" s="8" t="b">
        <v>1</v>
      </c>
    </row>
    <row r="2384" spans="1:35" ht="31.2">
      <c r="A2384" s="8">
        <v>-73.968655119999994</v>
      </c>
      <c r="B2384" s="8">
        <v>40.772861779999999</v>
      </c>
      <c r="C2384" s="8" t="s">
        <v>5944</v>
      </c>
      <c r="D2384" s="8" t="s">
        <v>83</v>
      </c>
      <c r="E2384" s="8" t="b">
        <f t="shared" si="37"/>
        <v>0</v>
      </c>
      <c r="F2384" s="8" t="str" cm="1">
        <f t="array" ref="F2384">_xlfn._xlws.FILTER(E2384:E5582, C2384:C5582= "6D-PM-1020-01", "No Squirrels Found")</f>
        <v>No Squirrels Found</v>
      </c>
      <c r="G2384" s="8" t="s">
        <v>34</v>
      </c>
      <c r="H2384" s="10">
        <v>10132018</v>
      </c>
      <c r="I2384" s="10">
        <v>4</v>
      </c>
      <c r="J2384" s="8" t="s">
        <v>39</v>
      </c>
      <c r="K2384" s="8" t="s">
        <v>40</v>
      </c>
      <c r="M2384" s="8" t="s">
        <v>55</v>
      </c>
      <c r="O2384" s="8" t="s">
        <v>43</v>
      </c>
      <c r="P2384" s="8" t="b">
        <v>0</v>
      </c>
      <c r="R2384" s="8" t="b">
        <v>0</v>
      </c>
      <c r="S2384" s="8" t="b">
        <v>0</v>
      </c>
      <c r="T2384" s="8" t="b">
        <v>0</v>
      </c>
      <c r="U2384" s="8" t="b">
        <v>1</v>
      </c>
      <c r="V2384" s="8" t="b">
        <v>0</v>
      </c>
      <c r="X2384" s="8" t="b">
        <v>0</v>
      </c>
      <c r="Y2384" s="8" t="b">
        <v>0</v>
      </c>
      <c r="Z2384" s="8" t="b">
        <v>0</v>
      </c>
      <c r="AA2384" s="8" t="b">
        <v>0</v>
      </c>
      <c r="AB2384" s="8" t="b">
        <v>0</v>
      </c>
      <c r="AC2384" s="8" t="b">
        <v>1</v>
      </c>
      <c r="AD2384" s="8" t="b">
        <v>1</v>
      </c>
      <c r="AE2384" s="8" t="b">
        <v>0</v>
      </c>
      <c r="AG2384" s="11" t="b" cm="1">
        <f t="array" ref="AG2384">IF(OR(Y2384:AA2384="TRUE", AE2384="true"), "Threatened")</f>
        <v>0</v>
      </c>
      <c r="AH2384" s="11" t="s">
        <v>5945</v>
      </c>
      <c r="AI2384" s="8" t="b">
        <v>1</v>
      </c>
    </row>
    <row r="2385" spans="1:35" ht="31.2">
      <c r="A2385" s="8">
        <v>-73.970856420000004</v>
      </c>
      <c r="B2385" s="8">
        <v>40.772621999999998</v>
      </c>
      <c r="C2385" s="8" t="s">
        <v>5946</v>
      </c>
      <c r="D2385" s="8" t="s">
        <v>329</v>
      </c>
      <c r="E2385" s="8" t="b">
        <f t="shared" si="37"/>
        <v>0</v>
      </c>
      <c r="F2385" s="8" t="str" cm="1">
        <f t="array" ref="F2385">_xlfn._xlws.FILTER(E2385:E5583, C2385:C5583= "6D-PM-1020-01", "No Squirrels Found")</f>
        <v>No Squirrels Found</v>
      </c>
      <c r="G2385" s="8" t="s">
        <v>34</v>
      </c>
      <c r="H2385" s="10">
        <v>10192018</v>
      </c>
      <c r="I2385" s="10">
        <v>9</v>
      </c>
      <c r="J2385" s="8" t="s">
        <v>39</v>
      </c>
      <c r="K2385" s="8" t="s">
        <v>40</v>
      </c>
      <c r="L2385" s="8" t="s">
        <v>41</v>
      </c>
      <c r="M2385" s="8" t="s">
        <v>42</v>
      </c>
      <c r="O2385" s="8" t="s">
        <v>43</v>
      </c>
      <c r="P2385" s="8" t="b">
        <v>0</v>
      </c>
      <c r="Q2385" s="8" t="s">
        <v>5947</v>
      </c>
      <c r="R2385" s="8" t="b">
        <v>1</v>
      </c>
      <c r="S2385" s="8" t="b">
        <v>0</v>
      </c>
      <c r="T2385" s="8" t="b">
        <v>0</v>
      </c>
      <c r="U2385" s="8" t="b">
        <v>0</v>
      </c>
      <c r="V2385" s="8" t="b">
        <v>1</v>
      </c>
      <c r="X2385" s="8" t="b">
        <v>0</v>
      </c>
      <c r="Y2385" s="8" t="b">
        <v>0</v>
      </c>
      <c r="Z2385" s="8" t="b">
        <v>0</v>
      </c>
      <c r="AA2385" s="8" t="b">
        <v>0</v>
      </c>
      <c r="AB2385" s="8" t="b">
        <v>0</v>
      </c>
      <c r="AC2385" s="8" t="b">
        <v>0</v>
      </c>
      <c r="AD2385" s="8" t="b">
        <v>0</v>
      </c>
      <c r="AE2385" s="8" t="b">
        <v>1</v>
      </c>
      <c r="AG2385" s="11" t="b" cm="1">
        <f t="array" ref="AG2385">IF(OR(Y2385:AA2385="TRUE", AE2385="true"), "Threatened")</f>
        <v>0</v>
      </c>
      <c r="AH2385" s="11" t="s">
        <v>5948</v>
      </c>
      <c r="AI2385" s="8" t="b">
        <v>1</v>
      </c>
    </row>
    <row r="2386" spans="1:35" ht="31.2">
      <c r="A2386" s="8">
        <v>-73.978755289999995</v>
      </c>
      <c r="B2386" s="8">
        <v>40.769077959999997</v>
      </c>
      <c r="C2386" s="8" t="s">
        <v>5949</v>
      </c>
      <c r="D2386" s="8" t="s">
        <v>465</v>
      </c>
      <c r="E2386" s="8" t="b">
        <f t="shared" si="37"/>
        <v>0</v>
      </c>
      <c r="F2386" s="8" t="str" cm="1">
        <f t="array" ref="F2386">_xlfn._xlws.FILTER(E2386:E5584, C2386:C5584= "6D-PM-1020-01", "No Squirrels Found")</f>
        <v>No Squirrels Found</v>
      </c>
      <c r="G2386" s="8" t="s">
        <v>48</v>
      </c>
      <c r="H2386" s="10">
        <v>10102018</v>
      </c>
      <c r="I2386" s="10">
        <v>6</v>
      </c>
      <c r="J2386" s="8" t="s">
        <v>39</v>
      </c>
      <c r="K2386" s="8" t="s">
        <v>40</v>
      </c>
      <c r="M2386" s="8" t="s">
        <v>55</v>
      </c>
      <c r="O2386" s="8" t="s">
        <v>50</v>
      </c>
      <c r="P2386" s="8">
        <v>20</v>
      </c>
      <c r="R2386" s="8" t="b">
        <v>1</v>
      </c>
      <c r="S2386" s="8" t="b">
        <v>0</v>
      </c>
      <c r="T2386" s="8" t="b">
        <v>0</v>
      </c>
      <c r="U2386" s="8" t="b">
        <v>0</v>
      </c>
      <c r="V2386" s="8" t="b">
        <v>0</v>
      </c>
      <c r="X2386" s="8" t="b">
        <v>0</v>
      </c>
      <c r="Y2386" s="8" t="b">
        <v>0</v>
      </c>
      <c r="Z2386" s="8" t="b">
        <v>0</v>
      </c>
      <c r="AA2386" s="8" t="b">
        <v>0</v>
      </c>
      <c r="AB2386" s="8" t="b">
        <v>0</v>
      </c>
      <c r="AC2386" s="8" t="b">
        <v>0</v>
      </c>
      <c r="AD2386" s="8" t="b">
        <v>1</v>
      </c>
      <c r="AE2386" s="8" t="b">
        <v>0</v>
      </c>
      <c r="AG2386" s="11" t="b" cm="1">
        <f t="array" ref="AG2386">IF(OR(Y2386:AA2386="TRUE", AE2386="true"), "Threatened")</f>
        <v>0</v>
      </c>
      <c r="AH2386" s="11" t="s">
        <v>5950</v>
      </c>
      <c r="AI2386" s="8" t="b">
        <v>1</v>
      </c>
    </row>
    <row r="2387" spans="1:35" ht="46.8">
      <c r="A2387" s="8">
        <v>-73.956573890000001</v>
      </c>
      <c r="B2387" s="8">
        <v>40.790016100000003</v>
      </c>
      <c r="C2387" s="8" t="s">
        <v>5951</v>
      </c>
      <c r="D2387" s="8" t="s">
        <v>346</v>
      </c>
      <c r="E2387" s="8" t="b">
        <f t="shared" si="37"/>
        <v>0</v>
      </c>
      <c r="F2387" s="8" t="str" cm="1">
        <f t="array" ref="F2387">_xlfn._xlws.FILTER(E2387:E5585, C2387:C5585= "6D-PM-1020-01", "No Squirrels Found")</f>
        <v>No Squirrels Found</v>
      </c>
      <c r="G2387" s="8" t="s">
        <v>48</v>
      </c>
      <c r="H2387" s="10">
        <v>10102018</v>
      </c>
      <c r="I2387" s="10">
        <v>1</v>
      </c>
      <c r="J2387" s="8" t="s">
        <v>54</v>
      </c>
      <c r="K2387" s="8" t="s">
        <v>40</v>
      </c>
      <c r="L2387" s="8" t="s">
        <v>41</v>
      </c>
      <c r="M2387" s="8" t="s">
        <v>42</v>
      </c>
      <c r="O2387" s="8" t="s">
        <v>43</v>
      </c>
      <c r="P2387" s="8" t="b">
        <v>0</v>
      </c>
      <c r="R2387" s="8" t="b">
        <v>0</v>
      </c>
      <c r="S2387" s="8" t="b">
        <v>0</v>
      </c>
      <c r="T2387" s="8" t="b">
        <v>0</v>
      </c>
      <c r="U2387" s="8" t="b">
        <v>0</v>
      </c>
      <c r="V2387" s="8" t="b">
        <v>0</v>
      </c>
      <c r="W2387" s="11" t="s">
        <v>5952</v>
      </c>
      <c r="X2387" s="8" t="b">
        <v>0</v>
      </c>
      <c r="Y2387" s="8" t="b">
        <v>0</v>
      </c>
      <c r="Z2387" s="8" t="b">
        <v>0</v>
      </c>
      <c r="AA2387" s="8" t="b">
        <v>0</v>
      </c>
      <c r="AB2387" s="8" t="b">
        <v>0</v>
      </c>
      <c r="AC2387" s="8" t="b">
        <v>0</v>
      </c>
      <c r="AD2387" s="8" t="b">
        <v>1</v>
      </c>
      <c r="AE2387" s="8" t="b">
        <v>0</v>
      </c>
      <c r="AF2387" s="11" t="s">
        <v>5953</v>
      </c>
      <c r="AG2387" s="11" t="b" cm="1">
        <f t="array" ref="AG2387">IF(OR(Y2387:AA2387="TRUE", AE2387="true"), "Threatened")</f>
        <v>0</v>
      </c>
      <c r="AH2387" s="11" t="s">
        <v>5954</v>
      </c>
      <c r="AI2387" s="8" t="b">
        <v>0</v>
      </c>
    </row>
    <row r="2388" spans="1:35" ht="31.2">
      <c r="A2388" s="8">
        <v>-73.980851729999998</v>
      </c>
      <c r="B2388" s="8">
        <v>40.768315459999997</v>
      </c>
      <c r="C2388" s="8" t="s">
        <v>5955</v>
      </c>
      <c r="D2388" s="8" t="s">
        <v>1780</v>
      </c>
      <c r="E2388" s="8" t="b">
        <f t="shared" si="37"/>
        <v>0</v>
      </c>
      <c r="F2388" s="8" t="str" cm="1">
        <f t="array" ref="F2388">_xlfn._xlws.FILTER(E2388:E5586, C2388:C5586= "6D-PM-1020-01", "No Squirrels Found")</f>
        <v>No Squirrels Found</v>
      </c>
      <c r="G2388" s="8" t="s">
        <v>34</v>
      </c>
      <c r="H2388" s="10">
        <v>10142018</v>
      </c>
      <c r="I2388" s="10">
        <v>1</v>
      </c>
      <c r="J2388" s="8" t="s">
        <v>39</v>
      </c>
      <c r="K2388" s="8" t="s">
        <v>41</v>
      </c>
      <c r="L2388" s="8" t="s">
        <v>84</v>
      </c>
      <c r="M2388" s="8" t="s">
        <v>85</v>
      </c>
      <c r="O2388" s="8" t="s">
        <v>50</v>
      </c>
      <c r="P2388" s="8">
        <v>6</v>
      </c>
      <c r="R2388" s="8" t="b">
        <v>0</v>
      </c>
      <c r="S2388" s="8" t="b">
        <v>1</v>
      </c>
      <c r="T2388" s="8" t="b">
        <v>0</v>
      </c>
      <c r="U2388" s="8" t="b">
        <v>0</v>
      </c>
      <c r="V2388" s="8" t="b">
        <v>0</v>
      </c>
      <c r="X2388" s="8" t="b">
        <v>0</v>
      </c>
      <c r="Y2388" s="8" t="b">
        <v>0</v>
      </c>
      <c r="Z2388" s="8" t="b">
        <v>0</v>
      </c>
      <c r="AA2388" s="8" t="b">
        <v>0</v>
      </c>
      <c r="AB2388" s="8" t="b">
        <v>1</v>
      </c>
      <c r="AC2388" s="8" t="b">
        <v>0</v>
      </c>
      <c r="AD2388" s="8" t="b">
        <v>0</v>
      </c>
      <c r="AE2388" s="8" t="b">
        <v>0</v>
      </c>
      <c r="AG2388" s="11" t="b" cm="1">
        <f t="array" ref="AG2388">IF(OR(Y2388:AA2388="TRUE", AE2388="true"), "Threatened")</f>
        <v>0</v>
      </c>
      <c r="AH2388" s="11" t="s">
        <v>5956</v>
      </c>
      <c r="AI2388" s="8" t="b">
        <v>1</v>
      </c>
    </row>
    <row r="2389" spans="1:35" ht="31.2">
      <c r="A2389" s="8">
        <v>-73.960447599999995</v>
      </c>
      <c r="B2389" s="8">
        <v>40.793801430000002</v>
      </c>
      <c r="C2389" s="8" t="s">
        <v>5957</v>
      </c>
      <c r="D2389" s="8" t="s">
        <v>69</v>
      </c>
      <c r="E2389" s="8" t="b">
        <f t="shared" si="37"/>
        <v>0</v>
      </c>
      <c r="F2389" s="8" t="str" cm="1">
        <f t="array" ref="F2389">_xlfn._xlws.FILTER(E2389:E5587, C2389:C5587= "6D-PM-1020-01", "No Squirrels Found")</f>
        <v>No Squirrels Found</v>
      </c>
      <c r="G2389" s="8" t="s">
        <v>48</v>
      </c>
      <c r="H2389" s="10">
        <v>10072018</v>
      </c>
      <c r="I2389" s="10">
        <v>3</v>
      </c>
      <c r="J2389" s="8" t="s">
        <v>39</v>
      </c>
      <c r="M2389" s="8" t="s">
        <v>35</v>
      </c>
      <c r="O2389" s="8" t="s">
        <v>50</v>
      </c>
      <c r="P2389" s="8">
        <v>40</v>
      </c>
      <c r="R2389" s="8" t="b">
        <v>0</v>
      </c>
      <c r="S2389" s="8" t="b">
        <v>0</v>
      </c>
      <c r="T2389" s="8" t="b">
        <v>0</v>
      </c>
      <c r="U2389" s="8" t="b">
        <v>0</v>
      </c>
      <c r="V2389" s="8" t="b">
        <v>1</v>
      </c>
      <c r="X2389" s="8" t="b">
        <v>0</v>
      </c>
      <c r="Y2389" s="8" t="b">
        <v>0</v>
      </c>
      <c r="Z2389" s="8" t="b">
        <v>0</v>
      </c>
      <c r="AA2389" s="8" t="b">
        <v>0</v>
      </c>
      <c r="AB2389" s="8" t="b">
        <v>0</v>
      </c>
      <c r="AC2389" s="8" t="b">
        <v>0</v>
      </c>
      <c r="AD2389" s="8" t="b">
        <v>0</v>
      </c>
      <c r="AE2389" s="8" t="b">
        <v>0</v>
      </c>
      <c r="AG2389" s="11" t="b" cm="1">
        <f t="array" ref="AG2389">IF(OR(Y2389:AA2389="TRUE", AE2389="true"), "Threatened")</f>
        <v>0</v>
      </c>
      <c r="AH2389" s="11" t="s">
        <v>5958</v>
      </c>
      <c r="AI2389" s="8" t="b">
        <v>1</v>
      </c>
    </row>
    <row r="2390" spans="1:35" ht="31.2">
      <c r="A2390" s="8">
        <v>-73.980134340000006</v>
      </c>
      <c r="B2390" s="8">
        <v>40.76915125</v>
      </c>
      <c r="C2390" s="8" t="s">
        <v>5959</v>
      </c>
      <c r="D2390" s="8" t="s">
        <v>253</v>
      </c>
      <c r="E2390" s="8" t="b">
        <f t="shared" si="37"/>
        <v>0</v>
      </c>
      <c r="F2390" s="8" t="str" cm="1">
        <f t="array" ref="F2390">_xlfn._xlws.FILTER(E2390:E5588, C2390:C5588= "6D-PM-1020-01", "No Squirrels Found")</f>
        <v>No Squirrels Found</v>
      </c>
      <c r="G2390" s="8" t="s">
        <v>48</v>
      </c>
      <c r="H2390" s="10">
        <v>10122018</v>
      </c>
      <c r="I2390" s="10">
        <v>1</v>
      </c>
      <c r="J2390" s="8" t="s">
        <v>54</v>
      </c>
      <c r="K2390" s="8" t="s">
        <v>40</v>
      </c>
      <c r="L2390" s="8" t="s">
        <v>117</v>
      </c>
      <c r="M2390" s="8" t="s">
        <v>118</v>
      </c>
      <c r="N2390" s="11" t="s">
        <v>5960</v>
      </c>
      <c r="O2390" s="8" t="s">
        <v>50</v>
      </c>
      <c r="P2390" s="8">
        <v>1</v>
      </c>
      <c r="R2390" s="8" t="b">
        <v>0</v>
      </c>
      <c r="S2390" s="8" t="b">
        <v>0</v>
      </c>
      <c r="T2390" s="8" t="b">
        <v>0</v>
      </c>
      <c r="U2390" s="8" t="b">
        <v>1</v>
      </c>
      <c r="V2390" s="8" t="b">
        <v>0</v>
      </c>
      <c r="X2390" s="8" t="b">
        <v>0</v>
      </c>
      <c r="Y2390" s="8" t="b">
        <v>0</v>
      </c>
      <c r="Z2390" s="8" t="b">
        <v>0</v>
      </c>
      <c r="AA2390" s="8" t="b">
        <v>0</v>
      </c>
      <c r="AB2390" s="8" t="b">
        <v>1</v>
      </c>
      <c r="AC2390" s="8" t="b">
        <v>0</v>
      </c>
      <c r="AD2390" s="8" t="b">
        <v>0</v>
      </c>
      <c r="AE2390" s="8" t="b">
        <v>1</v>
      </c>
      <c r="AG2390" s="11" t="b" cm="1">
        <f t="array" ref="AG2390">IF(OR(Y2390:AA2390="TRUE", AE2390="true"), "Threatened")</f>
        <v>0</v>
      </c>
      <c r="AH2390" s="11" t="s">
        <v>5961</v>
      </c>
      <c r="AI2390" s="8" t="b">
        <v>1</v>
      </c>
    </row>
    <row r="2391" spans="1:35" ht="31.2">
      <c r="A2391" s="8">
        <v>-73.968074200000004</v>
      </c>
      <c r="B2391" s="8">
        <v>40.78470368</v>
      </c>
      <c r="C2391" s="8" t="s">
        <v>5962</v>
      </c>
      <c r="D2391" s="8" t="s">
        <v>2184</v>
      </c>
      <c r="E2391" s="8" t="b">
        <f t="shared" si="37"/>
        <v>0</v>
      </c>
      <c r="F2391" s="8" t="str" cm="1">
        <f t="array" ref="F2391">_xlfn._xlws.FILTER(E2391:E5589, C2391:C5589= "6D-PM-1020-01", "No Squirrels Found")</f>
        <v>No Squirrels Found</v>
      </c>
      <c r="G2391" s="8" t="s">
        <v>34</v>
      </c>
      <c r="H2391" s="10">
        <v>10122018</v>
      </c>
      <c r="I2391" s="10">
        <v>4</v>
      </c>
      <c r="J2391" s="8" t="s">
        <v>39</v>
      </c>
      <c r="K2391" s="8" t="s">
        <v>40</v>
      </c>
      <c r="L2391" s="8" t="s">
        <v>84</v>
      </c>
      <c r="M2391" s="8" t="s">
        <v>103</v>
      </c>
      <c r="O2391" s="8" t="s">
        <v>50</v>
      </c>
      <c r="P2391" s="8">
        <v>20</v>
      </c>
      <c r="R2391" s="8" t="b">
        <v>0</v>
      </c>
      <c r="S2391" s="8" t="b">
        <v>0</v>
      </c>
      <c r="T2391" s="8" t="b">
        <v>0</v>
      </c>
      <c r="U2391" s="8" t="b">
        <v>0</v>
      </c>
      <c r="V2391" s="8" t="b">
        <v>0</v>
      </c>
      <c r="W2391" s="11" t="s">
        <v>5963</v>
      </c>
      <c r="X2391" s="8" t="b">
        <v>0</v>
      </c>
      <c r="Y2391" s="8" t="b">
        <v>0</v>
      </c>
      <c r="Z2391" s="8" t="b">
        <v>0</v>
      </c>
      <c r="AA2391" s="8" t="b">
        <v>0</v>
      </c>
      <c r="AB2391" s="8" t="b">
        <v>1</v>
      </c>
      <c r="AC2391" s="8" t="b">
        <v>0</v>
      </c>
      <c r="AD2391" s="8" t="b">
        <v>0</v>
      </c>
      <c r="AE2391" s="8" t="b">
        <v>1</v>
      </c>
      <c r="AG2391" s="11" t="b" cm="1">
        <f t="array" ref="AG2391">IF(OR(Y2391:AA2391="TRUE", AE2391="true"), "Threatened")</f>
        <v>0</v>
      </c>
      <c r="AH2391" s="11" t="s">
        <v>5964</v>
      </c>
      <c r="AI2391" s="8" t="b">
        <v>0</v>
      </c>
    </row>
    <row r="2392" spans="1:35" ht="31.2">
      <c r="A2392" s="8">
        <v>-73.972149770000001</v>
      </c>
      <c r="B2392" s="8">
        <v>40.771616020000003</v>
      </c>
      <c r="C2392" s="8" t="s">
        <v>5965</v>
      </c>
      <c r="D2392" s="8" t="s">
        <v>776</v>
      </c>
      <c r="E2392" s="8" t="b">
        <f t="shared" si="37"/>
        <v>0</v>
      </c>
      <c r="F2392" s="8" t="str" cm="1">
        <f t="array" ref="F2392">_xlfn._xlws.FILTER(E2392:E5590, C2392:C5590= "6D-PM-1020-01", "No Squirrels Found")</f>
        <v>No Squirrels Found</v>
      </c>
      <c r="G2392" s="8" t="s">
        <v>34</v>
      </c>
      <c r="H2392" s="10">
        <v>10122018</v>
      </c>
      <c r="I2392" s="10">
        <v>2</v>
      </c>
      <c r="J2392" s="8" t="s">
        <v>39</v>
      </c>
      <c r="K2392" s="8" t="s">
        <v>40</v>
      </c>
      <c r="M2392" s="8" t="s">
        <v>55</v>
      </c>
      <c r="O2392" s="8" t="s">
        <v>43</v>
      </c>
      <c r="P2392" s="8" t="b">
        <v>0</v>
      </c>
      <c r="R2392" s="8" t="b">
        <v>1</v>
      </c>
      <c r="S2392" s="8" t="b">
        <v>0</v>
      </c>
      <c r="T2392" s="8" t="b">
        <v>0</v>
      </c>
      <c r="U2392" s="8" t="b">
        <v>0</v>
      </c>
      <c r="V2392" s="8" t="b">
        <v>0</v>
      </c>
      <c r="X2392" s="8" t="b">
        <v>0</v>
      </c>
      <c r="Y2392" s="8" t="b">
        <v>0</v>
      </c>
      <c r="Z2392" s="8" t="b">
        <v>0</v>
      </c>
      <c r="AA2392" s="8" t="b">
        <v>0</v>
      </c>
      <c r="AB2392" s="8" t="b">
        <v>0</v>
      </c>
      <c r="AC2392" s="8" t="b">
        <v>0</v>
      </c>
      <c r="AD2392" s="8" t="b">
        <v>0</v>
      </c>
      <c r="AE2392" s="8" t="b">
        <v>0</v>
      </c>
      <c r="AG2392" s="11" t="b" cm="1">
        <f t="array" ref="AG2392">IF(OR(Y2392:AA2392="TRUE", AE2392="true"), "Threatened")</f>
        <v>0</v>
      </c>
      <c r="AH2392" s="11" t="s">
        <v>5966</v>
      </c>
      <c r="AI2392" s="8" t="b">
        <v>1</v>
      </c>
    </row>
    <row r="2393" spans="1:35" ht="31.2">
      <c r="A2393" s="8">
        <v>-73.957898119999996</v>
      </c>
      <c r="B2393" s="8">
        <v>40.798996780000003</v>
      </c>
      <c r="C2393" s="8" t="s">
        <v>5967</v>
      </c>
      <c r="D2393" s="8" t="s">
        <v>382</v>
      </c>
      <c r="E2393" s="8" t="b">
        <f t="shared" si="37"/>
        <v>0</v>
      </c>
      <c r="F2393" s="8" t="str" cm="1">
        <f t="array" ref="F2393">_xlfn._xlws.FILTER(E2393:E5591, C2393:C5591= "6D-PM-1020-01", "No Squirrels Found")</f>
        <v>No Squirrels Found</v>
      </c>
      <c r="G2393" s="8" t="s">
        <v>48</v>
      </c>
      <c r="H2393" s="10">
        <v>10102018</v>
      </c>
      <c r="I2393" s="10">
        <v>3</v>
      </c>
      <c r="J2393" s="8" t="s">
        <v>39</v>
      </c>
      <c r="M2393" s="8" t="s">
        <v>35</v>
      </c>
      <c r="O2393" s="8" t="s">
        <v>50</v>
      </c>
      <c r="P2393" s="8">
        <v>60</v>
      </c>
      <c r="R2393" s="8" t="b">
        <v>0</v>
      </c>
      <c r="S2393" s="8" t="b">
        <v>0</v>
      </c>
      <c r="T2393" s="8" t="b">
        <v>0</v>
      </c>
      <c r="U2393" s="8" t="b">
        <v>0</v>
      </c>
      <c r="V2393" s="8" t="b">
        <v>0</v>
      </c>
      <c r="X2393" s="8" t="b">
        <v>0</v>
      </c>
      <c r="Y2393" s="8" t="b">
        <v>0</v>
      </c>
      <c r="Z2393" s="8" t="b">
        <v>0</v>
      </c>
      <c r="AA2393" s="8" t="b">
        <v>0</v>
      </c>
      <c r="AB2393" s="8" t="b">
        <v>0</v>
      </c>
      <c r="AC2393" s="8" t="b">
        <v>0</v>
      </c>
      <c r="AD2393" s="8" t="b">
        <v>0</v>
      </c>
      <c r="AE2393" s="8" t="b">
        <v>0</v>
      </c>
      <c r="AG2393" s="11" t="b" cm="1">
        <f t="array" ref="AG2393">IF(OR(Y2393:AA2393="TRUE", AE2393="true"), "Threatened")</f>
        <v>0</v>
      </c>
      <c r="AH2393" s="11" t="s">
        <v>5968</v>
      </c>
      <c r="AI2393" s="8" t="b">
        <v>1</v>
      </c>
    </row>
    <row r="2394" spans="1:35" ht="31.2">
      <c r="A2394" s="8">
        <v>-73.972919059999995</v>
      </c>
      <c r="B2394" s="8">
        <v>40.770018149999999</v>
      </c>
      <c r="C2394" s="8" t="s">
        <v>5969</v>
      </c>
      <c r="D2394" s="8" t="s">
        <v>524</v>
      </c>
      <c r="E2394" s="8" t="b">
        <f t="shared" si="37"/>
        <v>0</v>
      </c>
      <c r="F2394" s="8" t="str" cm="1">
        <f t="array" ref="F2394">_xlfn._xlws.FILTER(E2394:E5592, C2394:C5592= "6D-PM-1020-01", "No Squirrels Found")</f>
        <v>No Squirrels Found</v>
      </c>
      <c r="G2394" s="8" t="s">
        <v>34</v>
      </c>
      <c r="H2394" s="10">
        <v>10082018</v>
      </c>
      <c r="I2394" s="10">
        <v>3</v>
      </c>
      <c r="J2394" s="8" t="s">
        <v>39</v>
      </c>
      <c r="K2394" s="8" t="s">
        <v>40</v>
      </c>
      <c r="M2394" s="8" t="s">
        <v>55</v>
      </c>
      <c r="O2394" s="8" t="s">
        <v>50</v>
      </c>
      <c r="P2394" s="8">
        <v>50</v>
      </c>
      <c r="Q2394" s="8" t="s">
        <v>1803</v>
      </c>
      <c r="R2394" s="8" t="b">
        <v>0</v>
      </c>
      <c r="S2394" s="8" t="b">
        <v>0</v>
      </c>
      <c r="T2394" s="8" t="b">
        <v>0</v>
      </c>
      <c r="U2394" s="8" t="b">
        <v>0</v>
      </c>
      <c r="V2394" s="8" t="b">
        <v>1</v>
      </c>
      <c r="X2394" s="8" t="b">
        <v>0</v>
      </c>
      <c r="Y2394" s="8" t="b">
        <v>0</v>
      </c>
      <c r="Z2394" s="8" t="b">
        <v>0</v>
      </c>
      <c r="AA2394" s="8" t="b">
        <v>0</v>
      </c>
      <c r="AB2394" s="8" t="b">
        <v>0</v>
      </c>
      <c r="AC2394" s="8" t="b">
        <v>0</v>
      </c>
      <c r="AD2394" s="8" t="b">
        <v>0</v>
      </c>
      <c r="AE2394" s="8" t="b">
        <v>0</v>
      </c>
      <c r="AG2394" s="11" t="b" cm="1">
        <f t="array" ref="AG2394">IF(OR(Y2394:AA2394="TRUE", AE2394="true"), "Threatened")</f>
        <v>0</v>
      </c>
      <c r="AH2394" s="11" t="s">
        <v>5970</v>
      </c>
      <c r="AI2394" s="8" t="b">
        <v>1</v>
      </c>
    </row>
    <row r="2395" spans="1:35" ht="31.2">
      <c r="A2395" s="8">
        <v>-73.978582950000003</v>
      </c>
      <c r="B2395" s="8">
        <v>40.771965229999999</v>
      </c>
      <c r="C2395" s="8" t="s">
        <v>5971</v>
      </c>
      <c r="D2395" s="8" t="s">
        <v>874</v>
      </c>
      <c r="E2395" s="8" t="b">
        <f t="shared" si="37"/>
        <v>0</v>
      </c>
      <c r="F2395" s="8" t="str" cm="1">
        <f t="array" ref="F2395">_xlfn._xlws.FILTER(E2395:E5593, C2395:C5593= "6D-PM-1020-01", "No Squirrels Found")</f>
        <v>No Squirrels Found</v>
      </c>
      <c r="G2395" s="8" t="s">
        <v>34</v>
      </c>
      <c r="H2395" s="10">
        <v>10122018</v>
      </c>
      <c r="I2395" s="10">
        <v>2</v>
      </c>
      <c r="J2395" s="8" t="s">
        <v>39</v>
      </c>
      <c r="K2395" s="8" t="s">
        <v>40</v>
      </c>
      <c r="L2395" s="8" t="s">
        <v>84</v>
      </c>
      <c r="M2395" s="8" t="s">
        <v>103</v>
      </c>
      <c r="O2395" s="8" t="s">
        <v>43</v>
      </c>
      <c r="P2395" s="8" t="b">
        <v>0</v>
      </c>
      <c r="R2395" s="8" t="b">
        <v>1</v>
      </c>
      <c r="S2395" s="8" t="b">
        <v>1</v>
      </c>
      <c r="T2395" s="8" t="b">
        <v>1</v>
      </c>
      <c r="U2395" s="8" t="b">
        <v>0</v>
      </c>
      <c r="V2395" s="8" t="b">
        <v>0</v>
      </c>
      <c r="X2395" s="8" t="b">
        <v>0</v>
      </c>
      <c r="Y2395" s="8" t="b">
        <v>0</v>
      </c>
      <c r="Z2395" s="8" t="b">
        <v>0</v>
      </c>
      <c r="AA2395" s="8" t="b">
        <v>0</v>
      </c>
      <c r="AB2395" s="8" t="b">
        <v>0</v>
      </c>
      <c r="AC2395" s="8" t="b">
        <v>0</v>
      </c>
      <c r="AD2395" s="8" t="b">
        <v>0</v>
      </c>
      <c r="AE2395" s="8" t="b">
        <v>0</v>
      </c>
      <c r="AG2395" s="11" t="b" cm="1">
        <f t="array" ref="AG2395">IF(OR(Y2395:AA2395="TRUE", AE2395="true"), "Threatened")</f>
        <v>0</v>
      </c>
      <c r="AH2395" s="11" t="s">
        <v>5972</v>
      </c>
      <c r="AI2395" s="8" t="b">
        <v>1</v>
      </c>
    </row>
    <row r="2396" spans="1:35" ht="31.2">
      <c r="A2396" s="8">
        <v>-73.972960360000002</v>
      </c>
      <c r="B2396" s="8">
        <v>40.766021569999999</v>
      </c>
      <c r="C2396" s="8" t="s">
        <v>5973</v>
      </c>
      <c r="D2396" s="8" t="s">
        <v>1902</v>
      </c>
      <c r="E2396" s="8" t="b">
        <f t="shared" si="37"/>
        <v>0</v>
      </c>
      <c r="F2396" s="8" t="str" cm="1">
        <f t="array" ref="F2396">_xlfn._xlws.FILTER(E2396:E5594, C2396:C5594= "6D-PM-1020-01", "No Squirrels Found")</f>
        <v>No Squirrels Found</v>
      </c>
      <c r="G2396" s="8" t="s">
        <v>48</v>
      </c>
      <c r="H2396" s="10">
        <v>10082018</v>
      </c>
      <c r="I2396" s="10">
        <v>6</v>
      </c>
      <c r="J2396" s="8" t="s">
        <v>39</v>
      </c>
      <c r="K2396" s="8" t="s">
        <v>192</v>
      </c>
      <c r="M2396" s="8" t="s">
        <v>193</v>
      </c>
      <c r="N2396" s="11" t="s">
        <v>5974</v>
      </c>
      <c r="O2396" s="8" t="s">
        <v>43</v>
      </c>
      <c r="P2396" s="8" t="b">
        <v>0</v>
      </c>
      <c r="R2396" s="8" t="b">
        <v>0</v>
      </c>
      <c r="S2396" s="8" t="b">
        <v>0</v>
      </c>
      <c r="T2396" s="8" t="b">
        <v>0</v>
      </c>
      <c r="U2396" s="8" t="b">
        <v>0</v>
      </c>
      <c r="V2396" s="8" t="b">
        <v>1</v>
      </c>
      <c r="X2396" s="8" t="b">
        <v>0</v>
      </c>
      <c r="Y2396" s="8" t="b">
        <v>0</v>
      </c>
      <c r="Z2396" s="8" t="b">
        <v>0</v>
      </c>
      <c r="AA2396" s="8" t="b">
        <v>0</v>
      </c>
      <c r="AB2396" s="8" t="b">
        <v>0</v>
      </c>
      <c r="AC2396" s="8" t="b">
        <v>0</v>
      </c>
      <c r="AD2396" s="8" t="b">
        <v>1</v>
      </c>
      <c r="AE2396" s="8" t="b">
        <v>1</v>
      </c>
      <c r="AG2396" s="11" t="b" cm="1">
        <f t="array" ref="AG2396">IF(OR(Y2396:AA2396="TRUE", AE2396="true"), "Threatened")</f>
        <v>0</v>
      </c>
      <c r="AH2396" s="11" t="s">
        <v>5975</v>
      </c>
      <c r="AI2396" s="8" t="b">
        <v>1</v>
      </c>
    </row>
    <row r="2397" spans="1:35" ht="31.2">
      <c r="A2397" s="8">
        <v>-73.970433940000007</v>
      </c>
      <c r="B2397" s="8">
        <v>40.774014950000002</v>
      </c>
      <c r="C2397" s="8" t="s">
        <v>5976</v>
      </c>
      <c r="D2397" s="8" t="s">
        <v>1168</v>
      </c>
      <c r="E2397" s="8" t="b">
        <f t="shared" si="37"/>
        <v>0</v>
      </c>
      <c r="F2397" s="8" t="str" cm="1">
        <f t="array" ref="F2397">_xlfn._xlws.FILTER(E2397:E5595, C2397:C5595= "6D-PM-1020-01", "No Squirrels Found")</f>
        <v>No Squirrels Found</v>
      </c>
      <c r="G2397" s="8" t="s">
        <v>34</v>
      </c>
      <c r="H2397" s="10">
        <v>10062018</v>
      </c>
      <c r="I2397" s="10">
        <v>3</v>
      </c>
      <c r="J2397" s="8" t="s">
        <v>39</v>
      </c>
      <c r="K2397" s="8" t="s">
        <v>40</v>
      </c>
      <c r="M2397" s="8" t="s">
        <v>55</v>
      </c>
      <c r="O2397" s="8" t="s">
        <v>50</v>
      </c>
      <c r="P2397" s="8">
        <v>4</v>
      </c>
      <c r="R2397" s="8" t="b">
        <v>0</v>
      </c>
      <c r="S2397" s="8" t="b">
        <v>0</v>
      </c>
      <c r="T2397" s="8" t="b">
        <v>1</v>
      </c>
      <c r="U2397" s="8" t="b">
        <v>0</v>
      </c>
      <c r="V2397" s="8" t="b">
        <v>0</v>
      </c>
      <c r="X2397" s="8" t="b">
        <v>0</v>
      </c>
      <c r="Y2397" s="8" t="b">
        <v>0</v>
      </c>
      <c r="Z2397" s="8" t="b">
        <v>0</v>
      </c>
      <c r="AA2397" s="8" t="b">
        <v>0</v>
      </c>
      <c r="AB2397" s="8" t="b">
        <v>1</v>
      </c>
      <c r="AC2397" s="8" t="b">
        <v>0</v>
      </c>
      <c r="AD2397" s="8" t="b">
        <v>1</v>
      </c>
      <c r="AE2397" s="8" t="b">
        <v>0</v>
      </c>
      <c r="AG2397" s="11" t="b" cm="1">
        <f t="array" ref="AG2397">IF(OR(Y2397:AA2397="TRUE", AE2397="true"), "Threatened")</f>
        <v>0</v>
      </c>
      <c r="AH2397" s="11" t="s">
        <v>5977</v>
      </c>
      <c r="AI2397" s="8" t="b">
        <v>1</v>
      </c>
    </row>
    <row r="2398" spans="1:35" ht="31.2">
      <c r="A2398" s="8">
        <v>-73.970459250000005</v>
      </c>
      <c r="B2398" s="8">
        <v>40.772962890000002</v>
      </c>
      <c r="C2398" s="8" t="s">
        <v>5978</v>
      </c>
      <c r="D2398" s="8" t="s">
        <v>609</v>
      </c>
      <c r="E2398" s="8" t="b">
        <f t="shared" si="37"/>
        <v>0</v>
      </c>
      <c r="F2398" s="8" t="str" cm="1">
        <f t="array" ref="F2398">_xlfn._xlws.FILTER(E2398:E5596, C2398:C5596= "6D-PM-1020-01", "No Squirrels Found")</f>
        <v>No Squirrels Found</v>
      </c>
      <c r="G2398" s="8" t="s">
        <v>48</v>
      </c>
      <c r="H2398" s="10">
        <v>10062018</v>
      </c>
      <c r="I2398" s="10">
        <v>3</v>
      </c>
      <c r="J2398" s="8" t="s">
        <v>54</v>
      </c>
      <c r="K2398" s="8" t="s">
        <v>40</v>
      </c>
      <c r="L2398" s="8" t="s">
        <v>84</v>
      </c>
      <c r="M2398" s="8" t="s">
        <v>103</v>
      </c>
      <c r="N2398" s="11" t="s">
        <v>5979</v>
      </c>
      <c r="O2398" s="8" t="s">
        <v>50</v>
      </c>
      <c r="P2398" s="8">
        <v>10</v>
      </c>
      <c r="R2398" s="8" t="b">
        <v>0</v>
      </c>
      <c r="S2398" s="8" t="b">
        <v>0</v>
      </c>
      <c r="T2398" s="8" t="b">
        <v>1</v>
      </c>
      <c r="U2398" s="8" t="b">
        <v>0</v>
      </c>
      <c r="V2398" s="8" t="b">
        <v>0</v>
      </c>
      <c r="X2398" s="8" t="b">
        <v>0</v>
      </c>
      <c r="Y2398" s="8" t="b">
        <v>0</v>
      </c>
      <c r="Z2398" s="8" t="b">
        <v>0</v>
      </c>
      <c r="AA2398" s="8" t="b">
        <v>1</v>
      </c>
      <c r="AB2398" s="8" t="b">
        <v>0</v>
      </c>
      <c r="AC2398" s="8" t="b">
        <v>0</v>
      </c>
      <c r="AD2398" s="8" t="b">
        <v>0</v>
      </c>
      <c r="AE2398" s="8" t="b">
        <v>1</v>
      </c>
      <c r="AG2398" s="11" t="b" cm="1">
        <f t="array" ref="AG2398">IF(OR(Y2398:AA2398="TRUE", AE2398="true"), "Threatened")</f>
        <v>0</v>
      </c>
      <c r="AH2398" s="11" t="s">
        <v>5980</v>
      </c>
      <c r="AI2398" s="8" t="b">
        <v>1</v>
      </c>
    </row>
    <row r="2399" spans="1:35" ht="31.2">
      <c r="A2399" s="8">
        <v>-73.958713849999995</v>
      </c>
      <c r="B2399" s="8">
        <v>40.796391810000003</v>
      </c>
      <c r="C2399" s="8" t="s">
        <v>5981</v>
      </c>
      <c r="D2399" s="8" t="s">
        <v>191</v>
      </c>
      <c r="E2399" s="8" t="b">
        <f t="shared" si="37"/>
        <v>0</v>
      </c>
      <c r="F2399" s="8" t="str" cm="1">
        <f t="array" ref="F2399">_xlfn._xlws.FILTER(E2399:E5597, C2399:C5597= "6D-PM-1020-01", "No Squirrels Found")</f>
        <v>No Squirrels Found</v>
      </c>
      <c r="G2399" s="8" t="s">
        <v>34</v>
      </c>
      <c r="H2399" s="10">
        <v>10142018</v>
      </c>
      <c r="I2399" s="10">
        <v>2</v>
      </c>
      <c r="J2399" s="8" t="s">
        <v>39</v>
      </c>
      <c r="K2399" s="8" t="s">
        <v>40</v>
      </c>
      <c r="L2399" s="8" t="s">
        <v>84</v>
      </c>
      <c r="M2399" s="8" t="s">
        <v>103</v>
      </c>
      <c r="O2399" s="8" t="s">
        <v>43</v>
      </c>
      <c r="P2399" s="8" t="b">
        <v>0</v>
      </c>
      <c r="R2399" s="8" t="b">
        <v>0</v>
      </c>
      <c r="S2399" s="8" t="b">
        <v>0</v>
      </c>
      <c r="T2399" s="8" t="b">
        <v>0</v>
      </c>
      <c r="U2399" s="8" t="b">
        <v>1</v>
      </c>
      <c r="V2399" s="8" t="b">
        <v>1</v>
      </c>
      <c r="X2399" s="8" t="b">
        <v>0</v>
      </c>
      <c r="Y2399" s="8" t="b">
        <v>0</v>
      </c>
      <c r="Z2399" s="8" t="b">
        <v>0</v>
      </c>
      <c r="AA2399" s="8" t="b">
        <v>0</v>
      </c>
      <c r="AB2399" s="8" t="b">
        <v>0</v>
      </c>
      <c r="AC2399" s="8" t="b">
        <v>0</v>
      </c>
      <c r="AD2399" s="8" t="b">
        <v>0</v>
      </c>
      <c r="AE2399" s="8" t="b">
        <v>0</v>
      </c>
      <c r="AG2399" s="11" t="b" cm="1">
        <f t="array" ref="AG2399">IF(OR(Y2399:AA2399="TRUE", AE2399="true"), "Threatened")</f>
        <v>0</v>
      </c>
      <c r="AH2399" s="11" t="s">
        <v>5982</v>
      </c>
      <c r="AI2399" s="8" t="b">
        <v>1</v>
      </c>
    </row>
    <row r="2400" spans="1:35" ht="31.2">
      <c r="A2400" s="8">
        <v>-73.958376209999997</v>
      </c>
      <c r="B2400" s="8">
        <v>40.785222609999998</v>
      </c>
      <c r="C2400" s="8" t="s">
        <v>5983</v>
      </c>
      <c r="D2400" s="8" t="s">
        <v>1086</v>
      </c>
      <c r="E2400" s="8" t="b">
        <f t="shared" si="37"/>
        <v>0</v>
      </c>
      <c r="F2400" s="8" t="str" cm="1">
        <f t="array" ref="F2400">_xlfn._xlws.FILTER(E2400:E5598, C2400:C5598= "6D-PM-1020-01", "No Squirrels Found")</f>
        <v>No Squirrels Found</v>
      </c>
      <c r="G2400" s="8" t="s">
        <v>34</v>
      </c>
      <c r="H2400" s="10">
        <v>10202018</v>
      </c>
      <c r="I2400" s="10">
        <v>3</v>
      </c>
      <c r="J2400" s="8" t="s">
        <v>39</v>
      </c>
      <c r="K2400" s="8" t="s">
        <v>40</v>
      </c>
      <c r="L2400" s="8" t="s">
        <v>41</v>
      </c>
      <c r="M2400" s="8" t="s">
        <v>42</v>
      </c>
      <c r="O2400" s="8" t="s">
        <v>43</v>
      </c>
      <c r="P2400" s="8" t="b">
        <v>0</v>
      </c>
      <c r="R2400" s="8" t="b">
        <v>0</v>
      </c>
      <c r="S2400" s="8" t="b">
        <v>0</v>
      </c>
      <c r="T2400" s="8" t="b">
        <v>0</v>
      </c>
      <c r="U2400" s="8" t="b">
        <v>0</v>
      </c>
      <c r="V2400" s="8" t="b">
        <v>0</v>
      </c>
      <c r="X2400" s="8" t="b">
        <v>0</v>
      </c>
      <c r="Y2400" s="8" t="b">
        <v>0</v>
      </c>
      <c r="Z2400" s="8" t="b">
        <v>0</v>
      </c>
      <c r="AA2400" s="8" t="b">
        <v>0</v>
      </c>
      <c r="AB2400" s="8" t="b">
        <v>0</v>
      </c>
      <c r="AC2400" s="8" t="b">
        <v>1</v>
      </c>
      <c r="AD2400" s="8" t="b">
        <v>0</v>
      </c>
      <c r="AE2400" s="8" t="b">
        <v>0</v>
      </c>
      <c r="AF2400" s="11" t="s">
        <v>5984</v>
      </c>
      <c r="AG2400" s="11" t="b" cm="1">
        <f t="array" ref="AG2400">IF(OR(Y2400:AA2400="TRUE", AE2400="true"), "Threatened")</f>
        <v>0</v>
      </c>
      <c r="AH2400" s="11" t="s">
        <v>5985</v>
      </c>
      <c r="AI2400" s="8" t="b">
        <v>1</v>
      </c>
    </row>
    <row r="2401" spans="1:35" ht="31.2">
      <c r="A2401" s="8">
        <v>-73.976826849999995</v>
      </c>
      <c r="B2401" s="8">
        <v>40.7714608</v>
      </c>
      <c r="C2401" s="8" t="s">
        <v>5986</v>
      </c>
      <c r="D2401" s="8" t="s">
        <v>808</v>
      </c>
      <c r="E2401" s="8" t="b">
        <f t="shared" si="37"/>
        <v>0</v>
      </c>
      <c r="F2401" s="8" t="str" cm="1">
        <f t="array" ref="F2401">_xlfn._xlws.FILTER(E2401:E5599, C2401:C5599= "6D-PM-1020-01", "No Squirrels Found")</f>
        <v>No Squirrels Found</v>
      </c>
      <c r="G2401" s="8" t="s">
        <v>34</v>
      </c>
      <c r="H2401" s="10">
        <v>10172018</v>
      </c>
      <c r="I2401" s="10">
        <v>2</v>
      </c>
      <c r="J2401" s="8" t="s">
        <v>39</v>
      </c>
      <c r="K2401" s="8" t="s">
        <v>40</v>
      </c>
      <c r="L2401" s="8" t="s">
        <v>41</v>
      </c>
      <c r="M2401" s="8" t="s">
        <v>42</v>
      </c>
      <c r="O2401" s="8" t="s">
        <v>43</v>
      </c>
      <c r="P2401" s="8" t="b">
        <v>0</v>
      </c>
      <c r="R2401" s="8" t="b">
        <v>0</v>
      </c>
      <c r="S2401" s="8" t="b">
        <v>0</v>
      </c>
      <c r="T2401" s="8" t="b">
        <v>0</v>
      </c>
      <c r="U2401" s="8" t="b">
        <v>0</v>
      </c>
      <c r="V2401" s="8" t="b">
        <v>1</v>
      </c>
      <c r="X2401" s="8" t="b">
        <v>0</v>
      </c>
      <c r="Y2401" s="8" t="b">
        <v>0</v>
      </c>
      <c r="Z2401" s="8" t="b">
        <v>0</v>
      </c>
      <c r="AA2401" s="8" t="b">
        <v>0</v>
      </c>
      <c r="AB2401" s="8" t="b">
        <v>0</v>
      </c>
      <c r="AC2401" s="8" t="b">
        <v>0</v>
      </c>
      <c r="AD2401" s="8" t="b">
        <v>0</v>
      </c>
      <c r="AE2401" s="8" t="b">
        <v>0</v>
      </c>
      <c r="AG2401" s="11" t="b" cm="1">
        <f t="array" ref="AG2401">IF(OR(Y2401:AA2401="TRUE", AE2401="true"), "Threatened")</f>
        <v>0</v>
      </c>
      <c r="AH2401" s="11" t="s">
        <v>5987</v>
      </c>
      <c r="AI2401" s="8" t="b">
        <v>1</v>
      </c>
    </row>
    <row r="2402" spans="1:35" ht="31.2">
      <c r="A2402" s="8">
        <v>-73.972010920000002</v>
      </c>
      <c r="B2402" s="8">
        <v>40.770162689999999</v>
      </c>
      <c r="C2402" s="8" t="s">
        <v>5988</v>
      </c>
      <c r="D2402" s="8" t="s">
        <v>413</v>
      </c>
      <c r="E2402" s="8" t="b">
        <f t="shared" si="37"/>
        <v>0</v>
      </c>
      <c r="F2402" s="8" t="str" cm="1">
        <f t="array" ref="F2402">_xlfn._xlws.FILTER(E2402:E5600, C2402:C5600= "6D-PM-1020-01", "No Squirrels Found")</f>
        <v>No Squirrels Found</v>
      </c>
      <c r="G2402" s="8" t="s">
        <v>48</v>
      </c>
      <c r="H2402" s="10">
        <v>10102018</v>
      </c>
      <c r="I2402" s="10">
        <v>9</v>
      </c>
      <c r="J2402" s="8" t="s">
        <v>39</v>
      </c>
      <c r="K2402" s="8" t="s">
        <v>41</v>
      </c>
      <c r="M2402" s="8" t="s">
        <v>49</v>
      </c>
      <c r="O2402" s="8" t="s">
        <v>43</v>
      </c>
      <c r="P2402" s="8" t="b">
        <v>0</v>
      </c>
      <c r="R2402" s="8" t="b">
        <v>0</v>
      </c>
      <c r="S2402" s="8" t="b">
        <v>0</v>
      </c>
      <c r="T2402" s="8" t="b">
        <v>0</v>
      </c>
      <c r="U2402" s="8" t="b">
        <v>0</v>
      </c>
      <c r="V2402" s="8" t="b">
        <v>1</v>
      </c>
      <c r="X2402" s="8" t="b">
        <v>0</v>
      </c>
      <c r="Y2402" s="8" t="b">
        <v>0</v>
      </c>
      <c r="Z2402" s="8" t="b">
        <v>0</v>
      </c>
      <c r="AA2402" s="8" t="b">
        <v>0</v>
      </c>
      <c r="AB2402" s="8" t="b">
        <v>0</v>
      </c>
      <c r="AC2402" s="8" t="b">
        <v>0</v>
      </c>
      <c r="AD2402" s="8" t="b">
        <v>1</v>
      </c>
      <c r="AE2402" s="8" t="b">
        <v>0</v>
      </c>
      <c r="AG2402" s="11" t="b" cm="1">
        <f t="array" ref="AG2402">IF(OR(Y2402:AA2402="TRUE", AE2402="true"), "Threatened")</f>
        <v>0</v>
      </c>
      <c r="AH2402" s="11" t="s">
        <v>5989</v>
      </c>
      <c r="AI2402" s="8" t="b">
        <v>1</v>
      </c>
    </row>
    <row r="2403" spans="1:35" ht="31.2">
      <c r="A2403" s="8">
        <v>-73.977720669999997</v>
      </c>
      <c r="B2403" s="8">
        <v>40.76685956</v>
      </c>
      <c r="C2403" s="8" t="s">
        <v>5990</v>
      </c>
      <c r="D2403" s="8" t="s">
        <v>1278</v>
      </c>
      <c r="E2403" s="8" t="b">
        <f t="shared" si="37"/>
        <v>0</v>
      </c>
      <c r="F2403" s="8" t="str" cm="1">
        <f t="array" ref="F2403">_xlfn._xlws.FILTER(E2403:E5601, C2403:C5601= "6D-PM-1020-01", "No Squirrels Found")</f>
        <v>No Squirrels Found</v>
      </c>
      <c r="G2403" s="8" t="s">
        <v>34</v>
      </c>
      <c r="H2403" s="10">
        <v>10072018</v>
      </c>
      <c r="I2403" s="10">
        <v>7</v>
      </c>
      <c r="J2403" s="8" t="s">
        <v>39</v>
      </c>
      <c r="K2403" s="8" t="s">
        <v>40</v>
      </c>
      <c r="M2403" s="8" t="s">
        <v>55</v>
      </c>
      <c r="O2403" s="8" t="s">
        <v>43</v>
      </c>
      <c r="P2403" s="8" t="b">
        <v>0</v>
      </c>
      <c r="R2403" s="8" t="b">
        <v>0</v>
      </c>
      <c r="S2403" s="8" t="b">
        <v>0</v>
      </c>
      <c r="T2403" s="8" t="b">
        <v>0</v>
      </c>
      <c r="U2403" s="8" t="b">
        <v>0</v>
      </c>
      <c r="V2403" s="8" t="b">
        <v>0</v>
      </c>
      <c r="W2403" s="11" t="s">
        <v>5991</v>
      </c>
      <c r="X2403" s="8" t="b">
        <v>0</v>
      </c>
      <c r="Y2403" s="8" t="b">
        <v>0</v>
      </c>
      <c r="Z2403" s="8" t="b">
        <v>0</v>
      </c>
      <c r="AA2403" s="8" t="b">
        <v>0</v>
      </c>
      <c r="AB2403" s="8" t="b">
        <v>0</v>
      </c>
      <c r="AC2403" s="8" t="b">
        <v>0</v>
      </c>
      <c r="AD2403" s="8" t="b">
        <v>1</v>
      </c>
      <c r="AE2403" s="8" t="b">
        <v>0</v>
      </c>
      <c r="AG2403" s="11" t="b" cm="1">
        <f t="array" ref="AG2403">IF(OR(Y2403:AA2403="TRUE", AE2403="true"), "Threatened")</f>
        <v>0</v>
      </c>
      <c r="AH2403" s="11" t="s">
        <v>5992</v>
      </c>
      <c r="AI2403" s="8" t="b">
        <v>0</v>
      </c>
    </row>
    <row r="2404" spans="1:35" ht="31.2">
      <c r="A2404" s="8">
        <v>-73.977787960000001</v>
      </c>
      <c r="B2404" s="8">
        <v>40.769359459999997</v>
      </c>
      <c r="C2404" s="8" t="s">
        <v>5993</v>
      </c>
      <c r="D2404" s="8" t="s">
        <v>1586</v>
      </c>
      <c r="E2404" s="8" t="b">
        <f t="shared" si="37"/>
        <v>0</v>
      </c>
      <c r="F2404" s="8" t="str" cm="1">
        <f t="array" ref="F2404">_xlfn._xlws.FILTER(E2404:E5602, C2404:C5602= "6D-PM-1020-01", "No Squirrels Found")</f>
        <v>No Squirrels Found</v>
      </c>
      <c r="G2404" s="8" t="s">
        <v>48</v>
      </c>
      <c r="H2404" s="10">
        <v>10062018</v>
      </c>
      <c r="I2404" s="10">
        <v>3</v>
      </c>
      <c r="J2404" s="8" t="s">
        <v>54</v>
      </c>
      <c r="K2404" s="8" t="s">
        <v>40</v>
      </c>
      <c r="M2404" s="8" t="s">
        <v>55</v>
      </c>
      <c r="O2404" s="8" t="s">
        <v>50</v>
      </c>
      <c r="P2404" s="8">
        <v>10</v>
      </c>
      <c r="R2404" s="8" t="b">
        <v>0</v>
      </c>
      <c r="S2404" s="8" t="b">
        <v>0</v>
      </c>
      <c r="T2404" s="8" t="b">
        <v>0</v>
      </c>
      <c r="U2404" s="8" t="b">
        <v>0</v>
      </c>
      <c r="V2404" s="8" t="b">
        <v>1</v>
      </c>
      <c r="X2404" s="8" t="b">
        <v>0</v>
      </c>
      <c r="Y2404" s="8" t="b">
        <v>0</v>
      </c>
      <c r="Z2404" s="8" t="b">
        <v>0</v>
      </c>
      <c r="AA2404" s="8" t="b">
        <v>0</v>
      </c>
      <c r="AB2404" s="8" t="b">
        <v>0</v>
      </c>
      <c r="AC2404" s="8" t="b">
        <v>0</v>
      </c>
      <c r="AD2404" s="8" t="b">
        <v>0</v>
      </c>
      <c r="AE2404" s="8" t="b">
        <v>0</v>
      </c>
      <c r="AG2404" s="11" t="b" cm="1">
        <f t="array" ref="AG2404">IF(OR(Y2404:AA2404="TRUE", AE2404="true"), "Threatened")</f>
        <v>0</v>
      </c>
      <c r="AH2404" s="11" t="s">
        <v>5994</v>
      </c>
      <c r="AI2404" s="8" t="b">
        <v>1</v>
      </c>
    </row>
    <row r="2405" spans="1:35" ht="31.2">
      <c r="A2405" s="8">
        <v>-73.966530969999994</v>
      </c>
      <c r="B2405" s="8">
        <v>40.7775271</v>
      </c>
      <c r="C2405" s="8" t="s">
        <v>5995</v>
      </c>
      <c r="D2405" s="8" t="s">
        <v>296</v>
      </c>
      <c r="E2405" s="8" t="b">
        <f t="shared" si="37"/>
        <v>0</v>
      </c>
      <c r="F2405" s="8" t="str" cm="1">
        <f t="array" ref="F2405">_xlfn._xlws.FILTER(E2405:E5603, C2405:C5603= "6D-PM-1020-01", "No Squirrels Found")</f>
        <v>No Squirrels Found</v>
      </c>
      <c r="G2405" s="8" t="s">
        <v>48</v>
      </c>
      <c r="H2405" s="10">
        <v>10102018</v>
      </c>
      <c r="I2405" s="10">
        <v>4</v>
      </c>
      <c r="J2405" s="8" t="s">
        <v>39</v>
      </c>
      <c r="K2405" s="8" t="s">
        <v>41</v>
      </c>
      <c r="L2405" s="8" t="s">
        <v>40</v>
      </c>
      <c r="M2405" s="8" t="s">
        <v>110</v>
      </c>
      <c r="O2405" s="8" t="s">
        <v>43</v>
      </c>
      <c r="P2405" s="8" t="b">
        <v>0</v>
      </c>
      <c r="R2405" s="8" t="b">
        <v>0</v>
      </c>
      <c r="S2405" s="8" t="b">
        <v>0</v>
      </c>
      <c r="T2405" s="8" t="b">
        <v>1</v>
      </c>
      <c r="U2405" s="8" t="b">
        <v>0</v>
      </c>
      <c r="V2405" s="8" t="b">
        <v>0</v>
      </c>
      <c r="X2405" s="8" t="b">
        <v>0</v>
      </c>
      <c r="Y2405" s="8" t="b">
        <v>0</v>
      </c>
      <c r="Z2405" s="8" t="b">
        <v>0</v>
      </c>
      <c r="AA2405" s="8" t="b">
        <v>0</v>
      </c>
      <c r="AB2405" s="8" t="b">
        <v>0</v>
      </c>
      <c r="AC2405" s="8" t="b">
        <v>0</v>
      </c>
      <c r="AD2405" s="8" t="b">
        <v>1</v>
      </c>
      <c r="AE2405" s="8" t="b">
        <v>0</v>
      </c>
      <c r="AG2405" s="11" t="b" cm="1">
        <f t="array" ref="AG2405">IF(OR(Y2405:AA2405="TRUE", AE2405="true"), "Threatened")</f>
        <v>0</v>
      </c>
      <c r="AH2405" s="11" t="s">
        <v>5996</v>
      </c>
      <c r="AI2405" s="8" t="b">
        <v>1</v>
      </c>
    </row>
    <row r="2406" spans="1:35" ht="31.2">
      <c r="A2406" s="8">
        <v>-73.958836169999998</v>
      </c>
      <c r="B2406" s="8">
        <v>40.791115230000003</v>
      </c>
      <c r="C2406" s="8" t="s">
        <v>5997</v>
      </c>
      <c r="D2406" s="8" t="s">
        <v>1214</v>
      </c>
      <c r="E2406" s="8" t="b">
        <f t="shared" si="37"/>
        <v>0</v>
      </c>
      <c r="F2406" s="8" t="str" cm="1">
        <f t="array" ref="F2406">_xlfn._xlws.FILTER(E2406:E5604, C2406:C5604= "6D-PM-1020-01", "No Squirrels Found")</f>
        <v>No Squirrels Found</v>
      </c>
      <c r="G2406" s="8" t="s">
        <v>34</v>
      </c>
      <c r="H2406" s="10">
        <v>10122018</v>
      </c>
      <c r="I2406" s="10">
        <v>2</v>
      </c>
      <c r="J2406" s="8" t="s">
        <v>39</v>
      </c>
      <c r="K2406" s="8" t="s">
        <v>40</v>
      </c>
      <c r="L2406" s="8" t="s">
        <v>84</v>
      </c>
      <c r="M2406" s="8" t="s">
        <v>103</v>
      </c>
      <c r="O2406" s="8" t="s">
        <v>43</v>
      </c>
      <c r="P2406" s="8" t="b">
        <v>0</v>
      </c>
      <c r="R2406" s="8" t="b">
        <v>0</v>
      </c>
      <c r="S2406" s="8" t="b">
        <v>0</v>
      </c>
      <c r="T2406" s="8" t="b">
        <v>0</v>
      </c>
      <c r="U2406" s="8" t="b">
        <v>0</v>
      </c>
      <c r="V2406" s="8" t="b">
        <v>1</v>
      </c>
      <c r="X2406" s="8" t="b">
        <v>0</v>
      </c>
      <c r="Y2406" s="8" t="b">
        <v>0</v>
      </c>
      <c r="Z2406" s="8" t="b">
        <v>0</v>
      </c>
      <c r="AA2406" s="8" t="b">
        <v>0</v>
      </c>
      <c r="AB2406" s="8" t="b">
        <v>0</v>
      </c>
      <c r="AC2406" s="8" t="b">
        <v>0</v>
      </c>
      <c r="AD2406" s="8" t="b">
        <v>0</v>
      </c>
      <c r="AE2406" s="8" t="b">
        <v>1</v>
      </c>
      <c r="AG2406" s="11" t="b" cm="1">
        <f t="array" ref="AG2406">IF(OR(Y2406:AA2406="TRUE", AE2406="true"), "Threatened")</f>
        <v>0</v>
      </c>
      <c r="AH2406" s="11" t="s">
        <v>5998</v>
      </c>
      <c r="AI2406" s="8" t="b">
        <v>1</v>
      </c>
    </row>
    <row r="2407" spans="1:35" ht="31.2">
      <c r="A2407" s="8">
        <v>-73.966896430000006</v>
      </c>
      <c r="B2407" s="8">
        <v>40.777757800000003</v>
      </c>
      <c r="C2407" s="8" t="s">
        <v>5999</v>
      </c>
      <c r="D2407" s="8" t="s">
        <v>296</v>
      </c>
      <c r="E2407" s="8" t="b">
        <f t="shared" si="37"/>
        <v>0</v>
      </c>
      <c r="F2407" s="8" t="str" cm="1">
        <f t="array" ref="F2407">_xlfn._xlws.FILTER(E2407:E5605, C2407:C5605= "6D-PM-1020-01", "No Squirrels Found")</f>
        <v>No Squirrels Found</v>
      </c>
      <c r="G2407" s="8" t="s">
        <v>48</v>
      </c>
      <c r="H2407" s="10">
        <v>10102018</v>
      </c>
      <c r="I2407" s="10">
        <v>1</v>
      </c>
      <c r="J2407" s="8" t="s">
        <v>39</v>
      </c>
      <c r="K2407" s="8" t="s">
        <v>40</v>
      </c>
      <c r="L2407" s="8" t="s">
        <v>84</v>
      </c>
      <c r="M2407" s="8" t="s">
        <v>103</v>
      </c>
      <c r="O2407" s="8" t="s">
        <v>50</v>
      </c>
      <c r="P2407" s="8">
        <v>3</v>
      </c>
      <c r="R2407" s="8" t="b">
        <v>0</v>
      </c>
      <c r="S2407" s="8" t="b">
        <v>0</v>
      </c>
      <c r="T2407" s="8" t="b">
        <v>1</v>
      </c>
      <c r="U2407" s="8" t="b">
        <v>0</v>
      </c>
      <c r="V2407" s="8" t="b">
        <v>0</v>
      </c>
      <c r="X2407" s="8" t="b">
        <v>0</v>
      </c>
      <c r="Y2407" s="8" t="b">
        <v>0</v>
      </c>
      <c r="Z2407" s="8" t="b">
        <v>0</v>
      </c>
      <c r="AA2407" s="8" t="b">
        <v>0</v>
      </c>
      <c r="AB2407" s="8" t="b">
        <v>1</v>
      </c>
      <c r="AC2407" s="8" t="b">
        <v>0</v>
      </c>
      <c r="AD2407" s="8" t="b">
        <v>0</v>
      </c>
      <c r="AE2407" s="8" t="b">
        <v>1</v>
      </c>
      <c r="AG2407" s="11" t="b" cm="1">
        <f t="array" ref="AG2407">IF(OR(Y2407:AA2407="TRUE", AE2407="true"), "Threatened")</f>
        <v>0</v>
      </c>
      <c r="AH2407" s="11" t="s">
        <v>6000</v>
      </c>
      <c r="AI2407" s="8" t="b">
        <v>1</v>
      </c>
    </row>
    <row r="2408" spans="1:35" ht="31.2">
      <c r="A2408" s="8">
        <v>-73.955572439999997</v>
      </c>
      <c r="B2408" s="8">
        <v>40.796760249999998</v>
      </c>
      <c r="C2408" s="8" t="s">
        <v>6001</v>
      </c>
      <c r="D2408" s="8" t="s">
        <v>3963</v>
      </c>
      <c r="E2408" s="8" t="b">
        <f t="shared" si="37"/>
        <v>0</v>
      </c>
      <c r="F2408" s="8" t="str" cm="1">
        <f t="array" ref="F2408">_xlfn._xlws.FILTER(E2408:E5606, C2408:C5606= "6D-PM-1020-01", "No Squirrels Found")</f>
        <v>No Squirrels Found</v>
      </c>
      <c r="G2408" s="8" t="s">
        <v>48</v>
      </c>
      <c r="H2408" s="10">
        <v>10182018</v>
      </c>
      <c r="I2408" s="10">
        <v>3</v>
      </c>
      <c r="J2408" s="8" t="s">
        <v>39</v>
      </c>
      <c r="K2408" s="8" t="s">
        <v>40</v>
      </c>
      <c r="L2408" s="8" t="s">
        <v>41</v>
      </c>
      <c r="M2408" s="8" t="s">
        <v>42</v>
      </c>
      <c r="O2408" s="8" t="s">
        <v>43</v>
      </c>
      <c r="P2408" s="8" t="b">
        <v>0</v>
      </c>
      <c r="R2408" s="8" t="b">
        <v>1</v>
      </c>
      <c r="S2408" s="8" t="b">
        <v>0</v>
      </c>
      <c r="T2408" s="8" t="b">
        <v>0</v>
      </c>
      <c r="U2408" s="8" t="b">
        <v>0</v>
      </c>
      <c r="V2408" s="8" t="b">
        <v>0</v>
      </c>
      <c r="X2408" s="8" t="b">
        <v>0</v>
      </c>
      <c r="Y2408" s="8" t="b">
        <v>0</v>
      </c>
      <c r="Z2408" s="8" t="b">
        <v>0</v>
      </c>
      <c r="AA2408" s="8" t="b">
        <v>0</v>
      </c>
      <c r="AB2408" s="8" t="b">
        <v>0</v>
      </c>
      <c r="AC2408" s="8" t="b">
        <v>0</v>
      </c>
      <c r="AD2408" s="8" t="b">
        <v>1</v>
      </c>
      <c r="AE2408" s="8" t="b">
        <v>0</v>
      </c>
      <c r="AG2408" s="11" t="b" cm="1">
        <f t="array" ref="AG2408">IF(OR(Y2408:AA2408="TRUE", AE2408="true"), "Threatened")</f>
        <v>0</v>
      </c>
      <c r="AH2408" s="11" t="s">
        <v>6002</v>
      </c>
      <c r="AI2408" s="8" t="b">
        <v>1</v>
      </c>
    </row>
    <row r="2409" spans="1:35" ht="31.2">
      <c r="A2409" s="8">
        <v>-73.959694929999998</v>
      </c>
      <c r="B2409" s="8">
        <v>40.790007950000003</v>
      </c>
      <c r="C2409" s="8" t="s">
        <v>6003</v>
      </c>
      <c r="D2409" s="8" t="s">
        <v>1409</v>
      </c>
      <c r="E2409" s="8" t="b">
        <f t="shared" si="37"/>
        <v>0</v>
      </c>
      <c r="F2409" s="8" t="str" cm="1">
        <f t="array" ref="F2409">_xlfn._xlws.FILTER(E2409:E5607, C2409:C5607= "6D-PM-1020-01", "No Squirrels Found")</f>
        <v>No Squirrels Found</v>
      </c>
      <c r="G2409" s="8" t="s">
        <v>34</v>
      </c>
      <c r="H2409" s="10">
        <v>10062018</v>
      </c>
      <c r="I2409" s="10">
        <v>4</v>
      </c>
      <c r="J2409" s="8" t="s">
        <v>39</v>
      </c>
      <c r="K2409" s="8" t="s">
        <v>40</v>
      </c>
      <c r="M2409" s="8" t="s">
        <v>55</v>
      </c>
      <c r="O2409" s="8" t="s">
        <v>50</v>
      </c>
      <c r="P2409" s="8">
        <v>10</v>
      </c>
      <c r="R2409" s="8" t="b">
        <v>0</v>
      </c>
      <c r="S2409" s="8" t="b">
        <v>0</v>
      </c>
      <c r="T2409" s="8" t="b">
        <v>1</v>
      </c>
      <c r="U2409" s="8" t="b">
        <v>0</v>
      </c>
      <c r="V2409" s="8" t="b">
        <v>0</v>
      </c>
      <c r="X2409" s="8" t="b">
        <v>0</v>
      </c>
      <c r="Y2409" s="8" t="b">
        <v>0</v>
      </c>
      <c r="Z2409" s="8" t="b">
        <v>0</v>
      </c>
      <c r="AA2409" s="8" t="b">
        <v>0</v>
      </c>
      <c r="AB2409" s="8" t="b">
        <v>0</v>
      </c>
      <c r="AC2409" s="8" t="b">
        <v>0</v>
      </c>
      <c r="AD2409" s="8" t="b">
        <v>1</v>
      </c>
      <c r="AE2409" s="8" t="b">
        <v>0</v>
      </c>
      <c r="AG2409" s="11" t="b" cm="1">
        <f t="array" ref="AG2409">IF(OR(Y2409:AA2409="TRUE", AE2409="true"), "Threatened")</f>
        <v>0</v>
      </c>
      <c r="AH2409" s="11" t="s">
        <v>6004</v>
      </c>
      <c r="AI2409" s="8" t="b">
        <v>1</v>
      </c>
    </row>
    <row r="2410" spans="1:35" ht="31.2">
      <c r="A2410" s="8">
        <v>-73.972594720000004</v>
      </c>
      <c r="B2410" s="8">
        <v>40.779448160000001</v>
      </c>
      <c r="C2410" s="8" t="s">
        <v>6005</v>
      </c>
      <c r="D2410" s="8" t="s">
        <v>1106</v>
      </c>
      <c r="E2410" s="8" t="b">
        <f t="shared" si="37"/>
        <v>0</v>
      </c>
      <c r="F2410" s="8" t="str" cm="1">
        <f t="array" ref="F2410">_xlfn._xlws.FILTER(E2410:E5608, C2410:C5608= "6D-PM-1020-01", "No Squirrels Found")</f>
        <v>No Squirrels Found</v>
      </c>
      <c r="G2410" s="8" t="s">
        <v>48</v>
      </c>
      <c r="H2410" s="10">
        <v>10132018</v>
      </c>
      <c r="I2410" s="10">
        <v>1</v>
      </c>
      <c r="J2410" s="8" t="s">
        <v>39</v>
      </c>
      <c r="K2410" s="8" t="s">
        <v>40</v>
      </c>
      <c r="M2410" s="8" t="s">
        <v>55</v>
      </c>
      <c r="O2410" s="8" t="s">
        <v>43</v>
      </c>
      <c r="P2410" s="8" t="b">
        <v>0</v>
      </c>
      <c r="R2410" s="8" t="b">
        <v>0</v>
      </c>
      <c r="S2410" s="8" t="b">
        <v>0</v>
      </c>
      <c r="T2410" s="8" t="b">
        <v>0</v>
      </c>
      <c r="U2410" s="8" t="b">
        <v>0</v>
      </c>
      <c r="V2410" s="8" t="b">
        <v>1</v>
      </c>
      <c r="X2410" s="8" t="b">
        <v>0</v>
      </c>
      <c r="Y2410" s="8" t="b">
        <v>0</v>
      </c>
      <c r="Z2410" s="8" t="b">
        <v>0</v>
      </c>
      <c r="AA2410" s="8" t="b">
        <v>0</v>
      </c>
      <c r="AB2410" s="8" t="b">
        <v>0</v>
      </c>
      <c r="AC2410" s="8" t="b">
        <v>0</v>
      </c>
      <c r="AD2410" s="8" t="b">
        <v>1</v>
      </c>
      <c r="AE2410" s="8" t="b">
        <v>0</v>
      </c>
      <c r="AG2410" s="11" t="b" cm="1">
        <f t="array" ref="AG2410">IF(OR(Y2410:AA2410="TRUE", AE2410="true"), "Threatened")</f>
        <v>0</v>
      </c>
      <c r="AH2410" s="11" t="s">
        <v>6006</v>
      </c>
      <c r="AI2410" s="8" t="b">
        <v>1</v>
      </c>
    </row>
    <row r="2411" spans="1:35" ht="31.2">
      <c r="A2411" s="8">
        <v>-73.975519210000002</v>
      </c>
      <c r="B2411" s="8">
        <v>40.766441360000002</v>
      </c>
      <c r="C2411" s="8" t="s">
        <v>6007</v>
      </c>
      <c r="D2411" s="8" t="s">
        <v>481</v>
      </c>
      <c r="E2411" s="8" t="b">
        <f t="shared" si="37"/>
        <v>0</v>
      </c>
      <c r="F2411" s="8" t="str" cm="1">
        <f t="array" ref="F2411">_xlfn._xlws.FILTER(E2411:E5609, C2411:C5609= "6D-PM-1020-01", "No Squirrels Found")</f>
        <v>No Squirrels Found</v>
      </c>
      <c r="G2411" s="8" t="s">
        <v>34</v>
      </c>
      <c r="H2411" s="10">
        <v>10142018</v>
      </c>
      <c r="I2411" s="10">
        <v>6</v>
      </c>
      <c r="J2411" s="8" t="s">
        <v>39</v>
      </c>
      <c r="K2411" s="8" t="s">
        <v>40</v>
      </c>
      <c r="L2411" s="8" t="s">
        <v>84</v>
      </c>
      <c r="M2411" s="8" t="s">
        <v>103</v>
      </c>
      <c r="O2411" s="8" t="s">
        <v>43</v>
      </c>
      <c r="P2411" s="8" t="b">
        <v>0</v>
      </c>
      <c r="R2411" s="8" t="b">
        <v>1</v>
      </c>
      <c r="S2411" s="8" t="b">
        <v>0</v>
      </c>
      <c r="T2411" s="8" t="b">
        <v>0</v>
      </c>
      <c r="U2411" s="8" t="b">
        <v>0</v>
      </c>
      <c r="V2411" s="8" t="b">
        <v>0</v>
      </c>
      <c r="X2411" s="8" t="b">
        <v>0</v>
      </c>
      <c r="Y2411" s="8" t="b">
        <v>0</v>
      </c>
      <c r="Z2411" s="8" t="b">
        <v>0</v>
      </c>
      <c r="AA2411" s="8" t="b">
        <v>0</v>
      </c>
      <c r="AB2411" s="8" t="b">
        <v>0</v>
      </c>
      <c r="AC2411" s="8" t="b">
        <v>0</v>
      </c>
      <c r="AD2411" s="8" t="b">
        <v>1</v>
      </c>
      <c r="AE2411" s="8" t="b">
        <v>0</v>
      </c>
      <c r="AG2411" s="11" t="b" cm="1">
        <f t="array" ref="AG2411">IF(OR(Y2411:AA2411="TRUE", AE2411="true"), "Threatened")</f>
        <v>0</v>
      </c>
      <c r="AH2411" s="11" t="s">
        <v>6008</v>
      </c>
      <c r="AI2411" s="8" t="b">
        <v>1</v>
      </c>
    </row>
    <row r="2412" spans="1:35" ht="31.2">
      <c r="A2412" s="8">
        <v>-73.968690789999997</v>
      </c>
      <c r="B2412" s="8">
        <v>40.783946229999998</v>
      </c>
      <c r="C2412" s="8" t="s">
        <v>6009</v>
      </c>
      <c r="D2412" s="8" t="s">
        <v>335</v>
      </c>
      <c r="E2412" s="8" t="b">
        <f t="shared" si="37"/>
        <v>0</v>
      </c>
      <c r="F2412" s="8" t="str" cm="1">
        <f t="array" ref="F2412">_xlfn._xlws.FILTER(E2412:E5610, C2412:C5610= "6D-PM-1020-01", "No Squirrels Found")</f>
        <v>No Squirrels Found</v>
      </c>
      <c r="G2412" s="8" t="s">
        <v>48</v>
      </c>
      <c r="H2412" s="10">
        <v>10132018</v>
      </c>
      <c r="I2412" s="10">
        <v>3</v>
      </c>
      <c r="J2412" s="8" t="s">
        <v>39</v>
      </c>
      <c r="K2412" s="8" t="s">
        <v>41</v>
      </c>
      <c r="M2412" s="8" t="s">
        <v>49</v>
      </c>
      <c r="O2412" s="8" t="s">
        <v>43</v>
      </c>
      <c r="P2412" s="8" t="b">
        <v>0</v>
      </c>
      <c r="R2412" s="8" t="b">
        <v>0</v>
      </c>
      <c r="S2412" s="8" t="b">
        <v>0</v>
      </c>
      <c r="T2412" s="8" t="b">
        <v>0</v>
      </c>
      <c r="U2412" s="8" t="b">
        <v>0</v>
      </c>
      <c r="V2412" s="8" t="b">
        <v>1</v>
      </c>
      <c r="X2412" s="8" t="b">
        <v>0</v>
      </c>
      <c r="Y2412" s="8" t="b">
        <v>0</v>
      </c>
      <c r="Z2412" s="8" t="b">
        <v>0</v>
      </c>
      <c r="AA2412" s="8" t="b">
        <v>0</v>
      </c>
      <c r="AB2412" s="8" t="b">
        <v>0</v>
      </c>
      <c r="AC2412" s="8" t="b">
        <v>0</v>
      </c>
      <c r="AD2412" s="8" t="b">
        <v>1</v>
      </c>
      <c r="AE2412" s="8" t="b">
        <v>0</v>
      </c>
      <c r="AG2412" s="11" t="b" cm="1">
        <f t="array" ref="AG2412">IF(OR(Y2412:AA2412="TRUE", AE2412="true"), "Threatened")</f>
        <v>0</v>
      </c>
      <c r="AH2412" s="11" t="s">
        <v>6010</v>
      </c>
      <c r="AI2412" s="8" t="b">
        <v>1</v>
      </c>
    </row>
    <row r="2413" spans="1:35" ht="31.2">
      <c r="A2413" s="8">
        <v>-73.980944649999998</v>
      </c>
      <c r="B2413" s="8">
        <v>40.768503219999999</v>
      </c>
      <c r="C2413" s="8" t="s">
        <v>6011</v>
      </c>
      <c r="D2413" s="8" t="s">
        <v>1909</v>
      </c>
      <c r="E2413" s="8" t="b">
        <f t="shared" si="37"/>
        <v>0</v>
      </c>
      <c r="F2413" s="8" t="str" cm="1">
        <f t="array" ref="F2413">_xlfn._xlws.FILTER(E2413:E5611, C2413:C5611= "6D-PM-1020-01", "No Squirrels Found")</f>
        <v>No Squirrels Found</v>
      </c>
      <c r="G2413" s="8" t="s">
        <v>34</v>
      </c>
      <c r="H2413" s="10">
        <v>10192018</v>
      </c>
      <c r="I2413" s="10">
        <v>3</v>
      </c>
      <c r="J2413" s="8" t="s">
        <v>54</v>
      </c>
      <c r="K2413" s="8" t="s">
        <v>40</v>
      </c>
      <c r="L2413" s="8" t="s">
        <v>84</v>
      </c>
      <c r="M2413" s="8" t="s">
        <v>103</v>
      </c>
      <c r="O2413" s="8" t="s">
        <v>50</v>
      </c>
      <c r="P2413" s="8">
        <v>15</v>
      </c>
      <c r="Q2413" s="8" t="s">
        <v>2738</v>
      </c>
      <c r="R2413" s="8" t="b">
        <v>1</v>
      </c>
      <c r="S2413" s="8" t="b">
        <v>0</v>
      </c>
      <c r="T2413" s="8" t="b">
        <v>0</v>
      </c>
      <c r="U2413" s="8" t="b">
        <v>0</v>
      </c>
      <c r="V2413" s="8" t="b">
        <v>0</v>
      </c>
      <c r="X2413" s="8" t="b">
        <v>0</v>
      </c>
      <c r="Y2413" s="8" t="b">
        <v>0</v>
      </c>
      <c r="Z2413" s="8" t="b">
        <v>0</v>
      </c>
      <c r="AA2413" s="8" t="b">
        <v>0</v>
      </c>
      <c r="AB2413" s="8" t="b">
        <v>0</v>
      </c>
      <c r="AC2413" s="8" t="b">
        <v>0</v>
      </c>
      <c r="AD2413" s="8" t="b">
        <v>1</v>
      </c>
      <c r="AE2413" s="8" t="b">
        <v>0</v>
      </c>
      <c r="AG2413" s="11" t="b" cm="1">
        <f t="array" ref="AG2413">IF(OR(Y2413:AA2413="TRUE", AE2413="true"), "Threatened")</f>
        <v>0</v>
      </c>
      <c r="AH2413" s="11" t="s">
        <v>6012</v>
      </c>
      <c r="AI2413" s="8" t="b">
        <v>1</v>
      </c>
    </row>
    <row r="2414" spans="1:35" ht="31.2">
      <c r="A2414" s="8">
        <v>-73.959701730000006</v>
      </c>
      <c r="B2414" s="8">
        <v>40.790660029999998</v>
      </c>
      <c r="C2414" s="8" t="s">
        <v>6013</v>
      </c>
      <c r="D2414" s="8" t="s">
        <v>75</v>
      </c>
      <c r="E2414" s="8" t="b">
        <f t="shared" si="37"/>
        <v>0</v>
      </c>
      <c r="F2414" s="8" t="str" cm="1">
        <f t="array" ref="F2414">_xlfn._xlws.FILTER(E2414:E5612, C2414:C5612= "6D-PM-1020-01", "No Squirrels Found")</f>
        <v>No Squirrels Found</v>
      </c>
      <c r="G2414" s="8" t="s">
        <v>48</v>
      </c>
      <c r="H2414" s="10">
        <v>10072018</v>
      </c>
      <c r="I2414" s="10">
        <v>3</v>
      </c>
      <c r="J2414" s="8" t="s">
        <v>39</v>
      </c>
      <c r="K2414" s="8" t="s">
        <v>192</v>
      </c>
      <c r="M2414" s="8" t="s">
        <v>193</v>
      </c>
      <c r="O2414" s="8" t="s">
        <v>43</v>
      </c>
      <c r="P2414" s="8" t="b">
        <v>0</v>
      </c>
      <c r="R2414" s="8" t="b">
        <v>1</v>
      </c>
      <c r="S2414" s="8" t="b">
        <v>0</v>
      </c>
      <c r="T2414" s="8" t="b">
        <v>0</v>
      </c>
      <c r="U2414" s="8" t="b">
        <v>0</v>
      </c>
      <c r="V2414" s="8" t="b">
        <v>0</v>
      </c>
      <c r="X2414" s="8" t="b">
        <v>0</v>
      </c>
      <c r="Y2414" s="8" t="b">
        <v>0</v>
      </c>
      <c r="Z2414" s="8" t="b">
        <v>0</v>
      </c>
      <c r="AA2414" s="8" t="b">
        <v>0</v>
      </c>
      <c r="AB2414" s="8" t="b">
        <v>0</v>
      </c>
      <c r="AC2414" s="8" t="b">
        <v>0</v>
      </c>
      <c r="AD2414" s="8" t="b">
        <v>0</v>
      </c>
      <c r="AE2414" s="8" t="b">
        <v>0</v>
      </c>
      <c r="AG2414" s="11" t="b" cm="1">
        <f t="array" ref="AG2414">IF(OR(Y2414:AA2414="TRUE", AE2414="true"), "Threatened")</f>
        <v>0</v>
      </c>
      <c r="AH2414" s="11" t="s">
        <v>6014</v>
      </c>
      <c r="AI2414" s="8" t="b">
        <v>1</v>
      </c>
    </row>
    <row r="2415" spans="1:35" ht="31.2">
      <c r="A2415" s="8">
        <v>-73.970817550000007</v>
      </c>
      <c r="B2415" s="8">
        <v>40.775922860000001</v>
      </c>
      <c r="C2415" s="8" t="s">
        <v>6015</v>
      </c>
      <c r="D2415" s="8" t="s">
        <v>79</v>
      </c>
      <c r="E2415" s="8" t="b">
        <f t="shared" si="37"/>
        <v>0</v>
      </c>
      <c r="F2415" s="8" t="str" cm="1">
        <f t="array" ref="F2415">_xlfn._xlws.FILTER(E2415:E5613, C2415:C5613= "6D-PM-1020-01", "No Squirrels Found")</f>
        <v>No Squirrels Found</v>
      </c>
      <c r="G2415" s="8" t="s">
        <v>48</v>
      </c>
      <c r="H2415" s="10">
        <v>10172018</v>
      </c>
      <c r="I2415" s="10">
        <v>10</v>
      </c>
      <c r="J2415" s="8" t="s">
        <v>39</v>
      </c>
      <c r="K2415" s="8" t="s">
        <v>40</v>
      </c>
      <c r="M2415" s="8" t="s">
        <v>55</v>
      </c>
      <c r="O2415" s="8" t="s">
        <v>43</v>
      </c>
      <c r="P2415" s="8" t="b">
        <v>0</v>
      </c>
      <c r="R2415" s="8" t="b">
        <v>0</v>
      </c>
      <c r="S2415" s="8" t="b">
        <v>0</v>
      </c>
      <c r="T2415" s="8" t="b">
        <v>0</v>
      </c>
      <c r="U2415" s="8" t="b">
        <v>0</v>
      </c>
      <c r="V2415" s="8" t="b">
        <v>1</v>
      </c>
      <c r="X2415" s="8" t="b">
        <v>0</v>
      </c>
      <c r="Y2415" s="8" t="b">
        <v>0</v>
      </c>
      <c r="Z2415" s="8" t="b">
        <v>0</v>
      </c>
      <c r="AA2415" s="8" t="b">
        <v>0</v>
      </c>
      <c r="AB2415" s="8" t="b">
        <v>0</v>
      </c>
      <c r="AC2415" s="8" t="b">
        <v>0</v>
      </c>
      <c r="AD2415" s="8" t="b">
        <v>0</v>
      </c>
      <c r="AE2415" s="8" t="b">
        <v>0</v>
      </c>
      <c r="AG2415" s="11" t="b" cm="1">
        <f t="array" ref="AG2415">IF(OR(Y2415:AA2415="TRUE", AE2415="true"), "Threatened")</f>
        <v>0</v>
      </c>
      <c r="AH2415" s="11" t="s">
        <v>6016</v>
      </c>
      <c r="AI2415" s="8" t="b">
        <v>1</v>
      </c>
    </row>
    <row r="2416" spans="1:35" ht="31.2">
      <c r="A2416" s="8">
        <v>-73.968359809999995</v>
      </c>
      <c r="B2416" s="8">
        <v>40.781115049999997</v>
      </c>
      <c r="C2416" s="8" t="s">
        <v>6017</v>
      </c>
      <c r="D2416" s="8" t="s">
        <v>223</v>
      </c>
      <c r="E2416" s="8" t="b">
        <f t="shared" si="37"/>
        <v>0</v>
      </c>
      <c r="F2416" s="8" t="str" cm="1">
        <f t="array" ref="F2416">_xlfn._xlws.FILTER(E2416:E5614, C2416:C5614= "6D-PM-1020-01", "No Squirrels Found")</f>
        <v>No Squirrels Found</v>
      </c>
      <c r="G2416" s="8" t="s">
        <v>34</v>
      </c>
      <c r="H2416" s="10">
        <v>10082018</v>
      </c>
      <c r="I2416" s="10">
        <v>1</v>
      </c>
      <c r="J2416" s="8" t="s">
        <v>39</v>
      </c>
      <c r="K2416" s="8" t="s">
        <v>40</v>
      </c>
      <c r="L2416" s="8" t="s">
        <v>84</v>
      </c>
      <c r="M2416" s="8" t="s">
        <v>103</v>
      </c>
      <c r="O2416" s="8" t="s">
        <v>43</v>
      </c>
      <c r="P2416" s="8" t="b">
        <v>0</v>
      </c>
      <c r="R2416" s="8" t="b">
        <v>0</v>
      </c>
      <c r="S2416" s="8" t="b">
        <v>0</v>
      </c>
      <c r="T2416" s="8" t="b">
        <v>0</v>
      </c>
      <c r="U2416" s="8" t="b">
        <v>0</v>
      </c>
      <c r="V2416" s="8" t="b">
        <v>1</v>
      </c>
      <c r="X2416" s="8" t="b">
        <v>0</v>
      </c>
      <c r="Y2416" s="8" t="b">
        <v>0</v>
      </c>
      <c r="Z2416" s="8" t="b">
        <v>0</v>
      </c>
      <c r="AA2416" s="8" t="b">
        <v>0</v>
      </c>
      <c r="AB2416" s="8" t="b">
        <v>0</v>
      </c>
      <c r="AC2416" s="8" t="b">
        <v>0</v>
      </c>
      <c r="AD2416" s="8" t="b">
        <v>1</v>
      </c>
      <c r="AE2416" s="8" t="b">
        <v>0</v>
      </c>
      <c r="AG2416" s="11" t="b" cm="1">
        <f t="array" ref="AG2416">IF(OR(Y2416:AA2416="TRUE", AE2416="true"), "Threatened")</f>
        <v>0</v>
      </c>
      <c r="AH2416" s="11" t="s">
        <v>6018</v>
      </c>
      <c r="AI2416" s="8" t="b">
        <v>1</v>
      </c>
    </row>
    <row r="2417" spans="1:35" ht="46.8">
      <c r="A2417" s="8">
        <v>-73.958868980000005</v>
      </c>
      <c r="B2417" s="8">
        <v>40.799238410000001</v>
      </c>
      <c r="C2417" s="8" t="s">
        <v>6019</v>
      </c>
      <c r="D2417" s="8" t="s">
        <v>458</v>
      </c>
      <c r="E2417" s="8" t="b">
        <f t="shared" si="37"/>
        <v>0</v>
      </c>
      <c r="F2417" s="8" t="str" cm="1">
        <f t="array" ref="F2417">_xlfn._xlws.FILTER(E2417:E5615, C2417:C5615= "6D-PM-1020-01", "No Squirrels Found")</f>
        <v>No Squirrels Found</v>
      </c>
      <c r="G2417" s="8" t="s">
        <v>34</v>
      </c>
      <c r="H2417" s="10">
        <v>10142018</v>
      </c>
      <c r="I2417" s="10">
        <v>3</v>
      </c>
      <c r="J2417" s="8" t="s">
        <v>39</v>
      </c>
      <c r="K2417" s="8" t="s">
        <v>40</v>
      </c>
      <c r="M2417" s="8" t="s">
        <v>55</v>
      </c>
      <c r="O2417" s="8" t="s">
        <v>43</v>
      </c>
      <c r="P2417" s="8" t="b">
        <v>0</v>
      </c>
      <c r="R2417" s="8" t="b">
        <v>1</v>
      </c>
      <c r="S2417" s="8" t="b">
        <v>0</v>
      </c>
      <c r="T2417" s="8" t="b">
        <v>0</v>
      </c>
      <c r="U2417" s="8" t="b">
        <v>0</v>
      </c>
      <c r="V2417" s="8" t="b">
        <v>0</v>
      </c>
      <c r="X2417" s="8" t="b">
        <v>0</v>
      </c>
      <c r="Y2417" s="8" t="b">
        <v>0</v>
      </c>
      <c r="Z2417" s="8" t="b">
        <v>0</v>
      </c>
      <c r="AA2417" s="8" t="b">
        <v>0</v>
      </c>
      <c r="AB2417" s="8" t="b">
        <v>0</v>
      </c>
      <c r="AC2417" s="8" t="b">
        <v>0</v>
      </c>
      <c r="AD2417" s="8" t="b">
        <v>0</v>
      </c>
      <c r="AE2417" s="8" t="b">
        <v>1</v>
      </c>
      <c r="AF2417" s="11" t="s">
        <v>4884</v>
      </c>
      <c r="AG2417" s="11" t="b" cm="1">
        <f t="array" ref="AG2417">IF(OR(Y2417:AA2417="TRUE", AE2417="true"), "Threatened")</f>
        <v>0</v>
      </c>
      <c r="AH2417" s="11" t="s">
        <v>6020</v>
      </c>
      <c r="AI2417" s="8" t="b">
        <v>1</v>
      </c>
    </row>
    <row r="2418" spans="1:35" ht="31.2">
      <c r="A2418" s="8">
        <v>-73.972032310000003</v>
      </c>
      <c r="B2418" s="8">
        <v>40.772970350000001</v>
      </c>
      <c r="C2418" s="8" t="s">
        <v>6021</v>
      </c>
      <c r="D2418" s="8" t="s">
        <v>6022</v>
      </c>
      <c r="E2418" s="8" t="b">
        <f t="shared" si="37"/>
        <v>0</v>
      </c>
      <c r="F2418" s="8" t="str" cm="1">
        <f t="array" ref="F2418">_xlfn._xlws.FILTER(E2418:E5616, C2418:C5616= "6D-PM-1020-01", "No Squirrels Found")</f>
        <v>No Squirrels Found</v>
      </c>
      <c r="G2418" s="8" t="s">
        <v>34</v>
      </c>
      <c r="H2418" s="10">
        <v>10072018</v>
      </c>
      <c r="I2418" s="10">
        <v>1</v>
      </c>
      <c r="J2418" s="8" t="s">
        <v>39</v>
      </c>
      <c r="K2418" s="8" t="s">
        <v>40</v>
      </c>
      <c r="M2418" s="8" t="s">
        <v>55</v>
      </c>
      <c r="O2418" s="8" t="s">
        <v>50</v>
      </c>
      <c r="P2418" s="8">
        <v>35</v>
      </c>
      <c r="R2418" s="8" t="b">
        <v>0</v>
      </c>
      <c r="S2418" s="8" t="b">
        <v>0</v>
      </c>
      <c r="T2418" s="8" t="b">
        <v>0</v>
      </c>
      <c r="U2418" s="8" t="b">
        <v>0</v>
      </c>
      <c r="V2418" s="8" t="b">
        <v>1</v>
      </c>
      <c r="X2418" s="8" t="b">
        <v>0</v>
      </c>
      <c r="Y2418" s="8" t="b">
        <v>0</v>
      </c>
      <c r="Z2418" s="8" t="b">
        <v>0</v>
      </c>
      <c r="AA2418" s="8" t="b">
        <v>0</v>
      </c>
      <c r="AB2418" s="8" t="b">
        <v>0</v>
      </c>
      <c r="AC2418" s="8" t="b">
        <v>0</v>
      </c>
      <c r="AD2418" s="8" t="b">
        <v>0</v>
      </c>
      <c r="AE2418" s="8" t="b">
        <v>0</v>
      </c>
      <c r="AG2418" s="11" t="b" cm="1">
        <f t="array" ref="AG2418">IF(OR(Y2418:AA2418="TRUE", AE2418="true"), "Threatened")</f>
        <v>0</v>
      </c>
      <c r="AH2418" s="11" t="s">
        <v>6023</v>
      </c>
      <c r="AI2418" s="8" t="b">
        <v>1</v>
      </c>
    </row>
    <row r="2419" spans="1:35" ht="31.2">
      <c r="A2419" s="8">
        <v>-73.968365340000005</v>
      </c>
      <c r="B2419" s="8">
        <v>40.771966159999998</v>
      </c>
      <c r="C2419" s="8" t="s">
        <v>6024</v>
      </c>
      <c r="D2419" s="8" t="s">
        <v>1003</v>
      </c>
      <c r="E2419" s="8" t="b">
        <f t="shared" si="37"/>
        <v>0</v>
      </c>
      <c r="F2419" s="8" t="str" cm="1">
        <f t="array" ref="F2419">_xlfn._xlws.FILTER(E2419:E5617, C2419:C5617= "6D-PM-1020-01", "No Squirrels Found")</f>
        <v>No Squirrels Found</v>
      </c>
      <c r="G2419" s="8" t="s">
        <v>48</v>
      </c>
      <c r="H2419" s="10">
        <v>10102018</v>
      </c>
      <c r="I2419" s="10">
        <v>1</v>
      </c>
      <c r="J2419" s="8" t="s">
        <v>39</v>
      </c>
      <c r="K2419" s="8" t="s">
        <v>40</v>
      </c>
      <c r="L2419" s="8" t="s">
        <v>41</v>
      </c>
      <c r="M2419" s="8" t="s">
        <v>42</v>
      </c>
      <c r="O2419" s="8" t="s">
        <v>43</v>
      </c>
      <c r="P2419" s="8" t="b">
        <v>0</v>
      </c>
      <c r="R2419" s="8" t="b">
        <v>0</v>
      </c>
      <c r="S2419" s="8" t="b">
        <v>0</v>
      </c>
      <c r="T2419" s="8" t="b">
        <v>0</v>
      </c>
      <c r="U2419" s="8" t="b">
        <v>0</v>
      </c>
      <c r="V2419" s="8" t="b">
        <v>1</v>
      </c>
      <c r="X2419" s="8" t="b">
        <v>0</v>
      </c>
      <c r="Y2419" s="8" t="b">
        <v>0</v>
      </c>
      <c r="Z2419" s="8" t="b">
        <v>0</v>
      </c>
      <c r="AA2419" s="8" t="b">
        <v>0</v>
      </c>
      <c r="AB2419" s="8" t="b">
        <v>0</v>
      </c>
      <c r="AC2419" s="8" t="b">
        <v>0</v>
      </c>
      <c r="AD2419" s="8" t="b">
        <v>1</v>
      </c>
      <c r="AE2419" s="8" t="b">
        <v>0</v>
      </c>
      <c r="AG2419" s="11" t="b" cm="1">
        <f t="array" ref="AG2419">IF(OR(Y2419:AA2419="TRUE", AE2419="true"), "Threatened")</f>
        <v>0</v>
      </c>
      <c r="AH2419" s="11" t="s">
        <v>6025</v>
      </c>
      <c r="AI2419" s="8" t="b">
        <v>1</v>
      </c>
    </row>
    <row r="2420" spans="1:35" ht="31.2">
      <c r="A2420" s="8">
        <v>-73.959055149999998</v>
      </c>
      <c r="B2420" s="8">
        <v>40.789160709999997</v>
      </c>
      <c r="C2420" s="8" t="s">
        <v>6026</v>
      </c>
      <c r="D2420" s="8" t="s">
        <v>896</v>
      </c>
      <c r="E2420" s="8" t="b">
        <f t="shared" si="37"/>
        <v>0</v>
      </c>
      <c r="F2420" s="8" t="str" cm="1">
        <f t="array" ref="F2420">_xlfn._xlws.FILTER(E2420:E5618, C2420:C5618= "6D-PM-1020-01", "No Squirrels Found")</f>
        <v>No Squirrels Found</v>
      </c>
      <c r="G2420" s="8" t="s">
        <v>34</v>
      </c>
      <c r="H2420" s="10">
        <v>10072018</v>
      </c>
      <c r="I2420" s="10">
        <v>2</v>
      </c>
      <c r="J2420" s="8" t="s">
        <v>39</v>
      </c>
      <c r="K2420" s="8" t="s">
        <v>40</v>
      </c>
      <c r="M2420" s="8" t="s">
        <v>55</v>
      </c>
      <c r="O2420" s="8" t="s">
        <v>50</v>
      </c>
      <c r="P2420" s="8">
        <v>2</v>
      </c>
      <c r="Q2420" s="8" t="s">
        <v>6027</v>
      </c>
      <c r="R2420" s="8" t="b">
        <v>0</v>
      </c>
      <c r="S2420" s="8" t="b">
        <v>0</v>
      </c>
      <c r="T2420" s="8" t="b">
        <v>0</v>
      </c>
      <c r="U2420" s="8" t="b">
        <v>0</v>
      </c>
      <c r="V2420" s="8" t="b">
        <v>1</v>
      </c>
      <c r="X2420" s="8" t="b">
        <v>0</v>
      </c>
      <c r="Y2420" s="8" t="b">
        <v>0</v>
      </c>
      <c r="Z2420" s="8" t="b">
        <v>0</v>
      </c>
      <c r="AA2420" s="8" t="b">
        <v>0</v>
      </c>
      <c r="AB2420" s="8" t="b">
        <v>1</v>
      </c>
      <c r="AC2420" s="8" t="b">
        <v>0</v>
      </c>
      <c r="AD2420" s="8" t="b">
        <v>0</v>
      </c>
      <c r="AE2420" s="8" t="b">
        <v>1</v>
      </c>
      <c r="AG2420" s="11" t="b" cm="1">
        <f t="array" ref="AG2420">IF(OR(Y2420:AA2420="TRUE", AE2420="true"), "Threatened")</f>
        <v>0</v>
      </c>
      <c r="AH2420" s="11" t="s">
        <v>6028</v>
      </c>
      <c r="AI2420" s="8" t="b">
        <v>1</v>
      </c>
    </row>
    <row r="2421" spans="1:35" ht="31.2">
      <c r="A2421" s="8">
        <v>-73.958778760000001</v>
      </c>
      <c r="B2421" s="8">
        <v>40.798169899999998</v>
      </c>
      <c r="C2421" s="8" t="s">
        <v>6029</v>
      </c>
      <c r="D2421" s="8" t="s">
        <v>458</v>
      </c>
      <c r="E2421" s="8" t="b">
        <f t="shared" si="37"/>
        <v>0</v>
      </c>
      <c r="F2421" s="8" t="str" cm="1">
        <f t="array" ref="F2421">_xlfn._xlws.FILTER(E2421:E5619, C2421:C5619= "6D-PM-1020-01", "No Squirrels Found")</f>
        <v>No Squirrels Found</v>
      </c>
      <c r="G2421" s="8" t="s">
        <v>48</v>
      </c>
      <c r="H2421" s="10">
        <v>10102018</v>
      </c>
      <c r="I2421" s="10">
        <v>1</v>
      </c>
      <c r="J2421" s="8" t="s">
        <v>54</v>
      </c>
      <c r="K2421" s="8" t="s">
        <v>40</v>
      </c>
      <c r="M2421" s="8" t="s">
        <v>55</v>
      </c>
      <c r="O2421" s="8" t="s">
        <v>50</v>
      </c>
      <c r="P2421" s="8">
        <v>30</v>
      </c>
      <c r="Q2421" s="8" t="s">
        <v>459</v>
      </c>
      <c r="R2421" s="8" t="b">
        <v>0</v>
      </c>
      <c r="S2421" s="8" t="b">
        <v>0</v>
      </c>
      <c r="T2421" s="8" t="b">
        <v>1</v>
      </c>
      <c r="U2421" s="8" t="b">
        <v>0</v>
      </c>
      <c r="V2421" s="8" t="b">
        <v>0</v>
      </c>
      <c r="X2421" s="8" t="b">
        <v>0</v>
      </c>
      <c r="Y2421" s="8" t="b">
        <v>0</v>
      </c>
      <c r="Z2421" s="8" t="b">
        <v>0</v>
      </c>
      <c r="AA2421" s="8" t="b">
        <v>0</v>
      </c>
      <c r="AB2421" s="8" t="b">
        <v>0</v>
      </c>
      <c r="AC2421" s="8" t="b">
        <v>0</v>
      </c>
      <c r="AD2421" s="8" t="b">
        <v>0</v>
      </c>
      <c r="AE2421" s="8" t="b">
        <v>0</v>
      </c>
      <c r="AF2421" s="11" t="s">
        <v>6030</v>
      </c>
      <c r="AG2421" s="11" t="b" cm="1">
        <f t="array" ref="AG2421">IF(OR(Y2421:AA2421="TRUE", AE2421="true"), "Threatened")</f>
        <v>0</v>
      </c>
      <c r="AH2421" s="11" t="s">
        <v>6031</v>
      </c>
      <c r="AI2421" s="8" t="b">
        <v>1</v>
      </c>
    </row>
    <row r="2422" spans="1:35" ht="31.2">
      <c r="A2422" s="8">
        <v>-73.968227889999994</v>
      </c>
      <c r="B2422" s="8">
        <v>40.773302749999999</v>
      </c>
      <c r="C2422" s="8" t="s">
        <v>6032</v>
      </c>
      <c r="D2422" s="8" t="s">
        <v>83</v>
      </c>
      <c r="E2422" s="8" t="b">
        <f t="shared" si="37"/>
        <v>0</v>
      </c>
      <c r="F2422" s="8" t="str" cm="1">
        <f t="array" ref="F2422">_xlfn._xlws.FILTER(E2422:E5620, C2422:C5620= "6D-PM-1020-01", "No Squirrels Found")</f>
        <v>No Squirrels Found</v>
      </c>
      <c r="G2422" s="8" t="s">
        <v>34</v>
      </c>
      <c r="H2422" s="10">
        <v>10132018</v>
      </c>
      <c r="I2422" s="10">
        <v>2</v>
      </c>
      <c r="J2422" s="8" t="s">
        <v>39</v>
      </c>
      <c r="K2422" s="8" t="s">
        <v>40</v>
      </c>
      <c r="L2422" s="8" t="s">
        <v>192</v>
      </c>
      <c r="M2422" s="8" t="s">
        <v>354</v>
      </c>
      <c r="O2422" s="8" t="s">
        <v>50</v>
      </c>
      <c r="P2422" s="8">
        <v>10</v>
      </c>
      <c r="R2422" s="8" t="b">
        <v>0</v>
      </c>
      <c r="S2422" s="8" t="b">
        <v>0</v>
      </c>
      <c r="T2422" s="8" t="b">
        <v>0</v>
      </c>
      <c r="U2422" s="8" t="b">
        <v>0</v>
      </c>
      <c r="V2422" s="8" t="b">
        <v>0</v>
      </c>
      <c r="W2422" s="11" t="s">
        <v>355</v>
      </c>
      <c r="X2422" s="8" t="b">
        <v>0</v>
      </c>
      <c r="Y2422" s="8" t="b">
        <v>0</v>
      </c>
      <c r="Z2422" s="8" t="b">
        <v>0</v>
      </c>
      <c r="AA2422" s="8" t="b">
        <v>0</v>
      </c>
      <c r="AB2422" s="8" t="b">
        <v>0</v>
      </c>
      <c r="AC2422" s="8" t="b">
        <v>0</v>
      </c>
      <c r="AD2422" s="8" t="b">
        <v>1</v>
      </c>
      <c r="AE2422" s="8" t="b">
        <v>0</v>
      </c>
      <c r="AG2422" s="11" t="b" cm="1">
        <f t="array" ref="AG2422">IF(OR(Y2422:AA2422="TRUE", AE2422="true"), "Threatened")</f>
        <v>0</v>
      </c>
      <c r="AH2422" s="11" t="s">
        <v>6033</v>
      </c>
      <c r="AI2422" s="8" t="b">
        <v>0</v>
      </c>
    </row>
    <row r="2423" spans="1:35" ht="31.2">
      <c r="A2423" s="8">
        <v>-73.968306659999996</v>
      </c>
      <c r="B2423" s="8">
        <v>40.778121390000003</v>
      </c>
      <c r="C2423" s="8" t="s">
        <v>6034</v>
      </c>
      <c r="D2423" s="8" t="s">
        <v>271</v>
      </c>
      <c r="E2423" s="8" t="b">
        <f t="shared" si="37"/>
        <v>0</v>
      </c>
      <c r="F2423" s="8" t="str" cm="1">
        <f t="array" ref="F2423">_xlfn._xlws.FILTER(E2423:E5621, C2423:C5621= "6D-PM-1020-01", "No Squirrels Found")</f>
        <v>No Squirrels Found</v>
      </c>
      <c r="G2423" s="8" t="s">
        <v>34</v>
      </c>
      <c r="H2423" s="10">
        <v>10182018</v>
      </c>
      <c r="I2423" s="10">
        <v>3</v>
      </c>
      <c r="J2423" s="8" t="s">
        <v>39</v>
      </c>
      <c r="K2423" s="8" t="s">
        <v>40</v>
      </c>
      <c r="M2423" s="8" t="s">
        <v>55</v>
      </c>
      <c r="O2423" s="8" t="s">
        <v>43</v>
      </c>
      <c r="P2423" s="8" t="b">
        <v>0</v>
      </c>
      <c r="R2423" s="8" t="b">
        <v>1</v>
      </c>
      <c r="S2423" s="8" t="b">
        <v>0</v>
      </c>
      <c r="T2423" s="8" t="b">
        <v>0</v>
      </c>
      <c r="U2423" s="8" t="b">
        <v>0</v>
      </c>
      <c r="V2423" s="8" t="b">
        <v>0</v>
      </c>
      <c r="X2423" s="8" t="b">
        <v>0</v>
      </c>
      <c r="Y2423" s="8" t="b">
        <v>0</v>
      </c>
      <c r="Z2423" s="8" t="b">
        <v>0</v>
      </c>
      <c r="AA2423" s="8" t="b">
        <v>0</v>
      </c>
      <c r="AB2423" s="8" t="b">
        <v>0</v>
      </c>
      <c r="AC2423" s="8" t="b">
        <v>0</v>
      </c>
      <c r="AD2423" s="8" t="b">
        <v>0</v>
      </c>
      <c r="AE2423" s="8" t="b">
        <v>1</v>
      </c>
      <c r="AG2423" s="11" t="b" cm="1">
        <f t="array" ref="AG2423">IF(OR(Y2423:AA2423="TRUE", AE2423="true"), "Threatened")</f>
        <v>0</v>
      </c>
      <c r="AH2423" s="11" t="s">
        <v>6035</v>
      </c>
      <c r="AI2423" s="8" t="b">
        <v>1</v>
      </c>
    </row>
    <row r="2424" spans="1:35" ht="31.2">
      <c r="A2424" s="8">
        <v>-73.97355288</v>
      </c>
      <c r="B2424" s="8">
        <v>40.771563819999997</v>
      </c>
      <c r="C2424" s="8" t="s">
        <v>6036</v>
      </c>
      <c r="D2424" s="8" t="s">
        <v>159</v>
      </c>
      <c r="E2424" s="8" t="b">
        <f t="shared" si="37"/>
        <v>0</v>
      </c>
      <c r="F2424" s="8" t="str" cm="1">
        <f t="array" ref="F2424">_xlfn._xlws.FILTER(E2424:E5622, C2424:C5622= "6D-PM-1020-01", "No Squirrels Found")</f>
        <v>No Squirrels Found</v>
      </c>
      <c r="G2424" s="8" t="s">
        <v>34</v>
      </c>
      <c r="H2424" s="10">
        <v>10132018</v>
      </c>
      <c r="I2424" s="10">
        <v>1</v>
      </c>
      <c r="J2424" s="8" t="s">
        <v>39</v>
      </c>
      <c r="K2424" s="8" t="s">
        <v>40</v>
      </c>
      <c r="L2424" s="8" t="s">
        <v>41</v>
      </c>
      <c r="M2424" s="8" t="s">
        <v>42</v>
      </c>
      <c r="O2424" s="8" t="s">
        <v>43</v>
      </c>
      <c r="P2424" s="8" t="b">
        <v>0</v>
      </c>
      <c r="Q2424" s="8" t="s">
        <v>2880</v>
      </c>
      <c r="R2424" s="8" t="b">
        <v>1</v>
      </c>
      <c r="S2424" s="8" t="b">
        <v>0</v>
      </c>
      <c r="T2424" s="8" t="b">
        <v>1</v>
      </c>
      <c r="U2424" s="8" t="b">
        <v>1</v>
      </c>
      <c r="V2424" s="8" t="b">
        <v>1</v>
      </c>
      <c r="X2424" s="8" t="b">
        <v>0</v>
      </c>
      <c r="Y2424" s="8" t="b">
        <v>0</v>
      </c>
      <c r="Z2424" s="8" t="b">
        <v>0</v>
      </c>
      <c r="AA2424" s="8" t="b">
        <v>0</v>
      </c>
      <c r="AB2424" s="8" t="b">
        <v>0</v>
      </c>
      <c r="AC2424" s="8" t="b">
        <v>0</v>
      </c>
      <c r="AD2424" s="8" t="b">
        <v>0</v>
      </c>
      <c r="AE2424" s="8" t="b">
        <v>1</v>
      </c>
      <c r="AG2424" s="11" t="b" cm="1">
        <f t="array" ref="AG2424">IF(OR(Y2424:AA2424="TRUE", AE2424="true"), "Threatened")</f>
        <v>0</v>
      </c>
      <c r="AH2424" s="11" t="s">
        <v>6037</v>
      </c>
      <c r="AI2424" s="8" t="b">
        <v>1</v>
      </c>
    </row>
    <row r="2425" spans="1:35" ht="31.2">
      <c r="A2425" s="8">
        <v>-73.968475280000007</v>
      </c>
      <c r="B2425" s="8">
        <v>40.776581630000003</v>
      </c>
      <c r="C2425" s="8" t="s">
        <v>6038</v>
      </c>
      <c r="D2425" s="8" t="s">
        <v>246</v>
      </c>
      <c r="E2425" s="8" t="b">
        <f t="shared" si="37"/>
        <v>0</v>
      </c>
      <c r="F2425" s="8" t="str" cm="1">
        <f t="array" ref="F2425">_xlfn._xlws.FILTER(E2425:E5623, C2425:C5623= "6D-PM-1020-01", "No Squirrels Found")</f>
        <v>No Squirrels Found</v>
      </c>
      <c r="G2425" s="8" t="s">
        <v>48</v>
      </c>
      <c r="H2425" s="10">
        <v>10072018</v>
      </c>
      <c r="I2425" s="10">
        <v>1</v>
      </c>
      <c r="J2425" s="8" t="s">
        <v>39</v>
      </c>
      <c r="K2425" s="8" t="s">
        <v>40</v>
      </c>
      <c r="L2425" s="8" t="s">
        <v>41</v>
      </c>
      <c r="M2425" s="8" t="s">
        <v>42</v>
      </c>
      <c r="N2425" s="11" t="s">
        <v>1671</v>
      </c>
      <c r="O2425" s="8" t="s">
        <v>43</v>
      </c>
      <c r="P2425" s="8" t="b">
        <v>0</v>
      </c>
      <c r="R2425" s="8" t="b">
        <v>1</v>
      </c>
      <c r="S2425" s="8" t="b">
        <v>0</v>
      </c>
      <c r="T2425" s="8" t="b">
        <v>0</v>
      </c>
      <c r="U2425" s="8" t="b">
        <v>1</v>
      </c>
      <c r="V2425" s="8" t="b">
        <v>1</v>
      </c>
      <c r="X2425" s="8" t="b">
        <v>0</v>
      </c>
      <c r="Y2425" s="8" t="b">
        <v>0</v>
      </c>
      <c r="Z2425" s="8" t="b">
        <v>0</v>
      </c>
      <c r="AA2425" s="8" t="b">
        <v>0</v>
      </c>
      <c r="AB2425" s="8" t="b">
        <v>0</v>
      </c>
      <c r="AC2425" s="8" t="b">
        <v>0</v>
      </c>
      <c r="AD2425" s="8" t="b">
        <v>1</v>
      </c>
      <c r="AE2425" s="8" t="b">
        <v>1</v>
      </c>
      <c r="AG2425" s="11" t="b" cm="1">
        <f t="array" ref="AG2425">IF(OR(Y2425:AA2425="TRUE", AE2425="true"), "Threatened")</f>
        <v>0</v>
      </c>
      <c r="AH2425" s="11" t="s">
        <v>6039</v>
      </c>
      <c r="AI2425" s="8" t="b">
        <v>1</v>
      </c>
    </row>
    <row r="2426" spans="1:35" ht="31.2">
      <c r="A2426" s="8">
        <v>-73.979114150000001</v>
      </c>
      <c r="B2426" s="8">
        <v>40.77148888</v>
      </c>
      <c r="C2426" s="8" t="s">
        <v>6040</v>
      </c>
      <c r="D2426" s="8" t="s">
        <v>342</v>
      </c>
      <c r="E2426" s="8" t="b">
        <f t="shared" si="37"/>
        <v>0</v>
      </c>
      <c r="F2426" s="8" t="str" cm="1">
        <f t="array" ref="F2426">_xlfn._xlws.FILTER(E2426:E5624, C2426:C5624= "6D-PM-1020-01", "No Squirrels Found")</f>
        <v>No Squirrels Found</v>
      </c>
      <c r="G2426" s="8" t="s">
        <v>48</v>
      </c>
      <c r="H2426" s="10">
        <v>10062018</v>
      </c>
      <c r="I2426" s="10">
        <v>4</v>
      </c>
      <c r="J2426" s="8" t="s">
        <v>54</v>
      </c>
      <c r="K2426" s="8" t="s">
        <v>40</v>
      </c>
      <c r="L2426" s="8" t="s">
        <v>41</v>
      </c>
      <c r="M2426" s="8" t="s">
        <v>42</v>
      </c>
      <c r="O2426" s="8" t="s">
        <v>43</v>
      </c>
      <c r="P2426" s="8" t="b">
        <v>0</v>
      </c>
      <c r="R2426" s="8" t="b">
        <v>0</v>
      </c>
      <c r="S2426" s="8" t="b">
        <v>0</v>
      </c>
      <c r="T2426" s="8" t="b">
        <v>0</v>
      </c>
      <c r="U2426" s="8" t="b">
        <v>0</v>
      </c>
      <c r="V2426" s="8" t="b">
        <v>1</v>
      </c>
      <c r="X2426" s="8" t="b">
        <v>0</v>
      </c>
      <c r="Y2426" s="8" t="b">
        <v>0</v>
      </c>
      <c r="Z2426" s="8" t="b">
        <v>0</v>
      </c>
      <c r="AA2426" s="8" t="b">
        <v>1</v>
      </c>
      <c r="AB2426" s="8" t="b">
        <v>0</v>
      </c>
      <c r="AC2426" s="8" t="b">
        <v>0</v>
      </c>
      <c r="AD2426" s="8" t="b">
        <v>1</v>
      </c>
      <c r="AE2426" s="8" t="b">
        <v>0</v>
      </c>
      <c r="AG2426" s="11" t="b" cm="1">
        <f t="array" ref="AG2426">IF(OR(Y2426:AA2426="TRUE", AE2426="true"), "Threatened")</f>
        <v>0</v>
      </c>
      <c r="AH2426" s="11" t="s">
        <v>6041</v>
      </c>
      <c r="AI2426" s="8" t="b">
        <v>1</v>
      </c>
    </row>
    <row r="2427" spans="1:35" ht="31.2">
      <c r="A2427" s="8">
        <v>-73.979020399999996</v>
      </c>
      <c r="B2427" s="8">
        <v>40.768883709999997</v>
      </c>
      <c r="C2427" s="8" t="s">
        <v>6042</v>
      </c>
      <c r="D2427" s="8" t="s">
        <v>465</v>
      </c>
      <c r="E2427" s="8" t="b">
        <f t="shared" si="37"/>
        <v>0</v>
      </c>
      <c r="F2427" s="8" t="str" cm="1">
        <f t="array" ref="F2427">_xlfn._xlws.FILTER(E2427:E5625, C2427:C5625= "6D-PM-1020-01", "No Squirrels Found")</f>
        <v>No Squirrels Found</v>
      </c>
      <c r="G2427" s="8" t="s">
        <v>48</v>
      </c>
      <c r="H2427" s="10">
        <v>10102018</v>
      </c>
      <c r="I2427" s="10">
        <v>2</v>
      </c>
      <c r="J2427" s="8" t="s">
        <v>54</v>
      </c>
      <c r="K2427" s="8" t="s">
        <v>40</v>
      </c>
      <c r="L2427" s="8" t="s">
        <v>41</v>
      </c>
      <c r="M2427" s="8" t="s">
        <v>42</v>
      </c>
      <c r="O2427" s="8" t="s">
        <v>43</v>
      </c>
      <c r="P2427" s="8" t="b">
        <v>0</v>
      </c>
      <c r="R2427" s="8" t="b">
        <v>1</v>
      </c>
      <c r="S2427" s="8" t="b">
        <v>0</v>
      </c>
      <c r="T2427" s="8" t="b">
        <v>0</v>
      </c>
      <c r="U2427" s="8" t="b">
        <v>0</v>
      </c>
      <c r="V2427" s="8" t="b">
        <v>0</v>
      </c>
      <c r="W2427" s="11" t="s">
        <v>6043</v>
      </c>
      <c r="X2427" s="8" t="b">
        <v>0</v>
      </c>
      <c r="Y2427" s="8" t="b">
        <v>0</v>
      </c>
      <c r="Z2427" s="8" t="b">
        <v>0</v>
      </c>
      <c r="AA2427" s="8" t="b">
        <v>0</v>
      </c>
      <c r="AB2427" s="8" t="b">
        <v>0</v>
      </c>
      <c r="AC2427" s="8" t="b">
        <v>0</v>
      </c>
      <c r="AD2427" s="8" t="b">
        <v>0</v>
      </c>
      <c r="AE2427" s="8" t="b">
        <v>1</v>
      </c>
      <c r="AG2427" s="11" t="b" cm="1">
        <f t="array" ref="AG2427">IF(OR(Y2427:AA2427="TRUE", AE2427="true"), "Threatened")</f>
        <v>0</v>
      </c>
      <c r="AH2427" s="11" t="s">
        <v>6044</v>
      </c>
      <c r="AI2427" s="8" t="b">
        <v>0</v>
      </c>
    </row>
    <row r="2428" spans="1:35" ht="31.2">
      <c r="A2428" s="8">
        <v>-73.972929750000006</v>
      </c>
      <c r="B2428" s="8">
        <v>40.767327850000001</v>
      </c>
      <c r="C2428" s="8" t="s">
        <v>6045</v>
      </c>
      <c r="D2428" s="8" t="s">
        <v>2125</v>
      </c>
      <c r="E2428" s="8" t="b">
        <f t="shared" si="37"/>
        <v>0</v>
      </c>
      <c r="F2428" s="8" t="str" cm="1">
        <f t="array" ref="F2428">_xlfn._xlws.FILTER(E2428:E5626, C2428:C5626= "6D-PM-1020-01", "No Squirrels Found")</f>
        <v>No Squirrels Found</v>
      </c>
      <c r="G2428" s="8" t="s">
        <v>48</v>
      </c>
      <c r="H2428" s="10">
        <v>10062018</v>
      </c>
      <c r="I2428" s="10">
        <v>3</v>
      </c>
      <c r="J2428" s="8" t="s">
        <v>39</v>
      </c>
      <c r="K2428" s="8" t="s">
        <v>192</v>
      </c>
      <c r="M2428" s="8" t="s">
        <v>193</v>
      </c>
      <c r="O2428" s="8" t="s">
        <v>43</v>
      </c>
      <c r="P2428" s="8" t="b">
        <v>0</v>
      </c>
      <c r="R2428" s="8" t="b">
        <v>0</v>
      </c>
      <c r="S2428" s="8" t="b">
        <v>0</v>
      </c>
      <c r="T2428" s="8" t="b">
        <v>0</v>
      </c>
      <c r="U2428" s="8" t="b">
        <v>0</v>
      </c>
      <c r="V2428" s="8" t="b">
        <v>1</v>
      </c>
      <c r="W2428" s="11" t="s">
        <v>6046</v>
      </c>
      <c r="X2428" s="8" t="b">
        <v>0</v>
      </c>
      <c r="Y2428" s="8" t="b">
        <v>0</v>
      </c>
      <c r="Z2428" s="8" t="b">
        <v>0</v>
      </c>
      <c r="AA2428" s="8" t="b">
        <v>0</v>
      </c>
      <c r="AB2428" s="8" t="b">
        <v>0</v>
      </c>
      <c r="AC2428" s="8" t="b">
        <v>0</v>
      </c>
      <c r="AD2428" s="8" t="b">
        <v>1</v>
      </c>
      <c r="AE2428" s="8" t="b">
        <v>0</v>
      </c>
      <c r="AG2428" s="11" t="b" cm="1">
        <f t="array" ref="AG2428">IF(OR(Y2428:AA2428="TRUE", AE2428="true"), "Threatened")</f>
        <v>0</v>
      </c>
      <c r="AH2428" s="11" t="s">
        <v>6047</v>
      </c>
      <c r="AI2428" s="8" t="b">
        <v>0</v>
      </c>
    </row>
    <row r="2429" spans="1:35" ht="31.2">
      <c r="A2429" s="8">
        <v>-73.975564340000005</v>
      </c>
      <c r="B2429" s="8">
        <v>40.769756909999998</v>
      </c>
      <c r="C2429" s="8" t="s">
        <v>6048</v>
      </c>
      <c r="D2429" s="8" t="s">
        <v>259</v>
      </c>
      <c r="E2429" s="8" t="b">
        <f t="shared" si="37"/>
        <v>0</v>
      </c>
      <c r="F2429" s="8" t="str" cm="1">
        <f t="array" ref="F2429">_xlfn._xlws.FILTER(E2429:E5627, C2429:C5627= "6D-PM-1020-01", "No Squirrels Found")</f>
        <v>No Squirrels Found</v>
      </c>
      <c r="G2429" s="8" t="s">
        <v>34</v>
      </c>
      <c r="H2429" s="10">
        <v>10122018</v>
      </c>
      <c r="I2429" s="10">
        <v>3</v>
      </c>
      <c r="J2429" s="8" t="s">
        <v>39</v>
      </c>
      <c r="K2429" s="8" t="s">
        <v>40</v>
      </c>
      <c r="L2429" s="8" t="s">
        <v>117</v>
      </c>
      <c r="M2429" s="8" t="s">
        <v>118</v>
      </c>
      <c r="O2429" s="8" t="s">
        <v>43</v>
      </c>
      <c r="P2429" s="8" t="b">
        <v>0</v>
      </c>
      <c r="R2429" s="8" t="b">
        <v>0</v>
      </c>
      <c r="S2429" s="8" t="b">
        <v>0</v>
      </c>
      <c r="T2429" s="8" t="b">
        <v>0</v>
      </c>
      <c r="U2429" s="8" t="b">
        <v>1</v>
      </c>
      <c r="V2429" s="8" t="b">
        <v>1</v>
      </c>
      <c r="X2429" s="8" t="b">
        <v>0</v>
      </c>
      <c r="Y2429" s="8" t="b">
        <v>0</v>
      </c>
      <c r="Z2429" s="8" t="b">
        <v>0</v>
      </c>
      <c r="AA2429" s="8" t="b">
        <v>0</v>
      </c>
      <c r="AB2429" s="8" t="b">
        <v>0</v>
      </c>
      <c r="AC2429" s="8" t="b">
        <v>1</v>
      </c>
      <c r="AD2429" s="8" t="b">
        <v>0</v>
      </c>
      <c r="AE2429" s="8" t="b">
        <v>0</v>
      </c>
      <c r="AG2429" s="11" t="b" cm="1">
        <f t="array" ref="AG2429">IF(OR(Y2429:AA2429="TRUE", AE2429="true"), "Threatened")</f>
        <v>0</v>
      </c>
      <c r="AH2429" s="11" t="s">
        <v>6049</v>
      </c>
      <c r="AI2429" s="8" t="b">
        <v>1</v>
      </c>
    </row>
    <row r="2430" spans="1:35" ht="31.2">
      <c r="A2430" s="8">
        <v>-73.972669969999998</v>
      </c>
      <c r="B2430" s="8">
        <v>40.77011238</v>
      </c>
      <c r="C2430" s="8" t="s">
        <v>6050</v>
      </c>
      <c r="D2430" s="8" t="s">
        <v>368</v>
      </c>
      <c r="E2430" s="8" t="b">
        <f t="shared" si="37"/>
        <v>0</v>
      </c>
      <c r="F2430" s="8" t="str" cm="1">
        <f t="array" ref="F2430">_xlfn._xlws.FILTER(E2430:E5628, C2430:C5628= "6D-PM-1020-01", "No Squirrels Found")</f>
        <v>No Squirrels Found</v>
      </c>
      <c r="G2430" s="8" t="s">
        <v>48</v>
      </c>
      <c r="H2430" s="10">
        <v>10082018</v>
      </c>
      <c r="I2430" s="10">
        <v>1</v>
      </c>
      <c r="J2430" s="8" t="s">
        <v>39</v>
      </c>
      <c r="K2430" s="8" t="s">
        <v>40</v>
      </c>
      <c r="L2430" s="8" t="s">
        <v>41</v>
      </c>
      <c r="M2430" s="8" t="s">
        <v>42</v>
      </c>
      <c r="O2430" s="8" t="s">
        <v>43</v>
      </c>
      <c r="P2430" s="8" t="b">
        <v>0</v>
      </c>
      <c r="Q2430" s="8" t="s">
        <v>6051</v>
      </c>
      <c r="R2430" s="8" t="b">
        <v>0</v>
      </c>
      <c r="S2430" s="8" t="b">
        <v>0</v>
      </c>
      <c r="T2430" s="8" t="b">
        <v>0</v>
      </c>
      <c r="U2430" s="8" t="b">
        <v>0</v>
      </c>
      <c r="V2430" s="8" t="b">
        <v>1</v>
      </c>
      <c r="X2430" s="8" t="b">
        <v>0</v>
      </c>
      <c r="Y2430" s="8" t="b">
        <v>0</v>
      </c>
      <c r="Z2430" s="8" t="b">
        <v>0</v>
      </c>
      <c r="AA2430" s="8" t="b">
        <v>1</v>
      </c>
      <c r="AB2430" s="8" t="b">
        <v>0</v>
      </c>
      <c r="AC2430" s="8" t="b">
        <v>0</v>
      </c>
      <c r="AD2430" s="8" t="b">
        <v>1</v>
      </c>
      <c r="AE2430" s="8" t="b">
        <v>0</v>
      </c>
      <c r="AG2430" s="11" t="b" cm="1">
        <f t="array" ref="AG2430">IF(OR(Y2430:AA2430="TRUE", AE2430="true"), "Threatened")</f>
        <v>0</v>
      </c>
      <c r="AH2430" s="11" t="s">
        <v>6052</v>
      </c>
      <c r="AI2430" s="8" t="b">
        <v>1</v>
      </c>
    </row>
    <row r="2431" spans="1:35" ht="31.2">
      <c r="A2431" s="8">
        <v>-73.956981130000003</v>
      </c>
      <c r="B2431" s="8">
        <v>40.793091230000002</v>
      </c>
      <c r="C2431" s="8" t="s">
        <v>6053</v>
      </c>
      <c r="D2431" s="8" t="s">
        <v>2049</v>
      </c>
      <c r="E2431" s="8" t="b">
        <f t="shared" si="37"/>
        <v>0</v>
      </c>
      <c r="F2431" s="8" t="str" cm="1">
        <f t="array" ref="F2431">_xlfn._xlws.FILTER(E2431:E5629, C2431:C5629= "6D-PM-1020-01", "No Squirrels Found")</f>
        <v>No Squirrels Found</v>
      </c>
      <c r="G2431" s="8" t="s">
        <v>34</v>
      </c>
      <c r="H2431" s="10">
        <v>10122018</v>
      </c>
      <c r="I2431" s="10">
        <v>2</v>
      </c>
      <c r="J2431" s="8" t="s">
        <v>39</v>
      </c>
      <c r="K2431" s="8" t="s">
        <v>40</v>
      </c>
      <c r="L2431" s="8" t="s">
        <v>84</v>
      </c>
      <c r="M2431" s="8" t="s">
        <v>103</v>
      </c>
      <c r="O2431" s="8" t="s">
        <v>43</v>
      </c>
      <c r="P2431" s="8" t="b">
        <v>0</v>
      </c>
      <c r="R2431" s="8" t="b">
        <v>0</v>
      </c>
      <c r="S2431" s="8" t="b">
        <v>0</v>
      </c>
      <c r="T2431" s="8" t="b">
        <v>0</v>
      </c>
      <c r="U2431" s="8" t="b">
        <v>1</v>
      </c>
      <c r="V2431" s="8" t="b">
        <v>1</v>
      </c>
      <c r="X2431" s="8" t="b">
        <v>0</v>
      </c>
      <c r="Y2431" s="8" t="b">
        <v>0</v>
      </c>
      <c r="Z2431" s="8" t="b">
        <v>0</v>
      </c>
      <c r="AA2431" s="8" t="b">
        <v>0</v>
      </c>
      <c r="AB2431" s="8" t="b">
        <v>1</v>
      </c>
      <c r="AC2431" s="8" t="b">
        <v>0</v>
      </c>
      <c r="AD2431" s="8" t="b">
        <v>1</v>
      </c>
      <c r="AE2431" s="8" t="b">
        <v>0</v>
      </c>
      <c r="AG2431" s="11" t="b" cm="1">
        <f t="array" ref="AG2431">IF(OR(Y2431:AA2431="TRUE", AE2431="true"), "Threatened")</f>
        <v>0</v>
      </c>
      <c r="AH2431" s="11" t="s">
        <v>6054</v>
      </c>
      <c r="AI2431" s="8" t="b">
        <v>1</v>
      </c>
    </row>
    <row r="2432" spans="1:35" ht="31.2">
      <c r="A2432" s="8">
        <v>-73.963005499999994</v>
      </c>
      <c r="B2432" s="8">
        <v>40.790522510000002</v>
      </c>
      <c r="C2432" s="8" t="s">
        <v>6055</v>
      </c>
      <c r="D2432" s="8" t="s">
        <v>2080</v>
      </c>
      <c r="E2432" s="8" t="b">
        <f t="shared" si="37"/>
        <v>0</v>
      </c>
      <c r="F2432" s="8" t="str" cm="1">
        <f t="array" ref="F2432">_xlfn._xlws.FILTER(E2432:E5630, C2432:C5630= "6D-PM-1020-01", "No Squirrels Found")</f>
        <v>No Squirrels Found</v>
      </c>
      <c r="G2432" s="8" t="s">
        <v>34</v>
      </c>
      <c r="H2432" s="10">
        <v>10082018</v>
      </c>
      <c r="I2432" s="10">
        <v>1</v>
      </c>
      <c r="J2432" s="8" t="s">
        <v>39</v>
      </c>
      <c r="K2432" s="8" t="s">
        <v>40</v>
      </c>
      <c r="L2432" s="8" t="s">
        <v>41</v>
      </c>
      <c r="M2432" s="8" t="s">
        <v>42</v>
      </c>
      <c r="O2432" s="8" t="s">
        <v>43</v>
      </c>
      <c r="P2432" s="8" t="b">
        <v>0</v>
      </c>
      <c r="R2432" s="8" t="b">
        <v>0</v>
      </c>
      <c r="S2432" s="8" t="b">
        <v>0</v>
      </c>
      <c r="T2432" s="8" t="b">
        <v>0</v>
      </c>
      <c r="U2432" s="8" t="b">
        <v>1</v>
      </c>
      <c r="V2432" s="8" t="b">
        <v>1</v>
      </c>
      <c r="X2432" s="8" t="b">
        <v>0</v>
      </c>
      <c r="Y2432" s="8" t="b">
        <v>0</v>
      </c>
      <c r="Z2432" s="8" t="b">
        <v>0</v>
      </c>
      <c r="AA2432" s="8" t="b">
        <v>0</v>
      </c>
      <c r="AB2432" s="8" t="b">
        <v>0</v>
      </c>
      <c r="AC2432" s="8" t="b">
        <v>0</v>
      </c>
      <c r="AD2432" s="8" t="b">
        <v>0</v>
      </c>
      <c r="AE2432" s="8" t="b">
        <v>0</v>
      </c>
      <c r="AG2432" s="11" t="b" cm="1">
        <f t="array" ref="AG2432">IF(OR(Y2432:AA2432="TRUE", AE2432="true"), "Threatened")</f>
        <v>0</v>
      </c>
      <c r="AH2432" s="11" t="s">
        <v>6056</v>
      </c>
      <c r="AI2432" s="8" t="b">
        <v>1</v>
      </c>
    </row>
    <row r="2433" spans="1:35" ht="31.2">
      <c r="A2433" s="8">
        <v>-73.965720320000003</v>
      </c>
      <c r="B2433" s="8">
        <v>40.775173010000003</v>
      </c>
      <c r="C2433" s="8" t="s">
        <v>6057</v>
      </c>
      <c r="D2433" s="8" t="s">
        <v>1093</v>
      </c>
      <c r="E2433" s="8" t="b">
        <f t="shared" si="37"/>
        <v>0</v>
      </c>
      <c r="F2433" s="8" t="str" cm="1">
        <f t="array" ref="F2433">_xlfn._xlws.FILTER(E2433:E5631, C2433:C5631= "6D-PM-1020-01", "No Squirrels Found")</f>
        <v>No Squirrels Found</v>
      </c>
      <c r="G2433" s="8" t="s">
        <v>34</v>
      </c>
      <c r="H2433" s="10">
        <v>10182018</v>
      </c>
      <c r="I2433" s="10">
        <v>2</v>
      </c>
      <c r="J2433" s="8" t="s">
        <v>54</v>
      </c>
      <c r="K2433" s="8" t="s">
        <v>40</v>
      </c>
      <c r="L2433" s="8" t="s">
        <v>41</v>
      </c>
      <c r="M2433" s="8" t="s">
        <v>42</v>
      </c>
      <c r="O2433" s="8" t="s">
        <v>43</v>
      </c>
      <c r="P2433" s="8" t="b">
        <v>0</v>
      </c>
      <c r="R2433" s="8" t="b">
        <v>0</v>
      </c>
      <c r="S2433" s="8" t="b">
        <v>0</v>
      </c>
      <c r="T2433" s="8" t="b">
        <v>0</v>
      </c>
      <c r="U2433" s="8" t="b">
        <v>0</v>
      </c>
      <c r="V2433" s="8" t="b">
        <v>1</v>
      </c>
      <c r="X2433" s="8" t="b">
        <v>0</v>
      </c>
      <c r="Y2433" s="8" t="b">
        <v>0</v>
      </c>
      <c r="Z2433" s="8" t="b">
        <v>0</v>
      </c>
      <c r="AA2433" s="8" t="b">
        <v>0</v>
      </c>
      <c r="AB2433" s="8" t="b">
        <v>0</v>
      </c>
      <c r="AC2433" s="8" t="b">
        <v>0</v>
      </c>
      <c r="AD2433" s="8" t="b">
        <v>0</v>
      </c>
      <c r="AE2433" s="8" t="b">
        <v>1</v>
      </c>
      <c r="AG2433" s="11" t="b" cm="1">
        <f t="array" ref="AG2433">IF(OR(Y2433:AA2433="TRUE", AE2433="true"), "Threatened")</f>
        <v>0</v>
      </c>
      <c r="AH2433" s="11" t="s">
        <v>6058</v>
      </c>
      <c r="AI2433" s="8" t="b">
        <v>1</v>
      </c>
    </row>
    <row r="2434" spans="1:35" ht="31.2">
      <c r="A2434" s="8">
        <v>-73.970694989999998</v>
      </c>
      <c r="B2434" s="8">
        <v>40.772362049999998</v>
      </c>
      <c r="C2434" s="8" t="s">
        <v>6059</v>
      </c>
      <c r="D2434" s="8" t="s">
        <v>609</v>
      </c>
      <c r="E2434" s="8" t="b">
        <f t="shared" si="37"/>
        <v>0</v>
      </c>
      <c r="F2434" s="8" t="str" cm="1">
        <f t="array" ref="F2434">_xlfn._xlws.FILTER(E2434:E5632, C2434:C5632= "6D-PM-1020-01", "No Squirrels Found")</f>
        <v>No Squirrels Found</v>
      </c>
      <c r="G2434" s="8" t="s">
        <v>48</v>
      </c>
      <c r="H2434" s="10">
        <v>10062018</v>
      </c>
      <c r="I2434" s="10">
        <v>8</v>
      </c>
      <c r="J2434" s="8" t="s">
        <v>39</v>
      </c>
      <c r="K2434" s="8" t="s">
        <v>192</v>
      </c>
      <c r="L2434" s="8" t="s">
        <v>41</v>
      </c>
      <c r="M2434" s="8" t="s">
        <v>717</v>
      </c>
      <c r="O2434" s="8" t="s">
        <v>50</v>
      </c>
      <c r="P2434" s="8">
        <v>3</v>
      </c>
      <c r="R2434" s="8" t="b">
        <v>0</v>
      </c>
      <c r="S2434" s="8" t="b">
        <v>0</v>
      </c>
      <c r="T2434" s="8" t="b">
        <v>0</v>
      </c>
      <c r="U2434" s="8" t="b">
        <v>1</v>
      </c>
      <c r="V2434" s="8" t="b">
        <v>0</v>
      </c>
      <c r="X2434" s="8" t="b">
        <v>0</v>
      </c>
      <c r="Y2434" s="8" t="b">
        <v>0</v>
      </c>
      <c r="Z2434" s="8" t="b">
        <v>0</v>
      </c>
      <c r="AA2434" s="8" t="b">
        <v>1</v>
      </c>
      <c r="AB2434" s="8" t="b">
        <v>1</v>
      </c>
      <c r="AC2434" s="8" t="b">
        <v>0</v>
      </c>
      <c r="AD2434" s="8" t="b">
        <v>1</v>
      </c>
      <c r="AE2434" s="8" t="b">
        <v>0</v>
      </c>
      <c r="AG2434" s="11" t="b" cm="1">
        <f t="array" ref="AG2434">IF(OR(Y2434:AA2434="TRUE", AE2434="true"), "Threatened")</f>
        <v>0</v>
      </c>
      <c r="AH2434" s="11" t="s">
        <v>6060</v>
      </c>
      <c r="AI2434" s="8" t="b">
        <v>1</v>
      </c>
    </row>
    <row r="2435" spans="1:35" ht="31.2">
      <c r="A2435" s="8">
        <v>-73.954591210000004</v>
      </c>
      <c r="B2435" s="8">
        <v>40.794830179999998</v>
      </c>
      <c r="C2435" s="8" t="s">
        <v>6061</v>
      </c>
      <c r="D2435" s="8" t="s">
        <v>378</v>
      </c>
      <c r="E2435" s="8" t="b">
        <f t="shared" ref="E2435:E2498" si="38">OR(D2435 = "05D", D2435 = "07D", D2435 = "06C", D2435 = "06E")</f>
        <v>0</v>
      </c>
      <c r="F2435" s="8" t="str" cm="1">
        <f t="array" ref="F2435">_xlfn._xlws.FILTER(E2435:E5633, C2435:C5633= "6D-PM-1020-01", "No Squirrels Found")</f>
        <v>No Squirrels Found</v>
      </c>
      <c r="G2435" s="8" t="s">
        <v>34</v>
      </c>
      <c r="H2435" s="10">
        <v>10132018</v>
      </c>
      <c r="I2435" s="10">
        <v>6</v>
      </c>
      <c r="J2435" s="8" t="s">
        <v>54</v>
      </c>
      <c r="K2435" s="8" t="s">
        <v>40</v>
      </c>
      <c r="L2435" s="8" t="s">
        <v>41</v>
      </c>
      <c r="M2435" s="8" t="s">
        <v>42</v>
      </c>
      <c r="O2435" s="8" t="s">
        <v>43</v>
      </c>
      <c r="P2435" s="8" t="b">
        <v>0</v>
      </c>
      <c r="R2435" s="8" t="b">
        <v>0</v>
      </c>
      <c r="S2435" s="8" t="b">
        <v>0</v>
      </c>
      <c r="T2435" s="8" t="b">
        <v>0</v>
      </c>
      <c r="U2435" s="8" t="b">
        <v>0</v>
      </c>
      <c r="V2435" s="8" t="b">
        <v>1</v>
      </c>
      <c r="X2435" s="8" t="b">
        <v>0</v>
      </c>
      <c r="Y2435" s="8" t="b">
        <v>0</v>
      </c>
      <c r="Z2435" s="8" t="b">
        <v>0</v>
      </c>
      <c r="AA2435" s="8" t="b">
        <v>0</v>
      </c>
      <c r="AB2435" s="8" t="b">
        <v>0</v>
      </c>
      <c r="AC2435" s="8" t="b">
        <v>0</v>
      </c>
      <c r="AD2435" s="8" t="b">
        <v>0</v>
      </c>
      <c r="AE2435" s="8" t="b">
        <v>0</v>
      </c>
      <c r="AG2435" s="11" t="b" cm="1">
        <f t="array" ref="AG2435">IF(OR(Y2435:AA2435="TRUE", AE2435="true"), "Threatened")</f>
        <v>0</v>
      </c>
      <c r="AH2435" s="11" t="s">
        <v>6062</v>
      </c>
      <c r="AI2435" s="8" t="b">
        <v>1</v>
      </c>
    </row>
    <row r="2436" spans="1:35" ht="31.2">
      <c r="A2436" s="8">
        <v>-73.972087130000006</v>
      </c>
      <c r="B2436" s="8">
        <v>40.776237270000003</v>
      </c>
      <c r="C2436" s="8" t="s">
        <v>6063</v>
      </c>
      <c r="D2436" s="8" t="s">
        <v>613</v>
      </c>
      <c r="E2436" s="8" t="b">
        <f t="shared" si="38"/>
        <v>0</v>
      </c>
      <c r="F2436" s="8" t="str" cm="1">
        <f t="array" ref="F2436">_xlfn._xlws.FILTER(E2436:E5634, C2436:C5634= "6D-PM-1020-01", "No Squirrels Found")</f>
        <v>No Squirrels Found</v>
      </c>
      <c r="G2436" s="8" t="s">
        <v>48</v>
      </c>
      <c r="H2436" s="10">
        <v>10102018</v>
      </c>
      <c r="I2436" s="10">
        <v>1</v>
      </c>
      <c r="J2436" s="8" t="s">
        <v>39</v>
      </c>
      <c r="K2436" s="8" t="s">
        <v>40</v>
      </c>
      <c r="M2436" s="8" t="s">
        <v>55</v>
      </c>
      <c r="O2436" s="8" t="s">
        <v>43</v>
      </c>
      <c r="P2436" s="8" t="b">
        <v>0</v>
      </c>
      <c r="R2436" s="8" t="b">
        <v>0</v>
      </c>
      <c r="S2436" s="8" t="b">
        <v>0</v>
      </c>
      <c r="T2436" s="8" t="b">
        <v>1</v>
      </c>
      <c r="U2436" s="8" t="b">
        <v>0</v>
      </c>
      <c r="V2436" s="8" t="b">
        <v>0</v>
      </c>
      <c r="X2436" s="8" t="b">
        <v>0</v>
      </c>
      <c r="Y2436" s="8" t="b">
        <v>0</v>
      </c>
      <c r="Z2436" s="8" t="b">
        <v>0</v>
      </c>
      <c r="AA2436" s="8" t="b">
        <v>0</v>
      </c>
      <c r="AB2436" s="8" t="b">
        <v>0</v>
      </c>
      <c r="AC2436" s="8" t="b">
        <v>0</v>
      </c>
      <c r="AD2436" s="8" t="b">
        <v>0</v>
      </c>
      <c r="AE2436" s="8" t="b">
        <v>1</v>
      </c>
      <c r="AG2436" s="11" t="b" cm="1">
        <f t="array" ref="AG2436">IF(OR(Y2436:AA2436="TRUE", AE2436="true"), "Threatened")</f>
        <v>0</v>
      </c>
      <c r="AH2436" s="11" t="s">
        <v>6064</v>
      </c>
      <c r="AI2436" s="8" t="b">
        <v>1</v>
      </c>
    </row>
    <row r="2437" spans="1:35" ht="31.2">
      <c r="A2437" s="8">
        <v>-73.958277010000003</v>
      </c>
      <c r="B2437" s="8">
        <v>40.785661019999999</v>
      </c>
      <c r="C2437" s="8" t="s">
        <v>6065</v>
      </c>
      <c r="D2437" s="8" t="s">
        <v>1855</v>
      </c>
      <c r="E2437" s="8" t="b">
        <f t="shared" si="38"/>
        <v>0</v>
      </c>
      <c r="F2437" s="8" t="str" cm="1">
        <f t="array" ref="F2437">_xlfn._xlws.FILTER(E2437:E5635, C2437:C5635= "6D-PM-1020-01", "No Squirrels Found")</f>
        <v>No Squirrels Found</v>
      </c>
      <c r="G2437" s="8" t="s">
        <v>34</v>
      </c>
      <c r="H2437" s="10">
        <v>10072018</v>
      </c>
      <c r="I2437" s="10">
        <v>1</v>
      </c>
      <c r="J2437" s="8" t="s">
        <v>39</v>
      </c>
      <c r="K2437" s="8" t="s">
        <v>40</v>
      </c>
      <c r="M2437" s="8" t="s">
        <v>55</v>
      </c>
      <c r="O2437" s="8" t="s">
        <v>50</v>
      </c>
      <c r="P2437" s="8">
        <v>20</v>
      </c>
      <c r="R2437" s="8" t="b">
        <v>1</v>
      </c>
      <c r="S2437" s="8" t="b">
        <v>0</v>
      </c>
      <c r="T2437" s="8" t="b">
        <v>1</v>
      </c>
      <c r="U2437" s="8" t="b">
        <v>0</v>
      </c>
      <c r="V2437" s="8" t="b">
        <v>0</v>
      </c>
      <c r="X2437" s="8" t="b">
        <v>0</v>
      </c>
      <c r="Y2437" s="8" t="b">
        <v>0</v>
      </c>
      <c r="Z2437" s="8" t="b">
        <v>0</v>
      </c>
      <c r="AA2437" s="8" t="b">
        <v>0</v>
      </c>
      <c r="AB2437" s="8" t="b">
        <v>0</v>
      </c>
      <c r="AC2437" s="8" t="b">
        <v>0</v>
      </c>
      <c r="AD2437" s="8" t="b">
        <v>1</v>
      </c>
      <c r="AE2437" s="8" t="b">
        <v>0</v>
      </c>
      <c r="AG2437" s="11" t="b" cm="1">
        <f t="array" ref="AG2437">IF(OR(Y2437:AA2437="TRUE", AE2437="true"), "Threatened")</f>
        <v>0</v>
      </c>
      <c r="AH2437" s="11" t="s">
        <v>6066</v>
      </c>
      <c r="AI2437" s="8" t="b">
        <v>1</v>
      </c>
    </row>
    <row r="2438" spans="1:35" ht="31.2">
      <c r="A2438" s="8">
        <v>-73.961985609999999</v>
      </c>
      <c r="B2438" s="8">
        <v>40.791951650000001</v>
      </c>
      <c r="C2438" s="8" t="s">
        <v>6067</v>
      </c>
      <c r="D2438" s="8" t="s">
        <v>616</v>
      </c>
      <c r="E2438" s="8" t="b">
        <f t="shared" si="38"/>
        <v>0</v>
      </c>
      <c r="F2438" s="8" t="str" cm="1">
        <f t="array" ref="F2438">_xlfn._xlws.FILTER(E2438:E5636, C2438:C5636= "6D-PM-1020-01", "No Squirrels Found")</f>
        <v>No Squirrels Found</v>
      </c>
      <c r="G2438" s="8" t="s">
        <v>34</v>
      </c>
      <c r="H2438" s="10">
        <v>10132018</v>
      </c>
      <c r="I2438" s="10">
        <v>8</v>
      </c>
      <c r="J2438" s="8" t="s">
        <v>54</v>
      </c>
      <c r="K2438" s="8" t="s">
        <v>40</v>
      </c>
      <c r="M2438" s="8" t="s">
        <v>55</v>
      </c>
      <c r="O2438" s="8" t="s">
        <v>43</v>
      </c>
      <c r="P2438" s="8" t="b">
        <v>0</v>
      </c>
      <c r="R2438" s="8" t="b">
        <v>0</v>
      </c>
      <c r="S2438" s="8" t="b">
        <v>0</v>
      </c>
      <c r="T2438" s="8" t="b">
        <v>0</v>
      </c>
      <c r="U2438" s="8" t="b">
        <v>0</v>
      </c>
      <c r="V2438" s="8" t="b">
        <v>1</v>
      </c>
      <c r="X2438" s="8" t="b">
        <v>0</v>
      </c>
      <c r="Y2438" s="8" t="b">
        <v>0</v>
      </c>
      <c r="Z2438" s="8" t="b">
        <v>0</v>
      </c>
      <c r="AA2438" s="8" t="b">
        <v>0</v>
      </c>
      <c r="AB2438" s="8" t="b">
        <v>0</v>
      </c>
      <c r="AC2438" s="8" t="b">
        <v>0</v>
      </c>
      <c r="AD2438" s="8" t="b">
        <v>0</v>
      </c>
      <c r="AE2438" s="8" t="b">
        <v>0</v>
      </c>
      <c r="AG2438" s="11" t="b" cm="1">
        <f t="array" ref="AG2438">IF(OR(Y2438:AA2438="TRUE", AE2438="true"), "Threatened")</f>
        <v>0</v>
      </c>
      <c r="AH2438" s="11" t="s">
        <v>6068</v>
      </c>
      <c r="AI2438" s="8" t="b">
        <v>1</v>
      </c>
    </row>
    <row r="2439" spans="1:35" ht="31.2">
      <c r="A2439" s="8">
        <v>-73.96953216</v>
      </c>
      <c r="B2439" s="8">
        <v>40.782261660000003</v>
      </c>
      <c r="C2439" s="8" t="s">
        <v>6069</v>
      </c>
      <c r="D2439" s="8" t="s">
        <v>102</v>
      </c>
      <c r="E2439" s="8" t="b">
        <f t="shared" si="38"/>
        <v>0</v>
      </c>
      <c r="F2439" s="8" t="str" cm="1">
        <f t="array" ref="F2439">_xlfn._xlws.FILTER(E2439:E5637, C2439:C5637= "6D-PM-1020-01", "No Squirrels Found")</f>
        <v>No Squirrels Found</v>
      </c>
      <c r="G2439" s="8" t="s">
        <v>34</v>
      </c>
      <c r="H2439" s="10">
        <v>10132018</v>
      </c>
      <c r="I2439" s="10">
        <v>1</v>
      </c>
      <c r="J2439" s="8" t="s">
        <v>39</v>
      </c>
      <c r="K2439" s="8" t="s">
        <v>40</v>
      </c>
      <c r="L2439" s="8" t="s">
        <v>84</v>
      </c>
      <c r="M2439" s="8" t="s">
        <v>103</v>
      </c>
      <c r="O2439" s="8" t="s">
        <v>43</v>
      </c>
      <c r="P2439" s="8" t="b">
        <v>0</v>
      </c>
      <c r="R2439" s="8" t="b">
        <v>0</v>
      </c>
      <c r="S2439" s="8" t="b">
        <v>0</v>
      </c>
      <c r="T2439" s="8" t="b">
        <v>0</v>
      </c>
      <c r="U2439" s="8" t="b">
        <v>0</v>
      </c>
      <c r="V2439" s="8" t="b">
        <v>1</v>
      </c>
      <c r="X2439" s="8" t="b">
        <v>0</v>
      </c>
      <c r="Y2439" s="8" t="b">
        <v>0</v>
      </c>
      <c r="Z2439" s="8" t="b">
        <v>0</v>
      </c>
      <c r="AA2439" s="8" t="b">
        <v>0</v>
      </c>
      <c r="AB2439" s="8" t="b">
        <v>0</v>
      </c>
      <c r="AC2439" s="8" t="b">
        <v>0</v>
      </c>
      <c r="AD2439" s="8" t="b">
        <v>0</v>
      </c>
      <c r="AE2439" s="8" t="b">
        <v>0</v>
      </c>
      <c r="AG2439" s="11" t="b" cm="1">
        <f t="array" ref="AG2439">IF(OR(Y2439:AA2439="TRUE", AE2439="true"), "Threatened")</f>
        <v>0</v>
      </c>
      <c r="AH2439" s="11" t="s">
        <v>6070</v>
      </c>
      <c r="AI2439" s="8" t="b">
        <v>1</v>
      </c>
    </row>
    <row r="2440" spans="1:35" ht="31.2">
      <c r="A2440" s="8">
        <v>-73.958745910000005</v>
      </c>
      <c r="B2440" s="8">
        <v>40.798249740000003</v>
      </c>
      <c r="C2440" s="8" t="s">
        <v>6071</v>
      </c>
      <c r="D2440" s="8" t="s">
        <v>227</v>
      </c>
      <c r="E2440" s="8" t="b">
        <f t="shared" si="38"/>
        <v>0</v>
      </c>
      <c r="F2440" s="8" t="str" cm="1">
        <f t="array" ref="F2440">_xlfn._xlws.FILTER(E2440:E5638, C2440:C5638= "6D-PM-1020-01", "No Squirrels Found")</f>
        <v>No Squirrels Found</v>
      </c>
      <c r="G2440" s="8" t="s">
        <v>34</v>
      </c>
      <c r="H2440" s="10">
        <v>10142018</v>
      </c>
      <c r="I2440" s="10">
        <v>5</v>
      </c>
      <c r="J2440" s="8" t="s">
        <v>39</v>
      </c>
      <c r="K2440" s="8" t="s">
        <v>40</v>
      </c>
      <c r="L2440" s="8" t="s">
        <v>41</v>
      </c>
      <c r="M2440" s="8" t="s">
        <v>42</v>
      </c>
      <c r="O2440" s="8" t="s">
        <v>43</v>
      </c>
      <c r="P2440" s="8" t="b">
        <v>0</v>
      </c>
      <c r="R2440" s="8" t="b">
        <v>0</v>
      </c>
      <c r="S2440" s="8" t="b">
        <v>0</v>
      </c>
      <c r="T2440" s="8" t="b">
        <v>0</v>
      </c>
      <c r="U2440" s="8" t="b">
        <v>0</v>
      </c>
      <c r="V2440" s="8" t="b">
        <v>1</v>
      </c>
      <c r="X2440" s="8" t="b">
        <v>0</v>
      </c>
      <c r="Y2440" s="8" t="b">
        <v>0</v>
      </c>
      <c r="Z2440" s="8" t="b">
        <v>0</v>
      </c>
      <c r="AA2440" s="8" t="b">
        <v>0</v>
      </c>
      <c r="AB2440" s="8" t="b">
        <v>0</v>
      </c>
      <c r="AC2440" s="8" t="b">
        <v>0</v>
      </c>
      <c r="AD2440" s="8" t="b">
        <v>0</v>
      </c>
      <c r="AE2440" s="8" t="b">
        <v>1</v>
      </c>
      <c r="AG2440" s="11" t="b" cm="1">
        <f t="array" ref="AG2440">IF(OR(Y2440:AA2440="TRUE", AE2440="true"), "Threatened")</f>
        <v>0</v>
      </c>
      <c r="AH2440" s="11" t="s">
        <v>6072</v>
      </c>
      <c r="AI2440" s="8" t="b">
        <v>1</v>
      </c>
    </row>
    <row r="2441" spans="1:35" ht="31.2">
      <c r="A2441" s="8">
        <v>-73.967380349999999</v>
      </c>
      <c r="B2441" s="8">
        <v>40.778524500000003</v>
      </c>
      <c r="C2441" s="8" t="s">
        <v>6073</v>
      </c>
      <c r="D2441" s="8" t="s">
        <v>131</v>
      </c>
      <c r="E2441" s="8" t="b">
        <f t="shared" si="38"/>
        <v>0</v>
      </c>
      <c r="F2441" s="8" t="str" cm="1">
        <f t="array" ref="F2441">_xlfn._xlws.FILTER(E2441:E5639, C2441:C5639= "6D-PM-1020-01", "No Squirrels Found")</f>
        <v>No Squirrels Found</v>
      </c>
      <c r="G2441" s="8" t="s">
        <v>48</v>
      </c>
      <c r="H2441" s="10">
        <v>10072018</v>
      </c>
      <c r="I2441" s="10">
        <v>1</v>
      </c>
      <c r="J2441" s="8" t="s">
        <v>39</v>
      </c>
      <c r="K2441" s="8" t="s">
        <v>40</v>
      </c>
      <c r="M2441" s="8" t="s">
        <v>55</v>
      </c>
      <c r="O2441" s="8" t="s">
        <v>50</v>
      </c>
      <c r="P2441" s="8">
        <v>18</v>
      </c>
      <c r="R2441" s="8" t="b">
        <v>0</v>
      </c>
      <c r="S2441" s="8" t="b">
        <v>0</v>
      </c>
      <c r="T2441" s="8" t="b">
        <v>1</v>
      </c>
      <c r="U2441" s="8" t="b">
        <v>1</v>
      </c>
      <c r="V2441" s="8" t="b">
        <v>0</v>
      </c>
      <c r="X2441" s="8" t="b">
        <v>0</v>
      </c>
      <c r="Y2441" s="8" t="b">
        <v>0</v>
      </c>
      <c r="Z2441" s="8" t="b">
        <v>0</v>
      </c>
      <c r="AA2441" s="8" t="b">
        <v>1</v>
      </c>
      <c r="AB2441" s="8" t="b">
        <v>0</v>
      </c>
      <c r="AC2441" s="8" t="b">
        <v>0</v>
      </c>
      <c r="AD2441" s="8" t="b">
        <v>1</v>
      </c>
      <c r="AE2441" s="8" t="b">
        <v>0</v>
      </c>
      <c r="AG2441" s="11" t="b" cm="1">
        <f t="array" ref="AG2441">IF(OR(Y2441:AA2441="TRUE", AE2441="true"), "Threatened")</f>
        <v>0</v>
      </c>
      <c r="AH2441" s="11" t="s">
        <v>6074</v>
      </c>
      <c r="AI2441" s="8" t="b">
        <v>1</v>
      </c>
    </row>
    <row r="2442" spans="1:35" ht="31.2">
      <c r="A2442" s="8">
        <v>-73.957986529999999</v>
      </c>
      <c r="B2442" s="8">
        <v>40.794906539999999</v>
      </c>
      <c r="C2442" s="8" t="s">
        <v>6075</v>
      </c>
      <c r="D2442" s="8" t="s">
        <v>405</v>
      </c>
      <c r="E2442" s="8" t="b">
        <f t="shared" si="38"/>
        <v>0</v>
      </c>
      <c r="F2442" s="8" t="str" cm="1">
        <f t="array" ref="F2442">_xlfn._xlws.FILTER(E2442:E5640, C2442:C5640= "6D-PM-1020-01", "No Squirrels Found")</f>
        <v>No Squirrels Found</v>
      </c>
      <c r="G2442" s="8" t="s">
        <v>34</v>
      </c>
      <c r="H2442" s="10">
        <v>10142018</v>
      </c>
      <c r="I2442" s="10">
        <v>3</v>
      </c>
      <c r="J2442" s="8" t="s">
        <v>39</v>
      </c>
      <c r="K2442" s="8" t="s">
        <v>40</v>
      </c>
      <c r="M2442" s="8" t="s">
        <v>55</v>
      </c>
      <c r="O2442" s="8" t="s">
        <v>50</v>
      </c>
      <c r="P2442" s="8">
        <v>40</v>
      </c>
      <c r="R2442" s="8" t="b">
        <v>0</v>
      </c>
      <c r="S2442" s="8" t="b">
        <v>0</v>
      </c>
      <c r="T2442" s="8" t="b">
        <v>1</v>
      </c>
      <c r="U2442" s="8" t="b">
        <v>0</v>
      </c>
      <c r="V2442" s="8" t="b">
        <v>0</v>
      </c>
      <c r="X2442" s="8" t="b">
        <v>0</v>
      </c>
      <c r="Y2442" s="8" t="b">
        <v>0</v>
      </c>
      <c r="Z2442" s="8" t="b">
        <v>0</v>
      </c>
      <c r="AA2442" s="8" t="b">
        <v>0</v>
      </c>
      <c r="AB2442" s="8" t="b">
        <v>0</v>
      </c>
      <c r="AC2442" s="8" t="b">
        <v>0</v>
      </c>
      <c r="AD2442" s="8" t="b">
        <v>0</v>
      </c>
      <c r="AE2442" s="8" t="b">
        <v>0</v>
      </c>
      <c r="AG2442" s="11" t="b" cm="1">
        <f t="array" ref="AG2442">IF(OR(Y2442:AA2442="TRUE", AE2442="true"), "Threatened")</f>
        <v>0</v>
      </c>
      <c r="AH2442" s="11" t="s">
        <v>6076</v>
      </c>
      <c r="AI2442" s="8" t="b">
        <v>1</v>
      </c>
    </row>
    <row r="2443" spans="1:35" ht="31.2">
      <c r="A2443" s="8">
        <v>-73.96993698</v>
      </c>
      <c r="B2443" s="8">
        <v>40.772035019999997</v>
      </c>
      <c r="C2443" s="8" t="s">
        <v>6077</v>
      </c>
      <c r="D2443" s="8" t="s">
        <v>609</v>
      </c>
      <c r="E2443" s="8" t="b">
        <f t="shared" si="38"/>
        <v>0</v>
      </c>
      <c r="F2443" s="8" t="str" cm="1">
        <f t="array" ref="F2443">_xlfn._xlws.FILTER(E2443:E5641, C2443:C5641= "6D-PM-1020-01", "No Squirrels Found")</f>
        <v>No Squirrels Found</v>
      </c>
      <c r="G2443" s="8" t="s">
        <v>34</v>
      </c>
      <c r="H2443" s="10">
        <v>10172018</v>
      </c>
      <c r="I2443" s="10">
        <v>4</v>
      </c>
      <c r="J2443" s="8" t="s">
        <v>39</v>
      </c>
      <c r="K2443" s="8" t="s">
        <v>40</v>
      </c>
      <c r="M2443" s="8" t="s">
        <v>55</v>
      </c>
      <c r="O2443" s="8" t="s">
        <v>43</v>
      </c>
      <c r="P2443" s="8" t="b">
        <v>0</v>
      </c>
      <c r="R2443" s="8" t="b">
        <v>1</v>
      </c>
      <c r="S2443" s="8" t="b">
        <v>0</v>
      </c>
      <c r="T2443" s="8" t="b">
        <v>0</v>
      </c>
      <c r="U2443" s="8" t="b">
        <v>1</v>
      </c>
      <c r="V2443" s="8" t="b">
        <v>0</v>
      </c>
      <c r="X2443" s="8" t="b">
        <v>0</v>
      </c>
      <c r="Y2443" s="8" t="b">
        <v>0</v>
      </c>
      <c r="Z2443" s="8" t="b">
        <v>0</v>
      </c>
      <c r="AA2443" s="8" t="b">
        <v>0</v>
      </c>
      <c r="AB2443" s="8" t="b">
        <v>0</v>
      </c>
      <c r="AC2443" s="8" t="b">
        <v>0</v>
      </c>
      <c r="AD2443" s="8" t="b">
        <v>1</v>
      </c>
      <c r="AE2443" s="8" t="b">
        <v>0</v>
      </c>
      <c r="AG2443" s="11" t="b" cm="1">
        <f t="array" ref="AG2443">IF(OR(Y2443:AA2443="TRUE", AE2443="true"), "Threatened")</f>
        <v>0</v>
      </c>
      <c r="AH2443" s="11" t="s">
        <v>6078</v>
      </c>
      <c r="AI2443" s="8" t="b">
        <v>1</v>
      </c>
    </row>
    <row r="2444" spans="1:35" ht="31.2">
      <c r="A2444" s="8">
        <v>-73.966707319999998</v>
      </c>
      <c r="B2444" s="8">
        <v>40.784058139999999</v>
      </c>
      <c r="C2444" s="8" t="s">
        <v>6079</v>
      </c>
      <c r="D2444" s="8" t="s">
        <v>286</v>
      </c>
      <c r="E2444" s="8" t="b">
        <f t="shared" si="38"/>
        <v>0</v>
      </c>
      <c r="F2444" s="8" t="str" cm="1">
        <f t="array" ref="F2444">_xlfn._xlws.FILTER(E2444:E5642, C2444:C5642= "6D-PM-1020-01", "No Squirrels Found")</f>
        <v>No Squirrels Found</v>
      </c>
      <c r="G2444" s="8" t="s">
        <v>34</v>
      </c>
      <c r="H2444" s="10">
        <v>10142018</v>
      </c>
      <c r="I2444" s="10">
        <v>1</v>
      </c>
      <c r="J2444" s="8" t="s">
        <v>39</v>
      </c>
      <c r="K2444" s="8" t="s">
        <v>40</v>
      </c>
      <c r="M2444" s="8" t="s">
        <v>55</v>
      </c>
      <c r="O2444" s="8" t="s">
        <v>50</v>
      </c>
      <c r="P2444" s="8">
        <v>20</v>
      </c>
      <c r="R2444" s="8" t="b">
        <v>0</v>
      </c>
      <c r="S2444" s="8" t="b">
        <v>0</v>
      </c>
      <c r="T2444" s="8" t="b">
        <v>1</v>
      </c>
      <c r="U2444" s="8" t="b">
        <v>0</v>
      </c>
      <c r="V2444" s="8" t="b">
        <v>0</v>
      </c>
      <c r="X2444" s="8" t="b">
        <v>0</v>
      </c>
      <c r="Y2444" s="8" t="b">
        <v>0</v>
      </c>
      <c r="Z2444" s="8" t="b">
        <v>0</v>
      </c>
      <c r="AA2444" s="8" t="b">
        <v>0</v>
      </c>
      <c r="AB2444" s="8" t="b">
        <v>0</v>
      </c>
      <c r="AC2444" s="8" t="b">
        <v>0</v>
      </c>
      <c r="AD2444" s="8" t="b">
        <v>0</v>
      </c>
      <c r="AE2444" s="8" t="b">
        <v>0</v>
      </c>
      <c r="AG2444" s="11" t="b" cm="1">
        <f t="array" ref="AG2444">IF(OR(Y2444:AA2444="TRUE", AE2444="true"), "Threatened")</f>
        <v>0</v>
      </c>
      <c r="AH2444" s="11" t="s">
        <v>6080</v>
      </c>
      <c r="AI2444" s="8" t="b">
        <v>1</v>
      </c>
    </row>
    <row r="2445" spans="1:35" ht="31.2">
      <c r="A2445" s="8">
        <v>-73.966590490000002</v>
      </c>
      <c r="B2445" s="8">
        <v>40.780246910000002</v>
      </c>
      <c r="C2445" s="8" t="s">
        <v>6081</v>
      </c>
      <c r="D2445" s="8" t="s">
        <v>2083</v>
      </c>
      <c r="E2445" s="8" t="b">
        <f t="shared" si="38"/>
        <v>0</v>
      </c>
      <c r="F2445" s="8" t="str" cm="1">
        <f t="array" ref="F2445">_xlfn._xlws.FILTER(E2445:E5643, C2445:C5643= "6D-PM-1020-01", "No Squirrels Found")</f>
        <v>No Squirrels Found</v>
      </c>
      <c r="G2445" s="8" t="s">
        <v>34</v>
      </c>
      <c r="H2445" s="10">
        <v>10182018</v>
      </c>
      <c r="I2445" s="10">
        <v>2</v>
      </c>
      <c r="J2445" s="8" t="s">
        <v>39</v>
      </c>
      <c r="K2445" s="8" t="s">
        <v>40</v>
      </c>
      <c r="L2445" s="8" t="s">
        <v>84</v>
      </c>
      <c r="M2445" s="8" t="s">
        <v>103</v>
      </c>
      <c r="O2445" s="8" t="s">
        <v>43</v>
      </c>
      <c r="P2445" s="8" t="b">
        <v>0</v>
      </c>
      <c r="R2445" s="8" t="b">
        <v>1</v>
      </c>
      <c r="S2445" s="8" t="b">
        <v>0</v>
      </c>
      <c r="T2445" s="8" t="b">
        <v>1</v>
      </c>
      <c r="U2445" s="8" t="b">
        <v>0</v>
      </c>
      <c r="V2445" s="8" t="b">
        <v>0</v>
      </c>
      <c r="X2445" s="8" t="b">
        <v>0</v>
      </c>
      <c r="Y2445" s="8" t="b">
        <v>0</v>
      </c>
      <c r="Z2445" s="8" t="b">
        <v>0</v>
      </c>
      <c r="AA2445" s="8" t="b">
        <v>1</v>
      </c>
      <c r="AB2445" s="8" t="b">
        <v>0</v>
      </c>
      <c r="AC2445" s="8" t="b">
        <v>0</v>
      </c>
      <c r="AD2445" s="8" t="b">
        <v>0</v>
      </c>
      <c r="AE2445" s="8" t="b">
        <v>0</v>
      </c>
      <c r="AG2445" s="11" t="b" cm="1">
        <f t="array" ref="AG2445">IF(OR(Y2445:AA2445="TRUE", AE2445="true"), "Threatened")</f>
        <v>0</v>
      </c>
      <c r="AH2445" s="11" t="s">
        <v>6082</v>
      </c>
      <c r="AI2445" s="8" t="b">
        <v>1</v>
      </c>
    </row>
    <row r="2446" spans="1:35" ht="31.2">
      <c r="A2446" s="8">
        <v>-73.961930409999994</v>
      </c>
      <c r="B2446" s="8">
        <v>40.792045170000002</v>
      </c>
      <c r="C2446" s="8" t="s">
        <v>6083</v>
      </c>
      <c r="D2446" s="8" t="s">
        <v>616</v>
      </c>
      <c r="E2446" s="8" t="b">
        <f t="shared" si="38"/>
        <v>0</v>
      </c>
      <c r="F2446" s="8" t="str" cm="1">
        <f t="array" ref="F2446">_xlfn._xlws.FILTER(E2446:E5644, C2446:C5644= "6D-PM-1020-01", "No Squirrels Found")</f>
        <v>No Squirrels Found</v>
      </c>
      <c r="G2446" s="8" t="s">
        <v>34</v>
      </c>
      <c r="H2446" s="10">
        <v>10132018</v>
      </c>
      <c r="I2446" s="10">
        <v>10</v>
      </c>
      <c r="J2446" s="8" t="s">
        <v>39</v>
      </c>
      <c r="K2446" s="8" t="s">
        <v>40</v>
      </c>
      <c r="M2446" s="8" t="s">
        <v>55</v>
      </c>
      <c r="O2446" s="8" t="s">
        <v>43</v>
      </c>
      <c r="P2446" s="8" t="b">
        <v>0</v>
      </c>
      <c r="R2446" s="8" t="b">
        <v>0</v>
      </c>
      <c r="S2446" s="8" t="b">
        <v>0</v>
      </c>
      <c r="T2446" s="8" t="b">
        <v>0</v>
      </c>
      <c r="U2446" s="8" t="b">
        <v>0</v>
      </c>
      <c r="V2446" s="8" t="b">
        <v>1</v>
      </c>
      <c r="X2446" s="8" t="b">
        <v>0</v>
      </c>
      <c r="Y2446" s="8" t="b">
        <v>0</v>
      </c>
      <c r="Z2446" s="8" t="b">
        <v>0</v>
      </c>
      <c r="AA2446" s="8" t="b">
        <v>0</v>
      </c>
      <c r="AB2446" s="8" t="b">
        <v>0</v>
      </c>
      <c r="AC2446" s="8" t="b">
        <v>0</v>
      </c>
      <c r="AD2446" s="8" t="b">
        <v>0</v>
      </c>
      <c r="AE2446" s="8" t="b">
        <v>0</v>
      </c>
      <c r="AG2446" s="11" t="b" cm="1">
        <f t="array" ref="AG2446">IF(OR(Y2446:AA2446="TRUE", AE2446="true"), "Threatened")</f>
        <v>0</v>
      </c>
      <c r="AH2446" s="11" t="s">
        <v>6084</v>
      </c>
      <c r="AI2446" s="8" t="b">
        <v>1</v>
      </c>
    </row>
    <row r="2447" spans="1:35" ht="31.2">
      <c r="A2447" s="8">
        <v>-73.95227045</v>
      </c>
      <c r="B2447" s="8">
        <v>40.796566890000001</v>
      </c>
      <c r="C2447" s="8" t="s">
        <v>6085</v>
      </c>
      <c r="D2447" s="8" t="s">
        <v>3057</v>
      </c>
      <c r="E2447" s="8" t="b">
        <f t="shared" si="38"/>
        <v>0</v>
      </c>
      <c r="F2447" s="8" t="str" cm="1">
        <f t="array" ref="F2447">_xlfn._xlws.FILTER(E2447:E5645, C2447:C5645= "6D-PM-1020-01", "No Squirrels Found")</f>
        <v>No Squirrels Found</v>
      </c>
      <c r="G2447" s="8" t="s">
        <v>48</v>
      </c>
      <c r="H2447" s="10">
        <v>10132018</v>
      </c>
      <c r="I2447" s="10">
        <v>1</v>
      </c>
      <c r="J2447" s="8" t="s">
        <v>39</v>
      </c>
      <c r="K2447" s="8" t="s">
        <v>40</v>
      </c>
      <c r="L2447" s="8" t="s">
        <v>41</v>
      </c>
      <c r="M2447" s="8" t="s">
        <v>42</v>
      </c>
      <c r="O2447" s="8" t="s">
        <v>43</v>
      </c>
      <c r="P2447" s="8" t="b">
        <v>0</v>
      </c>
      <c r="R2447" s="8" t="b">
        <v>0</v>
      </c>
      <c r="S2447" s="8" t="b">
        <v>0</v>
      </c>
      <c r="T2447" s="8" t="b">
        <v>0</v>
      </c>
      <c r="U2447" s="8" t="b">
        <v>1</v>
      </c>
      <c r="V2447" s="8" t="b">
        <v>1</v>
      </c>
      <c r="X2447" s="8" t="b">
        <v>0</v>
      </c>
      <c r="Y2447" s="8" t="b">
        <v>0</v>
      </c>
      <c r="Z2447" s="8" t="b">
        <v>0</v>
      </c>
      <c r="AA2447" s="8" t="b">
        <v>0</v>
      </c>
      <c r="AB2447" s="8" t="b">
        <v>0</v>
      </c>
      <c r="AC2447" s="8" t="b">
        <v>0</v>
      </c>
      <c r="AD2447" s="8" t="b">
        <v>0</v>
      </c>
      <c r="AE2447" s="8" t="b">
        <v>1</v>
      </c>
      <c r="AG2447" s="11" t="b" cm="1">
        <f t="array" ref="AG2447">IF(OR(Y2447:AA2447="TRUE", AE2447="true"), "Threatened")</f>
        <v>0</v>
      </c>
      <c r="AH2447" s="11" t="s">
        <v>6086</v>
      </c>
      <c r="AI2447" s="8" t="b">
        <v>1</v>
      </c>
    </row>
    <row r="2448" spans="1:35" ht="31.2">
      <c r="A2448" s="8">
        <v>-73.958967099999995</v>
      </c>
      <c r="B2448" s="8">
        <v>40.7952127</v>
      </c>
      <c r="C2448" s="8" t="s">
        <v>6087</v>
      </c>
      <c r="D2448" s="8" t="s">
        <v>928</v>
      </c>
      <c r="E2448" s="8" t="b">
        <f t="shared" si="38"/>
        <v>0</v>
      </c>
      <c r="F2448" s="8" t="str" cm="1">
        <f t="array" ref="F2448">_xlfn._xlws.FILTER(E2448:E5646, C2448:C5646= "6D-PM-1020-01", "No Squirrels Found")</f>
        <v>No Squirrels Found</v>
      </c>
      <c r="G2448" s="8" t="s">
        <v>48</v>
      </c>
      <c r="H2448" s="10">
        <v>10122018</v>
      </c>
      <c r="I2448" s="10">
        <v>4</v>
      </c>
      <c r="J2448" s="8" t="s">
        <v>39</v>
      </c>
      <c r="K2448" s="8" t="s">
        <v>40</v>
      </c>
      <c r="L2448" s="8" t="s">
        <v>41</v>
      </c>
      <c r="M2448" s="8" t="s">
        <v>42</v>
      </c>
      <c r="N2448" s="11" t="s">
        <v>3350</v>
      </c>
      <c r="O2448" s="8" t="s">
        <v>43</v>
      </c>
      <c r="P2448" s="8" t="b">
        <v>0</v>
      </c>
      <c r="R2448" s="8" t="b">
        <v>0</v>
      </c>
      <c r="S2448" s="8" t="b">
        <v>0</v>
      </c>
      <c r="T2448" s="8" t="b">
        <v>0</v>
      </c>
      <c r="U2448" s="8" t="b">
        <v>0</v>
      </c>
      <c r="V2448" s="8" t="b">
        <v>1</v>
      </c>
      <c r="X2448" s="8" t="b">
        <v>0</v>
      </c>
      <c r="Y2448" s="8" t="b">
        <v>0</v>
      </c>
      <c r="Z2448" s="8" t="b">
        <v>0</v>
      </c>
      <c r="AA2448" s="8" t="b">
        <v>0</v>
      </c>
      <c r="AB2448" s="8" t="b">
        <v>0</v>
      </c>
      <c r="AC2448" s="8" t="b">
        <v>0</v>
      </c>
      <c r="AD2448" s="8" t="b">
        <v>1</v>
      </c>
      <c r="AE2448" s="8" t="b">
        <v>0</v>
      </c>
      <c r="AG2448" s="11" t="b" cm="1">
        <f t="array" ref="AG2448">IF(OR(Y2448:AA2448="TRUE", AE2448="true"), "Threatened")</f>
        <v>0</v>
      </c>
      <c r="AH2448" s="11" t="s">
        <v>6088</v>
      </c>
      <c r="AI2448" s="8" t="b">
        <v>1</v>
      </c>
    </row>
    <row r="2449" spans="1:35" ht="31.2">
      <c r="A2449" s="8">
        <v>-73.966823059999996</v>
      </c>
      <c r="B2449" s="8">
        <v>40.787063719999999</v>
      </c>
      <c r="C2449" s="8" t="s">
        <v>6089</v>
      </c>
      <c r="D2449" s="8" t="s">
        <v>6090</v>
      </c>
      <c r="E2449" s="8" t="b">
        <f t="shared" si="38"/>
        <v>0</v>
      </c>
      <c r="F2449" s="8" t="str" cm="1">
        <f t="array" ref="F2449">_xlfn._xlws.FILTER(E2449:E5647, C2449:C5647= "6D-PM-1020-01", "No Squirrels Found")</f>
        <v>No Squirrels Found</v>
      </c>
      <c r="G2449" s="8" t="s">
        <v>34</v>
      </c>
      <c r="H2449" s="10">
        <v>10072018</v>
      </c>
      <c r="I2449" s="10">
        <v>2</v>
      </c>
      <c r="J2449" s="8" t="s">
        <v>39</v>
      </c>
      <c r="K2449" s="8" t="s">
        <v>40</v>
      </c>
      <c r="L2449" s="8" t="s">
        <v>41</v>
      </c>
      <c r="M2449" s="8" t="s">
        <v>42</v>
      </c>
      <c r="O2449" s="8" t="s">
        <v>43</v>
      </c>
      <c r="P2449" s="8" t="b">
        <v>0</v>
      </c>
      <c r="R2449" s="8" t="b">
        <v>0</v>
      </c>
      <c r="S2449" s="8" t="b">
        <v>0</v>
      </c>
      <c r="T2449" s="8" t="b">
        <v>1</v>
      </c>
      <c r="U2449" s="8" t="b">
        <v>0</v>
      </c>
      <c r="V2449" s="8" t="b">
        <v>1</v>
      </c>
      <c r="X2449" s="8" t="b">
        <v>0</v>
      </c>
      <c r="Y2449" s="8" t="b">
        <v>0</v>
      </c>
      <c r="Z2449" s="8" t="b">
        <v>0</v>
      </c>
      <c r="AA2449" s="8" t="b">
        <v>0</v>
      </c>
      <c r="AB2449" s="8" t="b">
        <v>0</v>
      </c>
      <c r="AC2449" s="8" t="b">
        <v>0</v>
      </c>
      <c r="AD2449" s="8" t="b">
        <v>1</v>
      </c>
      <c r="AE2449" s="8" t="b">
        <v>0</v>
      </c>
      <c r="AG2449" s="11" t="b" cm="1">
        <f t="array" ref="AG2449">IF(OR(Y2449:AA2449="TRUE", AE2449="true"), "Threatened")</f>
        <v>0</v>
      </c>
      <c r="AH2449" s="11" t="s">
        <v>6091</v>
      </c>
      <c r="AI2449" s="8" t="b">
        <v>1</v>
      </c>
    </row>
    <row r="2450" spans="1:35" ht="31.2">
      <c r="A2450" s="8">
        <v>-73.959991149999993</v>
      </c>
      <c r="B2450" s="8">
        <v>40.791445250000002</v>
      </c>
      <c r="C2450" s="8" t="s">
        <v>6092</v>
      </c>
      <c r="D2450" s="8" t="s">
        <v>1205</v>
      </c>
      <c r="E2450" s="8" t="b">
        <f t="shared" si="38"/>
        <v>0</v>
      </c>
      <c r="F2450" s="8" t="str" cm="1">
        <f t="array" ref="F2450">_xlfn._xlws.FILTER(E2450:E5648, C2450:C5648= "6D-PM-1020-01", "No Squirrels Found")</f>
        <v>No Squirrels Found</v>
      </c>
      <c r="G2450" s="8" t="s">
        <v>48</v>
      </c>
      <c r="H2450" s="10">
        <v>10172018</v>
      </c>
      <c r="I2450" s="10">
        <v>4</v>
      </c>
      <c r="J2450" s="8" t="s">
        <v>39</v>
      </c>
      <c r="K2450" s="8" t="s">
        <v>192</v>
      </c>
      <c r="M2450" s="8" t="s">
        <v>193</v>
      </c>
      <c r="O2450" s="8" t="s">
        <v>50</v>
      </c>
      <c r="P2450" s="8">
        <v>5</v>
      </c>
      <c r="R2450" s="8" t="b">
        <v>0</v>
      </c>
      <c r="S2450" s="8" t="b">
        <v>0</v>
      </c>
      <c r="T2450" s="8" t="b">
        <v>1</v>
      </c>
      <c r="U2450" s="8" t="b">
        <v>0</v>
      </c>
      <c r="V2450" s="8" t="b">
        <v>0</v>
      </c>
      <c r="X2450" s="8" t="b">
        <v>0</v>
      </c>
      <c r="Y2450" s="8" t="b">
        <v>0</v>
      </c>
      <c r="Z2450" s="8" t="b">
        <v>0</v>
      </c>
      <c r="AA2450" s="8" t="b">
        <v>0</v>
      </c>
      <c r="AB2450" s="8" t="b">
        <v>1</v>
      </c>
      <c r="AC2450" s="8" t="b">
        <v>0</v>
      </c>
      <c r="AD2450" s="8" t="b">
        <v>0</v>
      </c>
      <c r="AE2450" s="8" t="b">
        <v>1</v>
      </c>
      <c r="AG2450" s="11" t="b" cm="1">
        <f t="array" ref="AG2450">IF(OR(Y2450:AA2450="TRUE", AE2450="true"), "Threatened")</f>
        <v>0</v>
      </c>
      <c r="AH2450" s="11" t="s">
        <v>6093</v>
      </c>
      <c r="AI2450" s="8" t="b">
        <v>1</v>
      </c>
    </row>
    <row r="2451" spans="1:35" ht="31.2">
      <c r="A2451" s="8">
        <v>-73.975627329999995</v>
      </c>
      <c r="B2451" s="8">
        <v>40.770653920000001</v>
      </c>
      <c r="C2451" s="8" t="s">
        <v>6094</v>
      </c>
      <c r="D2451" s="8" t="s">
        <v>734</v>
      </c>
      <c r="E2451" s="8" t="b">
        <f t="shared" si="38"/>
        <v>0</v>
      </c>
      <c r="F2451" s="8" t="str" cm="1">
        <f t="array" ref="F2451">_xlfn._xlws.FILTER(E2451:E5649, C2451:C5649= "6D-PM-1020-01", "No Squirrels Found")</f>
        <v>No Squirrels Found</v>
      </c>
      <c r="G2451" s="8" t="s">
        <v>48</v>
      </c>
      <c r="H2451" s="10">
        <v>10082018</v>
      </c>
      <c r="I2451" s="10">
        <v>4</v>
      </c>
      <c r="J2451" s="8" t="s">
        <v>39</v>
      </c>
      <c r="K2451" s="8" t="s">
        <v>40</v>
      </c>
      <c r="M2451" s="8" t="s">
        <v>55</v>
      </c>
      <c r="O2451" s="8" t="s">
        <v>50</v>
      </c>
      <c r="R2451" s="8" t="b">
        <v>0</v>
      </c>
      <c r="S2451" s="8" t="b">
        <v>0</v>
      </c>
      <c r="T2451" s="8" t="b">
        <v>1</v>
      </c>
      <c r="U2451" s="8" t="b">
        <v>0</v>
      </c>
      <c r="V2451" s="8" t="b">
        <v>0</v>
      </c>
      <c r="X2451" s="8" t="b">
        <v>0</v>
      </c>
      <c r="Y2451" s="8" t="b">
        <v>0</v>
      </c>
      <c r="Z2451" s="8" t="b">
        <v>0</v>
      </c>
      <c r="AA2451" s="8" t="b">
        <v>0</v>
      </c>
      <c r="AB2451" s="8" t="b">
        <v>0</v>
      </c>
      <c r="AC2451" s="8" t="b">
        <v>0</v>
      </c>
      <c r="AD2451" s="8" t="b">
        <v>0</v>
      </c>
      <c r="AE2451" s="8" t="b">
        <v>0</v>
      </c>
      <c r="AG2451" s="11" t="b" cm="1">
        <f t="array" ref="AG2451">IF(OR(Y2451:AA2451="TRUE", AE2451="true"), "Threatened")</f>
        <v>0</v>
      </c>
      <c r="AH2451" s="11" t="s">
        <v>6095</v>
      </c>
      <c r="AI2451" s="8" t="b">
        <v>1</v>
      </c>
    </row>
    <row r="2452" spans="1:35" ht="31.2">
      <c r="A2452" s="8">
        <v>-73.977586520000003</v>
      </c>
      <c r="B2452" s="8">
        <v>40.770492830000002</v>
      </c>
      <c r="C2452" s="8" t="s">
        <v>6096</v>
      </c>
      <c r="D2452" s="8" t="s">
        <v>109</v>
      </c>
      <c r="E2452" s="8" t="b">
        <f t="shared" si="38"/>
        <v>0</v>
      </c>
      <c r="F2452" s="8" t="str" cm="1">
        <f t="array" ref="F2452">_xlfn._xlws.FILTER(E2452:E5650, C2452:C5650= "6D-PM-1020-01", "No Squirrels Found")</f>
        <v>No Squirrels Found</v>
      </c>
      <c r="G2452" s="8" t="s">
        <v>34</v>
      </c>
      <c r="H2452" s="10">
        <v>10102018</v>
      </c>
      <c r="I2452" s="10">
        <v>1</v>
      </c>
      <c r="J2452" s="8" t="s">
        <v>39</v>
      </c>
      <c r="K2452" s="8" t="s">
        <v>41</v>
      </c>
      <c r="L2452" s="8" t="s">
        <v>135</v>
      </c>
      <c r="M2452" s="8" t="s">
        <v>136</v>
      </c>
      <c r="O2452" s="8" t="s">
        <v>43</v>
      </c>
      <c r="P2452" s="8" t="b">
        <v>0</v>
      </c>
      <c r="R2452" s="8" t="b">
        <v>0</v>
      </c>
      <c r="S2452" s="8" t="b">
        <v>0</v>
      </c>
      <c r="T2452" s="8" t="b">
        <v>0</v>
      </c>
      <c r="U2452" s="8" t="b">
        <v>1</v>
      </c>
      <c r="V2452" s="8" t="b">
        <v>1</v>
      </c>
      <c r="X2452" s="8" t="b">
        <v>0</v>
      </c>
      <c r="Y2452" s="8" t="b">
        <v>0</v>
      </c>
      <c r="Z2452" s="8" t="b">
        <v>0</v>
      </c>
      <c r="AA2452" s="8" t="b">
        <v>0</v>
      </c>
      <c r="AB2452" s="8" t="b">
        <v>0</v>
      </c>
      <c r="AC2452" s="8" t="b">
        <v>0</v>
      </c>
      <c r="AD2452" s="8" t="b">
        <v>1</v>
      </c>
      <c r="AE2452" s="8" t="b">
        <v>0</v>
      </c>
      <c r="AG2452" s="11" t="b" cm="1">
        <f t="array" ref="AG2452">IF(OR(Y2452:AA2452="TRUE", AE2452="true"), "Threatened")</f>
        <v>0</v>
      </c>
      <c r="AH2452" s="11" t="s">
        <v>6097</v>
      </c>
      <c r="AI2452" s="8" t="b">
        <v>1</v>
      </c>
    </row>
    <row r="2453" spans="1:35" ht="31.2">
      <c r="A2453" s="8">
        <v>-73.972732379999997</v>
      </c>
      <c r="B2453" s="8">
        <v>40.766903550000002</v>
      </c>
      <c r="C2453" s="8" t="s">
        <v>6098</v>
      </c>
      <c r="D2453" s="8" t="s">
        <v>1902</v>
      </c>
      <c r="E2453" s="8" t="b">
        <f t="shared" si="38"/>
        <v>0</v>
      </c>
      <c r="F2453" s="8" t="str" cm="1">
        <f t="array" ref="F2453">_xlfn._xlws.FILTER(E2453:E5651, C2453:C5651= "6D-PM-1020-01", "No Squirrels Found")</f>
        <v>No Squirrels Found</v>
      </c>
      <c r="G2453" s="8" t="s">
        <v>48</v>
      </c>
      <c r="H2453" s="10">
        <v>10082018</v>
      </c>
      <c r="I2453" s="10">
        <v>3</v>
      </c>
      <c r="J2453" s="8" t="s">
        <v>39</v>
      </c>
      <c r="K2453" s="8" t="s">
        <v>40</v>
      </c>
      <c r="M2453" s="8" t="s">
        <v>55</v>
      </c>
      <c r="O2453" s="8" t="s">
        <v>50</v>
      </c>
      <c r="P2453" s="8">
        <v>40</v>
      </c>
      <c r="Q2453" s="8" t="s">
        <v>6099</v>
      </c>
      <c r="R2453" s="8" t="b">
        <v>0</v>
      </c>
      <c r="S2453" s="8" t="b">
        <v>0</v>
      </c>
      <c r="T2453" s="8" t="b">
        <v>1</v>
      </c>
      <c r="U2453" s="8" t="b">
        <v>0</v>
      </c>
      <c r="V2453" s="8" t="b">
        <v>0</v>
      </c>
      <c r="X2453" s="8" t="b">
        <v>0</v>
      </c>
      <c r="Y2453" s="8" t="b">
        <v>0</v>
      </c>
      <c r="Z2453" s="8" t="b">
        <v>0</v>
      </c>
      <c r="AA2453" s="8" t="b">
        <v>0</v>
      </c>
      <c r="AB2453" s="8" t="b">
        <v>0</v>
      </c>
      <c r="AC2453" s="8" t="b">
        <v>0</v>
      </c>
      <c r="AD2453" s="8" t="b">
        <v>1</v>
      </c>
      <c r="AE2453" s="8" t="b">
        <v>0</v>
      </c>
      <c r="AG2453" s="11" t="b" cm="1">
        <f t="array" ref="AG2453">IF(OR(Y2453:AA2453="TRUE", AE2453="true"), "Threatened")</f>
        <v>0</v>
      </c>
      <c r="AH2453" s="11" t="s">
        <v>6100</v>
      </c>
      <c r="AI2453" s="8" t="b">
        <v>1</v>
      </c>
    </row>
    <row r="2454" spans="1:35" ht="31.2">
      <c r="A2454" s="8">
        <v>-73.975610520000004</v>
      </c>
      <c r="B2454" s="8">
        <v>40.7696532</v>
      </c>
      <c r="C2454" s="8" t="s">
        <v>6101</v>
      </c>
      <c r="D2454" s="8" t="s">
        <v>53</v>
      </c>
      <c r="E2454" s="8" t="b">
        <f t="shared" si="38"/>
        <v>1</v>
      </c>
      <c r="F2454" s="8" t="str" cm="1">
        <f t="array" ref="F2454">_xlfn._xlws.FILTER(E2454:E5652, C2454:C5652= "6D-PM-1020-01", "No Squirrels Found")</f>
        <v>No Squirrels Found</v>
      </c>
      <c r="G2454" s="8" t="s">
        <v>48</v>
      </c>
      <c r="H2454" s="10">
        <v>10202018</v>
      </c>
      <c r="I2454" s="10">
        <v>3</v>
      </c>
      <c r="J2454" s="8" t="s">
        <v>39</v>
      </c>
      <c r="K2454" s="8" t="s">
        <v>41</v>
      </c>
      <c r="L2454" s="8" t="s">
        <v>192</v>
      </c>
      <c r="M2454" s="8" t="s">
        <v>1145</v>
      </c>
      <c r="O2454" s="8" t="s">
        <v>43</v>
      </c>
      <c r="P2454" s="8" t="b">
        <v>0</v>
      </c>
      <c r="R2454" s="8" t="b">
        <v>0</v>
      </c>
      <c r="S2454" s="8" t="b">
        <v>0</v>
      </c>
      <c r="T2454" s="8" t="b">
        <v>0</v>
      </c>
      <c r="U2454" s="8" t="b">
        <v>0</v>
      </c>
      <c r="V2454" s="8" t="b">
        <v>1</v>
      </c>
      <c r="X2454" s="8" t="b">
        <v>0</v>
      </c>
      <c r="Y2454" s="8" t="b">
        <v>0</v>
      </c>
      <c r="Z2454" s="8" t="b">
        <v>0</v>
      </c>
      <c r="AA2454" s="8" t="b">
        <v>0</v>
      </c>
      <c r="AB2454" s="8" t="b">
        <v>0</v>
      </c>
      <c r="AC2454" s="8" t="b">
        <v>1</v>
      </c>
      <c r="AD2454" s="8" t="b">
        <v>0</v>
      </c>
      <c r="AE2454" s="8" t="b">
        <v>0</v>
      </c>
      <c r="AG2454" s="11" t="b" cm="1">
        <f t="array" ref="AG2454">IF(OR(Y2454:AA2454="TRUE", AE2454="true"), "Threatened")</f>
        <v>0</v>
      </c>
      <c r="AH2454" s="11" t="s">
        <v>6102</v>
      </c>
      <c r="AI2454" s="8" t="b">
        <v>1</v>
      </c>
    </row>
    <row r="2455" spans="1:35" ht="31.2">
      <c r="A2455" s="8">
        <v>-73.956515170000003</v>
      </c>
      <c r="B2455" s="8">
        <v>40.7946648</v>
      </c>
      <c r="C2455" s="8" t="s">
        <v>6103</v>
      </c>
      <c r="D2455" s="8" t="s">
        <v>38</v>
      </c>
      <c r="E2455" s="8" t="b">
        <f t="shared" si="38"/>
        <v>0</v>
      </c>
      <c r="F2455" s="8" t="str" cm="1">
        <f t="array" ref="F2455">_xlfn._xlws.FILTER(E2455:E5653, C2455:C5653= "6D-PM-1020-01", "No Squirrels Found")</f>
        <v>No Squirrels Found</v>
      </c>
      <c r="G2455" s="8" t="s">
        <v>34</v>
      </c>
      <c r="H2455" s="10">
        <v>10062018</v>
      </c>
      <c r="I2455" s="10">
        <v>7</v>
      </c>
      <c r="J2455" s="8" t="s">
        <v>39</v>
      </c>
      <c r="K2455" s="8" t="s">
        <v>41</v>
      </c>
      <c r="L2455" s="8" t="s">
        <v>40</v>
      </c>
      <c r="M2455" s="8" t="s">
        <v>110</v>
      </c>
      <c r="O2455" s="8" t="s">
        <v>43</v>
      </c>
      <c r="P2455" s="8" t="b">
        <v>0</v>
      </c>
      <c r="R2455" s="8" t="b">
        <v>1</v>
      </c>
      <c r="S2455" s="8" t="b">
        <v>0</v>
      </c>
      <c r="T2455" s="8" t="b">
        <v>0</v>
      </c>
      <c r="U2455" s="8" t="b">
        <v>0</v>
      </c>
      <c r="V2455" s="8" t="b">
        <v>0</v>
      </c>
      <c r="X2455" s="8" t="b">
        <v>0</v>
      </c>
      <c r="Y2455" s="8" t="b">
        <v>0</v>
      </c>
      <c r="Z2455" s="8" t="b">
        <v>0</v>
      </c>
      <c r="AA2455" s="8" t="b">
        <v>0</v>
      </c>
      <c r="AB2455" s="8" t="b">
        <v>1</v>
      </c>
      <c r="AC2455" s="8" t="b">
        <v>0</v>
      </c>
      <c r="AD2455" s="8" t="b">
        <v>0</v>
      </c>
      <c r="AE2455" s="8" t="b">
        <v>1</v>
      </c>
      <c r="AF2455" s="11" t="s">
        <v>44</v>
      </c>
      <c r="AG2455" s="11" t="b" cm="1">
        <f t="array" ref="AG2455">IF(OR(Y2455:AA2455="TRUE", AE2455="true"), "Threatened")</f>
        <v>0</v>
      </c>
      <c r="AH2455" s="11" t="s">
        <v>6104</v>
      </c>
      <c r="AI2455" s="8" t="b">
        <v>1</v>
      </c>
    </row>
    <row r="2456" spans="1:35" ht="31.2">
      <c r="A2456" s="8">
        <v>-73.957729720000003</v>
      </c>
      <c r="B2456" s="8">
        <v>40.799225300000003</v>
      </c>
      <c r="C2456" s="8" t="s">
        <v>6105</v>
      </c>
      <c r="D2456" s="8" t="s">
        <v>382</v>
      </c>
      <c r="E2456" s="8" t="b">
        <f t="shared" si="38"/>
        <v>0</v>
      </c>
      <c r="F2456" s="8" t="str" cm="1">
        <f t="array" ref="F2456">_xlfn._xlws.FILTER(E2456:E5654, C2456:C5654= "6D-PM-1020-01", "No Squirrels Found")</f>
        <v>No Squirrels Found</v>
      </c>
      <c r="G2456" s="8" t="s">
        <v>48</v>
      </c>
      <c r="H2456" s="10">
        <v>10102018</v>
      </c>
      <c r="I2456" s="10">
        <v>8</v>
      </c>
      <c r="J2456" s="8" t="s">
        <v>39</v>
      </c>
      <c r="K2456" s="8" t="s">
        <v>41</v>
      </c>
      <c r="L2456" s="8" t="s">
        <v>135</v>
      </c>
      <c r="M2456" s="8" t="s">
        <v>136</v>
      </c>
      <c r="O2456" s="8" t="s">
        <v>50</v>
      </c>
      <c r="P2456" s="8">
        <v>20</v>
      </c>
      <c r="R2456" s="8" t="b">
        <v>0</v>
      </c>
      <c r="S2456" s="8" t="b">
        <v>0</v>
      </c>
      <c r="T2456" s="8" t="b">
        <v>1</v>
      </c>
      <c r="U2456" s="8" t="b">
        <v>1</v>
      </c>
      <c r="V2456" s="8" t="b">
        <v>0</v>
      </c>
      <c r="X2456" s="8" t="b">
        <v>0</v>
      </c>
      <c r="Y2456" s="8" t="b">
        <v>0</v>
      </c>
      <c r="Z2456" s="8" t="b">
        <v>0</v>
      </c>
      <c r="AA2456" s="8" t="b">
        <v>0</v>
      </c>
      <c r="AB2456" s="8" t="b">
        <v>0</v>
      </c>
      <c r="AC2456" s="8" t="b">
        <v>1</v>
      </c>
      <c r="AD2456" s="8" t="b">
        <v>0</v>
      </c>
      <c r="AE2456" s="8" t="b">
        <v>0</v>
      </c>
      <c r="AG2456" s="11" t="b" cm="1">
        <f t="array" ref="AG2456">IF(OR(Y2456:AA2456="TRUE", AE2456="true"), "Threatened")</f>
        <v>0</v>
      </c>
      <c r="AH2456" s="11" t="s">
        <v>6106</v>
      </c>
      <c r="AI2456" s="8" t="b">
        <v>1</v>
      </c>
    </row>
    <row r="2457" spans="1:35" ht="31.2">
      <c r="A2457" s="8">
        <v>-73.969844640000005</v>
      </c>
      <c r="B2457" s="8">
        <v>40.784260719999999</v>
      </c>
      <c r="C2457" s="8" t="s">
        <v>6107</v>
      </c>
      <c r="D2457" s="8" t="s">
        <v>313</v>
      </c>
      <c r="E2457" s="8" t="b">
        <f t="shared" si="38"/>
        <v>0</v>
      </c>
      <c r="F2457" s="8" t="str" cm="1">
        <f t="array" ref="F2457">_xlfn._xlws.FILTER(E2457:E5655, C2457:C5655= "6D-PM-1020-01", "No Squirrels Found")</f>
        <v>No Squirrels Found</v>
      </c>
      <c r="G2457" s="8" t="s">
        <v>48</v>
      </c>
      <c r="H2457" s="10">
        <v>10082018</v>
      </c>
      <c r="I2457" s="10">
        <v>1</v>
      </c>
      <c r="J2457" s="8" t="s">
        <v>39</v>
      </c>
      <c r="K2457" s="8" t="s">
        <v>40</v>
      </c>
      <c r="L2457" s="8" t="s">
        <v>41</v>
      </c>
      <c r="M2457" s="8" t="s">
        <v>42</v>
      </c>
      <c r="O2457" s="8" t="s">
        <v>50</v>
      </c>
      <c r="P2457" s="8">
        <v>4</v>
      </c>
      <c r="Q2457" s="8" t="s">
        <v>760</v>
      </c>
      <c r="R2457" s="8" t="b">
        <v>0</v>
      </c>
      <c r="S2457" s="8" t="b">
        <v>0</v>
      </c>
      <c r="T2457" s="8" t="b">
        <v>0</v>
      </c>
      <c r="U2457" s="8" t="b">
        <v>1</v>
      </c>
      <c r="V2457" s="8" t="b">
        <v>0</v>
      </c>
      <c r="X2457" s="8" t="b">
        <v>0</v>
      </c>
      <c r="Y2457" s="8" t="b">
        <v>0</v>
      </c>
      <c r="Z2457" s="8" t="b">
        <v>0</v>
      </c>
      <c r="AA2457" s="8" t="b">
        <v>0</v>
      </c>
      <c r="AB2457" s="8" t="b">
        <v>0</v>
      </c>
      <c r="AC2457" s="8" t="b">
        <v>0</v>
      </c>
      <c r="AD2457" s="8" t="b">
        <v>0</v>
      </c>
      <c r="AE2457" s="8" t="b">
        <v>0</v>
      </c>
      <c r="AG2457" s="11" t="b" cm="1">
        <f t="array" ref="AG2457">IF(OR(Y2457:AA2457="TRUE", AE2457="true"), "Threatened")</f>
        <v>0</v>
      </c>
      <c r="AH2457" s="11" t="s">
        <v>6108</v>
      </c>
      <c r="AI2457" s="8" t="b">
        <v>1</v>
      </c>
    </row>
    <row r="2458" spans="1:35" ht="31.2">
      <c r="A2458" s="8">
        <v>-73.956989660000005</v>
      </c>
      <c r="B2458" s="8">
        <v>40.791191449999999</v>
      </c>
      <c r="C2458" s="8" t="s">
        <v>6109</v>
      </c>
      <c r="D2458" s="8" t="s">
        <v>533</v>
      </c>
      <c r="E2458" s="8" t="b">
        <f t="shared" si="38"/>
        <v>0</v>
      </c>
      <c r="F2458" s="8" t="str" cm="1">
        <f t="array" ref="F2458">_xlfn._xlws.FILTER(E2458:E5656, C2458:C5656= "6D-PM-1020-01", "No Squirrels Found")</f>
        <v>No Squirrels Found</v>
      </c>
      <c r="G2458" s="8" t="s">
        <v>34</v>
      </c>
      <c r="H2458" s="10">
        <v>10062018</v>
      </c>
      <c r="I2458" s="10">
        <v>2</v>
      </c>
      <c r="J2458" s="8" t="s">
        <v>39</v>
      </c>
      <c r="K2458" s="8" t="s">
        <v>40</v>
      </c>
      <c r="M2458" s="8" t="s">
        <v>55</v>
      </c>
      <c r="N2458" s="11" t="s">
        <v>6110</v>
      </c>
      <c r="O2458" s="8" t="s">
        <v>43</v>
      </c>
      <c r="P2458" s="8" t="b">
        <v>0</v>
      </c>
      <c r="R2458" s="8" t="b">
        <v>1</v>
      </c>
      <c r="S2458" s="8" t="b">
        <v>0</v>
      </c>
      <c r="T2458" s="8" t="b">
        <v>0</v>
      </c>
      <c r="U2458" s="8" t="b">
        <v>0</v>
      </c>
      <c r="V2458" s="8" t="b">
        <v>0</v>
      </c>
      <c r="X2458" s="8" t="b">
        <v>0</v>
      </c>
      <c r="Y2458" s="8" t="b">
        <v>0</v>
      </c>
      <c r="Z2458" s="8" t="b">
        <v>0</v>
      </c>
      <c r="AA2458" s="8" t="b">
        <v>0</v>
      </c>
      <c r="AB2458" s="8" t="b">
        <v>0</v>
      </c>
      <c r="AC2458" s="8" t="b">
        <v>0</v>
      </c>
      <c r="AD2458" s="8" t="b">
        <v>0</v>
      </c>
      <c r="AE2458" s="8" t="b">
        <v>0</v>
      </c>
      <c r="AF2458" s="11" t="s">
        <v>6111</v>
      </c>
      <c r="AG2458" s="11" t="b" cm="1">
        <f t="array" ref="AG2458">IF(OR(Y2458:AA2458="TRUE", AE2458="true"), "Threatened")</f>
        <v>0</v>
      </c>
      <c r="AH2458" s="11" t="s">
        <v>6112</v>
      </c>
      <c r="AI2458" s="8" t="b">
        <v>1</v>
      </c>
    </row>
    <row r="2459" spans="1:35" ht="31.2">
      <c r="A2459" s="8">
        <v>-73.969517499999995</v>
      </c>
      <c r="B2459" s="8">
        <v>40.782074129999998</v>
      </c>
      <c r="C2459" s="8" t="s">
        <v>6113</v>
      </c>
      <c r="D2459" s="8" t="s">
        <v>102</v>
      </c>
      <c r="E2459" s="8" t="b">
        <f t="shared" si="38"/>
        <v>0</v>
      </c>
      <c r="F2459" s="8" t="str" cm="1">
        <f t="array" ref="F2459">_xlfn._xlws.FILTER(E2459:E5657, C2459:C5657= "6D-PM-1020-01", "No Squirrels Found")</f>
        <v>No Squirrels Found</v>
      </c>
      <c r="G2459" s="8" t="s">
        <v>34</v>
      </c>
      <c r="H2459" s="10">
        <v>10132018</v>
      </c>
      <c r="I2459" s="10">
        <v>2</v>
      </c>
      <c r="J2459" s="8" t="s">
        <v>39</v>
      </c>
      <c r="K2459" s="8" t="s">
        <v>40</v>
      </c>
      <c r="L2459" s="8" t="s">
        <v>84</v>
      </c>
      <c r="M2459" s="8" t="s">
        <v>103</v>
      </c>
      <c r="O2459" s="8" t="s">
        <v>43</v>
      </c>
      <c r="P2459" s="8" t="b">
        <v>0</v>
      </c>
      <c r="R2459" s="8" t="b">
        <v>0</v>
      </c>
      <c r="S2459" s="8" t="b">
        <v>0</v>
      </c>
      <c r="T2459" s="8" t="b">
        <v>0</v>
      </c>
      <c r="U2459" s="8" t="b">
        <v>0</v>
      </c>
      <c r="V2459" s="8" t="b">
        <v>1</v>
      </c>
      <c r="X2459" s="8" t="b">
        <v>0</v>
      </c>
      <c r="Y2459" s="8" t="b">
        <v>0</v>
      </c>
      <c r="Z2459" s="8" t="b">
        <v>0</v>
      </c>
      <c r="AA2459" s="8" t="b">
        <v>0</v>
      </c>
      <c r="AB2459" s="8" t="b">
        <v>0</v>
      </c>
      <c r="AC2459" s="8" t="b">
        <v>0</v>
      </c>
      <c r="AD2459" s="8" t="b">
        <v>0</v>
      </c>
      <c r="AE2459" s="8" t="b">
        <v>0</v>
      </c>
      <c r="AG2459" s="11" t="b" cm="1">
        <f t="array" ref="AG2459">IF(OR(Y2459:AA2459="TRUE", AE2459="true"), "Threatened")</f>
        <v>0</v>
      </c>
      <c r="AH2459" s="11" t="s">
        <v>6114</v>
      </c>
      <c r="AI2459" s="8" t="b">
        <v>1</v>
      </c>
    </row>
    <row r="2460" spans="1:35" ht="31.2">
      <c r="A2460" s="8">
        <v>-73.967915629999993</v>
      </c>
      <c r="B2460" s="8">
        <v>40.774526940000001</v>
      </c>
      <c r="C2460" s="8" t="s">
        <v>6115</v>
      </c>
      <c r="D2460" s="8" t="s">
        <v>205</v>
      </c>
      <c r="E2460" s="8" t="b">
        <f t="shared" si="38"/>
        <v>0</v>
      </c>
      <c r="F2460" s="8" t="str" cm="1">
        <f t="array" ref="F2460">_xlfn._xlws.FILTER(E2460:E5658, C2460:C5658= "6D-PM-1020-01", "No Squirrels Found")</f>
        <v>No Squirrels Found</v>
      </c>
      <c r="G2460" s="8" t="s">
        <v>34</v>
      </c>
      <c r="H2460" s="10">
        <v>10102018</v>
      </c>
      <c r="I2460" s="10">
        <v>6</v>
      </c>
      <c r="J2460" s="8" t="s">
        <v>39</v>
      </c>
      <c r="K2460" s="8" t="s">
        <v>40</v>
      </c>
      <c r="M2460" s="8" t="s">
        <v>55</v>
      </c>
      <c r="O2460" s="8" t="s">
        <v>43</v>
      </c>
      <c r="P2460" s="8" t="b">
        <v>0</v>
      </c>
      <c r="R2460" s="8" t="b">
        <v>0</v>
      </c>
      <c r="S2460" s="8" t="b">
        <v>0</v>
      </c>
      <c r="T2460" s="8" t="b">
        <v>0</v>
      </c>
      <c r="U2460" s="8" t="b">
        <v>0</v>
      </c>
      <c r="V2460" s="8" t="b">
        <v>1</v>
      </c>
      <c r="X2460" s="8" t="b">
        <v>0</v>
      </c>
      <c r="Y2460" s="8" t="b">
        <v>0</v>
      </c>
      <c r="Z2460" s="8" t="b">
        <v>0</v>
      </c>
      <c r="AA2460" s="8" t="b">
        <v>0</v>
      </c>
      <c r="AB2460" s="8" t="b">
        <v>0</v>
      </c>
      <c r="AC2460" s="8" t="b">
        <v>0</v>
      </c>
      <c r="AD2460" s="8" t="b">
        <v>1</v>
      </c>
      <c r="AE2460" s="8" t="b">
        <v>0</v>
      </c>
      <c r="AG2460" s="11" t="b" cm="1">
        <f t="array" ref="AG2460">IF(OR(Y2460:AA2460="TRUE", AE2460="true"), "Threatened")</f>
        <v>0</v>
      </c>
      <c r="AH2460" s="11" t="s">
        <v>6116</v>
      </c>
      <c r="AI2460" s="8" t="b">
        <v>1</v>
      </c>
    </row>
    <row r="2461" spans="1:35" ht="31.2">
      <c r="A2461" s="8">
        <v>-73.952668110000005</v>
      </c>
      <c r="B2461" s="8">
        <v>40.797701199999999</v>
      </c>
      <c r="C2461" s="8" t="s">
        <v>6117</v>
      </c>
      <c r="D2461" s="8" t="s">
        <v>1368</v>
      </c>
      <c r="E2461" s="8" t="b">
        <f t="shared" si="38"/>
        <v>0</v>
      </c>
      <c r="F2461" s="8" t="str" cm="1">
        <f t="array" ref="F2461">_xlfn._xlws.FILTER(E2461:E5659, C2461:C5659= "6D-PM-1020-01", "No Squirrels Found")</f>
        <v>No Squirrels Found</v>
      </c>
      <c r="G2461" s="8" t="s">
        <v>34</v>
      </c>
      <c r="H2461" s="10">
        <v>10172018</v>
      </c>
      <c r="I2461" s="10">
        <v>1</v>
      </c>
      <c r="J2461" s="8" t="s">
        <v>39</v>
      </c>
      <c r="K2461" s="8" t="s">
        <v>40</v>
      </c>
      <c r="L2461" s="8" t="s">
        <v>117</v>
      </c>
      <c r="M2461" s="8" t="s">
        <v>118</v>
      </c>
      <c r="O2461" s="8" t="s">
        <v>43</v>
      </c>
      <c r="P2461" s="8" t="b">
        <v>0</v>
      </c>
      <c r="R2461" s="8" t="b">
        <v>1</v>
      </c>
      <c r="S2461" s="8" t="b">
        <v>0</v>
      </c>
      <c r="T2461" s="8" t="b">
        <v>0</v>
      </c>
      <c r="U2461" s="8" t="b">
        <v>0</v>
      </c>
      <c r="V2461" s="8" t="b">
        <v>0</v>
      </c>
      <c r="W2461" s="11" t="s">
        <v>1369</v>
      </c>
      <c r="X2461" s="8" t="b">
        <v>0</v>
      </c>
      <c r="Y2461" s="8" t="b">
        <v>0</v>
      </c>
      <c r="Z2461" s="8" t="b">
        <v>0</v>
      </c>
      <c r="AA2461" s="8" t="b">
        <v>0</v>
      </c>
      <c r="AB2461" s="8" t="b">
        <v>0</v>
      </c>
      <c r="AC2461" s="8" t="b">
        <v>0</v>
      </c>
      <c r="AD2461" s="8" t="b">
        <v>1</v>
      </c>
      <c r="AE2461" s="8" t="b">
        <v>0</v>
      </c>
      <c r="AG2461" s="11" t="b" cm="1">
        <f t="array" ref="AG2461">IF(OR(Y2461:AA2461="TRUE", AE2461="true"), "Threatened")</f>
        <v>0</v>
      </c>
      <c r="AH2461" s="11" t="s">
        <v>6118</v>
      </c>
      <c r="AI2461" s="8" t="b">
        <v>0</v>
      </c>
    </row>
    <row r="2462" spans="1:35" ht="31.2">
      <c r="A2462" s="8">
        <v>-73.960534749999994</v>
      </c>
      <c r="B2462" s="8">
        <v>40.794207540000002</v>
      </c>
      <c r="C2462" s="8" t="s">
        <v>6119</v>
      </c>
      <c r="D2462" s="8" t="s">
        <v>434</v>
      </c>
      <c r="E2462" s="8" t="b">
        <f t="shared" si="38"/>
        <v>0</v>
      </c>
      <c r="F2462" s="8" t="str" cm="1">
        <f t="array" ref="F2462">_xlfn._xlws.FILTER(E2462:E5660, C2462:C5660= "6D-PM-1020-01", "No Squirrels Found")</f>
        <v>No Squirrels Found</v>
      </c>
      <c r="G2462" s="8" t="s">
        <v>48</v>
      </c>
      <c r="H2462" s="10">
        <v>10102018</v>
      </c>
      <c r="I2462" s="10">
        <v>4</v>
      </c>
      <c r="J2462" s="8" t="s">
        <v>39</v>
      </c>
      <c r="K2462" s="8" t="s">
        <v>41</v>
      </c>
      <c r="L2462" s="8" t="s">
        <v>40</v>
      </c>
      <c r="M2462" s="8" t="s">
        <v>110</v>
      </c>
      <c r="O2462" s="8" t="s">
        <v>43</v>
      </c>
      <c r="P2462" s="8" t="b">
        <v>0</v>
      </c>
      <c r="Q2462" s="8" t="s">
        <v>435</v>
      </c>
      <c r="R2462" s="8" t="b">
        <v>0</v>
      </c>
      <c r="S2462" s="8" t="b">
        <v>0</v>
      </c>
      <c r="T2462" s="8" t="b">
        <v>0</v>
      </c>
      <c r="U2462" s="8" t="b">
        <v>0</v>
      </c>
      <c r="V2462" s="8" t="b">
        <v>1</v>
      </c>
      <c r="X2462" s="8" t="b">
        <v>0</v>
      </c>
      <c r="Y2462" s="8" t="b">
        <v>0</v>
      </c>
      <c r="Z2462" s="8" t="b">
        <v>0</v>
      </c>
      <c r="AA2462" s="8" t="b">
        <v>0</v>
      </c>
      <c r="AB2462" s="8" t="b">
        <v>0</v>
      </c>
      <c r="AC2462" s="8" t="b">
        <v>0</v>
      </c>
      <c r="AD2462" s="8" t="b">
        <v>1</v>
      </c>
      <c r="AE2462" s="8" t="b">
        <v>0</v>
      </c>
      <c r="AG2462" s="11" t="b" cm="1">
        <f t="array" ref="AG2462">IF(OR(Y2462:AA2462="TRUE", AE2462="true"), "Threatened")</f>
        <v>0</v>
      </c>
      <c r="AH2462" s="11" t="s">
        <v>6120</v>
      </c>
      <c r="AI2462" s="8" t="b">
        <v>1</v>
      </c>
    </row>
    <row r="2463" spans="1:35" ht="31.2">
      <c r="A2463" s="8">
        <v>-73.976854450000005</v>
      </c>
      <c r="B2463" s="8">
        <v>40.76800695</v>
      </c>
      <c r="C2463" s="8" t="s">
        <v>6121</v>
      </c>
      <c r="D2463" s="8" t="s">
        <v>512</v>
      </c>
      <c r="E2463" s="8" t="b">
        <f t="shared" si="38"/>
        <v>0</v>
      </c>
      <c r="F2463" s="8" t="str" cm="1">
        <f t="array" ref="F2463">_xlfn._xlws.FILTER(E2463:E5661, C2463:C5661= "6D-PM-1020-01", "No Squirrels Found")</f>
        <v>No Squirrels Found</v>
      </c>
      <c r="G2463" s="8" t="s">
        <v>48</v>
      </c>
      <c r="H2463" s="10">
        <v>10062018</v>
      </c>
      <c r="I2463" s="10">
        <v>7</v>
      </c>
      <c r="J2463" s="8" t="s">
        <v>39</v>
      </c>
      <c r="K2463" s="8" t="s">
        <v>41</v>
      </c>
      <c r="L2463" s="8" t="s">
        <v>40</v>
      </c>
      <c r="M2463" s="8" t="s">
        <v>110</v>
      </c>
      <c r="O2463" s="8" t="s">
        <v>43</v>
      </c>
      <c r="P2463" s="8" t="b">
        <v>0</v>
      </c>
      <c r="R2463" s="8" t="b">
        <v>1</v>
      </c>
      <c r="S2463" s="8" t="b">
        <v>0</v>
      </c>
      <c r="T2463" s="8" t="b">
        <v>0</v>
      </c>
      <c r="U2463" s="8" t="b">
        <v>0</v>
      </c>
      <c r="V2463" s="8" t="b">
        <v>0</v>
      </c>
      <c r="W2463" s="11" t="s">
        <v>6122</v>
      </c>
      <c r="X2463" s="8" t="b">
        <v>0</v>
      </c>
      <c r="Y2463" s="8" t="b">
        <v>0</v>
      </c>
      <c r="Z2463" s="8" t="b">
        <v>0</v>
      </c>
      <c r="AA2463" s="8" t="b">
        <v>0</v>
      </c>
      <c r="AB2463" s="8" t="b">
        <v>0</v>
      </c>
      <c r="AC2463" s="8" t="b">
        <v>0</v>
      </c>
      <c r="AD2463" s="8" t="b">
        <v>1</v>
      </c>
      <c r="AE2463" s="8" t="b">
        <v>0</v>
      </c>
      <c r="AG2463" s="11" t="b" cm="1">
        <f t="array" ref="AG2463">IF(OR(Y2463:AA2463="TRUE", AE2463="true"), "Threatened")</f>
        <v>0</v>
      </c>
      <c r="AH2463" s="11" t="s">
        <v>6123</v>
      </c>
      <c r="AI2463" s="8" t="b">
        <v>0</v>
      </c>
    </row>
    <row r="2464" spans="1:35" ht="31.2">
      <c r="A2464" s="8">
        <v>-73.96533436</v>
      </c>
      <c r="B2464" s="8">
        <v>40.777528689999997</v>
      </c>
      <c r="C2464" s="8" t="s">
        <v>6124</v>
      </c>
      <c r="D2464" s="8" t="s">
        <v>662</v>
      </c>
      <c r="E2464" s="8" t="b">
        <f t="shared" si="38"/>
        <v>0</v>
      </c>
      <c r="F2464" s="8" t="str" cm="1">
        <f t="array" ref="F2464">_xlfn._xlws.FILTER(E2464:E5662, C2464:C5662= "6D-PM-1020-01", "No Squirrels Found")</f>
        <v>No Squirrels Found</v>
      </c>
      <c r="G2464" s="8" t="s">
        <v>34</v>
      </c>
      <c r="H2464" s="10">
        <v>10072018</v>
      </c>
      <c r="I2464" s="10">
        <v>1</v>
      </c>
      <c r="J2464" s="8" t="s">
        <v>39</v>
      </c>
      <c r="K2464" s="8" t="s">
        <v>40</v>
      </c>
      <c r="L2464" s="8" t="s">
        <v>41</v>
      </c>
      <c r="M2464" s="8" t="s">
        <v>42</v>
      </c>
      <c r="O2464" s="8" t="s">
        <v>50</v>
      </c>
      <c r="P2464" s="8">
        <v>4</v>
      </c>
      <c r="R2464" s="8" t="b">
        <v>0</v>
      </c>
      <c r="S2464" s="8" t="b">
        <v>0</v>
      </c>
      <c r="T2464" s="8" t="b">
        <v>1</v>
      </c>
      <c r="U2464" s="8" t="b">
        <v>1</v>
      </c>
      <c r="V2464" s="8" t="b">
        <v>0</v>
      </c>
      <c r="X2464" s="8" t="b">
        <v>0</v>
      </c>
      <c r="Y2464" s="8" t="b">
        <v>0</v>
      </c>
      <c r="Z2464" s="8" t="b">
        <v>0</v>
      </c>
      <c r="AA2464" s="8" t="b">
        <v>1</v>
      </c>
      <c r="AB2464" s="8" t="b">
        <v>0</v>
      </c>
      <c r="AC2464" s="8" t="b">
        <v>0</v>
      </c>
      <c r="AD2464" s="8" t="b">
        <v>0</v>
      </c>
      <c r="AE2464" s="8" t="b">
        <v>1</v>
      </c>
      <c r="AG2464" s="11" t="b" cm="1">
        <f t="array" ref="AG2464">IF(OR(Y2464:AA2464="TRUE", AE2464="true"), "Threatened")</f>
        <v>0</v>
      </c>
      <c r="AH2464" s="11" t="s">
        <v>6125</v>
      </c>
      <c r="AI2464" s="8" t="b">
        <v>1</v>
      </c>
    </row>
    <row r="2465" spans="1:35" ht="31.2">
      <c r="A2465" s="8">
        <v>-73.9691318</v>
      </c>
      <c r="B2465" s="8">
        <v>40.770980199999997</v>
      </c>
      <c r="C2465" s="8" t="s">
        <v>6126</v>
      </c>
      <c r="D2465" s="8" t="s">
        <v>1785</v>
      </c>
      <c r="E2465" s="8" t="b">
        <f t="shared" si="38"/>
        <v>0</v>
      </c>
      <c r="F2465" s="8" t="str" cm="1">
        <f t="array" ref="F2465">_xlfn._xlws.FILTER(E2465:E5663, C2465:C5663= "6D-PM-1020-01", "No Squirrels Found")</f>
        <v>No Squirrels Found</v>
      </c>
      <c r="G2465" s="8" t="s">
        <v>48</v>
      </c>
      <c r="H2465" s="10">
        <v>10142018</v>
      </c>
      <c r="I2465" s="10">
        <v>5</v>
      </c>
      <c r="J2465" s="8" t="s">
        <v>39</v>
      </c>
      <c r="K2465" s="8" t="s">
        <v>41</v>
      </c>
      <c r="M2465" s="8" t="s">
        <v>49</v>
      </c>
      <c r="O2465" s="8" t="s">
        <v>43</v>
      </c>
      <c r="P2465" s="8" t="b">
        <v>0</v>
      </c>
      <c r="R2465" s="8" t="b">
        <v>0</v>
      </c>
      <c r="S2465" s="8" t="b">
        <v>0</v>
      </c>
      <c r="T2465" s="8" t="b">
        <v>0</v>
      </c>
      <c r="U2465" s="8" t="b">
        <v>0</v>
      </c>
      <c r="V2465" s="8" t="b">
        <v>1</v>
      </c>
      <c r="X2465" s="8" t="b">
        <v>0</v>
      </c>
      <c r="Y2465" s="8" t="b">
        <v>0</v>
      </c>
      <c r="Z2465" s="8" t="b">
        <v>0</v>
      </c>
      <c r="AA2465" s="8" t="b">
        <v>0</v>
      </c>
      <c r="AB2465" s="8" t="b">
        <v>0</v>
      </c>
      <c r="AC2465" s="8" t="b">
        <v>0</v>
      </c>
      <c r="AD2465" s="8" t="b">
        <v>0</v>
      </c>
      <c r="AE2465" s="8" t="b">
        <v>0</v>
      </c>
      <c r="AG2465" s="11" t="b" cm="1">
        <f t="array" ref="AG2465">IF(OR(Y2465:AA2465="TRUE", AE2465="true"), "Threatened")</f>
        <v>0</v>
      </c>
      <c r="AH2465" s="11" t="s">
        <v>6127</v>
      </c>
      <c r="AI2465" s="8" t="b">
        <v>1</v>
      </c>
    </row>
    <row r="2466" spans="1:35" ht="31.2">
      <c r="A2466" s="8">
        <v>-73.968699990000005</v>
      </c>
      <c r="B2466" s="8">
        <v>40.784401469999999</v>
      </c>
      <c r="C2466" s="8" t="s">
        <v>6128</v>
      </c>
      <c r="D2466" s="8" t="s">
        <v>335</v>
      </c>
      <c r="E2466" s="8" t="b">
        <f t="shared" si="38"/>
        <v>0</v>
      </c>
      <c r="F2466" s="8" t="str" cm="1">
        <f t="array" ref="F2466">_xlfn._xlws.FILTER(E2466:E5664, C2466:C5664= "6D-PM-1020-01", "No Squirrels Found")</f>
        <v>No Squirrels Found</v>
      </c>
      <c r="G2466" s="8" t="s">
        <v>34</v>
      </c>
      <c r="H2466" s="10">
        <v>10142018</v>
      </c>
      <c r="I2466" s="10">
        <v>3</v>
      </c>
      <c r="J2466" s="8" t="s">
        <v>54</v>
      </c>
      <c r="K2466" s="8" t="s">
        <v>40</v>
      </c>
      <c r="L2466" s="8" t="s">
        <v>41</v>
      </c>
      <c r="M2466" s="8" t="s">
        <v>42</v>
      </c>
      <c r="O2466" s="8" t="s">
        <v>50</v>
      </c>
      <c r="P2466" s="8">
        <v>8</v>
      </c>
      <c r="R2466" s="8" t="b">
        <v>1</v>
      </c>
      <c r="S2466" s="8" t="b">
        <v>1</v>
      </c>
      <c r="T2466" s="8" t="b">
        <v>0</v>
      </c>
      <c r="U2466" s="8" t="b">
        <v>0</v>
      </c>
      <c r="V2466" s="8" t="b">
        <v>0</v>
      </c>
      <c r="X2466" s="8" t="b">
        <v>0</v>
      </c>
      <c r="Y2466" s="8" t="b">
        <v>0</v>
      </c>
      <c r="Z2466" s="8" t="b">
        <v>0</v>
      </c>
      <c r="AA2466" s="8" t="b">
        <v>0</v>
      </c>
      <c r="AB2466" s="8" t="b">
        <v>0</v>
      </c>
      <c r="AC2466" s="8" t="b">
        <v>0</v>
      </c>
      <c r="AD2466" s="8" t="b">
        <v>0</v>
      </c>
      <c r="AE2466" s="8" t="b">
        <v>0</v>
      </c>
      <c r="AG2466" s="11" t="b" cm="1">
        <f t="array" ref="AG2466">IF(OR(Y2466:AA2466="TRUE", AE2466="true"), "Threatened")</f>
        <v>0</v>
      </c>
      <c r="AH2466" s="11" t="s">
        <v>6129</v>
      </c>
      <c r="AI2466" s="8" t="b">
        <v>1</v>
      </c>
    </row>
    <row r="2467" spans="1:35" ht="31.2">
      <c r="A2467" s="8">
        <v>-73.959941990000004</v>
      </c>
      <c r="B2467" s="8">
        <v>40.797277469999997</v>
      </c>
      <c r="C2467" s="8" t="s">
        <v>6130</v>
      </c>
      <c r="D2467" s="8" t="s">
        <v>689</v>
      </c>
      <c r="E2467" s="8" t="b">
        <f t="shared" si="38"/>
        <v>0</v>
      </c>
      <c r="F2467" s="8" t="str" cm="1">
        <f t="array" ref="F2467">_xlfn._xlws.FILTER(E2467:E5665, C2467:C5665= "6D-PM-1020-01", "No Squirrels Found")</f>
        <v>No Squirrels Found</v>
      </c>
      <c r="G2467" s="8" t="s">
        <v>48</v>
      </c>
      <c r="H2467" s="10">
        <v>10192018</v>
      </c>
      <c r="I2467" s="10">
        <v>1</v>
      </c>
      <c r="J2467" s="8" t="s">
        <v>39</v>
      </c>
      <c r="K2467" s="8" t="s">
        <v>40</v>
      </c>
      <c r="M2467" s="8" t="s">
        <v>55</v>
      </c>
      <c r="O2467" s="8" t="s">
        <v>50</v>
      </c>
      <c r="P2467" s="8">
        <v>3</v>
      </c>
      <c r="R2467" s="8" t="b">
        <v>1</v>
      </c>
      <c r="S2467" s="8" t="b">
        <v>1</v>
      </c>
      <c r="T2467" s="8" t="b">
        <v>1</v>
      </c>
      <c r="U2467" s="8" t="b">
        <v>0</v>
      </c>
      <c r="V2467" s="8" t="b">
        <v>0</v>
      </c>
      <c r="X2467" s="8" t="b">
        <v>0</v>
      </c>
      <c r="Y2467" s="8" t="b">
        <v>0</v>
      </c>
      <c r="Z2467" s="8" t="b">
        <v>0</v>
      </c>
      <c r="AA2467" s="8" t="b">
        <v>0</v>
      </c>
      <c r="AB2467" s="8" t="b">
        <v>0</v>
      </c>
      <c r="AC2467" s="8" t="b">
        <v>0</v>
      </c>
      <c r="AD2467" s="8" t="b">
        <v>1</v>
      </c>
      <c r="AE2467" s="8" t="b">
        <v>0</v>
      </c>
      <c r="AG2467" s="11" t="b" cm="1">
        <f t="array" ref="AG2467">IF(OR(Y2467:AA2467="TRUE", AE2467="true"), "Threatened")</f>
        <v>0</v>
      </c>
      <c r="AH2467" s="11" t="s">
        <v>6131</v>
      </c>
      <c r="AI2467" s="8" t="b">
        <v>1</v>
      </c>
    </row>
    <row r="2468" spans="1:35" ht="31.2">
      <c r="A2468" s="8">
        <v>-73.975592329999998</v>
      </c>
      <c r="B2468" s="8">
        <v>40.767296799999997</v>
      </c>
      <c r="C2468" s="8" t="s">
        <v>6132</v>
      </c>
      <c r="D2468" s="8" t="s">
        <v>1706</v>
      </c>
      <c r="E2468" s="8" t="b">
        <f t="shared" si="38"/>
        <v>0</v>
      </c>
      <c r="F2468" s="8" t="str" cm="1">
        <f t="array" ref="F2468">_xlfn._xlws.FILTER(E2468:E5666, C2468:C5666= "6D-PM-1020-01", "No Squirrels Found")</f>
        <v>No Squirrels Found</v>
      </c>
      <c r="G2468" s="8" t="s">
        <v>34</v>
      </c>
      <c r="H2468" s="10">
        <v>10132018</v>
      </c>
      <c r="I2468" s="10">
        <v>2</v>
      </c>
      <c r="J2468" s="8" t="s">
        <v>39</v>
      </c>
      <c r="K2468" s="8" t="s">
        <v>192</v>
      </c>
      <c r="L2468" s="8" t="s">
        <v>40</v>
      </c>
      <c r="M2468" s="8" t="s">
        <v>1236</v>
      </c>
      <c r="O2468" s="8" t="s">
        <v>43</v>
      </c>
      <c r="P2468" s="8" t="b">
        <v>0</v>
      </c>
      <c r="R2468" s="8" t="b">
        <v>0</v>
      </c>
      <c r="S2468" s="8" t="b">
        <v>0</v>
      </c>
      <c r="T2468" s="8" t="b">
        <v>0</v>
      </c>
      <c r="U2468" s="8" t="b">
        <v>0</v>
      </c>
      <c r="V2468" s="8" t="b">
        <v>1</v>
      </c>
      <c r="X2468" s="8" t="b">
        <v>0</v>
      </c>
      <c r="Y2468" s="8" t="b">
        <v>0</v>
      </c>
      <c r="Z2468" s="8" t="b">
        <v>0</v>
      </c>
      <c r="AA2468" s="8" t="b">
        <v>0</v>
      </c>
      <c r="AB2468" s="8" t="b">
        <v>1</v>
      </c>
      <c r="AC2468" s="8" t="b">
        <v>0</v>
      </c>
      <c r="AD2468" s="8" t="b">
        <v>0</v>
      </c>
      <c r="AE2468" s="8" t="b">
        <v>1</v>
      </c>
      <c r="AG2468" s="11" t="b" cm="1">
        <f t="array" ref="AG2468">IF(OR(Y2468:AA2468="TRUE", AE2468="true"), "Threatened")</f>
        <v>0</v>
      </c>
      <c r="AH2468" s="11" t="s">
        <v>6133</v>
      </c>
      <c r="AI2468" s="8" t="b">
        <v>1</v>
      </c>
    </row>
    <row r="2469" spans="1:35" ht="31.2">
      <c r="A2469" s="8">
        <v>-73.967460380000006</v>
      </c>
      <c r="B2469" s="8">
        <v>40.774949380000002</v>
      </c>
      <c r="C2469" s="8" t="s">
        <v>6134</v>
      </c>
      <c r="D2469" s="8" t="s">
        <v>205</v>
      </c>
      <c r="E2469" s="8" t="b">
        <f t="shared" si="38"/>
        <v>0</v>
      </c>
      <c r="F2469" s="8" t="str" cm="1">
        <f t="array" ref="F2469">_xlfn._xlws.FILTER(E2469:E5667, C2469:C5667= "6D-PM-1020-01", "No Squirrels Found")</f>
        <v>No Squirrels Found</v>
      </c>
      <c r="G2469" s="8" t="s">
        <v>34</v>
      </c>
      <c r="H2469" s="10">
        <v>10102018</v>
      </c>
      <c r="I2469" s="10">
        <v>1</v>
      </c>
      <c r="J2469" s="8" t="s">
        <v>39</v>
      </c>
      <c r="K2469" s="8" t="s">
        <v>40</v>
      </c>
      <c r="M2469" s="8" t="s">
        <v>55</v>
      </c>
      <c r="O2469" s="8" t="s">
        <v>43</v>
      </c>
      <c r="P2469" s="8" t="b">
        <v>0</v>
      </c>
      <c r="R2469" s="8" t="b">
        <v>0</v>
      </c>
      <c r="S2469" s="8" t="b">
        <v>0</v>
      </c>
      <c r="T2469" s="8" t="b">
        <v>0</v>
      </c>
      <c r="U2469" s="8" t="b">
        <v>0</v>
      </c>
      <c r="V2469" s="8" t="b">
        <v>1</v>
      </c>
      <c r="X2469" s="8" t="b">
        <v>0</v>
      </c>
      <c r="Y2469" s="8" t="b">
        <v>0</v>
      </c>
      <c r="Z2469" s="8" t="b">
        <v>0</v>
      </c>
      <c r="AA2469" s="8" t="b">
        <v>0</v>
      </c>
      <c r="AB2469" s="8" t="b">
        <v>0</v>
      </c>
      <c r="AC2469" s="8" t="b">
        <v>0</v>
      </c>
      <c r="AD2469" s="8" t="b">
        <v>1</v>
      </c>
      <c r="AE2469" s="8" t="b">
        <v>0</v>
      </c>
      <c r="AG2469" s="11" t="b" cm="1">
        <f t="array" ref="AG2469">IF(OR(Y2469:AA2469="TRUE", AE2469="true"), "Threatened")</f>
        <v>0</v>
      </c>
      <c r="AH2469" s="11" t="s">
        <v>6135</v>
      </c>
      <c r="AI2469" s="8" t="b">
        <v>1</v>
      </c>
    </row>
    <row r="2470" spans="1:35" ht="31.2">
      <c r="A2470" s="8">
        <v>-73.960096359999994</v>
      </c>
      <c r="B2470" s="8">
        <v>40.793496230000002</v>
      </c>
      <c r="C2470" s="8" t="s">
        <v>6136</v>
      </c>
      <c r="D2470" s="8" t="s">
        <v>3812</v>
      </c>
      <c r="E2470" s="8" t="b">
        <f t="shared" si="38"/>
        <v>0</v>
      </c>
      <c r="F2470" s="8" t="str" cm="1">
        <f t="array" ref="F2470">_xlfn._xlws.FILTER(E2470:E5668, C2470:C5668= "6D-PM-1020-01", "No Squirrels Found")</f>
        <v>No Squirrels Found</v>
      </c>
      <c r="G2470" s="8" t="s">
        <v>48</v>
      </c>
      <c r="H2470" s="10">
        <v>10072018</v>
      </c>
      <c r="I2470" s="10">
        <v>1</v>
      </c>
      <c r="J2470" s="8" t="s">
        <v>39</v>
      </c>
      <c r="K2470" s="8" t="s">
        <v>192</v>
      </c>
      <c r="M2470" s="8" t="s">
        <v>193</v>
      </c>
      <c r="O2470" s="8" t="s">
        <v>43</v>
      </c>
      <c r="P2470" s="8" t="b">
        <v>0</v>
      </c>
      <c r="R2470" s="8" t="b">
        <v>1</v>
      </c>
      <c r="S2470" s="8" t="b">
        <v>0</v>
      </c>
      <c r="T2470" s="8" t="b">
        <v>0</v>
      </c>
      <c r="U2470" s="8" t="b">
        <v>0</v>
      </c>
      <c r="V2470" s="8" t="b">
        <v>0</v>
      </c>
      <c r="X2470" s="8" t="b">
        <v>0</v>
      </c>
      <c r="Y2470" s="8" t="b">
        <v>0</v>
      </c>
      <c r="Z2470" s="8" t="b">
        <v>0</v>
      </c>
      <c r="AA2470" s="8" t="b">
        <v>1</v>
      </c>
      <c r="AB2470" s="8" t="b">
        <v>0</v>
      </c>
      <c r="AC2470" s="8" t="b">
        <v>0</v>
      </c>
      <c r="AD2470" s="8" t="b">
        <v>0</v>
      </c>
      <c r="AE2470" s="8" t="b">
        <v>1</v>
      </c>
      <c r="AF2470" s="11" t="s">
        <v>765</v>
      </c>
      <c r="AG2470" s="11" t="b" cm="1">
        <f t="array" ref="AG2470">IF(OR(Y2470:AA2470="TRUE", AE2470="true"), "Threatened")</f>
        <v>0</v>
      </c>
      <c r="AH2470" s="11" t="s">
        <v>6137</v>
      </c>
      <c r="AI2470" s="8" t="b">
        <v>1</v>
      </c>
    </row>
    <row r="2471" spans="1:35" ht="31.2">
      <c r="A2471" s="8">
        <v>-73.963887760000006</v>
      </c>
      <c r="B2471" s="8">
        <v>40.791547729999998</v>
      </c>
      <c r="C2471" s="8" t="s">
        <v>6138</v>
      </c>
      <c r="D2471" s="8" t="s">
        <v>398</v>
      </c>
      <c r="E2471" s="8" t="b">
        <f t="shared" si="38"/>
        <v>0</v>
      </c>
      <c r="F2471" s="8" t="str" cm="1">
        <f t="array" ref="F2471">_xlfn._xlws.FILTER(E2471:E5669, C2471:C5669= "6D-PM-1020-01", "No Squirrels Found")</f>
        <v>No Squirrels Found</v>
      </c>
      <c r="G2471" s="8" t="s">
        <v>48</v>
      </c>
      <c r="H2471" s="10">
        <v>10102018</v>
      </c>
      <c r="I2471" s="10">
        <v>2</v>
      </c>
      <c r="J2471" s="8" t="s">
        <v>39</v>
      </c>
      <c r="K2471" s="8" t="s">
        <v>40</v>
      </c>
      <c r="M2471" s="8" t="s">
        <v>55</v>
      </c>
      <c r="O2471" s="8" t="s">
        <v>43</v>
      </c>
      <c r="P2471" s="8" t="b">
        <v>0</v>
      </c>
      <c r="R2471" s="8" t="b">
        <v>0</v>
      </c>
      <c r="S2471" s="8" t="b">
        <v>0</v>
      </c>
      <c r="T2471" s="8" t="b">
        <v>0</v>
      </c>
      <c r="U2471" s="8" t="b">
        <v>1</v>
      </c>
      <c r="V2471" s="8" t="b">
        <v>1</v>
      </c>
      <c r="W2471" s="11" t="s">
        <v>3563</v>
      </c>
      <c r="X2471" s="8" t="b">
        <v>0</v>
      </c>
      <c r="Y2471" s="8" t="b">
        <v>0</v>
      </c>
      <c r="Z2471" s="8" t="b">
        <v>0</v>
      </c>
      <c r="AA2471" s="8" t="b">
        <v>0</v>
      </c>
      <c r="AB2471" s="8" t="b">
        <v>0</v>
      </c>
      <c r="AC2471" s="8" t="b">
        <v>0</v>
      </c>
      <c r="AD2471" s="8" t="b">
        <v>1</v>
      </c>
      <c r="AE2471" s="8" t="b">
        <v>0</v>
      </c>
      <c r="AG2471" s="11" t="b" cm="1">
        <f t="array" ref="AG2471">IF(OR(Y2471:AA2471="TRUE", AE2471="true"), "Threatened")</f>
        <v>0</v>
      </c>
      <c r="AH2471" s="11" t="s">
        <v>6139</v>
      </c>
      <c r="AI2471" s="8" t="b">
        <v>0</v>
      </c>
    </row>
    <row r="2472" spans="1:35" ht="31.2">
      <c r="A2472" s="8">
        <v>-73.964274290000006</v>
      </c>
      <c r="B2472" s="8">
        <v>40.77953196</v>
      </c>
      <c r="C2472" s="8" t="s">
        <v>6140</v>
      </c>
      <c r="D2472" s="8" t="s">
        <v>1018</v>
      </c>
      <c r="E2472" s="8" t="b">
        <f t="shared" si="38"/>
        <v>0</v>
      </c>
      <c r="F2472" s="8" t="str" cm="1">
        <f t="array" ref="F2472">_xlfn._xlws.FILTER(E2472:E5670, C2472:C5670= "6D-PM-1020-01", "No Squirrels Found")</f>
        <v>No Squirrels Found</v>
      </c>
      <c r="G2472" s="8" t="s">
        <v>48</v>
      </c>
      <c r="H2472" s="10">
        <v>10102018</v>
      </c>
      <c r="I2472" s="10">
        <v>3</v>
      </c>
      <c r="J2472" s="8" t="s">
        <v>54</v>
      </c>
      <c r="K2472" s="8" t="s">
        <v>40</v>
      </c>
      <c r="L2472" s="8" t="s">
        <v>117</v>
      </c>
      <c r="M2472" s="8" t="s">
        <v>118</v>
      </c>
      <c r="O2472" s="8" t="s">
        <v>43</v>
      </c>
      <c r="P2472" s="8" t="b">
        <v>0</v>
      </c>
      <c r="R2472" s="8" t="b">
        <v>0</v>
      </c>
      <c r="S2472" s="8" t="b">
        <v>0</v>
      </c>
      <c r="T2472" s="8" t="b">
        <v>1</v>
      </c>
      <c r="U2472" s="8" t="b">
        <v>1</v>
      </c>
      <c r="V2472" s="8" t="b">
        <v>1</v>
      </c>
      <c r="X2472" s="8" t="b">
        <v>0</v>
      </c>
      <c r="Y2472" s="8" t="b">
        <v>0</v>
      </c>
      <c r="Z2472" s="8" t="b">
        <v>0</v>
      </c>
      <c r="AA2472" s="8" t="b">
        <v>0</v>
      </c>
      <c r="AB2472" s="8" t="b">
        <v>0</v>
      </c>
      <c r="AC2472" s="8" t="b">
        <v>0</v>
      </c>
      <c r="AD2472" s="8" t="b">
        <v>1</v>
      </c>
      <c r="AE2472" s="8" t="b">
        <v>0</v>
      </c>
      <c r="AF2472" s="11" t="s">
        <v>6141</v>
      </c>
      <c r="AG2472" s="11" t="b" cm="1">
        <f t="array" ref="AG2472">IF(OR(Y2472:AA2472="TRUE", AE2472="true"), "Threatened")</f>
        <v>0</v>
      </c>
      <c r="AH2472" s="11" t="s">
        <v>6142</v>
      </c>
      <c r="AI2472" s="8" t="b">
        <v>1</v>
      </c>
    </row>
    <row r="2473" spans="1:35" ht="31.2">
      <c r="A2473" s="8">
        <v>-73.959682020000002</v>
      </c>
      <c r="B2473" s="8">
        <v>40.793288680000003</v>
      </c>
      <c r="C2473" s="8" t="s">
        <v>6143</v>
      </c>
      <c r="D2473" s="8" t="s">
        <v>1173</v>
      </c>
      <c r="E2473" s="8" t="b">
        <f t="shared" si="38"/>
        <v>0</v>
      </c>
      <c r="F2473" s="8" t="str" cm="1">
        <f t="array" ref="F2473">_xlfn._xlws.FILTER(E2473:E5671, C2473:C5671= "6D-PM-1020-01", "No Squirrels Found")</f>
        <v>No Squirrels Found</v>
      </c>
      <c r="G2473" s="8" t="s">
        <v>34</v>
      </c>
      <c r="H2473" s="10">
        <v>10072018</v>
      </c>
      <c r="I2473" s="10">
        <v>3</v>
      </c>
      <c r="J2473" s="8" t="s">
        <v>39</v>
      </c>
      <c r="K2473" s="8" t="s">
        <v>40</v>
      </c>
      <c r="L2473" s="8" t="s">
        <v>41</v>
      </c>
      <c r="M2473" s="8" t="s">
        <v>42</v>
      </c>
      <c r="O2473" s="8" t="s">
        <v>43</v>
      </c>
      <c r="P2473" s="8" t="b">
        <v>0</v>
      </c>
      <c r="R2473" s="8" t="b">
        <v>0</v>
      </c>
      <c r="S2473" s="8" t="b">
        <v>0</v>
      </c>
      <c r="T2473" s="8" t="b">
        <v>0</v>
      </c>
      <c r="U2473" s="8" t="b">
        <v>1</v>
      </c>
      <c r="V2473" s="8" t="b">
        <v>0</v>
      </c>
      <c r="X2473" s="8" t="b">
        <v>0</v>
      </c>
      <c r="Y2473" s="8" t="b">
        <v>0</v>
      </c>
      <c r="Z2473" s="8" t="b">
        <v>0</v>
      </c>
      <c r="AA2473" s="8" t="b">
        <v>0</v>
      </c>
      <c r="AB2473" s="8" t="b">
        <v>1</v>
      </c>
      <c r="AC2473" s="8" t="b">
        <v>0</v>
      </c>
      <c r="AD2473" s="8" t="b">
        <v>0</v>
      </c>
      <c r="AE2473" s="8" t="b">
        <v>1</v>
      </c>
      <c r="AG2473" s="11" t="b" cm="1">
        <f t="array" ref="AG2473">IF(OR(Y2473:AA2473="TRUE", AE2473="true"), "Threatened")</f>
        <v>0</v>
      </c>
      <c r="AH2473" s="11" t="s">
        <v>6144</v>
      </c>
      <c r="AI2473" s="8" t="b">
        <v>1</v>
      </c>
    </row>
    <row r="2474" spans="1:35" ht="31.2">
      <c r="A2474" s="8">
        <v>-73.961334730000004</v>
      </c>
      <c r="B2474" s="8">
        <v>40.793890099999999</v>
      </c>
      <c r="C2474" s="8" t="s">
        <v>6145</v>
      </c>
      <c r="D2474" s="8" t="s">
        <v>2398</v>
      </c>
      <c r="E2474" s="8" t="b">
        <f t="shared" si="38"/>
        <v>0</v>
      </c>
      <c r="F2474" s="8" t="str" cm="1">
        <f t="array" ref="F2474">_xlfn._xlws.FILTER(E2474:E5672, C2474:C5672= "6D-PM-1020-01", "No Squirrels Found")</f>
        <v>No Squirrels Found</v>
      </c>
      <c r="G2474" s="8" t="s">
        <v>48</v>
      </c>
      <c r="H2474" s="10">
        <v>10132018</v>
      </c>
      <c r="I2474" s="10">
        <v>2</v>
      </c>
      <c r="J2474" s="8" t="s">
        <v>39</v>
      </c>
      <c r="K2474" s="8" t="s">
        <v>40</v>
      </c>
      <c r="L2474" s="8" t="s">
        <v>41</v>
      </c>
      <c r="M2474" s="8" t="s">
        <v>42</v>
      </c>
      <c r="O2474" s="8" t="s">
        <v>43</v>
      </c>
      <c r="P2474" s="8" t="b">
        <v>0</v>
      </c>
      <c r="R2474" s="8" t="b">
        <v>0</v>
      </c>
      <c r="S2474" s="8" t="b">
        <v>0</v>
      </c>
      <c r="T2474" s="8" t="b">
        <v>0</v>
      </c>
      <c r="U2474" s="8" t="b">
        <v>0</v>
      </c>
      <c r="V2474" s="8" t="b">
        <v>1</v>
      </c>
      <c r="X2474" s="8" t="b">
        <v>0</v>
      </c>
      <c r="Y2474" s="8" t="b">
        <v>0</v>
      </c>
      <c r="Z2474" s="8" t="b">
        <v>0</v>
      </c>
      <c r="AA2474" s="8" t="b">
        <v>0</v>
      </c>
      <c r="AB2474" s="8" t="b">
        <v>0</v>
      </c>
      <c r="AC2474" s="8" t="b">
        <v>0</v>
      </c>
      <c r="AD2474" s="8" t="b">
        <v>1</v>
      </c>
      <c r="AE2474" s="8" t="b">
        <v>0</v>
      </c>
      <c r="AG2474" s="11" t="b" cm="1">
        <f t="array" ref="AG2474">IF(OR(Y2474:AA2474="TRUE", AE2474="true"), "Threatened")</f>
        <v>0</v>
      </c>
      <c r="AH2474" s="11" t="s">
        <v>6146</v>
      </c>
      <c r="AI2474" s="8" t="b">
        <v>1</v>
      </c>
    </row>
    <row r="2475" spans="1:35" ht="31.2">
      <c r="A2475" s="8">
        <v>-73.972144889999996</v>
      </c>
      <c r="B2475" s="8">
        <v>40.776211279999998</v>
      </c>
      <c r="C2475" s="8" t="s">
        <v>6147</v>
      </c>
      <c r="D2475" s="8" t="s">
        <v>613</v>
      </c>
      <c r="E2475" s="8" t="b">
        <f t="shared" si="38"/>
        <v>0</v>
      </c>
      <c r="F2475" s="8" t="str" cm="1">
        <f t="array" ref="F2475">_xlfn._xlws.FILTER(E2475:E5673, C2475:C5673= "6D-PM-1020-01", "No Squirrels Found")</f>
        <v>No Squirrels Found</v>
      </c>
      <c r="G2475" s="8" t="s">
        <v>48</v>
      </c>
      <c r="H2475" s="10">
        <v>10102018</v>
      </c>
      <c r="I2475" s="10">
        <v>2</v>
      </c>
      <c r="J2475" s="8" t="s">
        <v>39</v>
      </c>
      <c r="K2475" s="8" t="s">
        <v>40</v>
      </c>
      <c r="L2475" s="8" t="s">
        <v>117</v>
      </c>
      <c r="M2475" s="8" t="s">
        <v>118</v>
      </c>
      <c r="O2475" s="8" t="s">
        <v>50</v>
      </c>
      <c r="P2475" s="8">
        <v>7</v>
      </c>
      <c r="R2475" s="8" t="b">
        <v>0</v>
      </c>
      <c r="S2475" s="8" t="b">
        <v>0</v>
      </c>
      <c r="T2475" s="8" t="b">
        <v>1</v>
      </c>
      <c r="U2475" s="8" t="b">
        <v>0</v>
      </c>
      <c r="V2475" s="8" t="b">
        <v>0</v>
      </c>
      <c r="W2475" s="11" t="s">
        <v>521</v>
      </c>
      <c r="X2475" s="8" t="b">
        <v>0</v>
      </c>
      <c r="Y2475" s="8" t="b">
        <v>0</v>
      </c>
      <c r="Z2475" s="8" t="b">
        <v>0</v>
      </c>
      <c r="AA2475" s="8" t="b">
        <v>0</v>
      </c>
      <c r="AB2475" s="8" t="b">
        <v>0</v>
      </c>
      <c r="AC2475" s="8" t="b">
        <v>0</v>
      </c>
      <c r="AD2475" s="8" t="b">
        <v>1</v>
      </c>
      <c r="AE2475" s="8" t="b">
        <v>0</v>
      </c>
      <c r="AG2475" s="11" t="b" cm="1">
        <f t="array" ref="AG2475">IF(OR(Y2475:AA2475="TRUE", AE2475="true"), "Threatened")</f>
        <v>0</v>
      </c>
      <c r="AH2475" s="11" t="s">
        <v>6148</v>
      </c>
      <c r="AI2475" s="8" t="b">
        <v>0</v>
      </c>
    </row>
    <row r="2476" spans="1:35" ht="31.2">
      <c r="A2476" s="8">
        <v>-73.973648900000001</v>
      </c>
      <c r="B2476" s="8">
        <v>40.77121434</v>
      </c>
      <c r="C2476" s="8" t="s">
        <v>6149</v>
      </c>
      <c r="D2476" s="8" t="s">
        <v>159</v>
      </c>
      <c r="E2476" s="8" t="b">
        <f t="shared" si="38"/>
        <v>0</v>
      </c>
      <c r="F2476" s="8" t="str" cm="1">
        <f t="array" ref="F2476">_xlfn._xlws.FILTER(E2476:E5674, C2476:C5674= "6D-PM-1020-01", "No Squirrels Found")</f>
        <v>No Squirrels Found</v>
      </c>
      <c r="G2476" s="8" t="s">
        <v>48</v>
      </c>
      <c r="H2476" s="10">
        <v>10062018</v>
      </c>
      <c r="I2476" s="10">
        <v>4</v>
      </c>
      <c r="J2476" s="8" t="s">
        <v>39</v>
      </c>
      <c r="K2476" s="8" t="s">
        <v>40</v>
      </c>
      <c r="M2476" s="8" t="s">
        <v>55</v>
      </c>
      <c r="O2476" s="8" t="s">
        <v>43</v>
      </c>
      <c r="P2476" s="8" t="b">
        <v>0</v>
      </c>
      <c r="Q2476" s="8" t="s">
        <v>160</v>
      </c>
      <c r="R2476" s="8" t="b">
        <v>0</v>
      </c>
      <c r="S2476" s="8" t="b">
        <v>0</v>
      </c>
      <c r="T2476" s="8" t="b">
        <v>0</v>
      </c>
      <c r="U2476" s="8" t="b">
        <v>1</v>
      </c>
      <c r="V2476" s="8" t="b">
        <v>0</v>
      </c>
      <c r="X2476" s="8" t="b">
        <v>0</v>
      </c>
      <c r="Y2476" s="8" t="b">
        <v>0</v>
      </c>
      <c r="Z2476" s="8" t="b">
        <v>0</v>
      </c>
      <c r="AA2476" s="8" t="b">
        <v>0</v>
      </c>
      <c r="AB2476" s="8" t="b">
        <v>0</v>
      </c>
      <c r="AC2476" s="8" t="b">
        <v>0</v>
      </c>
      <c r="AD2476" s="8" t="b">
        <v>0</v>
      </c>
      <c r="AE2476" s="8" t="b">
        <v>0</v>
      </c>
      <c r="AG2476" s="11" t="b" cm="1">
        <f t="array" ref="AG2476">IF(OR(Y2476:AA2476="TRUE", AE2476="true"), "Threatened")</f>
        <v>0</v>
      </c>
      <c r="AH2476" s="11" t="s">
        <v>6150</v>
      </c>
      <c r="AI2476" s="8" t="b">
        <v>1</v>
      </c>
    </row>
    <row r="2477" spans="1:35" ht="31.2">
      <c r="A2477" s="8">
        <v>-73.971084340000004</v>
      </c>
      <c r="B2477" s="8">
        <v>40.767973959999999</v>
      </c>
      <c r="C2477" s="8" t="s">
        <v>6151</v>
      </c>
      <c r="D2477" s="8" t="s">
        <v>716</v>
      </c>
      <c r="E2477" s="8" t="b">
        <f t="shared" si="38"/>
        <v>0</v>
      </c>
      <c r="F2477" s="8" t="str" cm="1">
        <f t="array" ref="F2477">_xlfn._xlws.FILTER(E2477:E5675, C2477:C5675= "6D-PM-1020-01", "No Squirrels Found")</f>
        <v>No Squirrels Found</v>
      </c>
      <c r="G2477" s="8" t="s">
        <v>48</v>
      </c>
      <c r="H2477" s="10">
        <v>10102018</v>
      </c>
      <c r="I2477" s="10">
        <v>3</v>
      </c>
      <c r="J2477" s="8" t="s">
        <v>39</v>
      </c>
      <c r="K2477" s="8" t="s">
        <v>40</v>
      </c>
      <c r="M2477" s="8" t="s">
        <v>55</v>
      </c>
      <c r="O2477" s="8" t="s">
        <v>50</v>
      </c>
      <c r="P2477" s="8">
        <v>3</v>
      </c>
      <c r="R2477" s="8" t="b">
        <v>0</v>
      </c>
      <c r="S2477" s="8" t="b">
        <v>0</v>
      </c>
      <c r="T2477" s="8" t="b">
        <v>0</v>
      </c>
      <c r="U2477" s="8" t="b">
        <v>0</v>
      </c>
      <c r="V2477" s="8" t="b">
        <v>0</v>
      </c>
      <c r="X2477" s="8" t="b">
        <v>0</v>
      </c>
      <c r="Y2477" s="8" t="b">
        <v>0</v>
      </c>
      <c r="Z2477" s="8" t="b">
        <v>0</v>
      </c>
      <c r="AA2477" s="8" t="b">
        <v>0</v>
      </c>
      <c r="AB2477" s="8" t="b">
        <v>0</v>
      </c>
      <c r="AC2477" s="8" t="b">
        <v>0</v>
      </c>
      <c r="AD2477" s="8" t="b">
        <v>1</v>
      </c>
      <c r="AE2477" s="8" t="b">
        <v>0</v>
      </c>
      <c r="AG2477" s="11" t="b" cm="1">
        <f t="array" ref="AG2477">IF(OR(Y2477:AA2477="TRUE", AE2477="true"), "Threatened")</f>
        <v>0</v>
      </c>
      <c r="AH2477" s="11" t="s">
        <v>6152</v>
      </c>
      <c r="AI2477" s="8" t="b">
        <v>1</v>
      </c>
    </row>
    <row r="2478" spans="1:35" ht="31.2">
      <c r="A2478" s="8">
        <v>-73.966329709999997</v>
      </c>
      <c r="B2478" s="8">
        <v>40.783793199999998</v>
      </c>
      <c r="C2478" s="8" t="s">
        <v>6153</v>
      </c>
      <c r="D2478" s="8" t="s">
        <v>748</v>
      </c>
      <c r="E2478" s="8" t="b">
        <f t="shared" si="38"/>
        <v>0</v>
      </c>
      <c r="F2478" s="8" t="str" cm="1">
        <f t="array" ref="F2478">_xlfn._xlws.FILTER(E2478:E5676, C2478:C5676= "6D-PM-1020-01", "No Squirrels Found")</f>
        <v>No Squirrels Found</v>
      </c>
      <c r="G2478" s="8" t="s">
        <v>34</v>
      </c>
      <c r="H2478" s="10">
        <v>10122018</v>
      </c>
      <c r="I2478" s="10">
        <v>3</v>
      </c>
      <c r="J2478" s="8" t="s">
        <v>39</v>
      </c>
      <c r="K2478" s="8" t="s">
        <v>40</v>
      </c>
      <c r="L2478" s="8" t="s">
        <v>749</v>
      </c>
      <c r="M2478" s="8" t="s">
        <v>750</v>
      </c>
      <c r="O2478" s="8" t="s">
        <v>43</v>
      </c>
      <c r="P2478" s="8" t="b">
        <v>0</v>
      </c>
      <c r="R2478" s="8" t="b">
        <v>0</v>
      </c>
      <c r="S2478" s="8" t="b">
        <v>0</v>
      </c>
      <c r="T2478" s="8" t="b">
        <v>0</v>
      </c>
      <c r="U2478" s="8" t="b">
        <v>0</v>
      </c>
      <c r="V2478" s="8" t="b">
        <v>1</v>
      </c>
      <c r="X2478" s="8" t="b">
        <v>0</v>
      </c>
      <c r="Y2478" s="8" t="b">
        <v>0</v>
      </c>
      <c r="Z2478" s="8" t="b">
        <v>0</v>
      </c>
      <c r="AA2478" s="8" t="b">
        <v>0</v>
      </c>
      <c r="AB2478" s="8" t="b">
        <v>0</v>
      </c>
      <c r="AC2478" s="8" t="b">
        <v>0</v>
      </c>
      <c r="AD2478" s="8" t="b">
        <v>1</v>
      </c>
      <c r="AE2478" s="8" t="b">
        <v>0</v>
      </c>
      <c r="AG2478" s="11" t="b" cm="1">
        <f t="array" ref="AG2478">IF(OR(Y2478:AA2478="TRUE", AE2478="true"), "Threatened")</f>
        <v>0</v>
      </c>
      <c r="AH2478" s="11" t="s">
        <v>6154</v>
      </c>
      <c r="AI2478" s="8" t="b">
        <v>1</v>
      </c>
    </row>
    <row r="2479" spans="1:35" ht="31.2">
      <c r="A2479" s="8">
        <v>-73.967493110000007</v>
      </c>
      <c r="B2479" s="8">
        <v>40.77836937</v>
      </c>
      <c r="C2479" s="8" t="s">
        <v>6155</v>
      </c>
      <c r="D2479" s="8" t="s">
        <v>131</v>
      </c>
      <c r="E2479" s="8" t="b">
        <f t="shared" si="38"/>
        <v>0</v>
      </c>
      <c r="F2479" s="8" t="str" cm="1">
        <f t="array" ref="F2479">_xlfn._xlws.FILTER(E2479:E5677, C2479:C5677= "6D-PM-1020-01", "No Squirrels Found")</f>
        <v>No Squirrels Found</v>
      </c>
      <c r="G2479" s="8" t="s">
        <v>48</v>
      </c>
      <c r="H2479" s="10">
        <v>10072018</v>
      </c>
      <c r="I2479" s="10">
        <v>4</v>
      </c>
      <c r="J2479" s="8" t="s">
        <v>39</v>
      </c>
      <c r="K2479" s="8" t="s">
        <v>41</v>
      </c>
      <c r="L2479" s="8" t="s">
        <v>84</v>
      </c>
      <c r="M2479" s="8" t="s">
        <v>85</v>
      </c>
      <c r="O2479" s="8" t="s">
        <v>50</v>
      </c>
      <c r="P2479" s="8">
        <v>4</v>
      </c>
      <c r="R2479" s="8" t="b">
        <v>0</v>
      </c>
      <c r="S2479" s="8" t="b">
        <v>0</v>
      </c>
      <c r="T2479" s="8" t="b">
        <v>0</v>
      </c>
      <c r="U2479" s="8" t="b">
        <v>1</v>
      </c>
      <c r="V2479" s="8" t="b">
        <v>0</v>
      </c>
      <c r="W2479" s="11" t="s">
        <v>1288</v>
      </c>
      <c r="X2479" s="8" t="b">
        <v>1</v>
      </c>
      <c r="Y2479" s="8" t="b">
        <v>0</v>
      </c>
      <c r="Z2479" s="8" t="b">
        <v>0</v>
      </c>
      <c r="AA2479" s="8" t="b">
        <v>0</v>
      </c>
      <c r="AB2479" s="8" t="b">
        <v>0</v>
      </c>
      <c r="AC2479" s="8" t="b">
        <v>0</v>
      </c>
      <c r="AD2479" s="8" t="b">
        <v>1</v>
      </c>
      <c r="AE2479" s="8" t="b">
        <v>0</v>
      </c>
      <c r="AG2479" s="11" t="b" cm="1">
        <f t="array" ref="AG2479">IF(OR(Y2479:AA2479="TRUE", AE2479="true"), "Threatened")</f>
        <v>0</v>
      </c>
      <c r="AH2479" s="11" t="s">
        <v>6156</v>
      </c>
      <c r="AI2479" s="8" t="b">
        <v>0</v>
      </c>
    </row>
    <row r="2480" spans="1:35" ht="31.2">
      <c r="A2480" s="8">
        <v>-73.965795839999998</v>
      </c>
      <c r="B2480" s="8">
        <v>40.776349690000004</v>
      </c>
      <c r="C2480" s="8" t="s">
        <v>6157</v>
      </c>
      <c r="D2480" s="8" t="s">
        <v>672</v>
      </c>
      <c r="E2480" s="8" t="b">
        <f t="shared" si="38"/>
        <v>0</v>
      </c>
      <c r="F2480" s="8" t="str" cm="1">
        <f t="array" ref="F2480">_xlfn._xlws.FILTER(E2480:E5678, C2480:C5678= "6D-PM-1020-01", "No Squirrels Found")</f>
        <v>No Squirrels Found</v>
      </c>
      <c r="G2480" s="8" t="s">
        <v>48</v>
      </c>
      <c r="H2480" s="10">
        <v>10132018</v>
      </c>
      <c r="I2480" s="10">
        <v>1</v>
      </c>
      <c r="J2480" s="8" t="s">
        <v>39</v>
      </c>
      <c r="K2480" s="8" t="s">
        <v>40</v>
      </c>
      <c r="L2480" s="8" t="s">
        <v>84</v>
      </c>
      <c r="M2480" s="8" t="s">
        <v>103</v>
      </c>
      <c r="O2480" s="8" t="s">
        <v>50</v>
      </c>
      <c r="P2480" s="8">
        <v>50</v>
      </c>
      <c r="R2480" s="8" t="b">
        <v>0</v>
      </c>
      <c r="S2480" s="8" t="b">
        <v>0</v>
      </c>
      <c r="T2480" s="8" t="b">
        <v>1</v>
      </c>
      <c r="U2480" s="8" t="b">
        <v>0</v>
      </c>
      <c r="V2480" s="8" t="b">
        <v>0</v>
      </c>
      <c r="X2480" s="8" t="b">
        <v>0</v>
      </c>
      <c r="Y2480" s="8" t="b">
        <v>0</v>
      </c>
      <c r="Z2480" s="8" t="b">
        <v>0</v>
      </c>
      <c r="AA2480" s="8" t="b">
        <v>0</v>
      </c>
      <c r="AB2480" s="8" t="b">
        <v>0</v>
      </c>
      <c r="AC2480" s="8" t="b">
        <v>0</v>
      </c>
      <c r="AD2480" s="8" t="b">
        <v>0</v>
      </c>
      <c r="AE2480" s="8" t="b">
        <v>0</v>
      </c>
      <c r="AG2480" s="11" t="b" cm="1">
        <f t="array" ref="AG2480">IF(OR(Y2480:AA2480="TRUE", AE2480="true"), "Threatened")</f>
        <v>0</v>
      </c>
      <c r="AH2480" s="11" t="s">
        <v>6158</v>
      </c>
      <c r="AI2480" s="8" t="b">
        <v>1</v>
      </c>
    </row>
    <row r="2481" spans="1:35" ht="31.2">
      <c r="A2481" s="8">
        <v>-73.954678099999995</v>
      </c>
      <c r="B2481" s="8">
        <v>40.790321650000003</v>
      </c>
      <c r="C2481" s="8" t="s">
        <v>6159</v>
      </c>
      <c r="D2481" s="8" t="s">
        <v>1028</v>
      </c>
      <c r="E2481" s="8" t="b">
        <f t="shared" si="38"/>
        <v>0</v>
      </c>
      <c r="F2481" s="8" t="str" cm="1">
        <f t="array" ref="F2481">_xlfn._xlws.FILTER(E2481:E5679, C2481:C5679= "6D-PM-1020-01", "No Squirrels Found")</f>
        <v>No Squirrels Found</v>
      </c>
      <c r="G2481" s="8" t="s">
        <v>48</v>
      </c>
      <c r="H2481" s="10">
        <v>10122018</v>
      </c>
      <c r="I2481" s="10">
        <v>3</v>
      </c>
      <c r="J2481" s="8" t="s">
        <v>39</v>
      </c>
      <c r="K2481" s="8" t="s">
        <v>40</v>
      </c>
      <c r="L2481" s="8" t="s">
        <v>117</v>
      </c>
      <c r="M2481" s="8" t="s">
        <v>118</v>
      </c>
      <c r="O2481" s="8" t="s">
        <v>43</v>
      </c>
      <c r="P2481" s="8" t="b">
        <v>0</v>
      </c>
      <c r="R2481" s="8" t="b">
        <v>0</v>
      </c>
      <c r="S2481" s="8" t="b">
        <v>0</v>
      </c>
      <c r="T2481" s="8" t="b">
        <v>0</v>
      </c>
      <c r="U2481" s="8" t="b">
        <v>0</v>
      </c>
      <c r="V2481" s="8" t="b">
        <v>0</v>
      </c>
      <c r="W2481" s="11" t="s">
        <v>2549</v>
      </c>
      <c r="X2481" s="8" t="b">
        <v>0</v>
      </c>
      <c r="Y2481" s="8" t="b">
        <v>0</v>
      </c>
      <c r="Z2481" s="8" t="b">
        <v>0</v>
      </c>
      <c r="AA2481" s="8" t="b">
        <v>0</v>
      </c>
      <c r="AB2481" s="8" t="b">
        <v>0</v>
      </c>
      <c r="AC2481" s="8" t="b">
        <v>0</v>
      </c>
      <c r="AD2481" s="8" t="b">
        <v>1</v>
      </c>
      <c r="AE2481" s="8" t="b">
        <v>0</v>
      </c>
      <c r="AG2481" s="11" t="b" cm="1">
        <f t="array" ref="AG2481">IF(OR(Y2481:AA2481="TRUE", AE2481="true"), "Threatened")</f>
        <v>0</v>
      </c>
      <c r="AH2481" s="11" t="s">
        <v>6160</v>
      </c>
      <c r="AI2481" s="8" t="b">
        <v>0</v>
      </c>
    </row>
    <row r="2482" spans="1:35" ht="31.2">
      <c r="A2482" s="8">
        <v>-73.971906849999996</v>
      </c>
      <c r="B2482" s="8">
        <v>40.778906229999997</v>
      </c>
      <c r="C2482" s="8" t="s">
        <v>6161</v>
      </c>
      <c r="D2482" s="8" t="s">
        <v>1141</v>
      </c>
      <c r="E2482" s="8" t="b">
        <f t="shared" si="38"/>
        <v>0</v>
      </c>
      <c r="F2482" s="8" t="str" cm="1">
        <f t="array" ref="F2482">_xlfn._xlws.FILTER(E2482:E5680, C2482:C5680= "6D-PM-1020-01", "No Squirrels Found")</f>
        <v>No Squirrels Found</v>
      </c>
      <c r="G2482" s="8" t="s">
        <v>48</v>
      </c>
      <c r="H2482" s="10">
        <v>10142018</v>
      </c>
      <c r="I2482" s="10">
        <v>2</v>
      </c>
      <c r="J2482" s="8" t="s">
        <v>39</v>
      </c>
      <c r="K2482" s="8" t="s">
        <v>40</v>
      </c>
      <c r="L2482" s="8" t="s">
        <v>41</v>
      </c>
      <c r="M2482" s="8" t="s">
        <v>42</v>
      </c>
      <c r="O2482" s="8" t="s">
        <v>50</v>
      </c>
      <c r="P2482" s="8">
        <v>10</v>
      </c>
      <c r="R2482" s="8" t="b">
        <v>0</v>
      </c>
      <c r="S2482" s="8" t="b">
        <v>0</v>
      </c>
      <c r="T2482" s="8" t="b">
        <v>0</v>
      </c>
      <c r="U2482" s="8" t="b">
        <v>0</v>
      </c>
      <c r="V2482" s="8" t="b">
        <v>0</v>
      </c>
      <c r="W2482" s="11" t="s">
        <v>6162</v>
      </c>
      <c r="X2482" s="8" t="b">
        <v>0</v>
      </c>
      <c r="Y2482" s="8" t="b">
        <v>0</v>
      </c>
      <c r="Z2482" s="8" t="b">
        <v>0</v>
      </c>
      <c r="AA2482" s="8" t="b">
        <v>0</v>
      </c>
      <c r="AB2482" s="8" t="b">
        <v>0</v>
      </c>
      <c r="AC2482" s="8" t="b">
        <v>0</v>
      </c>
      <c r="AD2482" s="8" t="b">
        <v>1</v>
      </c>
      <c r="AE2482" s="8" t="b">
        <v>0</v>
      </c>
      <c r="AG2482" s="11" t="b" cm="1">
        <f t="array" ref="AG2482">IF(OR(Y2482:AA2482="TRUE", AE2482="true"), "Threatened")</f>
        <v>0</v>
      </c>
      <c r="AH2482" s="11" t="s">
        <v>6163</v>
      </c>
      <c r="AI2482" s="8" t="b">
        <v>0</v>
      </c>
    </row>
    <row r="2483" spans="1:35" ht="31.2">
      <c r="A2483" s="8">
        <v>-73.980592770000001</v>
      </c>
      <c r="B2483" s="8">
        <v>40.767998910000003</v>
      </c>
      <c r="C2483" s="8" t="s">
        <v>6164</v>
      </c>
      <c r="D2483" s="8" t="s">
        <v>855</v>
      </c>
      <c r="E2483" s="8" t="b">
        <f t="shared" si="38"/>
        <v>0</v>
      </c>
      <c r="F2483" s="8" t="str" cm="1">
        <f t="array" ref="F2483">_xlfn._xlws.FILTER(E2483:E5681, C2483:C5681= "6D-PM-1020-01", "No Squirrels Found")</f>
        <v>No Squirrels Found</v>
      </c>
      <c r="G2483" s="8" t="s">
        <v>34</v>
      </c>
      <c r="H2483" s="10">
        <v>10192018</v>
      </c>
      <c r="I2483" s="10">
        <v>7</v>
      </c>
      <c r="J2483" s="8" t="s">
        <v>39</v>
      </c>
      <c r="K2483" s="8" t="s">
        <v>40</v>
      </c>
      <c r="L2483" s="8" t="s">
        <v>84</v>
      </c>
      <c r="M2483" s="8" t="s">
        <v>103</v>
      </c>
      <c r="O2483" s="8" t="s">
        <v>43</v>
      </c>
      <c r="P2483" s="8" t="b">
        <v>0</v>
      </c>
      <c r="R2483" s="8" t="b">
        <v>0</v>
      </c>
      <c r="S2483" s="8" t="b">
        <v>0</v>
      </c>
      <c r="T2483" s="8" t="b">
        <v>0</v>
      </c>
      <c r="U2483" s="8" t="b">
        <v>1</v>
      </c>
      <c r="V2483" s="8" t="b">
        <v>0</v>
      </c>
      <c r="X2483" s="8" t="b">
        <v>0</v>
      </c>
      <c r="Y2483" s="8" t="b">
        <v>0</v>
      </c>
      <c r="Z2483" s="8" t="b">
        <v>0</v>
      </c>
      <c r="AA2483" s="8" t="b">
        <v>0</v>
      </c>
      <c r="AB2483" s="8" t="b">
        <v>0</v>
      </c>
      <c r="AC2483" s="8" t="b">
        <v>0</v>
      </c>
      <c r="AD2483" s="8" t="b">
        <v>1</v>
      </c>
      <c r="AE2483" s="8" t="b">
        <v>0</v>
      </c>
      <c r="AG2483" s="11" t="b" cm="1">
        <f t="array" ref="AG2483">IF(OR(Y2483:AA2483="TRUE", AE2483="true"), "Threatened")</f>
        <v>0</v>
      </c>
      <c r="AH2483" s="11" t="s">
        <v>6165</v>
      </c>
      <c r="AI2483" s="8" t="b">
        <v>1</v>
      </c>
    </row>
    <row r="2484" spans="1:35" ht="31.2">
      <c r="A2484" s="8">
        <v>-73.959608340000003</v>
      </c>
      <c r="B2484" s="8">
        <v>40.794952670000001</v>
      </c>
      <c r="C2484" s="8" t="s">
        <v>6166</v>
      </c>
      <c r="D2484" s="8" t="s">
        <v>1262</v>
      </c>
      <c r="E2484" s="8" t="b">
        <f t="shared" si="38"/>
        <v>0</v>
      </c>
      <c r="F2484" s="8" t="str" cm="1">
        <f t="array" ref="F2484">_xlfn._xlws.FILTER(E2484:E5682, C2484:C5682= "6D-PM-1020-01", "No Squirrels Found")</f>
        <v>No Squirrels Found</v>
      </c>
      <c r="G2484" s="8" t="s">
        <v>34</v>
      </c>
      <c r="H2484" s="10">
        <v>10132018</v>
      </c>
      <c r="I2484" s="10">
        <v>5</v>
      </c>
      <c r="J2484" s="8" t="s">
        <v>39</v>
      </c>
      <c r="K2484" s="8" t="s">
        <v>41</v>
      </c>
      <c r="M2484" s="8" t="s">
        <v>49</v>
      </c>
      <c r="N2484" s="11" t="s">
        <v>6167</v>
      </c>
      <c r="O2484" s="8" t="s">
        <v>43</v>
      </c>
      <c r="P2484" s="8" t="b">
        <v>0</v>
      </c>
      <c r="Q2484" s="8" t="s">
        <v>6168</v>
      </c>
      <c r="R2484" s="8" t="b">
        <v>1</v>
      </c>
      <c r="S2484" s="8" t="b">
        <v>0</v>
      </c>
      <c r="T2484" s="8" t="b">
        <v>0</v>
      </c>
      <c r="U2484" s="8" t="b">
        <v>1</v>
      </c>
      <c r="V2484" s="8" t="b">
        <v>1</v>
      </c>
      <c r="X2484" s="8" t="b">
        <v>0</v>
      </c>
      <c r="Y2484" s="8" t="b">
        <v>0</v>
      </c>
      <c r="Z2484" s="8" t="b">
        <v>0</v>
      </c>
      <c r="AA2484" s="8" t="b">
        <v>0</v>
      </c>
      <c r="AB2484" s="8" t="b">
        <v>1</v>
      </c>
      <c r="AC2484" s="8" t="b">
        <v>0</v>
      </c>
      <c r="AD2484" s="8" t="b">
        <v>1</v>
      </c>
      <c r="AE2484" s="8" t="b">
        <v>1</v>
      </c>
      <c r="AG2484" s="11" t="b" cm="1">
        <f t="array" ref="AG2484">IF(OR(Y2484:AA2484="TRUE", AE2484="true"), "Threatened")</f>
        <v>0</v>
      </c>
      <c r="AH2484" s="11" t="s">
        <v>6169</v>
      </c>
      <c r="AI2484" s="8" t="b">
        <v>1</v>
      </c>
    </row>
    <row r="2485" spans="1:35" ht="31.2">
      <c r="A2485" s="8">
        <v>-73.961978650000006</v>
      </c>
      <c r="B2485" s="8">
        <v>40.791987630000001</v>
      </c>
      <c r="C2485" s="8" t="s">
        <v>6170</v>
      </c>
      <c r="D2485" s="8" t="s">
        <v>616</v>
      </c>
      <c r="E2485" s="8" t="b">
        <f t="shared" si="38"/>
        <v>0</v>
      </c>
      <c r="F2485" s="8" t="str" cm="1">
        <f t="array" ref="F2485">_xlfn._xlws.FILTER(E2485:E5683, C2485:C5683= "6D-PM-1020-01", "No Squirrels Found")</f>
        <v>No Squirrels Found</v>
      </c>
      <c r="G2485" s="8" t="s">
        <v>34</v>
      </c>
      <c r="H2485" s="10">
        <v>10132018</v>
      </c>
      <c r="I2485" s="10">
        <v>9</v>
      </c>
      <c r="J2485" s="8" t="s">
        <v>54</v>
      </c>
      <c r="K2485" s="8" t="s">
        <v>40</v>
      </c>
      <c r="M2485" s="8" t="s">
        <v>55</v>
      </c>
      <c r="O2485" s="8" t="s">
        <v>43</v>
      </c>
      <c r="P2485" s="8" t="b">
        <v>0</v>
      </c>
      <c r="R2485" s="8" t="b">
        <v>0</v>
      </c>
      <c r="S2485" s="8" t="b">
        <v>0</v>
      </c>
      <c r="T2485" s="8" t="b">
        <v>0</v>
      </c>
      <c r="U2485" s="8" t="b">
        <v>0</v>
      </c>
      <c r="V2485" s="8" t="b">
        <v>1</v>
      </c>
      <c r="X2485" s="8" t="b">
        <v>0</v>
      </c>
      <c r="Y2485" s="8" t="b">
        <v>0</v>
      </c>
      <c r="Z2485" s="8" t="b">
        <v>0</v>
      </c>
      <c r="AA2485" s="8" t="b">
        <v>0</v>
      </c>
      <c r="AB2485" s="8" t="b">
        <v>0</v>
      </c>
      <c r="AC2485" s="8" t="b">
        <v>0</v>
      </c>
      <c r="AD2485" s="8" t="b">
        <v>0</v>
      </c>
      <c r="AE2485" s="8" t="b">
        <v>0</v>
      </c>
      <c r="AG2485" s="11" t="b" cm="1">
        <f t="array" ref="AG2485">IF(OR(Y2485:AA2485="TRUE", AE2485="true"), "Threatened")</f>
        <v>0</v>
      </c>
      <c r="AH2485" s="11" t="s">
        <v>6171</v>
      </c>
      <c r="AI2485" s="8" t="b">
        <v>1</v>
      </c>
    </row>
    <row r="2486" spans="1:35" ht="31.2">
      <c r="A2486" s="8">
        <v>-73.958495060000004</v>
      </c>
      <c r="B2486" s="8">
        <v>40.790277070000002</v>
      </c>
      <c r="C2486" s="8" t="s">
        <v>6172</v>
      </c>
      <c r="D2486" s="8" t="s">
        <v>144</v>
      </c>
      <c r="E2486" s="8" t="b">
        <f t="shared" si="38"/>
        <v>0</v>
      </c>
      <c r="F2486" s="8" t="str" cm="1">
        <f t="array" ref="F2486">_xlfn._xlws.FILTER(E2486:E5684, C2486:C5684= "6D-PM-1020-01", "No Squirrels Found")</f>
        <v>No Squirrels Found</v>
      </c>
      <c r="G2486" s="8" t="s">
        <v>34</v>
      </c>
      <c r="H2486" s="10">
        <v>10082018</v>
      </c>
      <c r="I2486" s="10">
        <v>3</v>
      </c>
      <c r="J2486" s="8" t="s">
        <v>39</v>
      </c>
      <c r="K2486" s="8" t="s">
        <v>40</v>
      </c>
      <c r="L2486" s="8" t="s">
        <v>117</v>
      </c>
      <c r="M2486" s="8" t="s">
        <v>118</v>
      </c>
      <c r="O2486" s="8" t="s">
        <v>43</v>
      </c>
      <c r="P2486" s="8" t="b">
        <v>0</v>
      </c>
      <c r="R2486" s="8" t="b">
        <v>1</v>
      </c>
      <c r="S2486" s="8" t="b">
        <v>1</v>
      </c>
      <c r="T2486" s="8" t="b">
        <v>1</v>
      </c>
      <c r="U2486" s="8" t="b">
        <v>1</v>
      </c>
      <c r="V2486" s="8" t="b">
        <v>1</v>
      </c>
      <c r="X2486" s="8" t="b">
        <v>0</v>
      </c>
      <c r="Y2486" s="8" t="b">
        <v>0</v>
      </c>
      <c r="Z2486" s="8" t="b">
        <v>0</v>
      </c>
      <c r="AA2486" s="8" t="b">
        <v>0</v>
      </c>
      <c r="AB2486" s="8" t="b">
        <v>0</v>
      </c>
      <c r="AC2486" s="8" t="b">
        <v>0</v>
      </c>
      <c r="AD2486" s="8" t="b">
        <v>1</v>
      </c>
      <c r="AE2486" s="8" t="b">
        <v>0</v>
      </c>
      <c r="AG2486" s="11" t="b" cm="1">
        <f t="array" ref="AG2486">IF(OR(Y2486:AA2486="TRUE", AE2486="true"), "Threatened")</f>
        <v>0</v>
      </c>
      <c r="AH2486" s="11" t="s">
        <v>6173</v>
      </c>
      <c r="AI2486" s="8" t="b">
        <v>1</v>
      </c>
    </row>
    <row r="2487" spans="1:35" ht="31.2">
      <c r="A2487" s="8">
        <v>-73.976631710000007</v>
      </c>
      <c r="B2487" s="8">
        <v>40.773423049999998</v>
      </c>
      <c r="C2487" s="8" t="s">
        <v>6174</v>
      </c>
      <c r="D2487" s="8" t="s">
        <v>249</v>
      </c>
      <c r="E2487" s="8" t="b">
        <f t="shared" si="38"/>
        <v>0</v>
      </c>
      <c r="F2487" s="8" t="str" cm="1">
        <f t="array" ref="F2487">_xlfn._xlws.FILTER(E2487:E5685, C2487:C5685= "6D-PM-1020-01", "No Squirrels Found")</f>
        <v>No Squirrels Found</v>
      </c>
      <c r="G2487" s="8" t="s">
        <v>48</v>
      </c>
      <c r="H2487" s="10">
        <v>10072018</v>
      </c>
      <c r="I2487" s="10">
        <v>5</v>
      </c>
      <c r="J2487" s="8" t="s">
        <v>39</v>
      </c>
      <c r="K2487" s="8" t="s">
        <v>40</v>
      </c>
      <c r="M2487" s="8" t="s">
        <v>55</v>
      </c>
      <c r="O2487" s="8" t="s">
        <v>43</v>
      </c>
      <c r="P2487" s="8" t="b">
        <v>0</v>
      </c>
      <c r="R2487" s="8" t="b">
        <v>0</v>
      </c>
      <c r="S2487" s="8" t="b">
        <v>0</v>
      </c>
      <c r="T2487" s="8" t="b">
        <v>0</v>
      </c>
      <c r="U2487" s="8" t="b">
        <v>0</v>
      </c>
      <c r="V2487" s="8" t="b">
        <v>1</v>
      </c>
      <c r="X2487" s="8" t="b">
        <v>0</v>
      </c>
      <c r="Y2487" s="8" t="b">
        <v>0</v>
      </c>
      <c r="Z2487" s="8" t="b">
        <v>0</v>
      </c>
      <c r="AA2487" s="8" t="b">
        <v>0</v>
      </c>
      <c r="AB2487" s="8" t="b">
        <v>1</v>
      </c>
      <c r="AC2487" s="8" t="b">
        <v>0</v>
      </c>
      <c r="AD2487" s="8" t="b">
        <v>1</v>
      </c>
      <c r="AE2487" s="8" t="b">
        <v>0</v>
      </c>
      <c r="AG2487" s="11" t="b" cm="1">
        <f t="array" ref="AG2487">IF(OR(Y2487:AA2487="TRUE", AE2487="true"), "Threatened")</f>
        <v>0</v>
      </c>
      <c r="AH2487" s="11" t="s">
        <v>6175</v>
      </c>
      <c r="AI2487" s="8" t="b">
        <v>1</v>
      </c>
    </row>
    <row r="2488" spans="1:35" ht="31.2">
      <c r="A2488" s="8">
        <v>-73.959522300000003</v>
      </c>
      <c r="B2488" s="8">
        <v>40.783320260000004</v>
      </c>
      <c r="C2488" s="8" t="s">
        <v>6176</v>
      </c>
      <c r="D2488" s="8" t="s">
        <v>2570</v>
      </c>
      <c r="E2488" s="8" t="b">
        <f t="shared" si="38"/>
        <v>0</v>
      </c>
      <c r="F2488" s="8" t="str" cm="1">
        <f t="array" ref="F2488">_xlfn._xlws.FILTER(E2488:E5686, C2488:C5686= "6D-PM-1020-01", "No Squirrels Found")</f>
        <v>No Squirrels Found</v>
      </c>
      <c r="G2488" s="8" t="s">
        <v>48</v>
      </c>
      <c r="H2488" s="10">
        <v>10122018</v>
      </c>
      <c r="I2488" s="10">
        <v>2</v>
      </c>
      <c r="J2488" s="8" t="s">
        <v>39</v>
      </c>
      <c r="K2488" s="8" t="s">
        <v>41</v>
      </c>
      <c r="L2488" s="8" t="s">
        <v>40</v>
      </c>
      <c r="M2488" s="8" t="s">
        <v>110</v>
      </c>
      <c r="O2488" s="8" t="s">
        <v>50</v>
      </c>
      <c r="P2488" s="8">
        <v>31</v>
      </c>
      <c r="Q2488" s="8" t="s">
        <v>2104</v>
      </c>
      <c r="R2488" s="8" t="b">
        <v>1</v>
      </c>
      <c r="S2488" s="8" t="b">
        <v>1</v>
      </c>
      <c r="T2488" s="8" t="b">
        <v>0</v>
      </c>
      <c r="U2488" s="8" t="b">
        <v>0</v>
      </c>
      <c r="V2488" s="8" t="b">
        <v>0</v>
      </c>
      <c r="X2488" s="8" t="b">
        <v>0</v>
      </c>
      <c r="Y2488" s="8" t="b">
        <v>0</v>
      </c>
      <c r="Z2488" s="8" t="b">
        <v>0</v>
      </c>
      <c r="AA2488" s="8" t="b">
        <v>1</v>
      </c>
      <c r="AB2488" s="8" t="b">
        <v>1</v>
      </c>
      <c r="AC2488" s="8" t="b">
        <v>0</v>
      </c>
      <c r="AD2488" s="8" t="b">
        <v>1</v>
      </c>
      <c r="AE2488" s="8" t="b">
        <v>0</v>
      </c>
      <c r="AG2488" s="11" t="b" cm="1">
        <f t="array" ref="AG2488">IF(OR(Y2488:AA2488="TRUE", AE2488="true"), "Threatened")</f>
        <v>0</v>
      </c>
      <c r="AH2488" s="11" t="s">
        <v>6177</v>
      </c>
      <c r="AI2488" s="8" t="b">
        <v>1</v>
      </c>
    </row>
    <row r="2489" spans="1:35" ht="31.2">
      <c r="A2489" s="8">
        <v>-73.972692080000002</v>
      </c>
      <c r="B2489" s="8">
        <v>40.779411750000001</v>
      </c>
      <c r="C2489" s="8" t="s">
        <v>6178</v>
      </c>
      <c r="D2489" s="8" t="s">
        <v>1106</v>
      </c>
      <c r="E2489" s="8" t="b">
        <f t="shared" si="38"/>
        <v>0</v>
      </c>
      <c r="F2489" s="8" t="str" cm="1">
        <f t="array" ref="F2489">_xlfn._xlws.FILTER(E2489:E5687, C2489:C5687= "6D-PM-1020-01", "No Squirrels Found")</f>
        <v>No Squirrels Found</v>
      </c>
      <c r="G2489" s="8" t="s">
        <v>34</v>
      </c>
      <c r="H2489" s="10">
        <v>10192018</v>
      </c>
      <c r="I2489" s="10">
        <v>2</v>
      </c>
      <c r="J2489" s="8" t="s">
        <v>39</v>
      </c>
      <c r="K2489" s="8" t="s">
        <v>41</v>
      </c>
      <c r="L2489" s="8" t="s">
        <v>40</v>
      </c>
      <c r="M2489" s="8" t="s">
        <v>110</v>
      </c>
      <c r="O2489" s="8" t="s">
        <v>43</v>
      </c>
      <c r="P2489" s="8" t="b">
        <v>0</v>
      </c>
      <c r="R2489" s="8" t="b">
        <v>0</v>
      </c>
      <c r="S2489" s="8" t="b">
        <v>0</v>
      </c>
      <c r="T2489" s="8" t="b">
        <v>0</v>
      </c>
      <c r="U2489" s="8" t="b">
        <v>0</v>
      </c>
      <c r="V2489" s="8" t="b">
        <v>1</v>
      </c>
      <c r="X2489" s="8" t="b">
        <v>0</v>
      </c>
      <c r="Y2489" s="8" t="b">
        <v>0</v>
      </c>
      <c r="Z2489" s="8" t="b">
        <v>0</v>
      </c>
      <c r="AA2489" s="8" t="b">
        <v>0</v>
      </c>
      <c r="AB2489" s="8" t="b">
        <v>1</v>
      </c>
      <c r="AC2489" s="8" t="b">
        <v>0</v>
      </c>
      <c r="AD2489" s="8" t="b">
        <v>0</v>
      </c>
      <c r="AE2489" s="8" t="b">
        <v>1</v>
      </c>
      <c r="AF2489" s="11" t="s">
        <v>6179</v>
      </c>
      <c r="AG2489" s="11" t="b" cm="1">
        <f t="array" ref="AG2489">IF(OR(Y2489:AA2489="TRUE", AE2489="true"), "Threatened")</f>
        <v>0</v>
      </c>
      <c r="AH2489" s="11" t="s">
        <v>6180</v>
      </c>
      <c r="AI2489" s="8" t="b">
        <v>1</v>
      </c>
    </row>
    <row r="2490" spans="1:35" ht="31.2">
      <c r="A2490" s="8">
        <v>-73.966316849999998</v>
      </c>
      <c r="B2490" s="8">
        <v>40.782508370000002</v>
      </c>
      <c r="C2490" s="8" t="s">
        <v>6181</v>
      </c>
      <c r="D2490" s="8" t="s">
        <v>469</v>
      </c>
      <c r="E2490" s="8" t="b">
        <f t="shared" si="38"/>
        <v>0</v>
      </c>
      <c r="F2490" s="8" t="str" cm="1">
        <f t="array" ref="F2490">_xlfn._xlws.FILTER(E2490:E5688, C2490:C5688= "6D-PM-1020-01", "No Squirrels Found")</f>
        <v>No Squirrels Found</v>
      </c>
      <c r="G2490" s="8" t="s">
        <v>48</v>
      </c>
      <c r="H2490" s="10">
        <v>10082018</v>
      </c>
      <c r="I2490" s="10">
        <v>1</v>
      </c>
      <c r="J2490" s="8" t="s">
        <v>39</v>
      </c>
      <c r="K2490" s="8" t="s">
        <v>40</v>
      </c>
      <c r="L2490" s="8" t="s">
        <v>41</v>
      </c>
      <c r="M2490" s="8" t="s">
        <v>42</v>
      </c>
      <c r="O2490" s="8" t="s">
        <v>43</v>
      </c>
      <c r="P2490" s="8" t="b">
        <v>0</v>
      </c>
      <c r="R2490" s="8" t="b">
        <v>0</v>
      </c>
      <c r="S2490" s="8" t="b">
        <v>0</v>
      </c>
      <c r="T2490" s="8" t="b">
        <v>0</v>
      </c>
      <c r="U2490" s="8" t="b">
        <v>1</v>
      </c>
      <c r="V2490" s="8" t="b">
        <v>1</v>
      </c>
      <c r="X2490" s="8" t="b">
        <v>0</v>
      </c>
      <c r="Y2490" s="8" t="b">
        <v>0</v>
      </c>
      <c r="Z2490" s="8" t="b">
        <v>0</v>
      </c>
      <c r="AA2490" s="8" t="b">
        <v>1</v>
      </c>
      <c r="AB2490" s="8" t="b">
        <v>1</v>
      </c>
      <c r="AC2490" s="8" t="b">
        <v>0</v>
      </c>
      <c r="AD2490" s="8" t="b">
        <v>1</v>
      </c>
      <c r="AE2490" s="8" t="b">
        <v>0</v>
      </c>
      <c r="AG2490" s="11" t="b" cm="1">
        <f t="array" ref="AG2490">IF(OR(Y2490:AA2490="TRUE", AE2490="true"), "Threatened")</f>
        <v>0</v>
      </c>
      <c r="AH2490" s="11" t="s">
        <v>6182</v>
      </c>
      <c r="AI2490" s="8" t="b">
        <v>1</v>
      </c>
    </row>
    <row r="2491" spans="1:35" ht="31.2">
      <c r="A2491" s="8">
        <v>-73.969387659999995</v>
      </c>
      <c r="B2491" s="8">
        <v>40.770723269999998</v>
      </c>
      <c r="C2491" s="8" t="s">
        <v>6183</v>
      </c>
      <c r="D2491" s="8" t="s">
        <v>1326</v>
      </c>
      <c r="E2491" s="8" t="b">
        <f t="shared" si="38"/>
        <v>0</v>
      </c>
      <c r="F2491" s="8" t="str" cm="1">
        <f t="array" ref="F2491">_xlfn._xlws.FILTER(E2491:E5689, C2491:C5689= "6D-PM-1020-01", "No Squirrels Found")</f>
        <v>No Squirrels Found</v>
      </c>
      <c r="G2491" s="8" t="s">
        <v>48</v>
      </c>
      <c r="H2491" s="10">
        <v>10062018</v>
      </c>
      <c r="I2491" s="10">
        <v>2</v>
      </c>
      <c r="J2491" s="8" t="s">
        <v>39</v>
      </c>
      <c r="K2491" s="8" t="s">
        <v>40</v>
      </c>
      <c r="L2491" s="8" t="s">
        <v>84</v>
      </c>
      <c r="M2491" s="8" t="s">
        <v>103</v>
      </c>
      <c r="O2491" s="8" t="s">
        <v>43</v>
      </c>
      <c r="P2491" s="8" t="b">
        <v>0</v>
      </c>
      <c r="R2491" s="8" t="b">
        <v>1</v>
      </c>
      <c r="S2491" s="8" t="b">
        <v>1</v>
      </c>
      <c r="T2491" s="8" t="b">
        <v>0</v>
      </c>
      <c r="U2491" s="8" t="b">
        <v>0</v>
      </c>
      <c r="V2491" s="8" t="b">
        <v>0</v>
      </c>
      <c r="X2491" s="8" t="b">
        <v>0</v>
      </c>
      <c r="Y2491" s="8" t="b">
        <v>0</v>
      </c>
      <c r="Z2491" s="8" t="b">
        <v>0</v>
      </c>
      <c r="AA2491" s="8" t="b">
        <v>0</v>
      </c>
      <c r="AB2491" s="8" t="b">
        <v>1</v>
      </c>
      <c r="AC2491" s="8" t="b">
        <v>0</v>
      </c>
      <c r="AD2491" s="8" t="b">
        <v>1</v>
      </c>
      <c r="AE2491" s="8" t="b">
        <v>0</v>
      </c>
      <c r="AG2491" s="11" t="b" cm="1">
        <f t="array" ref="AG2491">IF(OR(Y2491:AA2491="TRUE", AE2491="true"), "Threatened")</f>
        <v>0</v>
      </c>
      <c r="AH2491" s="11" t="s">
        <v>6184</v>
      </c>
      <c r="AI2491" s="8" t="b">
        <v>1</v>
      </c>
    </row>
    <row r="2492" spans="1:35" ht="31.2">
      <c r="A2492" s="8">
        <v>-73.980690530000004</v>
      </c>
      <c r="B2492" s="8">
        <v>40.768115219999999</v>
      </c>
      <c r="C2492" s="8" t="s">
        <v>6185</v>
      </c>
      <c r="D2492" s="8" t="s">
        <v>1780</v>
      </c>
      <c r="E2492" s="8" t="b">
        <f t="shared" si="38"/>
        <v>0</v>
      </c>
      <c r="F2492" s="8" t="str" cm="1">
        <f t="array" ref="F2492">_xlfn._xlws.FILTER(E2492:E5690, C2492:C5690= "6D-PM-1020-01", "No Squirrels Found")</f>
        <v>No Squirrels Found</v>
      </c>
      <c r="G2492" s="8" t="s">
        <v>48</v>
      </c>
      <c r="H2492" s="10">
        <v>10072018</v>
      </c>
      <c r="I2492" s="10">
        <v>3</v>
      </c>
      <c r="J2492" s="8" t="s">
        <v>39</v>
      </c>
      <c r="K2492" s="8" t="s">
        <v>40</v>
      </c>
      <c r="L2492" s="8" t="s">
        <v>41</v>
      </c>
      <c r="M2492" s="8" t="s">
        <v>42</v>
      </c>
      <c r="O2492" s="8" t="s">
        <v>43</v>
      </c>
      <c r="P2492" s="8" t="b">
        <v>0</v>
      </c>
      <c r="R2492" s="8" t="b">
        <v>0</v>
      </c>
      <c r="S2492" s="8" t="b">
        <v>0</v>
      </c>
      <c r="T2492" s="8" t="b">
        <v>0</v>
      </c>
      <c r="U2492" s="8" t="b">
        <v>0</v>
      </c>
      <c r="V2492" s="8" t="b">
        <v>0</v>
      </c>
      <c r="W2492" s="11" t="s">
        <v>6186</v>
      </c>
      <c r="X2492" s="8" t="b">
        <v>0</v>
      </c>
      <c r="Y2492" s="8" t="b">
        <v>0</v>
      </c>
      <c r="Z2492" s="8" t="b">
        <v>0</v>
      </c>
      <c r="AA2492" s="8" t="b">
        <v>0</v>
      </c>
      <c r="AB2492" s="8" t="b">
        <v>0</v>
      </c>
      <c r="AC2492" s="8" t="b">
        <v>0</v>
      </c>
      <c r="AD2492" s="8" t="b">
        <v>1</v>
      </c>
      <c r="AE2492" s="8" t="b">
        <v>0</v>
      </c>
      <c r="AG2492" s="11" t="b" cm="1">
        <f t="array" ref="AG2492">IF(OR(Y2492:AA2492="TRUE", AE2492="true"), "Threatened")</f>
        <v>0</v>
      </c>
      <c r="AH2492" s="11" t="s">
        <v>6187</v>
      </c>
      <c r="AI2492" s="8" t="b">
        <v>0</v>
      </c>
    </row>
    <row r="2493" spans="1:35" ht="31.2">
      <c r="A2493" s="8">
        <v>-73.980162000000007</v>
      </c>
      <c r="B2493" s="8">
        <v>40.767857669999998</v>
      </c>
      <c r="C2493" s="8" t="s">
        <v>6188</v>
      </c>
      <c r="D2493" s="8" t="s">
        <v>855</v>
      </c>
      <c r="E2493" s="8" t="b">
        <f t="shared" si="38"/>
        <v>0</v>
      </c>
      <c r="F2493" s="8" t="str" cm="1">
        <f t="array" ref="F2493">_xlfn._xlws.FILTER(E2493:E5691, C2493:C5691= "6D-PM-1020-01", "No Squirrels Found")</f>
        <v>No Squirrels Found</v>
      </c>
      <c r="G2493" s="8" t="s">
        <v>48</v>
      </c>
      <c r="H2493" s="10">
        <v>10122018</v>
      </c>
      <c r="I2493" s="10">
        <v>9</v>
      </c>
      <c r="J2493" s="8" t="s">
        <v>39</v>
      </c>
      <c r="K2493" s="8" t="s">
        <v>41</v>
      </c>
      <c r="M2493" s="8" t="s">
        <v>49</v>
      </c>
      <c r="O2493" s="8" t="s">
        <v>43</v>
      </c>
      <c r="P2493" s="8" t="b">
        <v>0</v>
      </c>
      <c r="R2493" s="8" t="b">
        <v>0</v>
      </c>
      <c r="S2493" s="8" t="b">
        <v>0</v>
      </c>
      <c r="T2493" s="8" t="b">
        <v>0</v>
      </c>
      <c r="U2493" s="8" t="b">
        <v>0</v>
      </c>
      <c r="V2493" s="8" t="b">
        <v>1</v>
      </c>
      <c r="X2493" s="8" t="b">
        <v>0</v>
      </c>
      <c r="Y2493" s="8" t="b">
        <v>0</v>
      </c>
      <c r="Z2493" s="8" t="b">
        <v>0</v>
      </c>
      <c r="AA2493" s="8" t="b">
        <v>0</v>
      </c>
      <c r="AB2493" s="8" t="b">
        <v>0</v>
      </c>
      <c r="AC2493" s="8" t="b">
        <v>0</v>
      </c>
      <c r="AD2493" s="8" t="b">
        <v>1</v>
      </c>
      <c r="AE2493" s="8" t="b">
        <v>0</v>
      </c>
      <c r="AG2493" s="11" t="b" cm="1">
        <f t="array" ref="AG2493">IF(OR(Y2493:AA2493="TRUE", AE2493="true"), "Threatened")</f>
        <v>0</v>
      </c>
      <c r="AH2493" s="11" t="s">
        <v>6189</v>
      </c>
      <c r="AI2493" s="8" t="b">
        <v>1</v>
      </c>
    </row>
    <row r="2494" spans="1:35" ht="31.2">
      <c r="A2494" s="8">
        <v>-73.954767270000005</v>
      </c>
      <c r="B2494" s="8">
        <v>40.797324359999998</v>
      </c>
      <c r="C2494" s="8" t="s">
        <v>6190</v>
      </c>
      <c r="D2494" s="8" t="s">
        <v>636</v>
      </c>
      <c r="E2494" s="8" t="b">
        <f t="shared" si="38"/>
        <v>0</v>
      </c>
      <c r="F2494" s="8" t="str" cm="1">
        <f t="array" ref="F2494">_xlfn._xlws.FILTER(E2494:E5692, C2494:C5692= "6D-PM-1020-01", "No Squirrels Found")</f>
        <v>No Squirrels Found</v>
      </c>
      <c r="G2494" s="8" t="s">
        <v>34</v>
      </c>
      <c r="H2494" s="10">
        <v>10172018</v>
      </c>
      <c r="I2494" s="10">
        <v>3</v>
      </c>
      <c r="J2494" s="8" t="s">
        <v>39</v>
      </c>
      <c r="K2494" s="8" t="s">
        <v>41</v>
      </c>
      <c r="L2494" s="8" t="s">
        <v>40</v>
      </c>
      <c r="M2494" s="8" t="s">
        <v>110</v>
      </c>
      <c r="O2494" s="8" t="s">
        <v>43</v>
      </c>
      <c r="P2494" s="8" t="b">
        <v>0</v>
      </c>
      <c r="R2494" s="8" t="b">
        <v>0</v>
      </c>
      <c r="S2494" s="8" t="b">
        <v>0</v>
      </c>
      <c r="T2494" s="8" t="b">
        <v>0</v>
      </c>
      <c r="U2494" s="8" t="b">
        <v>0</v>
      </c>
      <c r="V2494" s="8" t="b">
        <v>1</v>
      </c>
      <c r="X2494" s="8" t="b">
        <v>0</v>
      </c>
      <c r="Y2494" s="8" t="b">
        <v>0</v>
      </c>
      <c r="Z2494" s="8" t="b">
        <v>0</v>
      </c>
      <c r="AA2494" s="8" t="b">
        <v>0</v>
      </c>
      <c r="AB2494" s="8" t="b">
        <v>0</v>
      </c>
      <c r="AC2494" s="8" t="b">
        <v>0</v>
      </c>
      <c r="AD2494" s="8" t="b">
        <v>1</v>
      </c>
      <c r="AE2494" s="8" t="b">
        <v>0</v>
      </c>
      <c r="AG2494" s="11" t="b" cm="1">
        <f t="array" ref="AG2494">IF(OR(Y2494:AA2494="TRUE", AE2494="true"), "Threatened")</f>
        <v>0</v>
      </c>
      <c r="AH2494" s="11" t="s">
        <v>6191</v>
      </c>
      <c r="AI2494" s="8" t="b">
        <v>1</v>
      </c>
    </row>
    <row r="2495" spans="1:35" ht="31.2">
      <c r="A2495" s="8">
        <v>-73.971396839999997</v>
      </c>
      <c r="B2495" s="8">
        <v>40.774039019999996</v>
      </c>
      <c r="C2495" s="8" t="s">
        <v>6192</v>
      </c>
      <c r="D2495" s="8" t="s">
        <v>1115</v>
      </c>
      <c r="E2495" s="8" t="b">
        <f t="shared" si="38"/>
        <v>0</v>
      </c>
      <c r="F2495" s="8" t="str" cm="1">
        <f t="array" ref="F2495">_xlfn._xlws.FILTER(E2495:E5693, C2495:C5693= "6D-PM-1020-01", "No Squirrels Found")</f>
        <v>No Squirrels Found</v>
      </c>
      <c r="G2495" s="8" t="s">
        <v>34</v>
      </c>
      <c r="H2495" s="10">
        <v>10122018</v>
      </c>
      <c r="I2495" s="10">
        <v>3</v>
      </c>
      <c r="J2495" s="8" t="s">
        <v>39</v>
      </c>
      <c r="K2495" s="8" t="s">
        <v>40</v>
      </c>
      <c r="L2495" s="8" t="s">
        <v>84</v>
      </c>
      <c r="M2495" s="8" t="s">
        <v>103</v>
      </c>
      <c r="O2495" s="8" t="s">
        <v>43</v>
      </c>
      <c r="P2495" s="8" t="b">
        <v>0</v>
      </c>
      <c r="R2495" s="8" t="b">
        <v>0</v>
      </c>
      <c r="S2495" s="8" t="b">
        <v>0</v>
      </c>
      <c r="T2495" s="8" t="b">
        <v>0</v>
      </c>
      <c r="U2495" s="8" t="b">
        <v>0</v>
      </c>
      <c r="V2495" s="8" t="b">
        <v>1</v>
      </c>
      <c r="X2495" s="8" t="b">
        <v>0</v>
      </c>
      <c r="Y2495" s="8" t="b">
        <v>0</v>
      </c>
      <c r="Z2495" s="8" t="b">
        <v>0</v>
      </c>
      <c r="AA2495" s="8" t="b">
        <v>0</v>
      </c>
      <c r="AB2495" s="8" t="b">
        <v>0</v>
      </c>
      <c r="AC2495" s="8" t="b">
        <v>0</v>
      </c>
      <c r="AD2495" s="8" t="b">
        <v>0</v>
      </c>
      <c r="AE2495" s="8" t="b">
        <v>1</v>
      </c>
      <c r="AG2495" s="11" t="b" cm="1">
        <f t="array" ref="AG2495">IF(OR(Y2495:AA2495="TRUE", AE2495="true"), "Threatened")</f>
        <v>0</v>
      </c>
      <c r="AH2495" s="11" t="s">
        <v>6193</v>
      </c>
      <c r="AI2495" s="8" t="b">
        <v>1</v>
      </c>
    </row>
    <row r="2496" spans="1:35" ht="31.2">
      <c r="A2496" s="8">
        <v>-73.962125360000002</v>
      </c>
      <c r="B2496" s="8">
        <v>40.791208210000001</v>
      </c>
      <c r="C2496" s="8" t="s">
        <v>6194</v>
      </c>
      <c r="D2496" s="8" t="s">
        <v>3391</v>
      </c>
      <c r="E2496" s="8" t="b">
        <f t="shared" si="38"/>
        <v>0</v>
      </c>
      <c r="F2496" s="8" t="str" cm="1">
        <f t="array" ref="F2496">_xlfn._xlws.FILTER(E2496:E5694, C2496:C5694= "6D-PM-1020-01", "No Squirrels Found")</f>
        <v>No Squirrels Found</v>
      </c>
      <c r="G2496" s="8" t="s">
        <v>48</v>
      </c>
      <c r="H2496" s="10">
        <v>10172018</v>
      </c>
      <c r="I2496" s="10">
        <v>1</v>
      </c>
      <c r="J2496" s="8" t="s">
        <v>39</v>
      </c>
      <c r="K2496" s="8" t="s">
        <v>40</v>
      </c>
      <c r="L2496" s="8" t="s">
        <v>117</v>
      </c>
      <c r="M2496" s="8" t="s">
        <v>118</v>
      </c>
      <c r="O2496" s="8" t="s">
        <v>50</v>
      </c>
      <c r="P2496" s="8">
        <v>8</v>
      </c>
      <c r="R2496" s="8" t="b">
        <v>1</v>
      </c>
      <c r="S2496" s="8" t="b">
        <v>0</v>
      </c>
      <c r="T2496" s="8" t="b">
        <v>1</v>
      </c>
      <c r="U2496" s="8" t="b">
        <v>1</v>
      </c>
      <c r="V2496" s="8" t="b">
        <v>0</v>
      </c>
      <c r="X2496" s="8" t="b">
        <v>0</v>
      </c>
      <c r="Y2496" s="8" t="b">
        <v>0</v>
      </c>
      <c r="Z2496" s="8" t="b">
        <v>0</v>
      </c>
      <c r="AA2496" s="8" t="b">
        <v>0</v>
      </c>
      <c r="AB2496" s="8" t="b">
        <v>1</v>
      </c>
      <c r="AC2496" s="8" t="b">
        <v>0</v>
      </c>
      <c r="AD2496" s="8" t="b">
        <v>0</v>
      </c>
      <c r="AE2496" s="8" t="b">
        <v>1</v>
      </c>
      <c r="AG2496" s="11" t="b" cm="1">
        <f t="array" ref="AG2496">IF(OR(Y2496:AA2496="TRUE", AE2496="true"), "Threatened")</f>
        <v>0</v>
      </c>
      <c r="AH2496" s="11" t="s">
        <v>6195</v>
      </c>
      <c r="AI2496" s="8" t="b">
        <v>1</v>
      </c>
    </row>
    <row r="2497" spans="1:35" ht="31.2">
      <c r="A2497" s="8">
        <v>-73.969627430000003</v>
      </c>
      <c r="B2497" s="8">
        <v>40.769198080000002</v>
      </c>
      <c r="C2497" s="8" t="s">
        <v>6196</v>
      </c>
      <c r="D2497" s="8" t="s">
        <v>1310</v>
      </c>
      <c r="E2497" s="8" t="b">
        <f t="shared" si="38"/>
        <v>0</v>
      </c>
      <c r="F2497" s="8" t="str" cm="1">
        <f t="array" ref="F2497">_xlfn._xlws.FILTER(E2497:E5695, C2497:C5695= "6D-PM-1020-01", "No Squirrels Found")</f>
        <v>No Squirrels Found</v>
      </c>
      <c r="G2497" s="8" t="s">
        <v>34</v>
      </c>
      <c r="H2497" s="10">
        <v>10132018</v>
      </c>
      <c r="I2497" s="10">
        <v>3</v>
      </c>
      <c r="J2497" s="8" t="s">
        <v>39</v>
      </c>
      <c r="K2497" s="8" t="s">
        <v>192</v>
      </c>
      <c r="L2497" s="8" t="s">
        <v>40</v>
      </c>
      <c r="M2497" s="8" t="s">
        <v>1236</v>
      </c>
      <c r="O2497" s="8" t="s">
        <v>43</v>
      </c>
      <c r="P2497" s="8" t="b">
        <v>0</v>
      </c>
      <c r="Q2497" s="8" t="s">
        <v>6197</v>
      </c>
      <c r="R2497" s="8" t="b">
        <v>0</v>
      </c>
      <c r="S2497" s="8" t="b">
        <v>0</v>
      </c>
      <c r="T2497" s="8" t="b">
        <v>0</v>
      </c>
      <c r="U2497" s="8" t="b">
        <v>1</v>
      </c>
      <c r="V2497" s="8" t="b">
        <v>0</v>
      </c>
      <c r="X2497" s="8" t="b">
        <v>0</v>
      </c>
      <c r="Y2497" s="8" t="b">
        <v>0</v>
      </c>
      <c r="Z2497" s="8" t="b">
        <v>0</v>
      </c>
      <c r="AA2497" s="8" t="b">
        <v>0</v>
      </c>
      <c r="AB2497" s="8" t="b">
        <v>0</v>
      </c>
      <c r="AC2497" s="8" t="b">
        <v>0</v>
      </c>
      <c r="AD2497" s="8" t="b">
        <v>0</v>
      </c>
      <c r="AE2497" s="8" t="b">
        <v>0</v>
      </c>
      <c r="AG2497" s="11" t="b" cm="1">
        <f t="array" ref="AG2497">IF(OR(Y2497:AA2497="TRUE", AE2497="true"), "Threatened")</f>
        <v>0</v>
      </c>
      <c r="AH2497" s="11" t="s">
        <v>6198</v>
      </c>
      <c r="AI2497" s="8" t="b">
        <v>1</v>
      </c>
    </row>
    <row r="2498" spans="1:35" ht="31.2">
      <c r="A2498" s="8">
        <v>-73.962205080000004</v>
      </c>
      <c r="B2498" s="8">
        <v>40.788637379999997</v>
      </c>
      <c r="C2498" s="8" t="s">
        <v>6199</v>
      </c>
      <c r="D2498" s="8" t="s">
        <v>1425</v>
      </c>
      <c r="E2498" s="8" t="b">
        <f t="shared" si="38"/>
        <v>0</v>
      </c>
      <c r="F2498" s="8" t="str" cm="1">
        <f t="array" ref="F2498">_xlfn._xlws.FILTER(E2498:E5696, C2498:C5696= "6D-PM-1020-01", "No Squirrels Found")</f>
        <v>No Squirrels Found</v>
      </c>
      <c r="G2498" s="8" t="s">
        <v>34</v>
      </c>
      <c r="H2498" s="10">
        <v>10102018</v>
      </c>
      <c r="I2498" s="10">
        <v>1</v>
      </c>
      <c r="J2498" s="8" t="s">
        <v>54</v>
      </c>
      <c r="K2498" s="8" t="s">
        <v>40</v>
      </c>
      <c r="L2498" s="8" t="s">
        <v>84</v>
      </c>
      <c r="M2498" s="8" t="s">
        <v>103</v>
      </c>
      <c r="O2498" s="8" t="s">
        <v>50</v>
      </c>
      <c r="P2498" s="8">
        <v>10</v>
      </c>
      <c r="R2498" s="8" t="b">
        <v>0</v>
      </c>
      <c r="S2498" s="8" t="b">
        <v>0</v>
      </c>
      <c r="T2498" s="8" t="b">
        <v>1</v>
      </c>
      <c r="U2498" s="8" t="b">
        <v>1</v>
      </c>
      <c r="V2498" s="8" t="b">
        <v>0</v>
      </c>
      <c r="X2498" s="8" t="b">
        <v>0</v>
      </c>
      <c r="Y2498" s="8" t="b">
        <v>0</v>
      </c>
      <c r="Z2498" s="8" t="b">
        <v>0</v>
      </c>
      <c r="AA2498" s="8" t="b">
        <v>0</v>
      </c>
      <c r="AB2498" s="8" t="b">
        <v>0</v>
      </c>
      <c r="AC2498" s="8" t="b">
        <v>0</v>
      </c>
      <c r="AD2498" s="8" t="b">
        <v>1</v>
      </c>
      <c r="AE2498" s="8" t="b">
        <v>0</v>
      </c>
      <c r="AG2498" s="11" t="b" cm="1">
        <f t="array" ref="AG2498">IF(OR(Y2498:AA2498="TRUE", AE2498="true"), "Threatened")</f>
        <v>0</v>
      </c>
      <c r="AH2498" s="11" t="s">
        <v>6200</v>
      </c>
      <c r="AI2498" s="8" t="b">
        <v>1</v>
      </c>
    </row>
    <row r="2499" spans="1:35" ht="31.2">
      <c r="A2499" s="8">
        <v>-73.967455689999994</v>
      </c>
      <c r="B2499" s="8">
        <v>40.787539940000002</v>
      </c>
      <c r="C2499" s="8" t="s">
        <v>6201</v>
      </c>
      <c r="D2499" s="8" t="s">
        <v>488</v>
      </c>
      <c r="E2499" s="8" t="b">
        <f t="shared" ref="E2499:E2562" si="39">OR(D2499 = "05D", D2499 = "07D", D2499 = "06C", D2499 = "06E")</f>
        <v>0</v>
      </c>
      <c r="F2499" s="8" t="str" cm="1">
        <f t="array" ref="F2499">_xlfn._xlws.FILTER(E2499:E5697, C2499:C5697= "6D-PM-1020-01", "No Squirrels Found")</f>
        <v>No Squirrels Found</v>
      </c>
      <c r="G2499" s="8" t="s">
        <v>48</v>
      </c>
      <c r="H2499" s="10">
        <v>10142018</v>
      </c>
      <c r="I2499" s="10">
        <v>2</v>
      </c>
      <c r="K2499" s="8" t="s">
        <v>40</v>
      </c>
      <c r="L2499" s="8" t="s">
        <v>41</v>
      </c>
      <c r="M2499" s="8" t="s">
        <v>42</v>
      </c>
      <c r="O2499" s="8" t="s">
        <v>43</v>
      </c>
      <c r="P2499" s="8" t="b">
        <v>0</v>
      </c>
      <c r="R2499" s="8" t="b">
        <v>0</v>
      </c>
      <c r="S2499" s="8" t="b">
        <v>1</v>
      </c>
      <c r="T2499" s="8" t="b">
        <v>0</v>
      </c>
      <c r="U2499" s="8" t="b">
        <v>0</v>
      </c>
      <c r="V2499" s="8" t="b">
        <v>1</v>
      </c>
      <c r="X2499" s="8" t="b">
        <v>0</v>
      </c>
      <c r="Y2499" s="8" t="b">
        <v>0</v>
      </c>
      <c r="Z2499" s="8" t="b">
        <v>0</v>
      </c>
      <c r="AA2499" s="8" t="b">
        <v>0</v>
      </c>
      <c r="AB2499" s="8" t="b">
        <v>0</v>
      </c>
      <c r="AC2499" s="8" t="b">
        <v>0</v>
      </c>
      <c r="AD2499" s="8" t="b">
        <v>0</v>
      </c>
      <c r="AE2499" s="8" t="b">
        <v>0</v>
      </c>
      <c r="AF2499" s="11" t="s">
        <v>1865</v>
      </c>
      <c r="AG2499" s="11" t="b" cm="1">
        <f t="array" ref="AG2499">IF(OR(Y2499:AA2499="TRUE", AE2499="true"), "Threatened")</f>
        <v>0</v>
      </c>
      <c r="AH2499" s="11" t="s">
        <v>6202</v>
      </c>
      <c r="AI2499" s="8" t="b">
        <v>1</v>
      </c>
    </row>
    <row r="2500" spans="1:35" ht="31.2">
      <c r="A2500" s="8">
        <v>-73.969007989999994</v>
      </c>
      <c r="B2500" s="8">
        <v>40.784547349999997</v>
      </c>
      <c r="C2500" s="8" t="s">
        <v>6203</v>
      </c>
      <c r="D2500" s="8" t="s">
        <v>313</v>
      </c>
      <c r="E2500" s="8" t="b">
        <f t="shared" si="39"/>
        <v>0</v>
      </c>
      <c r="F2500" s="8" t="str" cm="1">
        <f t="array" ref="F2500">_xlfn._xlws.FILTER(E2500:E5698, C2500:C5698= "6D-PM-1020-01", "No Squirrels Found")</f>
        <v>No Squirrels Found</v>
      </c>
      <c r="G2500" s="8" t="s">
        <v>48</v>
      </c>
      <c r="H2500" s="10">
        <v>10082018</v>
      </c>
      <c r="I2500" s="10">
        <v>6</v>
      </c>
      <c r="J2500" s="8" t="s">
        <v>39</v>
      </c>
      <c r="K2500" s="8" t="s">
        <v>40</v>
      </c>
      <c r="M2500" s="8" t="s">
        <v>55</v>
      </c>
      <c r="O2500" s="8" t="s">
        <v>50</v>
      </c>
      <c r="P2500" s="8">
        <v>30</v>
      </c>
      <c r="R2500" s="8" t="b">
        <v>0</v>
      </c>
      <c r="S2500" s="8" t="b">
        <v>0</v>
      </c>
      <c r="T2500" s="8" t="b">
        <v>0</v>
      </c>
      <c r="U2500" s="8" t="b">
        <v>1</v>
      </c>
      <c r="V2500" s="8" t="b">
        <v>0</v>
      </c>
      <c r="X2500" s="8" t="b">
        <v>0</v>
      </c>
      <c r="Y2500" s="8" t="b">
        <v>0</v>
      </c>
      <c r="Z2500" s="8" t="b">
        <v>0</v>
      </c>
      <c r="AA2500" s="8" t="b">
        <v>0</v>
      </c>
      <c r="AB2500" s="8" t="b">
        <v>0</v>
      </c>
      <c r="AC2500" s="8" t="b">
        <v>0</v>
      </c>
      <c r="AD2500" s="8" t="b">
        <v>0</v>
      </c>
      <c r="AE2500" s="8" t="b">
        <v>0</v>
      </c>
      <c r="AG2500" s="11" t="b" cm="1">
        <f t="array" ref="AG2500">IF(OR(Y2500:AA2500="TRUE", AE2500="true"), "Threatened")</f>
        <v>0</v>
      </c>
      <c r="AH2500" s="11" t="s">
        <v>6204</v>
      </c>
      <c r="AI2500" s="8" t="b">
        <v>1</v>
      </c>
    </row>
    <row r="2501" spans="1:35" ht="31.2">
      <c r="A2501" s="8">
        <v>-73.968970389999996</v>
      </c>
      <c r="B2501" s="8">
        <v>40.771202559999999</v>
      </c>
      <c r="C2501" s="8" t="s">
        <v>6205</v>
      </c>
      <c r="D2501" s="8" t="s">
        <v>1785</v>
      </c>
      <c r="E2501" s="8" t="b">
        <f t="shared" si="39"/>
        <v>0</v>
      </c>
      <c r="F2501" s="8" t="str" cm="1">
        <f t="array" ref="F2501">_xlfn._xlws.FILTER(E2501:E5699, C2501:C5699= "6D-PM-1020-01", "No Squirrels Found")</f>
        <v>No Squirrels Found</v>
      </c>
      <c r="G2501" s="8" t="s">
        <v>34</v>
      </c>
      <c r="H2501" s="10">
        <v>10102018</v>
      </c>
      <c r="I2501" s="10">
        <v>2</v>
      </c>
      <c r="J2501" s="8" t="s">
        <v>39</v>
      </c>
      <c r="K2501" s="8" t="s">
        <v>40</v>
      </c>
      <c r="L2501" s="8" t="s">
        <v>117</v>
      </c>
      <c r="M2501" s="8" t="s">
        <v>118</v>
      </c>
      <c r="N2501" s="11" t="s">
        <v>3185</v>
      </c>
      <c r="O2501" s="8" t="s">
        <v>43</v>
      </c>
      <c r="P2501" s="8" t="b">
        <v>0</v>
      </c>
      <c r="R2501" s="8" t="b">
        <v>0</v>
      </c>
      <c r="S2501" s="8" t="b">
        <v>0</v>
      </c>
      <c r="T2501" s="8" t="b">
        <v>0</v>
      </c>
      <c r="U2501" s="8" t="b">
        <v>0</v>
      </c>
      <c r="V2501" s="8" t="b">
        <v>1</v>
      </c>
      <c r="X2501" s="8" t="b">
        <v>0</v>
      </c>
      <c r="Y2501" s="8" t="b">
        <v>0</v>
      </c>
      <c r="Z2501" s="8" t="b">
        <v>0</v>
      </c>
      <c r="AA2501" s="8" t="b">
        <v>0</v>
      </c>
      <c r="AB2501" s="8" t="b">
        <v>0</v>
      </c>
      <c r="AC2501" s="8" t="b">
        <v>0</v>
      </c>
      <c r="AD2501" s="8" t="b">
        <v>1</v>
      </c>
      <c r="AE2501" s="8" t="b">
        <v>0</v>
      </c>
      <c r="AG2501" s="11" t="b" cm="1">
        <f t="array" ref="AG2501">IF(OR(Y2501:AA2501="TRUE", AE2501="true"), "Threatened")</f>
        <v>0</v>
      </c>
      <c r="AH2501" s="11" t="s">
        <v>6206</v>
      </c>
      <c r="AI2501" s="8" t="b">
        <v>1</v>
      </c>
    </row>
    <row r="2502" spans="1:35" ht="31.2">
      <c r="A2502" s="8">
        <v>-73.961694420000001</v>
      </c>
      <c r="B2502" s="8">
        <v>40.792725040000001</v>
      </c>
      <c r="C2502" s="8" t="s">
        <v>6207</v>
      </c>
      <c r="D2502" s="8" t="s">
        <v>931</v>
      </c>
      <c r="E2502" s="8" t="b">
        <f t="shared" si="39"/>
        <v>0</v>
      </c>
      <c r="F2502" s="8" t="str" cm="1">
        <f t="array" ref="F2502">_xlfn._xlws.FILTER(E2502:E5700, C2502:C5700= "6D-PM-1020-01", "No Squirrels Found")</f>
        <v>No Squirrels Found</v>
      </c>
      <c r="G2502" s="8" t="s">
        <v>34</v>
      </c>
      <c r="H2502" s="10">
        <v>10102018</v>
      </c>
      <c r="I2502" s="10">
        <v>2</v>
      </c>
      <c r="J2502" s="8" t="s">
        <v>39</v>
      </c>
      <c r="M2502" s="8" t="s">
        <v>35</v>
      </c>
      <c r="O2502" s="8" t="s">
        <v>43</v>
      </c>
      <c r="P2502" s="8" t="b">
        <v>0</v>
      </c>
      <c r="R2502" s="8" t="b">
        <v>0</v>
      </c>
      <c r="S2502" s="8" t="b">
        <v>0</v>
      </c>
      <c r="T2502" s="8" t="b">
        <v>0</v>
      </c>
      <c r="U2502" s="8" t="b">
        <v>0</v>
      </c>
      <c r="V2502" s="8" t="b">
        <v>1</v>
      </c>
      <c r="X2502" s="8" t="b">
        <v>0</v>
      </c>
      <c r="Y2502" s="8" t="b">
        <v>0</v>
      </c>
      <c r="Z2502" s="8" t="b">
        <v>0</v>
      </c>
      <c r="AA2502" s="8" t="b">
        <v>0</v>
      </c>
      <c r="AB2502" s="8" t="b">
        <v>0</v>
      </c>
      <c r="AC2502" s="8" t="b">
        <v>0</v>
      </c>
      <c r="AD2502" s="8" t="b">
        <v>0</v>
      </c>
      <c r="AE2502" s="8" t="b">
        <v>1</v>
      </c>
      <c r="AG2502" s="11" t="b" cm="1">
        <f t="array" ref="AG2502">IF(OR(Y2502:AA2502="TRUE", AE2502="true"), "Threatened")</f>
        <v>0</v>
      </c>
      <c r="AH2502" s="11" t="s">
        <v>6208</v>
      </c>
      <c r="AI2502" s="8" t="b">
        <v>1</v>
      </c>
    </row>
    <row r="2503" spans="1:35" ht="31.2">
      <c r="A2503" s="8">
        <v>-73.975837530000007</v>
      </c>
      <c r="B2503" s="8">
        <v>40.76767933</v>
      </c>
      <c r="C2503" s="8" t="s">
        <v>6209</v>
      </c>
      <c r="D2503" s="8" t="s">
        <v>230</v>
      </c>
      <c r="E2503" s="8" t="b">
        <f t="shared" si="39"/>
        <v>0</v>
      </c>
      <c r="F2503" s="8" t="str" cm="1">
        <f t="array" ref="F2503">_xlfn._xlws.FILTER(E2503:E5701, C2503:C5701= "6D-PM-1020-01", "No Squirrels Found")</f>
        <v>No Squirrels Found</v>
      </c>
      <c r="G2503" s="8" t="s">
        <v>48</v>
      </c>
      <c r="H2503" s="10">
        <v>10062018</v>
      </c>
      <c r="I2503" s="10">
        <v>6</v>
      </c>
      <c r="J2503" s="8" t="s">
        <v>39</v>
      </c>
      <c r="K2503" s="8" t="s">
        <v>40</v>
      </c>
      <c r="L2503" s="8" t="s">
        <v>41</v>
      </c>
      <c r="M2503" s="8" t="s">
        <v>42</v>
      </c>
      <c r="O2503" s="8" t="s">
        <v>50</v>
      </c>
      <c r="P2503" s="8">
        <v>14</v>
      </c>
      <c r="R2503" s="8" t="b">
        <v>0</v>
      </c>
      <c r="S2503" s="8" t="b">
        <v>0</v>
      </c>
      <c r="T2503" s="8" t="b">
        <v>0</v>
      </c>
      <c r="U2503" s="8" t="b">
        <v>1</v>
      </c>
      <c r="V2503" s="8" t="b">
        <v>0</v>
      </c>
      <c r="X2503" s="8" t="b">
        <v>0</v>
      </c>
      <c r="Y2503" s="8" t="b">
        <v>0</v>
      </c>
      <c r="Z2503" s="8" t="b">
        <v>0</v>
      </c>
      <c r="AA2503" s="8" t="b">
        <v>0</v>
      </c>
      <c r="AB2503" s="8" t="b">
        <v>0</v>
      </c>
      <c r="AC2503" s="8" t="b">
        <v>0</v>
      </c>
      <c r="AD2503" s="8" t="b">
        <v>0</v>
      </c>
      <c r="AE2503" s="8" t="b">
        <v>0</v>
      </c>
      <c r="AG2503" s="11" t="b" cm="1">
        <f t="array" ref="AG2503">IF(OR(Y2503:AA2503="TRUE", AE2503="true"), "Threatened")</f>
        <v>0</v>
      </c>
      <c r="AH2503" s="11" t="s">
        <v>6210</v>
      </c>
      <c r="AI2503" s="8" t="b">
        <v>1</v>
      </c>
    </row>
    <row r="2504" spans="1:35" ht="31.2">
      <c r="A2504" s="8">
        <v>-73.974382559999995</v>
      </c>
      <c r="B2504" s="8">
        <v>40.767481259999997</v>
      </c>
      <c r="C2504" s="8" t="s">
        <v>6211</v>
      </c>
      <c r="D2504" s="8" t="s">
        <v>1706</v>
      </c>
      <c r="E2504" s="8" t="b">
        <f t="shared" si="39"/>
        <v>0</v>
      </c>
      <c r="F2504" s="8" t="str" cm="1">
        <f t="array" ref="F2504">_xlfn._xlws.FILTER(E2504:E5702, C2504:C5702= "6D-PM-1020-01", "No Squirrels Found")</f>
        <v>No Squirrels Found</v>
      </c>
      <c r="G2504" s="8" t="s">
        <v>48</v>
      </c>
      <c r="H2504" s="10">
        <v>10062018</v>
      </c>
      <c r="I2504" s="10">
        <v>10</v>
      </c>
      <c r="J2504" s="8" t="s">
        <v>39</v>
      </c>
      <c r="K2504" s="8" t="s">
        <v>41</v>
      </c>
      <c r="L2504" s="8" t="s">
        <v>84</v>
      </c>
      <c r="M2504" s="8" t="s">
        <v>85</v>
      </c>
      <c r="O2504" s="8" t="s">
        <v>50</v>
      </c>
      <c r="P2504" s="8">
        <v>6</v>
      </c>
      <c r="Q2504" s="8" t="s">
        <v>760</v>
      </c>
      <c r="R2504" s="8" t="b">
        <v>0</v>
      </c>
      <c r="S2504" s="8" t="b">
        <v>0</v>
      </c>
      <c r="T2504" s="8" t="b">
        <v>1</v>
      </c>
      <c r="U2504" s="8" t="b">
        <v>0</v>
      </c>
      <c r="V2504" s="8" t="b">
        <v>0</v>
      </c>
      <c r="X2504" s="8" t="b">
        <v>0</v>
      </c>
      <c r="Y2504" s="8" t="b">
        <v>0</v>
      </c>
      <c r="Z2504" s="8" t="b">
        <v>0</v>
      </c>
      <c r="AA2504" s="8" t="b">
        <v>0</v>
      </c>
      <c r="AB2504" s="8" t="b">
        <v>0</v>
      </c>
      <c r="AC2504" s="8" t="b">
        <v>0</v>
      </c>
      <c r="AD2504" s="8" t="b">
        <v>0</v>
      </c>
      <c r="AE2504" s="8" t="b">
        <v>0</v>
      </c>
      <c r="AF2504" s="11" t="s">
        <v>6212</v>
      </c>
      <c r="AG2504" s="11" t="b" cm="1">
        <f t="array" ref="AG2504">IF(OR(Y2504:AA2504="TRUE", AE2504="true"), "Threatened")</f>
        <v>0</v>
      </c>
      <c r="AH2504" s="11" t="s">
        <v>6213</v>
      </c>
      <c r="AI2504" s="8" t="b">
        <v>1</v>
      </c>
    </row>
    <row r="2505" spans="1:35" ht="31.2">
      <c r="A2505" s="8">
        <v>-73.955013179999995</v>
      </c>
      <c r="B2505" s="8">
        <v>40.795861729999999</v>
      </c>
      <c r="C2505" s="8" t="s">
        <v>6214</v>
      </c>
      <c r="D2505" s="8" t="s">
        <v>3963</v>
      </c>
      <c r="E2505" s="8" t="b">
        <f t="shared" si="39"/>
        <v>0</v>
      </c>
      <c r="F2505" s="8" t="str" cm="1">
        <f t="array" ref="F2505">_xlfn._xlws.FILTER(E2505:E5703, C2505:C5703= "6D-PM-1020-01", "No Squirrels Found")</f>
        <v>No Squirrels Found</v>
      </c>
      <c r="G2505" s="8" t="s">
        <v>34</v>
      </c>
      <c r="H2505" s="10">
        <v>10132018</v>
      </c>
      <c r="I2505" s="10">
        <v>2</v>
      </c>
      <c r="J2505" s="8" t="s">
        <v>39</v>
      </c>
      <c r="K2505" s="8" t="s">
        <v>41</v>
      </c>
      <c r="L2505" s="8" t="s">
        <v>40</v>
      </c>
      <c r="M2505" s="8" t="s">
        <v>110</v>
      </c>
      <c r="N2505" s="11" t="s">
        <v>6215</v>
      </c>
      <c r="O2505" s="8" t="s">
        <v>43</v>
      </c>
      <c r="P2505" s="8" t="b">
        <v>0</v>
      </c>
      <c r="R2505" s="8" t="b">
        <v>0</v>
      </c>
      <c r="S2505" s="8" t="b">
        <v>0</v>
      </c>
      <c r="T2505" s="8" t="b">
        <v>0</v>
      </c>
      <c r="U2505" s="8" t="b">
        <v>0</v>
      </c>
      <c r="V2505" s="8" t="b">
        <v>1</v>
      </c>
      <c r="X2505" s="8" t="b">
        <v>0</v>
      </c>
      <c r="Y2505" s="8" t="b">
        <v>0</v>
      </c>
      <c r="Z2505" s="8" t="b">
        <v>0</v>
      </c>
      <c r="AA2505" s="8" t="b">
        <v>0</v>
      </c>
      <c r="AB2505" s="8" t="b">
        <v>0</v>
      </c>
      <c r="AC2505" s="8" t="b">
        <v>1</v>
      </c>
      <c r="AD2505" s="8" t="b">
        <v>1</v>
      </c>
      <c r="AE2505" s="8" t="b">
        <v>0</v>
      </c>
      <c r="AG2505" s="11" t="b" cm="1">
        <f t="array" ref="AG2505">IF(OR(Y2505:AA2505="TRUE", AE2505="true"), "Threatened")</f>
        <v>0</v>
      </c>
      <c r="AH2505" s="11" t="s">
        <v>6216</v>
      </c>
      <c r="AI2505" s="8" t="b">
        <v>1</v>
      </c>
    </row>
    <row r="2506" spans="1:35" ht="31.2">
      <c r="A2506" s="8">
        <v>-73.976297470000006</v>
      </c>
      <c r="B2506" s="8">
        <v>40.774007609999998</v>
      </c>
      <c r="C2506" s="8" t="s">
        <v>6217</v>
      </c>
      <c r="D2506" s="8" t="s">
        <v>802</v>
      </c>
      <c r="E2506" s="8" t="b">
        <f t="shared" si="39"/>
        <v>0</v>
      </c>
      <c r="F2506" s="8" t="str" cm="1">
        <f t="array" ref="F2506">_xlfn._xlws.FILTER(E2506:E5704, C2506:C5704= "6D-PM-1020-01", "No Squirrels Found")</f>
        <v>No Squirrels Found</v>
      </c>
      <c r="G2506" s="8" t="s">
        <v>34</v>
      </c>
      <c r="H2506" s="10">
        <v>10132018</v>
      </c>
      <c r="I2506" s="10">
        <v>6</v>
      </c>
      <c r="J2506" s="8" t="s">
        <v>39</v>
      </c>
      <c r="K2506" s="8" t="s">
        <v>41</v>
      </c>
      <c r="M2506" s="8" t="s">
        <v>49</v>
      </c>
      <c r="O2506" s="8" t="s">
        <v>43</v>
      </c>
      <c r="P2506" s="8" t="b">
        <v>0</v>
      </c>
      <c r="R2506" s="8" t="b">
        <v>0</v>
      </c>
      <c r="S2506" s="8" t="b">
        <v>0</v>
      </c>
      <c r="T2506" s="8" t="b">
        <v>0</v>
      </c>
      <c r="U2506" s="8" t="b">
        <v>0</v>
      </c>
      <c r="V2506" s="8" t="b">
        <v>1</v>
      </c>
      <c r="X2506" s="8" t="b">
        <v>0</v>
      </c>
      <c r="Y2506" s="8" t="b">
        <v>0</v>
      </c>
      <c r="Z2506" s="8" t="b">
        <v>0</v>
      </c>
      <c r="AA2506" s="8" t="b">
        <v>1</v>
      </c>
      <c r="AB2506" s="8" t="b">
        <v>0</v>
      </c>
      <c r="AC2506" s="8" t="b">
        <v>0</v>
      </c>
      <c r="AD2506" s="8" t="b">
        <v>1</v>
      </c>
      <c r="AE2506" s="8" t="b">
        <v>0</v>
      </c>
      <c r="AG2506" s="11" t="b" cm="1">
        <f t="array" ref="AG2506">IF(OR(Y2506:AA2506="TRUE", AE2506="true"), "Threatened")</f>
        <v>0</v>
      </c>
      <c r="AH2506" s="11" t="s">
        <v>6218</v>
      </c>
      <c r="AI2506" s="8" t="b">
        <v>1</v>
      </c>
    </row>
    <row r="2507" spans="1:35" ht="31.2">
      <c r="A2507" s="8">
        <v>-73.971903889999993</v>
      </c>
      <c r="B2507" s="8">
        <v>40.770353350000001</v>
      </c>
      <c r="C2507" s="8" t="s">
        <v>6219</v>
      </c>
      <c r="D2507" s="8" t="s">
        <v>413</v>
      </c>
      <c r="E2507" s="8" t="b">
        <f t="shared" si="39"/>
        <v>0</v>
      </c>
      <c r="F2507" s="8" t="str" cm="1">
        <f t="array" ref="F2507">_xlfn._xlws.FILTER(E2507:E5705, C2507:C5705= "6D-PM-1020-01", "No Squirrels Found")</f>
        <v>No Squirrels Found</v>
      </c>
      <c r="G2507" s="8" t="s">
        <v>48</v>
      </c>
      <c r="H2507" s="10">
        <v>10102018</v>
      </c>
      <c r="I2507" s="10">
        <v>5</v>
      </c>
      <c r="J2507" s="8" t="s">
        <v>39</v>
      </c>
      <c r="K2507" s="8" t="s">
        <v>40</v>
      </c>
      <c r="L2507" s="8" t="s">
        <v>41</v>
      </c>
      <c r="M2507" s="8" t="s">
        <v>42</v>
      </c>
      <c r="O2507" s="8" t="s">
        <v>43</v>
      </c>
      <c r="P2507" s="8" t="b">
        <v>0</v>
      </c>
      <c r="R2507" s="8" t="b">
        <v>0</v>
      </c>
      <c r="S2507" s="8" t="b">
        <v>0</v>
      </c>
      <c r="T2507" s="8" t="b">
        <v>0</v>
      </c>
      <c r="U2507" s="8" t="b">
        <v>0</v>
      </c>
      <c r="V2507" s="8" t="b">
        <v>1</v>
      </c>
      <c r="X2507" s="8" t="b">
        <v>0</v>
      </c>
      <c r="Y2507" s="8" t="b">
        <v>0</v>
      </c>
      <c r="Z2507" s="8" t="b">
        <v>0</v>
      </c>
      <c r="AA2507" s="8" t="b">
        <v>0</v>
      </c>
      <c r="AB2507" s="8" t="b">
        <v>0</v>
      </c>
      <c r="AC2507" s="8" t="b">
        <v>0</v>
      </c>
      <c r="AD2507" s="8" t="b">
        <v>1</v>
      </c>
      <c r="AE2507" s="8" t="b">
        <v>0</v>
      </c>
      <c r="AG2507" s="11" t="b" cm="1">
        <f t="array" ref="AG2507">IF(OR(Y2507:AA2507="TRUE", AE2507="true"), "Threatened")</f>
        <v>0</v>
      </c>
      <c r="AH2507" s="11" t="s">
        <v>6220</v>
      </c>
      <c r="AI2507" s="8" t="b">
        <v>1</v>
      </c>
    </row>
    <row r="2508" spans="1:35" ht="31.2">
      <c r="A2508" s="8">
        <v>-73.964868519999996</v>
      </c>
      <c r="B2508" s="8">
        <v>40.782106419999998</v>
      </c>
      <c r="C2508" s="8" t="s">
        <v>6221</v>
      </c>
      <c r="D2508" s="8" t="s">
        <v>177</v>
      </c>
      <c r="E2508" s="8" t="b">
        <f t="shared" si="39"/>
        <v>0</v>
      </c>
      <c r="F2508" s="8" t="str" cm="1">
        <f t="array" ref="F2508">_xlfn._xlws.FILTER(E2508:E5706, C2508:C5706= "6D-PM-1020-01", "No Squirrels Found")</f>
        <v>No Squirrels Found</v>
      </c>
      <c r="G2508" s="8" t="s">
        <v>34</v>
      </c>
      <c r="H2508" s="10">
        <v>10142018</v>
      </c>
      <c r="I2508" s="10">
        <v>1</v>
      </c>
      <c r="J2508" s="8" t="s">
        <v>39</v>
      </c>
      <c r="K2508" s="8" t="s">
        <v>40</v>
      </c>
      <c r="L2508" s="8" t="s">
        <v>41</v>
      </c>
      <c r="M2508" s="8" t="s">
        <v>42</v>
      </c>
      <c r="O2508" s="8" t="s">
        <v>43</v>
      </c>
      <c r="P2508" s="8" t="b">
        <v>0</v>
      </c>
      <c r="R2508" s="8" t="b">
        <v>0</v>
      </c>
      <c r="S2508" s="8" t="b">
        <v>0</v>
      </c>
      <c r="T2508" s="8" t="b">
        <v>0</v>
      </c>
      <c r="U2508" s="8" t="b">
        <v>1</v>
      </c>
      <c r="V2508" s="8" t="b">
        <v>0</v>
      </c>
      <c r="X2508" s="8" t="b">
        <v>0</v>
      </c>
      <c r="Y2508" s="8" t="b">
        <v>0</v>
      </c>
      <c r="Z2508" s="8" t="b">
        <v>0</v>
      </c>
      <c r="AA2508" s="8" t="b">
        <v>0</v>
      </c>
      <c r="AB2508" s="8" t="b">
        <v>0</v>
      </c>
      <c r="AC2508" s="8" t="b">
        <v>0</v>
      </c>
      <c r="AD2508" s="8" t="b">
        <v>1</v>
      </c>
      <c r="AE2508" s="8" t="b">
        <v>0</v>
      </c>
      <c r="AG2508" s="11" t="b" cm="1">
        <f t="array" ref="AG2508">IF(OR(Y2508:AA2508="TRUE", AE2508="true"), "Threatened")</f>
        <v>0</v>
      </c>
      <c r="AH2508" s="11" t="s">
        <v>6222</v>
      </c>
      <c r="AI2508" s="8" t="b">
        <v>1</v>
      </c>
    </row>
    <row r="2509" spans="1:35" ht="31.2">
      <c r="A2509" s="8">
        <v>-73.979381450000005</v>
      </c>
      <c r="B2509" s="8">
        <v>40.770903369999999</v>
      </c>
      <c r="C2509" s="8" t="s">
        <v>6223</v>
      </c>
      <c r="D2509" s="8" t="s">
        <v>1364</v>
      </c>
      <c r="E2509" s="8" t="b">
        <f t="shared" si="39"/>
        <v>0</v>
      </c>
      <c r="F2509" s="8" t="str" cm="1">
        <f t="array" ref="F2509">_xlfn._xlws.FILTER(E2509:E5707, C2509:C5707= "6D-PM-1020-01", "No Squirrels Found")</f>
        <v>No Squirrels Found</v>
      </c>
      <c r="G2509" s="8" t="s">
        <v>34</v>
      </c>
      <c r="H2509" s="10">
        <v>10072018</v>
      </c>
      <c r="I2509" s="10">
        <v>1</v>
      </c>
      <c r="J2509" s="8" t="s">
        <v>39</v>
      </c>
      <c r="K2509" s="8" t="s">
        <v>40</v>
      </c>
      <c r="L2509" s="8" t="s">
        <v>117</v>
      </c>
      <c r="M2509" s="8" t="s">
        <v>118</v>
      </c>
      <c r="O2509" s="8" t="s">
        <v>43</v>
      </c>
      <c r="P2509" s="8" t="b">
        <v>0</v>
      </c>
      <c r="R2509" s="8" t="b">
        <v>1</v>
      </c>
      <c r="S2509" s="8" t="b">
        <v>0</v>
      </c>
      <c r="T2509" s="8" t="b">
        <v>1</v>
      </c>
      <c r="U2509" s="8" t="b">
        <v>1</v>
      </c>
      <c r="V2509" s="8" t="b">
        <v>1</v>
      </c>
      <c r="X2509" s="8" t="b">
        <v>0</v>
      </c>
      <c r="Y2509" s="8" t="b">
        <v>0</v>
      </c>
      <c r="Z2509" s="8" t="b">
        <v>0</v>
      </c>
      <c r="AA2509" s="8" t="b">
        <v>0</v>
      </c>
      <c r="AB2509" s="8" t="b">
        <v>1</v>
      </c>
      <c r="AC2509" s="8" t="b">
        <v>0</v>
      </c>
      <c r="AD2509" s="8" t="b">
        <v>1</v>
      </c>
      <c r="AE2509" s="8" t="b">
        <v>0</v>
      </c>
      <c r="AG2509" s="11" t="b" cm="1">
        <f t="array" ref="AG2509">IF(OR(Y2509:AA2509="TRUE", AE2509="true"), "Threatened")</f>
        <v>0</v>
      </c>
      <c r="AH2509" s="11" t="s">
        <v>6224</v>
      </c>
      <c r="AI2509" s="8" t="b">
        <v>1</v>
      </c>
    </row>
    <row r="2510" spans="1:35" ht="31.2">
      <c r="A2510" s="8">
        <v>-73.971429509999993</v>
      </c>
      <c r="B2510" s="8">
        <v>40.776954369999999</v>
      </c>
      <c r="C2510" s="8" t="s">
        <v>6225</v>
      </c>
      <c r="D2510" s="8" t="s">
        <v>741</v>
      </c>
      <c r="E2510" s="8" t="b">
        <f t="shared" si="39"/>
        <v>0</v>
      </c>
      <c r="F2510" s="8" t="str" cm="1">
        <f t="array" ref="F2510">_xlfn._xlws.FILTER(E2510:E5708, C2510:C5708= "6D-PM-1020-01", "No Squirrels Found")</f>
        <v>No Squirrels Found</v>
      </c>
      <c r="G2510" s="8" t="s">
        <v>34</v>
      </c>
      <c r="H2510" s="10">
        <v>10192018</v>
      </c>
      <c r="I2510" s="10">
        <v>2</v>
      </c>
      <c r="J2510" s="8" t="s">
        <v>39</v>
      </c>
      <c r="K2510" s="8" t="s">
        <v>40</v>
      </c>
      <c r="M2510" s="8" t="s">
        <v>55</v>
      </c>
      <c r="O2510" s="8" t="s">
        <v>43</v>
      </c>
      <c r="P2510" s="8" t="b">
        <v>0</v>
      </c>
      <c r="R2510" s="8" t="b">
        <v>0</v>
      </c>
      <c r="S2510" s="8" t="b">
        <v>1</v>
      </c>
      <c r="T2510" s="8" t="b">
        <v>0</v>
      </c>
      <c r="U2510" s="8" t="b">
        <v>0</v>
      </c>
      <c r="V2510" s="8" t="b">
        <v>0</v>
      </c>
      <c r="X2510" s="8" t="b">
        <v>0</v>
      </c>
      <c r="Y2510" s="8" t="b">
        <v>0</v>
      </c>
      <c r="Z2510" s="8" t="b">
        <v>0</v>
      </c>
      <c r="AA2510" s="8" t="b">
        <v>0</v>
      </c>
      <c r="AB2510" s="8" t="b">
        <v>0</v>
      </c>
      <c r="AC2510" s="8" t="b">
        <v>0</v>
      </c>
      <c r="AD2510" s="8" t="b">
        <v>0</v>
      </c>
      <c r="AE2510" s="8" t="b">
        <v>0</v>
      </c>
      <c r="AG2510" s="11" t="b" cm="1">
        <f t="array" ref="AG2510">IF(OR(Y2510:AA2510="TRUE", AE2510="true"), "Threatened")</f>
        <v>0</v>
      </c>
      <c r="AH2510" s="11" t="s">
        <v>6226</v>
      </c>
      <c r="AI2510" s="8" t="b">
        <v>1</v>
      </c>
    </row>
    <row r="2511" spans="1:35" ht="31.2">
      <c r="A2511" s="8">
        <v>-73.974863549999995</v>
      </c>
      <c r="B2511" s="8">
        <v>40.774259100000002</v>
      </c>
      <c r="C2511" s="8" t="s">
        <v>6227</v>
      </c>
      <c r="D2511" s="8" t="s">
        <v>845</v>
      </c>
      <c r="E2511" s="8" t="b">
        <f t="shared" si="39"/>
        <v>0</v>
      </c>
      <c r="F2511" s="8" t="str" cm="1">
        <f t="array" ref="F2511">_xlfn._xlws.FILTER(E2511:E5709, C2511:C5709= "6D-PM-1020-01", "No Squirrels Found")</f>
        <v>No Squirrels Found</v>
      </c>
      <c r="G2511" s="8" t="s">
        <v>48</v>
      </c>
      <c r="H2511" s="10">
        <v>10182018</v>
      </c>
      <c r="I2511" s="10">
        <v>2</v>
      </c>
      <c r="J2511" s="8" t="s">
        <v>39</v>
      </c>
      <c r="K2511" s="8" t="s">
        <v>40</v>
      </c>
      <c r="L2511" s="8" t="s">
        <v>117</v>
      </c>
      <c r="M2511" s="8" t="s">
        <v>118</v>
      </c>
      <c r="O2511" s="8" t="s">
        <v>43</v>
      </c>
      <c r="P2511" s="8" t="b">
        <v>0</v>
      </c>
      <c r="R2511" s="8" t="b">
        <v>0</v>
      </c>
      <c r="S2511" s="8" t="b">
        <v>0</v>
      </c>
      <c r="T2511" s="8" t="b">
        <v>0</v>
      </c>
      <c r="U2511" s="8" t="b">
        <v>1</v>
      </c>
      <c r="V2511" s="8" t="b">
        <v>0</v>
      </c>
      <c r="W2511" s="11" t="s">
        <v>6228</v>
      </c>
      <c r="X2511" s="8" t="b">
        <v>0</v>
      </c>
      <c r="Y2511" s="8" t="b">
        <v>0</v>
      </c>
      <c r="Z2511" s="8" t="b">
        <v>0</v>
      </c>
      <c r="AA2511" s="8" t="b">
        <v>0</v>
      </c>
      <c r="AB2511" s="8" t="b">
        <v>0</v>
      </c>
      <c r="AC2511" s="8" t="b">
        <v>0</v>
      </c>
      <c r="AD2511" s="8" t="b">
        <v>1</v>
      </c>
      <c r="AE2511" s="8" t="b">
        <v>0</v>
      </c>
      <c r="AG2511" s="11" t="b" cm="1">
        <f t="array" ref="AG2511">IF(OR(Y2511:AA2511="TRUE", AE2511="true"), "Threatened")</f>
        <v>0</v>
      </c>
      <c r="AH2511" s="11" t="s">
        <v>6229</v>
      </c>
      <c r="AI2511" s="8" t="b">
        <v>0</v>
      </c>
    </row>
    <row r="2512" spans="1:35" ht="31.2">
      <c r="A2512" s="8">
        <v>-73.958456150000004</v>
      </c>
      <c r="B2512" s="8">
        <v>40.79112112</v>
      </c>
      <c r="C2512" s="8" t="s">
        <v>6230</v>
      </c>
      <c r="D2512" s="8" t="s">
        <v>92</v>
      </c>
      <c r="E2512" s="8" t="b">
        <f t="shared" si="39"/>
        <v>0</v>
      </c>
      <c r="F2512" s="8" t="str" cm="1">
        <f t="array" ref="F2512">_xlfn._xlws.FILTER(E2512:E5710, C2512:C5710= "6D-PM-1020-01", "No Squirrels Found")</f>
        <v>No Squirrels Found</v>
      </c>
      <c r="G2512" s="8" t="s">
        <v>34</v>
      </c>
      <c r="H2512" s="10">
        <v>10122018</v>
      </c>
      <c r="I2512" s="10">
        <v>2</v>
      </c>
      <c r="J2512" s="8" t="s">
        <v>39</v>
      </c>
      <c r="K2512" s="8" t="s">
        <v>40</v>
      </c>
      <c r="L2512" s="8" t="s">
        <v>117</v>
      </c>
      <c r="M2512" s="8" t="s">
        <v>118</v>
      </c>
      <c r="O2512" s="8" t="s">
        <v>43</v>
      </c>
      <c r="P2512" s="8" t="b">
        <v>0</v>
      </c>
      <c r="R2512" s="8" t="b">
        <v>0</v>
      </c>
      <c r="S2512" s="8" t="b">
        <v>0</v>
      </c>
      <c r="T2512" s="8" t="b">
        <v>1</v>
      </c>
      <c r="U2512" s="8" t="b">
        <v>1</v>
      </c>
      <c r="V2512" s="8" t="b">
        <v>1</v>
      </c>
      <c r="X2512" s="8" t="b">
        <v>0</v>
      </c>
      <c r="Y2512" s="8" t="b">
        <v>0</v>
      </c>
      <c r="Z2512" s="8" t="b">
        <v>0</v>
      </c>
      <c r="AA2512" s="8" t="b">
        <v>0</v>
      </c>
      <c r="AB2512" s="8" t="b">
        <v>1</v>
      </c>
      <c r="AC2512" s="8" t="b">
        <v>0</v>
      </c>
      <c r="AD2512" s="8" t="b">
        <v>0</v>
      </c>
      <c r="AE2512" s="8" t="b">
        <v>0</v>
      </c>
      <c r="AG2512" s="11" t="b" cm="1">
        <f t="array" ref="AG2512">IF(OR(Y2512:AA2512="TRUE", AE2512="true"), "Threatened")</f>
        <v>0</v>
      </c>
      <c r="AH2512" s="11" t="s">
        <v>6231</v>
      </c>
      <c r="AI2512" s="8" t="b">
        <v>1</v>
      </c>
    </row>
    <row r="2513" spans="1:35" ht="31.2">
      <c r="A2513" s="8">
        <v>-73.974275950000006</v>
      </c>
      <c r="B2513" s="8">
        <v>40.775472389999997</v>
      </c>
      <c r="C2513" s="8" t="s">
        <v>6232</v>
      </c>
      <c r="D2513" s="8" t="s">
        <v>268</v>
      </c>
      <c r="E2513" s="8" t="b">
        <f t="shared" si="39"/>
        <v>0</v>
      </c>
      <c r="F2513" s="8" t="str" cm="1">
        <f t="array" ref="F2513">_xlfn._xlws.FILTER(E2513:E5711, C2513:C5711= "6D-PM-1020-01", "No Squirrels Found")</f>
        <v>No Squirrels Found</v>
      </c>
      <c r="G2513" s="8" t="s">
        <v>48</v>
      </c>
      <c r="H2513" s="10">
        <v>10072018</v>
      </c>
      <c r="I2513" s="10">
        <v>2</v>
      </c>
      <c r="J2513" s="8" t="s">
        <v>39</v>
      </c>
      <c r="K2513" s="8" t="s">
        <v>40</v>
      </c>
      <c r="M2513" s="8" t="s">
        <v>55</v>
      </c>
      <c r="O2513" s="8" t="s">
        <v>43</v>
      </c>
      <c r="P2513" s="8" t="b">
        <v>0</v>
      </c>
      <c r="R2513" s="8" t="b">
        <v>0</v>
      </c>
      <c r="S2513" s="8" t="b">
        <v>1</v>
      </c>
      <c r="T2513" s="8" t="b">
        <v>0</v>
      </c>
      <c r="U2513" s="8" t="b">
        <v>0</v>
      </c>
      <c r="V2513" s="8" t="b">
        <v>0</v>
      </c>
      <c r="X2513" s="8" t="b">
        <v>0</v>
      </c>
      <c r="Y2513" s="8" t="b">
        <v>0</v>
      </c>
      <c r="Z2513" s="8" t="b">
        <v>0</v>
      </c>
      <c r="AA2513" s="8" t="b">
        <v>0</v>
      </c>
      <c r="AB2513" s="8" t="b">
        <v>0</v>
      </c>
      <c r="AC2513" s="8" t="b">
        <v>0</v>
      </c>
      <c r="AD2513" s="8" t="b">
        <v>0</v>
      </c>
      <c r="AE2513" s="8" t="b">
        <v>0</v>
      </c>
      <c r="AG2513" s="11" t="b" cm="1">
        <f t="array" ref="AG2513">IF(OR(Y2513:AA2513="TRUE", AE2513="true"), "Threatened")</f>
        <v>0</v>
      </c>
      <c r="AH2513" s="11" t="s">
        <v>6233</v>
      </c>
      <c r="AI2513" s="8" t="b">
        <v>1</v>
      </c>
    </row>
    <row r="2514" spans="1:35" ht="31.2">
      <c r="A2514" s="8">
        <v>-73.976759029999997</v>
      </c>
      <c r="B2514" s="8">
        <v>40.771756179999997</v>
      </c>
      <c r="C2514" s="8" t="s">
        <v>6234</v>
      </c>
      <c r="D2514" s="8" t="s">
        <v>808</v>
      </c>
      <c r="E2514" s="8" t="b">
        <f t="shared" si="39"/>
        <v>0</v>
      </c>
      <c r="F2514" s="8" t="str" cm="1">
        <f t="array" ref="F2514">_xlfn._xlws.FILTER(E2514:E5712, C2514:C5712= "6D-PM-1020-01", "No Squirrels Found")</f>
        <v>No Squirrels Found</v>
      </c>
      <c r="G2514" s="8" t="s">
        <v>34</v>
      </c>
      <c r="H2514" s="10">
        <v>10172018</v>
      </c>
      <c r="I2514" s="10">
        <v>7</v>
      </c>
      <c r="J2514" s="8" t="s">
        <v>39</v>
      </c>
      <c r="K2514" s="8" t="s">
        <v>40</v>
      </c>
      <c r="L2514" s="8" t="s">
        <v>41</v>
      </c>
      <c r="M2514" s="8" t="s">
        <v>42</v>
      </c>
      <c r="O2514" s="8" t="s">
        <v>43</v>
      </c>
      <c r="P2514" s="8" t="b">
        <v>0</v>
      </c>
      <c r="R2514" s="8" t="b">
        <v>1</v>
      </c>
      <c r="S2514" s="8" t="b">
        <v>1</v>
      </c>
      <c r="T2514" s="8" t="b">
        <v>0</v>
      </c>
      <c r="U2514" s="8" t="b">
        <v>0</v>
      </c>
      <c r="V2514" s="8" t="b">
        <v>1</v>
      </c>
      <c r="X2514" s="8" t="b">
        <v>0</v>
      </c>
      <c r="Y2514" s="8" t="b">
        <v>0</v>
      </c>
      <c r="Z2514" s="8" t="b">
        <v>0</v>
      </c>
      <c r="AA2514" s="8" t="b">
        <v>0</v>
      </c>
      <c r="AB2514" s="8" t="b">
        <v>0</v>
      </c>
      <c r="AC2514" s="8" t="b">
        <v>0</v>
      </c>
      <c r="AD2514" s="8" t="b">
        <v>0</v>
      </c>
      <c r="AE2514" s="8" t="b">
        <v>0</v>
      </c>
      <c r="AG2514" s="11" t="b" cm="1">
        <f t="array" ref="AG2514">IF(OR(Y2514:AA2514="TRUE", AE2514="true"), "Threatened")</f>
        <v>0</v>
      </c>
      <c r="AH2514" s="11" t="s">
        <v>6235</v>
      </c>
      <c r="AI2514" s="8" t="b">
        <v>1</v>
      </c>
    </row>
    <row r="2515" spans="1:35" ht="31.2">
      <c r="A2515" s="8">
        <v>-73.957444219999999</v>
      </c>
      <c r="B2515" s="8">
        <v>40.796104649999997</v>
      </c>
      <c r="C2515" s="8" t="s">
        <v>6236</v>
      </c>
      <c r="D2515" s="8" t="s">
        <v>841</v>
      </c>
      <c r="E2515" s="8" t="b">
        <f t="shared" si="39"/>
        <v>0</v>
      </c>
      <c r="F2515" s="8" t="str" cm="1">
        <f t="array" ref="F2515">_xlfn._xlws.FILTER(E2515:E5713, C2515:C5713= "6D-PM-1020-01", "No Squirrels Found")</f>
        <v>No Squirrels Found</v>
      </c>
      <c r="G2515" s="8" t="s">
        <v>48</v>
      </c>
      <c r="H2515" s="10">
        <v>10172018</v>
      </c>
      <c r="I2515" s="10">
        <v>4</v>
      </c>
      <c r="J2515" s="8" t="s">
        <v>39</v>
      </c>
      <c r="K2515" s="8" t="s">
        <v>41</v>
      </c>
      <c r="L2515" s="8" t="s">
        <v>40</v>
      </c>
      <c r="M2515" s="8" t="s">
        <v>110</v>
      </c>
      <c r="O2515" s="8" t="s">
        <v>43</v>
      </c>
      <c r="P2515" s="8" t="b">
        <v>0</v>
      </c>
      <c r="R2515" s="8" t="b">
        <v>1</v>
      </c>
      <c r="S2515" s="8" t="b">
        <v>0</v>
      </c>
      <c r="T2515" s="8" t="b">
        <v>0</v>
      </c>
      <c r="U2515" s="8" t="b">
        <v>0</v>
      </c>
      <c r="V2515" s="8" t="b">
        <v>0</v>
      </c>
      <c r="X2515" s="8" t="b">
        <v>0</v>
      </c>
      <c r="Y2515" s="8" t="b">
        <v>0</v>
      </c>
      <c r="Z2515" s="8" t="b">
        <v>0</v>
      </c>
      <c r="AA2515" s="8" t="b">
        <v>0</v>
      </c>
      <c r="AB2515" s="8" t="b">
        <v>0</v>
      </c>
      <c r="AC2515" s="8" t="b">
        <v>0</v>
      </c>
      <c r="AD2515" s="8" t="b">
        <v>0</v>
      </c>
      <c r="AE2515" s="8" t="b">
        <v>0</v>
      </c>
      <c r="AG2515" s="11" t="b" cm="1">
        <f t="array" ref="AG2515">IF(OR(Y2515:AA2515="TRUE", AE2515="true"), "Threatened")</f>
        <v>0</v>
      </c>
      <c r="AH2515" s="11" t="s">
        <v>6237</v>
      </c>
      <c r="AI2515" s="8" t="b">
        <v>1</v>
      </c>
    </row>
    <row r="2516" spans="1:35" ht="31.2">
      <c r="A2516" s="8">
        <v>-73.96933387</v>
      </c>
      <c r="B2516" s="8">
        <v>40.775705590000001</v>
      </c>
      <c r="C2516" s="8" t="s">
        <v>6238</v>
      </c>
      <c r="D2516" s="8" t="s">
        <v>275</v>
      </c>
      <c r="E2516" s="8" t="b">
        <f t="shared" si="39"/>
        <v>0</v>
      </c>
      <c r="F2516" s="8" t="str" cm="1">
        <f t="array" ref="F2516">_xlfn._xlws.FILTER(E2516:E5714, C2516:C5714= "6D-PM-1020-01", "No Squirrels Found")</f>
        <v>No Squirrels Found</v>
      </c>
      <c r="G2516" s="8" t="s">
        <v>34</v>
      </c>
      <c r="H2516" s="10">
        <v>10082018</v>
      </c>
      <c r="I2516" s="10">
        <v>5</v>
      </c>
      <c r="J2516" s="8" t="s">
        <v>39</v>
      </c>
      <c r="K2516" s="8" t="s">
        <v>40</v>
      </c>
      <c r="L2516" s="8" t="s">
        <v>41</v>
      </c>
      <c r="M2516" s="8" t="s">
        <v>42</v>
      </c>
      <c r="O2516" s="8" t="s">
        <v>50</v>
      </c>
      <c r="P2516" s="8">
        <v>2</v>
      </c>
      <c r="Q2516" s="8" t="s">
        <v>6027</v>
      </c>
      <c r="R2516" s="8" t="b">
        <v>1</v>
      </c>
      <c r="S2516" s="8" t="b">
        <v>0</v>
      </c>
      <c r="T2516" s="8" t="b">
        <v>0</v>
      </c>
      <c r="U2516" s="8" t="b">
        <v>1</v>
      </c>
      <c r="V2516" s="8" t="b">
        <v>1</v>
      </c>
      <c r="X2516" s="8" t="b">
        <v>1</v>
      </c>
      <c r="Y2516" s="8" t="b">
        <v>0</v>
      </c>
      <c r="Z2516" s="8" t="b">
        <v>0</v>
      </c>
      <c r="AA2516" s="8" t="b">
        <v>0</v>
      </c>
      <c r="AB2516" s="8" t="b">
        <v>1</v>
      </c>
      <c r="AC2516" s="8" t="b">
        <v>0</v>
      </c>
      <c r="AD2516" s="8" t="b">
        <v>0</v>
      </c>
      <c r="AE2516" s="8" t="b">
        <v>0</v>
      </c>
      <c r="AG2516" s="11" t="b" cm="1">
        <f t="array" ref="AG2516">IF(OR(Y2516:AA2516="TRUE", AE2516="true"), "Threatened")</f>
        <v>0</v>
      </c>
      <c r="AH2516" s="11" t="s">
        <v>6239</v>
      </c>
      <c r="AI2516" s="8" t="b">
        <v>1</v>
      </c>
    </row>
    <row r="2517" spans="1:35" ht="31.2">
      <c r="A2517" s="8">
        <v>-73.964982370000001</v>
      </c>
      <c r="B2517" s="8">
        <v>40.776339540000002</v>
      </c>
      <c r="C2517" s="8" t="s">
        <v>6240</v>
      </c>
      <c r="D2517" s="8" t="s">
        <v>134</v>
      </c>
      <c r="E2517" s="8" t="b">
        <f t="shared" si="39"/>
        <v>0</v>
      </c>
      <c r="F2517" s="8" t="str" cm="1">
        <f t="array" ref="F2517">_xlfn._xlws.FILTER(E2517:E5715, C2517:C5715= "6D-PM-1020-01", "No Squirrels Found")</f>
        <v>No Squirrels Found</v>
      </c>
      <c r="G2517" s="8" t="s">
        <v>48</v>
      </c>
      <c r="H2517" s="10">
        <v>10082018</v>
      </c>
      <c r="I2517" s="10">
        <v>2</v>
      </c>
      <c r="J2517" s="8" t="s">
        <v>39</v>
      </c>
      <c r="K2517" s="8" t="s">
        <v>41</v>
      </c>
      <c r="L2517" s="8" t="s">
        <v>135</v>
      </c>
      <c r="M2517" s="8" t="s">
        <v>136</v>
      </c>
      <c r="O2517" s="8" t="s">
        <v>50</v>
      </c>
      <c r="P2517" s="8">
        <v>1</v>
      </c>
      <c r="R2517" s="8" t="b">
        <v>0</v>
      </c>
      <c r="S2517" s="8" t="b">
        <v>0</v>
      </c>
      <c r="T2517" s="8" t="b">
        <v>1</v>
      </c>
      <c r="U2517" s="8" t="b">
        <v>0</v>
      </c>
      <c r="V2517" s="8" t="b">
        <v>0</v>
      </c>
      <c r="X2517" s="8" t="b">
        <v>0</v>
      </c>
      <c r="Y2517" s="8" t="b">
        <v>0</v>
      </c>
      <c r="Z2517" s="8" t="b">
        <v>0</v>
      </c>
      <c r="AA2517" s="8" t="b">
        <v>0</v>
      </c>
      <c r="AB2517" s="8" t="b">
        <v>0</v>
      </c>
      <c r="AC2517" s="8" t="b">
        <v>0</v>
      </c>
      <c r="AD2517" s="8" t="b">
        <v>1</v>
      </c>
      <c r="AE2517" s="8" t="b">
        <v>0</v>
      </c>
      <c r="AG2517" s="11" t="b" cm="1">
        <f t="array" ref="AG2517">IF(OR(Y2517:AA2517="TRUE", AE2517="true"), "Threatened")</f>
        <v>0</v>
      </c>
      <c r="AH2517" s="11" t="s">
        <v>6241</v>
      </c>
      <c r="AI2517" s="8" t="b">
        <v>1</v>
      </c>
    </row>
    <row r="2518" spans="1:35" ht="31.2">
      <c r="A2518" s="8">
        <v>-73.971022140000002</v>
      </c>
      <c r="B2518" s="8">
        <v>40.772493969999999</v>
      </c>
      <c r="C2518" s="8" t="s">
        <v>6242</v>
      </c>
      <c r="D2518" s="8" t="s">
        <v>329</v>
      </c>
      <c r="E2518" s="8" t="b">
        <f t="shared" si="39"/>
        <v>0</v>
      </c>
      <c r="F2518" s="8" t="str" cm="1">
        <f t="array" ref="F2518">_xlfn._xlws.FILTER(E2518:E5716, C2518:C5716= "6D-PM-1020-01", "No Squirrels Found")</f>
        <v>No Squirrels Found</v>
      </c>
      <c r="G2518" s="8" t="s">
        <v>34</v>
      </c>
      <c r="H2518" s="10">
        <v>10192018</v>
      </c>
      <c r="I2518" s="10">
        <v>1</v>
      </c>
      <c r="J2518" s="8" t="s">
        <v>39</v>
      </c>
      <c r="K2518" s="8" t="s">
        <v>40</v>
      </c>
      <c r="L2518" s="8" t="s">
        <v>41</v>
      </c>
      <c r="M2518" s="8" t="s">
        <v>42</v>
      </c>
      <c r="N2518" s="11" t="s">
        <v>712</v>
      </c>
      <c r="O2518" s="8" t="s">
        <v>50</v>
      </c>
      <c r="P2518" s="8">
        <v>2</v>
      </c>
      <c r="Q2518" s="8" t="s">
        <v>6243</v>
      </c>
      <c r="R2518" s="8" t="b">
        <v>0</v>
      </c>
      <c r="S2518" s="8" t="b">
        <v>0</v>
      </c>
      <c r="T2518" s="8" t="b">
        <v>1</v>
      </c>
      <c r="U2518" s="8" t="b">
        <v>0</v>
      </c>
      <c r="V2518" s="8" t="b">
        <v>0</v>
      </c>
      <c r="W2518" s="11" t="s">
        <v>141</v>
      </c>
      <c r="X2518" s="8" t="b">
        <v>0</v>
      </c>
      <c r="Y2518" s="8" t="b">
        <v>0</v>
      </c>
      <c r="Z2518" s="8" t="b">
        <v>0</v>
      </c>
      <c r="AA2518" s="8" t="b">
        <v>0</v>
      </c>
      <c r="AB2518" s="8" t="b">
        <v>0</v>
      </c>
      <c r="AC2518" s="8" t="b">
        <v>0</v>
      </c>
      <c r="AD2518" s="8" t="b">
        <v>1</v>
      </c>
      <c r="AE2518" s="8" t="b">
        <v>0</v>
      </c>
      <c r="AG2518" s="11" t="b" cm="1">
        <f t="array" ref="AG2518">IF(OR(Y2518:AA2518="TRUE", AE2518="true"), "Threatened")</f>
        <v>0</v>
      </c>
      <c r="AH2518" s="11" t="s">
        <v>6244</v>
      </c>
      <c r="AI2518" s="8" t="b">
        <v>0</v>
      </c>
    </row>
    <row r="2519" spans="1:35" ht="31.2">
      <c r="A2519" s="8">
        <v>-73.964721940000004</v>
      </c>
      <c r="B2519" s="8">
        <v>40.78120844</v>
      </c>
      <c r="C2519" s="8" t="s">
        <v>6245</v>
      </c>
      <c r="D2519" s="8" t="s">
        <v>574</v>
      </c>
      <c r="E2519" s="8" t="b">
        <f t="shared" si="39"/>
        <v>0</v>
      </c>
      <c r="F2519" s="8" t="str" cm="1">
        <f t="array" ref="F2519">_xlfn._xlws.FILTER(E2519:E5717, C2519:C5717= "6D-PM-1020-01", "No Squirrels Found")</f>
        <v>No Squirrels Found</v>
      </c>
      <c r="G2519" s="8" t="s">
        <v>34</v>
      </c>
      <c r="H2519" s="10">
        <v>10072018</v>
      </c>
      <c r="I2519" s="10">
        <v>3</v>
      </c>
      <c r="J2519" s="8" t="s">
        <v>39</v>
      </c>
      <c r="K2519" s="8" t="s">
        <v>40</v>
      </c>
      <c r="L2519" s="8" t="s">
        <v>84</v>
      </c>
      <c r="M2519" s="8" t="s">
        <v>103</v>
      </c>
      <c r="N2519" s="11" t="s">
        <v>6246</v>
      </c>
      <c r="O2519" s="8" t="s">
        <v>43</v>
      </c>
      <c r="P2519" s="8" t="b">
        <v>0</v>
      </c>
      <c r="R2519" s="8" t="b">
        <v>0</v>
      </c>
      <c r="S2519" s="8" t="b">
        <v>0</v>
      </c>
      <c r="T2519" s="8" t="b">
        <v>0</v>
      </c>
      <c r="U2519" s="8" t="b">
        <v>0</v>
      </c>
      <c r="V2519" s="8" t="b">
        <v>1</v>
      </c>
      <c r="X2519" s="8" t="b">
        <v>0</v>
      </c>
      <c r="Y2519" s="8" t="b">
        <v>0</v>
      </c>
      <c r="Z2519" s="8" t="b">
        <v>0</v>
      </c>
      <c r="AA2519" s="8" t="b">
        <v>0</v>
      </c>
      <c r="AB2519" s="8" t="b">
        <v>0</v>
      </c>
      <c r="AC2519" s="8" t="b">
        <v>0</v>
      </c>
      <c r="AD2519" s="8" t="b">
        <v>0</v>
      </c>
      <c r="AE2519" s="8" t="b">
        <v>0</v>
      </c>
      <c r="AG2519" s="11" t="b" cm="1">
        <f t="array" ref="AG2519">IF(OR(Y2519:AA2519="TRUE", AE2519="true"), "Threatened")</f>
        <v>0</v>
      </c>
      <c r="AH2519" s="11" t="s">
        <v>6247</v>
      </c>
      <c r="AI2519" s="8" t="b">
        <v>1</v>
      </c>
    </row>
    <row r="2520" spans="1:35" ht="31.2">
      <c r="A2520" s="8">
        <v>-73.958947510000002</v>
      </c>
      <c r="B2520" s="8">
        <v>40.79348469</v>
      </c>
      <c r="C2520" s="8" t="s">
        <v>6248</v>
      </c>
      <c r="D2520" s="8" t="s">
        <v>515</v>
      </c>
      <c r="E2520" s="8" t="b">
        <f t="shared" si="39"/>
        <v>0</v>
      </c>
      <c r="F2520" s="8" t="str" cm="1">
        <f t="array" ref="F2520">_xlfn._xlws.FILTER(E2520:E5718, C2520:C5718= "6D-PM-1020-01", "No Squirrels Found")</f>
        <v>No Squirrels Found</v>
      </c>
      <c r="G2520" s="8" t="s">
        <v>34</v>
      </c>
      <c r="H2520" s="10">
        <v>10132018</v>
      </c>
      <c r="I2520" s="10">
        <v>6</v>
      </c>
      <c r="J2520" s="8" t="s">
        <v>39</v>
      </c>
      <c r="K2520" s="8" t="s">
        <v>40</v>
      </c>
      <c r="L2520" s="8" t="s">
        <v>84</v>
      </c>
      <c r="M2520" s="8" t="s">
        <v>103</v>
      </c>
      <c r="O2520" s="8" t="s">
        <v>43</v>
      </c>
      <c r="P2520" s="8" t="b">
        <v>0</v>
      </c>
      <c r="R2520" s="8" t="b">
        <v>0</v>
      </c>
      <c r="S2520" s="8" t="b">
        <v>0</v>
      </c>
      <c r="T2520" s="8" t="b">
        <v>1</v>
      </c>
      <c r="U2520" s="8" t="b">
        <v>0</v>
      </c>
      <c r="V2520" s="8" t="b">
        <v>0</v>
      </c>
      <c r="X2520" s="8" t="b">
        <v>0</v>
      </c>
      <c r="Y2520" s="8" t="b">
        <v>0</v>
      </c>
      <c r="Z2520" s="8" t="b">
        <v>0</v>
      </c>
      <c r="AA2520" s="8" t="b">
        <v>0</v>
      </c>
      <c r="AB2520" s="8" t="b">
        <v>0</v>
      </c>
      <c r="AC2520" s="8" t="b">
        <v>0</v>
      </c>
      <c r="AD2520" s="8" t="b">
        <v>0</v>
      </c>
      <c r="AE2520" s="8" t="b">
        <v>1</v>
      </c>
      <c r="AG2520" s="11" t="b" cm="1">
        <f t="array" ref="AG2520">IF(OR(Y2520:AA2520="TRUE", AE2520="true"), "Threatened")</f>
        <v>0</v>
      </c>
      <c r="AH2520" s="11" t="s">
        <v>6249</v>
      </c>
      <c r="AI2520" s="8" t="b">
        <v>1</v>
      </c>
    </row>
    <row r="2521" spans="1:35" ht="31.2">
      <c r="A2521" s="8">
        <v>-73.954820710000007</v>
      </c>
      <c r="B2521" s="8">
        <v>40.794699180000002</v>
      </c>
      <c r="C2521" s="8" t="s">
        <v>6250</v>
      </c>
      <c r="D2521" s="8" t="s">
        <v>378</v>
      </c>
      <c r="E2521" s="8" t="b">
        <f t="shared" si="39"/>
        <v>0</v>
      </c>
      <c r="F2521" s="8" t="str" cm="1">
        <f t="array" ref="F2521">_xlfn._xlws.FILTER(E2521:E5719, C2521:C5719= "6D-PM-1020-01", "No Squirrels Found")</f>
        <v>No Squirrels Found</v>
      </c>
      <c r="G2521" s="8" t="s">
        <v>34</v>
      </c>
      <c r="H2521" s="10">
        <v>10132018</v>
      </c>
      <c r="I2521" s="10">
        <v>4</v>
      </c>
      <c r="J2521" s="8" t="s">
        <v>54</v>
      </c>
      <c r="K2521" s="8" t="s">
        <v>40</v>
      </c>
      <c r="L2521" s="8" t="s">
        <v>41</v>
      </c>
      <c r="M2521" s="8" t="s">
        <v>42</v>
      </c>
      <c r="O2521" s="8" t="s">
        <v>43</v>
      </c>
      <c r="P2521" s="8" t="b">
        <v>0</v>
      </c>
      <c r="R2521" s="8" t="b">
        <v>0</v>
      </c>
      <c r="S2521" s="8" t="b">
        <v>0</v>
      </c>
      <c r="T2521" s="8" t="b">
        <v>0</v>
      </c>
      <c r="U2521" s="8" t="b">
        <v>0</v>
      </c>
      <c r="V2521" s="8" t="b">
        <v>1</v>
      </c>
      <c r="X2521" s="8" t="b">
        <v>0</v>
      </c>
      <c r="Y2521" s="8" t="b">
        <v>0</v>
      </c>
      <c r="Z2521" s="8" t="b">
        <v>0</v>
      </c>
      <c r="AA2521" s="8" t="b">
        <v>0</v>
      </c>
      <c r="AB2521" s="8" t="b">
        <v>0</v>
      </c>
      <c r="AC2521" s="8" t="b">
        <v>0</v>
      </c>
      <c r="AD2521" s="8" t="b">
        <v>0</v>
      </c>
      <c r="AE2521" s="8" t="b">
        <v>0</v>
      </c>
      <c r="AG2521" s="11" t="b" cm="1">
        <f t="array" ref="AG2521">IF(OR(Y2521:AA2521="TRUE", AE2521="true"), "Threatened")</f>
        <v>0</v>
      </c>
      <c r="AH2521" s="11" t="s">
        <v>6251</v>
      </c>
      <c r="AI2521" s="8" t="b">
        <v>1</v>
      </c>
    </row>
    <row r="2522" spans="1:35" ht="31.2">
      <c r="A2522" s="8">
        <v>-73.976869550000004</v>
      </c>
      <c r="B2522" s="8">
        <v>40.770698250000002</v>
      </c>
      <c r="C2522" s="8" t="s">
        <v>6252</v>
      </c>
      <c r="D2522" s="8" t="s">
        <v>109</v>
      </c>
      <c r="E2522" s="8" t="b">
        <f t="shared" si="39"/>
        <v>0</v>
      </c>
      <c r="F2522" s="8" t="str" cm="1">
        <f t="array" ref="F2522">_xlfn._xlws.FILTER(E2522:E5720, C2522:C5720= "6D-PM-1020-01", "No Squirrels Found")</f>
        <v>No Squirrels Found</v>
      </c>
      <c r="G2522" s="8" t="s">
        <v>48</v>
      </c>
      <c r="H2522" s="10">
        <v>10062018</v>
      </c>
      <c r="I2522" s="10">
        <v>4</v>
      </c>
      <c r="J2522" s="8" t="s">
        <v>39</v>
      </c>
      <c r="K2522" s="8" t="s">
        <v>41</v>
      </c>
      <c r="L2522" s="8" t="s">
        <v>40</v>
      </c>
      <c r="M2522" s="8" t="s">
        <v>110</v>
      </c>
      <c r="O2522" s="8" t="s">
        <v>50</v>
      </c>
      <c r="P2522" s="8">
        <v>12</v>
      </c>
      <c r="Q2522" s="8" t="s">
        <v>6253</v>
      </c>
      <c r="R2522" s="8" t="b">
        <v>0</v>
      </c>
      <c r="S2522" s="8" t="b">
        <v>0</v>
      </c>
      <c r="T2522" s="8" t="b">
        <v>0</v>
      </c>
      <c r="U2522" s="8" t="b">
        <v>0</v>
      </c>
      <c r="V2522" s="8" t="b">
        <v>0</v>
      </c>
      <c r="W2522" s="11" t="s">
        <v>6254</v>
      </c>
      <c r="X2522" s="8" t="b">
        <v>0</v>
      </c>
      <c r="Y2522" s="8" t="b">
        <v>0</v>
      </c>
      <c r="Z2522" s="8" t="b">
        <v>0</v>
      </c>
      <c r="AA2522" s="8" t="b">
        <v>1</v>
      </c>
      <c r="AB2522" s="8" t="b">
        <v>0</v>
      </c>
      <c r="AC2522" s="8" t="b">
        <v>0</v>
      </c>
      <c r="AD2522" s="8" t="b">
        <v>1</v>
      </c>
      <c r="AE2522" s="8" t="b">
        <v>0</v>
      </c>
      <c r="AG2522" s="11" t="b" cm="1">
        <f t="array" ref="AG2522">IF(OR(Y2522:AA2522="TRUE", AE2522="true"), "Threatened")</f>
        <v>0</v>
      </c>
      <c r="AH2522" s="11" t="s">
        <v>6255</v>
      </c>
      <c r="AI2522" s="8" t="b">
        <v>0</v>
      </c>
    </row>
    <row r="2523" spans="1:35" ht="31.2">
      <c r="A2523" s="8">
        <v>-73.965874720000002</v>
      </c>
      <c r="B2523" s="8">
        <v>40.775403369999999</v>
      </c>
      <c r="C2523" s="8" t="s">
        <v>6256</v>
      </c>
      <c r="D2523" s="8" t="s">
        <v>1093</v>
      </c>
      <c r="E2523" s="8" t="b">
        <f t="shared" si="39"/>
        <v>0</v>
      </c>
      <c r="F2523" s="8" t="str" cm="1">
        <f t="array" ref="F2523">_xlfn._xlws.FILTER(E2523:E5721, C2523:C5721= "6D-PM-1020-01", "No Squirrels Found")</f>
        <v>No Squirrels Found</v>
      </c>
      <c r="G2523" s="8" t="s">
        <v>34</v>
      </c>
      <c r="H2523" s="10">
        <v>10182018</v>
      </c>
      <c r="I2523" s="10">
        <v>1</v>
      </c>
      <c r="J2523" s="8" t="s">
        <v>54</v>
      </c>
      <c r="K2523" s="8" t="s">
        <v>40</v>
      </c>
      <c r="L2523" s="8" t="s">
        <v>41</v>
      </c>
      <c r="M2523" s="8" t="s">
        <v>42</v>
      </c>
      <c r="O2523" s="8" t="s">
        <v>50</v>
      </c>
      <c r="Q2523" s="8" t="s">
        <v>6257</v>
      </c>
      <c r="R2523" s="8" t="b">
        <v>1</v>
      </c>
      <c r="S2523" s="8" t="b">
        <v>0</v>
      </c>
      <c r="T2523" s="8" t="b">
        <v>0</v>
      </c>
      <c r="U2523" s="8" t="b">
        <v>0</v>
      </c>
      <c r="V2523" s="8" t="b">
        <v>1</v>
      </c>
      <c r="X2523" s="8" t="b">
        <v>0</v>
      </c>
      <c r="Y2523" s="8" t="b">
        <v>0</v>
      </c>
      <c r="Z2523" s="8" t="b">
        <v>0</v>
      </c>
      <c r="AA2523" s="8" t="b">
        <v>0</v>
      </c>
      <c r="AB2523" s="8" t="b">
        <v>1</v>
      </c>
      <c r="AC2523" s="8" t="b">
        <v>0</v>
      </c>
      <c r="AD2523" s="8" t="b">
        <v>0</v>
      </c>
      <c r="AE2523" s="8" t="b">
        <v>1</v>
      </c>
      <c r="AG2523" s="11" t="b" cm="1">
        <f t="array" ref="AG2523">IF(OR(Y2523:AA2523="TRUE", AE2523="true"), "Threatened")</f>
        <v>0</v>
      </c>
      <c r="AH2523" s="11" t="s">
        <v>6258</v>
      </c>
      <c r="AI2523" s="8" t="b">
        <v>1</v>
      </c>
    </row>
    <row r="2524" spans="1:35" ht="31.2">
      <c r="A2524" s="8">
        <v>-73.961901639999994</v>
      </c>
      <c r="B2524" s="8">
        <v>40.79251601</v>
      </c>
      <c r="C2524" s="8" t="s">
        <v>6259</v>
      </c>
      <c r="D2524" s="8" t="s">
        <v>931</v>
      </c>
      <c r="E2524" s="8" t="b">
        <f t="shared" si="39"/>
        <v>0</v>
      </c>
      <c r="F2524" s="8" t="str" cm="1">
        <f t="array" ref="F2524">_xlfn._xlws.FILTER(E2524:E5722, C2524:C5722= "6D-PM-1020-01", "No Squirrels Found")</f>
        <v>No Squirrels Found</v>
      </c>
      <c r="G2524" s="8" t="s">
        <v>34</v>
      </c>
      <c r="H2524" s="10">
        <v>10102018</v>
      </c>
      <c r="I2524" s="10">
        <v>6</v>
      </c>
      <c r="J2524" s="8" t="s">
        <v>39</v>
      </c>
      <c r="K2524" s="8" t="s">
        <v>41</v>
      </c>
      <c r="L2524" s="8" t="s">
        <v>40</v>
      </c>
      <c r="M2524" s="8" t="s">
        <v>110</v>
      </c>
      <c r="O2524" s="8" t="s">
        <v>43</v>
      </c>
      <c r="P2524" s="8" t="b">
        <v>0</v>
      </c>
      <c r="R2524" s="8" t="b">
        <v>0</v>
      </c>
      <c r="S2524" s="8" t="b">
        <v>0</v>
      </c>
      <c r="T2524" s="8" t="b">
        <v>0</v>
      </c>
      <c r="U2524" s="8" t="b">
        <v>0</v>
      </c>
      <c r="V2524" s="8" t="b">
        <v>1</v>
      </c>
      <c r="X2524" s="8" t="b">
        <v>0</v>
      </c>
      <c r="Y2524" s="8" t="b">
        <v>0</v>
      </c>
      <c r="Z2524" s="8" t="b">
        <v>0</v>
      </c>
      <c r="AA2524" s="8" t="b">
        <v>0</v>
      </c>
      <c r="AB2524" s="8" t="b">
        <v>0</v>
      </c>
      <c r="AC2524" s="8" t="b">
        <v>1</v>
      </c>
      <c r="AD2524" s="8" t="b">
        <v>0</v>
      </c>
      <c r="AE2524" s="8" t="b">
        <v>0</v>
      </c>
      <c r="AG2524" s="11" t="b" cm="1">
        <f t="array" ref="AG2524">IF(OR(Y2524:AA2524="TRUE", AE2524="true"), "Threatened")</f>
        <v>0</v>
      </c>
      <c r="AH2524" s="11" t="s">
        <v>6260</v>
      </c>
      <c r="AI2524" s="8" t="b">
        <v>1</v>
      </c>
    </row>
    <row r="2525" spans="1:35" ht="31.2">
      <c r="A2525" s="8">
        <v>-73.974387789999994</v>
      </c>
      <c r="B2525" s="8">
        <v>40.775470609999999</v>
      </c>
      <c r="C2525" s="8" t="s">
        <v>6261</v>
      </c>
      <c r="D2525" s="8" t="s">
        <v>268</v>
      </c>
      <c r="E2525" s="8" t="b">
        <f t="shared" si="39"/>
        <v>0</v>
      </c>
      <c r="F2525" s="8" t="str" cm="1">
        <f t="array" ref="F2525">_xlfn._xlws.FILTER(E2525:E5723, C2525:C5723= "6D-PM-1020-01", "No Squirrels Found")</f>
        <v>No Squirrels Found</v>
      </c>
      <c r="G2525" s="8" t="s">
        <v>48</v>
      </c>
      <c r="H2525" s="10">
        <v>10072018</v>
      </c>
      <c r="I2525" s="10">
        <v>3</v>
      </c>
      <c r="J2525" s="8" t="s">
        <v>39</v>
      </c>
      <c r="K2525" s="8" t="s">
        <v>40</v>
      </c>
      <c r="M2525" s="8" t="s">
        <v>55</v>
      </c>
      <c r="O2525" s="8" t="s">
        <v>43</v>
      </c>
      <c r="P2525" s="8" t="b">
        <v>0</v>
      </c>
      <c r="R2525" s="8" t="b">
        <v>0</v>
      </c>
      <c r="S2525" s="8" t="b">
        <v>1</v>
      </c>
      <c r="T2525" s="8" t="b">
        <v>0</v>
      </c>
      <c r="U2525" s="8" t="b">
        <v>0</v>
      </c>
      <c r="V2525" s="8" t="b">
        <v>0</v>
      </c>
      <c r="X2525" s="8" t="b">
        <v>0</v>
      </c>
      <c r="Y2525" s="8" t="b">
        <v>0</v>
      </c>
      <c r="Z2525" s="8" t="b">
        <v>0</v>
      </c>
      <c r="AA2525" s="8" t="b">
        <v>0</v>
      </c>
      <c r="AB2525" s="8" t="b">
        <v>0</v>
      </c>
      <c r="AC2525" s="8" t="b">
        <v>0</v>
      </c>
      <c r="AD2525" s="8" t="b">
        <v>0</v>
      </c>
      <c r="AE2525" s="8" t="b">
        <v>0</v>
      </c>
      <c r="AG2525" s="11" t="b" cm="1">
        <f t="array" ref="AG2525">IF(OR(Y2525:AA2525="TRUE", AE2525="true"), "Threatened")</f>
        <v>0</v>
      </c>
      <c r="AH2525" s="11" t="s">
        <v>6262</v>
      </c>
      <c r="AI2525" s="8" t="b">
        <v>1</v>
      </c>
    </row>
    <row r="2526" spans="1:35" ht="31.2">
      <c r="A2526" s="8">
        <v>-73.961235259999995</v>
      </c>
      <c r="B2526" s="8">
        <v>40.794481359999999</v>
      </c>
      <c r="C2526" s="8" t="s">
        <v>6263</v>
      </c>
      <c r="D2526" s="8" t="s">
        <v>434</v>
      </c>
      <c r="E2526" s="8" t="b">
        <f t="shared" si="39"/>
        <v>0</v>
      </c>
      <c r="F2526" s="8" t="str" cm="1">
        <f t="array" ref="F2526">_xlfn._xlws.FILTER(E2526:E5724, C2526:C5724= "6D-PM-1020-01", "No Squirrels Found")</f>
        <v>No Squirrels Found</v>
      </c>
      <c r="G2526" s="8" t="s">
        <v>48</v>
      </c>
      <c r="H2526" s="10">
        <v>10102018</v>
      </c>
      <c r="I2526" s="10">
        <v>2</v>
      </c>
      <c r="J2526" s="8" t="s">
        <v>39</v>
      </c>
      <c r="K2526" s="8" t="s">
        <v>40</v>
      </c>
      <c r="L2526" s="8" t="s">
        <v>41</v>
      </c>
      <c r="M2526" s="8" t="s">
        <v>42</v>
      </c>
      <c r="O2526" s="8" t="s">
        <v>43</v>
      </c>
      <c r="P2526" s="8" t="b">
        <v>0</v>
      </c>
      <c r="Q2526" s="8" t="s">
        <v>6264</v>
      </c>
      <c r="R2526" s="8" t="b">
        <v>0</v>
      </c>
      <c r="S2526" s="8" t="b">
        <v>0</v>
      </c>
      <c r="T2526" s="8" t="b">
        <v>0</v>
      </c>
      <c r="U2526" s="8" t="b">
        <v>0</v>
      </c>
      <c r="V2526" s="8" t="b">
        <v>1</v>
      </c>
      <c r="X2526" s="8" t="b">
        <v>0</v>
      </c>
      <c r="Y2526" s="8" t="b">
        <v>0</v>
      </c>
      <c r="Z2526" s="8" t="b">
        <v>0</v>
      </c>
      <c r="AA2526" s="8" t="b">
        <v>0</v>
      </c>
      <c r="AB2526" s="8" t="b">
        <v>0</v>
      </c>
      <c r="AC2526" s="8" t="b">
        <v>0</v>
      </c>
      <c r="AD2526" s="8" t="b">
        <v>1</v>
      </c>
      <c r="AE2526" s="8" t="b">
        <v>0</v>
      </c>
      <c r="AG2526" s="11" t="b" cm="1">
        <f t="array" ref="AG2526">IF(OR(Y2526:AA2526="TRUE", AE2526="true"), "Threatened")</f>
        <v>0</v>
      </c>
      <c r="AH2526" s="11" t="s">
        <v>6265</v>
      </c>
      <c r="AI2526" s="8" t="b">
        <v>1</v>
      </c>
    </row>
    <row r="2527" spans="1:35" ht="31.2">
      <c r="A2527" s="8">
        <v>-73.964649550000004</v>
      </c>
      <c r="B2527" s="8">
        <v>40.779120370000001</v>
      </c>
      <c r="C2527" s="8" t="s">
        <v>6266</v>
      </c>
      <c r="D2527" s="8" t="s">
        <v>1018</v>
      </c>
      <c r="E2527" s="8" t="b">
        <f t="shared" si="39"/>
        <v>0</v>
      </c>
      <c r="F2527" s="8" t="str" cm="1">
        <f t="array" ref="F2527">_xlfn._xlws.FILTER(E2527:E5725, C2527:C5725= "6D-PM-1020-01", "No Squirrels Found")</f>
        <v>No Squirrels Found</v>
      </c>
      <c r="G2527" s="8" t="s">
        <v>34</v>
      </c>
      <c r="H2527" s="10">
        <v>10082018</v>
      </c>
      <c r="I2527" s="10">
        <v>1</v>
      </c>
      <c r="J2527" s="8" t="s">
        <v>39</v>
      </c>
      <c r="K2527" s="8" t="s">
        <v>40</v>
      </c>
      <c r="L2527" s="8" t="s">
        <v>84</v>
      </c>
      <c r="M2527" s="8" t="s">
        <v>103</v>
      </c>
      <c r="O2527" s="8" t="s">
        <v>43</v>
      </c>
      <c r="P2527" s="8" t="b">
        <v>0</v>
      </c>
      <c r="R2527" s="8" t="b">
        <v>0</v>
      </c>
      <c r="S2527" s="8" t="b">
        <v>0</v>
      </c>
      <c r="T2527" s="8" t="b">
        <v>0</v>
      </c>
      <c r="U2527" s="8" t="b">
        <v>1</v>
      </c>
      <c r="V2527" s="8" t="b">
        <v>0</v>
      </c>
      <c r="X2527" s="8" t="b">
        <v>0</v>
      </c>
      <c r="Y2527" s="8" t="b">
        <v>0</v>
      </c>
      <c r="Z2527" s="8" t="b">
        <v>0</v>
      </c>
      <c r="AA2527" s="8" t="b">
        <v>0</v>
      </c>
      <c r="AB2527" s="8" t="b">
        <v>0</v>
      </c>
      <c r="AC2527" s="8" t="b">
        <v>0</v>
      </c>
      <c r="AD2527" s="8" t="b">
        <v>1</v>
      </c>
      <c r="AE2527" s="8" t="b">
        <v>0</v>
      </c>
      <c r="AG2527" s="11" t="b" cm="1">
        <f t="array" ref="AG2527">IF(OR(Y2527:AA2527="TRUE", AE2527="true"), "Threatened")</f>
        <v>0</v>
      </c>
      <c r="AH2527" s="11" t="s">
        <v>6267</v>
      </c>
      <c r="AI2527" s="8" t="b">
        <v>1</v>
      </c>
    </row>
    <row r="2528" spans="1:35" ht="31.2">
      <c r="A2528" s="8">
        <v>-73.967569760000003</v>
      </c>
      <c r="B2528" s="8">
        <v>40.776679739999999</v>
      </c>
      <c r="C2528" s="8" t="s">
        <v>6268</v>
      </c>
      <c r="D2528" s="8" t="s">
        <v>326</v>
      </c>
      <c r="E2528" s="8" t="b">
        <f t="shared" si="39"/>
        <v>0</v>
      </c>
      <c r="F2528" s="8" t="str" cm="1">
        <f t="array" ref="F2528">_xlfn._xlws.FILTER(E2528:E5726, C2528:C5726= "6D-PM-1020-01", "No Squirrels Found")</f>
        <v>No Squirrels Found</v>
      </c>
      <c r="G2528" s="8" t="s">
        <v>34</v>
      </c>
      <c r="H2528" s="10">
        <v>10192018</v>
      </c>
      <c r="I2528" s="10">
        <v>6</v>
      </c>
      <c r="J2528" s="8" t="s">
        <v>39</v>
      </c>
      <c r="K2528" s="8" t="s">
        <v>40</v>
      </c>
      <c r="L2528" s="8" t="s">
        <v>41</v>
      </c>
      <c r="M2528" s="8" t="s">
        <v>42</v>
      </c>
      <c r="O2528" s="8" t="s">
        <v>43</v>
      </c>
      <c r="P2528" s="8" t="b">
        <v>0</v>
      </c>
      <c r="R2528" s="8" t="b">
        <v>0</v>
      </c>
      <c r="S2528" s="8" t="b">
        <v>0</v>
      </c>
      <c r="T2528" s="8" t="b">
        <v>0</v>
      </c>
      <c r="U2528" s="8" t="b">
        <v>0</v>
      </c>
      <c r="V2528" s="8" t="b">
        <v>1</v>
      </c>
      <c r="W2528" s="11" t="s">
        <v>6269</v>
      </c>
      <c r="X2528" s="8" t="b">
        <v>0</v>
      </c>
      <c r="Y2528" s="8" t="b">
        <v>0</v>
      </c>
      <c r="Z2528" s="8" t="b">
        <v>0</v>
      </c>
      <c r="AA2528" s="8" t="b">
        <v>0</v>
      </c>
      <c r="AB2528" s="8" t="b">
        <v>0</v>
      </c>
      <c r="AC2528" s="8" t="b">
        <v>0</v>
      </c>
      <c r="AD2528" s="8" t="b">
        <v>0</v>
      </c>
      <c r="AE2528" s="8" t="b">
        <v>0</v>
      </c>
      <c r="AG2528" s="11" t="b" cm="1">
        <f t="array" ref="AG2528">IF(OR(Y2528:AA2528="TRUE", AE2528="true"), "Threatened")</f>
        <v>0</v>
      </c>
      <c r="AH2528" s="11" t="s">
        <v>6270</v>
      </c>
      <c r="AI2528" s="8" t="b">
        <v>0</v>
      </c>
    </row>
    <row r="2529" spans="1:35" ht="31.2">
      <c r="A2529" s="8">
        <v>-73.967652979999997</v>
      </c>
      <c r="B2529" s="8">
        <v>40.7823207</v>
      </c>
      <c r="C2529" s="8" t="s">
        <v>6271</v>
      </c>
      <c r="D2529" s="8" t="s">
        <v>469</v>
      </c>
      <c r="E2529" s="8" t="b">
        <f t="shared" si="39"/>
        <v>0</v>
      </c>
      <c r="F2529" s="8" t="str" cm="1">
        <f t="array" ref="F2529">_xlfn._xlws.FILTER(E2529:E5727, C2529:C5727= "6D-PM-1020-01", "No Squirrels Found")</f>
        <v>No Squirrels Found</v>
      </c>
      <c r="G2529" s="8" t="s">
        <v>34</v>
      </c>
      <c r="H2529" s="10">
        <v>10082018</v>
      </c>
      <c r="I2529" s="10">
        <v>3</v>
      </c>
      <c r="J2529" s="8" t="s">
        <v>39</v>
      </c>
      <c r="K2529" s="8" t="s">
        <v>40</v>
      </c>
      <c r="L2529" s="8" t="s">
        <v>84</v>
      </c>
      <c r="M2529" s="8" t="s">
        <v>103</v>
      </c>
      <c r="O2529" s="8" t="s">
        <v>50</v>
      </c>
      <c r="P2529" s="8">
        <v>4</v>
      </c>
      <c r="R2529" s="8" t="b">
        <v>0</v>
      </c>
      <c r="S2529" s="8" t="b">
        <v>0</v>
      </c>
      <c r="T2529" s="8" t="b">
        <v>1</v>
      </c>
      <c r="U2529" s="8" t="b">
        <v>0</v>
      </c>
      <c r="V2529" s="8" t="b">
        <v>0</v>
      </c>
      <c r="X2529" s="8" t="b">
        <v>0</v>
      </c>
      <c r="Y2529" s="8" t="b">
        <v>0</v>
      </c>
      <c r="Z2529" s="8" t="b">
        <v>0</v>
      </c>
      <c r="AA2529" s="8" t="b">
        <v>0</v>
      </c>
      <c r="AB2529" s="8" t="b">
        <v>0</v>
      </c>
      <c r="AC2529" s="8" t="b">
        <v>0</v>
      </c>
      <c r="AD2529" s="8" t="b">
        <v>0</v>
      </c>
      <c r="AE2529" s="8" t="b">
        <v>0</v>
      </c>
      <c r="AG2529" s="11" t="b" cm="1">
        <f t="array" ref="AG2529">IF(OR(Y2529:AA2529="TRUE", AE2529="true"), "Threatened")</f>
        <v>0</v>
      </c>
      <c r="AH2529" s="11" t="s">
        <v>6272</v>
      </c>
      <c r="AI2529" s="8" t="b">
        <v>1</v>
      </c>
    </row>
    <row r="2530" spans="1:35" ht="31.2">
      <c r="A2530" s="8">
        <v>-73.980027149999998</v>
      </c>
      <c r="B2530" s="8">
        <v>40.770255419999998</v>
      </c>
      <c r="C2530" s="8" t="s">
        <v>6273</v>
      </c>
      <c r="D2530" s="8" t="s">
        <v>1364</v>
      </c>
      <c r="E2530" s="8" t="b">
        <f t="shared" si="39"/>
        <v>0</v>
      </c>
      <c r="F2530" s="8" t="str" cm="1">
        <f t="array" ref="F2530">_xlfn._xlws.FILTER(E2530:E5728, C2530:C5728= "6D-PM-1020-01", "No Squirrels Found")</f>
        <v>No Squirrels Found</v>
      </c>
      <c r="G2530" s="8" t="s">
        <v>34</v>
      </c>
      <c r="H2530" s="10">
        <v>10072018</v>
      </c>
      <c r="I2530" s="10">
        <v>6</v>
      </c>
      <c r="J2530" s="8" t="s">
        <v>39</v>
      </c>
      <c r="K2530" s="8" t="s">
        <v>40</v>
      </c>
      <c r="L2530" s="8" t="s">
        <v>84</v>
      </c>
      <c r="M2530" s="8" t="s">
        <v>103</v>
      </c>
      <c r="O2530" s="8" t="s">
        <v>43</v>
      </c>
      <c r="P2530" s="8" t="b">
        <v>0</v>
      </c>
      <c r="Q2530" s="8" t="s">
        <v>6274</v>
      </c>
      <c r="R2530" s="8" t="b">
        <v>0</v>
      </c>
      <c r="S2530" s="8" t="b">
        <v>0</v>
      </c>
      <c r="T2530" s="8" t="b">
        <v>0</v>
      </c>
      <c r="U2530" s="8" t="b">
        <v>0</v>
      </c>
      <c r="V2530" s="8" t="b">
        <v>1</v>
      </c>
      <c r="X2530" s="8" t="b">
        <v>0</v>
      </c>
      <c r="Y2530" s="8" t="b">
        <v>0</v>
      </c>
      <c r="Z2530" s="8" t="b">
        <v>0</v>
      </c>
      <c r="AA2530" s="8" t="b">
        <v>0</v>
      </c>
      <c r="AB2530" s="8" t="b">
        <v>1</v>
      </c>
      <c r="AC2530" s="8" t="b">
        <v>0</v>
      </c>
      <c r="AD2530" s="8" t="b">
        <v>0</v>
      </c>
      <c r="AE2530" s="8" t="b">
        <v>0</v>
      </c>
      <c r="AG2530" s="11" t="b" cm="1">
        <f t="array" ref="AG2530">IF(OR(Y2530:AA2530="TRUE", AE2530="true"), "Threatened")</f>
        <v>0</v>
      </c>
      <c r="AH2530" s="11" t="s">
        <v>6275</v>
      </c>
      <c r="AI2530" s="8" t="b">
        <v>1</v>
      </c>
    </row>
    <row r="2531" spans="1:35" ht="31.2">
      <c r="A2531" s="8">
        <v>-73.956107680000002</v>
      </c>
      <c r="B2531" s="8">
        <v>40.798114579999996</v>
      </c>
      <c r="C2531" s="8" t="s">
        <v>6276</v>
      </c>
      <c r="D2531" s="8" t="s">
        <v>439</v>
      </c>
      <c r="E2531" s="8" t="b">
        <f t="shared" si="39"/>
        <v>0</v>
      </c>
      <c r="F2531" s="8" t="str" cm="1">
        <f t="array" ref="F2531">_xlfn._xlws.FILTER(E2531:E5729, C2531:C5729= "6D-PM-1020-01", "No Squirrels Found")</f>
        <v>No Squirrels Found</v>
      </c>
      <c r="G2531" s="8" t="s">
        <v>48</v>
      </c>
      <c r="H2531" s="10">
        <v>10132018</v>
      </c>
      <c r="I2531" s="10">
        <v>1</v>
      </c>
      <c r="J2531" s="8" t="s">
        <v>39</v>
      </c>
      <c r="K2531" s="8" t="s">
        <v>40</v>
      </c>
      <c r="L2531" s="8" t="s">
        <v>41</v>
      </c>
      <c r="M2531" s="8" t="s">
        <v>42</v>
      </c>
      <c r="O2531" s="8" t="s">
        <v>43</v>
      </c>
      <c r="P2531" s="8" t="b">
        <v>0</v>
      </c>
      <c r="R2531" s="8" t="b">
        <v>1</v>
      </c>
      <c r="S2531" s="8" t="b">
        <v>0</v>
      </c>
      <c r="T2531" s="8" t="b">
        <v>0</v>
      </c>
      <c r="U2531" s="8" t="b">
        <v>0</v>
      </c>
      <c r="V2531" s="8" t="b">
        <v>0</v>
      </c>
      <c r="X2531" s="8" t="b">
        <v>0</v>
      </c>
      <c r="Y2531" s="8" t="b">
        <v>0</v>
      </c>
      <c r="Z2531" s="8" t="b">
        <v>0</v>
      </c>
      <c r="AA2531" s="8" t="b">
        <v>0</v>
      </c>
      <c r="AB2531" s="8" t="b">
        <v>0</v>
      </c>
      <c r="AC2531" s="8" t="b">
        <v>0</v>
      </c>
      <c r="AD2531" s="8" t="b">
        <v>1</v>
      </c>
      <c r="AE2531" s="8" t="b">
        <v>0</v>
      </c>
      <c r="AG2531" s="11" t="b" cm="1">
        <f t="array" ref="AG2531">IF(OR(Y2531:AA2531="TRUE", AE2531="true"), "Threatened")</f>
        <v>0</v>
      </c>
      <c r="AH2531" s="11" t="s">
        <v>6277</v>
      </c>
      <c r="AI2531" s="8" t="b">
        <v>1</v>
      </c>
    </row>
    <row r="2532" spans="1:35" ht="31.2">
      <c r="A2532" s="8">
        <v>-73.959942409999996</v>
      </c>
      <c r="B2532" s="8">
        <v>40.795747259999999</v>
      </c>
      <c r="C2532" s="8" t="s">
        <v>6278</v>
      </c>
      <c r="D2532" s="8" t="s">
        <v>972</v>
      </c>
      <c r="E2532" s="8" t="b">
        <f t="shared" si="39"/>
        <v>0</v>
      </c>
      <c r="F2532" s="8" t="str" cm="1">
        <f t="array" ref="F2532">_xlfn._xlws.FILTER(E2532:E5730, C2532:C5730= "6D-PM-1020-01", "No Squirrels Found")</f>
        <v>No Squirrels Found</v>
      </c>
      <c r="G2532" s="8" t="s">
        <v>48</v>
      </c>
      <c r="H2532" s="10">
        <v>10182018</v>
      </c>
      <c r="I2532" s="10">
        <v>5</v>
      </c>
      <c r="J2532" s="8" t="s">
        <v>39</v>
      </c>
      <c r="K2532" s="8" t="s">
        <v>40</v>
      </c>
      <c r="L2532" s="8" t="s">
        <v>41</v>
      </c>
      <c r="M2532" s="8" t="s">
        <v>42</v>
      </c>
      <c r="O2532" s="8" t="s">
        <v>43</v>
      </c>
      <c r="P2532" s="8" t="b">
        <v>0</v>
      </c>
      <c r="R2532" s="8" t="b">
        <v>0</v>
      </c>
      <c r="S2532" s="8" t="b">
        <v>0</v>
      </c>
      <c r="T2532" s="8" t="b">
        <v>0</v>
      </c>
      <c r="U2532" s="8" t="b">
        <v>0</v>
      </c>
      <c r="V2532" s="8" t="b">
        <v>1</v>
      </c>
      <c r="X2532" s="8" t="b">
        <v>0</v>
      </c>
      <c r="Y2532" s="8" t="b">
        <v>0</v>
      </c>
      <c r="Z2532" s="8" t="b">
        <v>0</v>
      </c>
      <c r="AA2532" s="8" t="b">
        <v>0</v>
      </c>
      <c r="AB2532" s="8" t="b">
        <v>0</v>
      </c>
      <c r="AC2532" s="8" t="b">
        <v>0</v>
      </c>
      <c r="AD2532" s="8" t="b">
        <v>1</v>
      </c>
      <c r="AE2532" s="8" t="b">
        <v>0</v>
      </c>
      <c r="AG2532" s="11" t="b" cm="1">
        <f t="array" ref="AG2532">IF(OR(Y2532:AA2532="TRUE", AE2532="true"), "Threatened")</f>
        <v>0</v>
      </c>
      <c r="AH2532" s="11" t="s">
        <v>6279</v>
      </c>
      <c r="AI2532" s="8" t="b">
        <v>1</v>
      </c>
    </row>
    <row r="2533" spans="1:35" ht="31.2">
      <c r="A2533" s="8">
        <v>-73.969515029999997</v>
      </c>
      <c r="B2533" s="8">
        <v>40.782613519999998</v>
      </c>
      <c r="C2533" s="8" t="s">
        <v>6280</v>
      </c>
      <c r="D2533" s="8" t="s">
        <v>102</v>
      </c>
      <c r="E2533" s="8" t="b">
        <f t="shared" si="39"/>
        <v>0</v>
      </c>
      <c r="F2533" s="8" t="str" cm="1">
        <f t="array" ref="F2533">_xlfn._xlws.FILTER(E2533:E5731, C2533:C5731= "6D-PM-1020-01", "No Squirrels Found")</f>
        <v>No Squirrels Found</v>
      </c>
      <c r="G2533" s="8" t="s">
        <v>34</v>
      </c>
      <c r="H2533" s="10">
        <v>10132018</v>
      </c>
      <c r="I2533" s="10">
        <v>4</v>
      </c>
      <c r="J2533" s="8" t="s">
        <v>39</v>
      </c>
      <c r="K2533" s="8" t="s">
        <v>40</v>
      </c>
      <c r="L2533" s="8" t="s">
        <v>84</v>
      </c>
      <c r="M2533" s="8" t="s">
        <v>103</v>
      </c>
      <c r="O2533" s="8" t="s">
        <v>43</v>
      </c>
      <c r="P2533" s="8" t="b">
        <v>0</v>
      </c>
      <c r="R2533" s="8" t="b">
        <v>0</v>
      </c>
      <c r="S2533" s="8" t="b">
        <v>0</v>
      </c>
      <c r="T2533" s="8" t="b">
        <v>0</v>
      </c>
      <c r="U2533" s="8" t="b">
        <v>0</v>
      </c>
      <c r="V2533" s="8" t="b">
        <v>1</v>
      </c>
      <c r="W2533" s="11" t="s">
        <v>6281</v>
      </c>
      <c r="X2533" s="8" t="b">
        <v>0</v>
      </c>
      <c r="Y2533" s="8" t="b">
        <v>0</v>
      </c>
      <c r="Z2533" s="8" t="b">
        <v>0</v>
      </c>
      <c r="AA2533" s="8" t="b">
        <v>0</v>
      </c>
      <c r="AB2533" s="8" t="b">
        <v>1</v>
      </c>
      <c r="AC2533" s="8" t="b">
        <v>0</v>
      </c>
      <c r="AD2533" s="8" t="b">
        <v>0</v>
      </c>
      <c r="AE2533" s="8" t="b">
        <v>0</v>
      </c>
      <c r="AG2533" s="11" t="b" cm="1">
        <f t="array" ref="AG2533">IF(OR(Y2533:AA2533="TRUE", AE2533="true"), "Threatened")</f>
        <v>0</v>
      </c>
      <c r="AH2533" s="11" t="s">
        <v>6282</v>
      </c>
      <c r="AI2533" s="8" t="b">
        <v>0</v>
      </c>
    </row>
    <row r="2534" spans="1:35" ht="31.2">
      <c r="A2534" s="8">
        <v>-73.976619569999997</v>
      </c>
      <c r="B2534" s="8">
        <v>40.766190729999998</v>
      </c>
      <c r="C2534" s="8" t="s">
        <v>6283</v>
      </c>
      <c r="D2534" s="8" t="s">
        <v>1862</v>
      </c>
      <c r="E2534" s="8" t="b">
        <f t="shared" si="39"/>
        <v>0</v>
      </c>
      <c r="F2534" s="8" t="str" cm="1">
        <f t="array" ref="F2534">_xlfn._xlws.FILTER(E2534:E5732, C2534:C5732= "6D-PM-1020-01", "No Squirrels Found")</f>
        <v>No Squirrels Found</v>
      </c>
      <c r="G2534" s="8" t="s">
        <v>48</v>
      </c>
      <c r="H2534" s="10">
        <v>10102018</v>
      </c>
      <c r="I2534" s="10">
        <v>4</v>
      </c>
      <c r="J2534" s="8" t="s">
        <v>39</v>
      </c>
      <c r="K2534" s="8" t="s">
        <v>40</v>
      </c>
      <c r="M2534" s="8" t="s">
        <v>55</v>
      </c>
      <c r="O2534" s="8" t="s">
        <v>43</v>
      </c>
      <c r="P2534" s="8" t="b">
        <v>0</v>
      </c>
      <c r="R2534" s="8" t="b">
        <v>0</v>
      </c>
      <c r="S2534" s="8" t="b">
        <v>0</v>
      </c>
      <c r="T2534" s="8" t="b">
        <v>0</v>
      </c>
      <c r="U2534" s="8" t="b">
        <v>1</v>
      </c>
      <c r="V2534" s="8" t="b">
        <v>0</v>
      </c>
      <c r="X2534" s="8" t="b">
        <v>0</v>
      </c>
      <c r="Y2534" s="8" t="b">
        <v>0</v>
      </c>
      <c r="Z2534" s="8" t="b">
        <v>0</v>
      </c>
      <c r="AA2534" s="8" t="b">
        <v>0</v>
      </c>
      <c r="AB2534" s="8" t="b">
        <v>0</v>
      </c>
      <c r="AC2534" s="8" t="b">
        <v>0</v>
      </c>
      <c r="AD2534" s="8" t="b">
        <v>1</v>
      </c>
      <c r="AE2534" s="8" t="b">
        <v>0</v>
      </c>
      <c r="AG2534" s="11" t="b" cm="1">
        <f t="array" ref="AG2534">IF(OR(Y2534:AA2534="TRUE", AE2534="true"), "Threatened")</f>
        <v>0</v>
      </c>
      <c r="AH2534" s="11" t="s">
        <v>6284</v>
      </c>
      <c r="AI2534" s="8" t="b">
        <v>1</v>
      </c>
    </row>
    <row r="2535" spans="1:35" ht="31.2">
      <c r="A2535" s="8">
        <v>-73.974436800000007</v>
      </c>
      <c r="B2535" s="8">
        <v>40.767428199999998</v>
      </c>
      <c r="C2535" s="8" t="s">
        <v>6285</v>
      </c>
      <c r="D2535" s="8" t="s">
        <v>669</v>
      </c>
      <c r="E2535" s="8" t="b">
        <f t="shared" si="39"/>
        <v>0</v>
      </c>
      <c r="F2535" s="8" t="str" cm="1">
        <f t="array" ref="F2535">_xlfn._xlws.FILTER(E2535:E5733, C2535:C5733= "6D-PM-1020-01", "No Squirrels Found")</f>
        <v>No Squirrels Found</v>
      </c>
      <c r="G2535" s="8" t="s">
        <v>34</v>
      </c>
      <c r="H2535" s="10">
        <v>10132018</v>
      </c>
      <c r="I2535" s="10">
        <v>3</v>
      </c>
      <c r="J2535" s="8" t="s">
        <v>39</v>
      </c>
      <c r="K2535" s="8" t="s">
        <v>40</v>
      </c>
      <c r="M2535" s="8" t="s">
        <v>55</v>
      </c>
      <c r="O2535" s="8" t="s">
        <v>43</v>
      </c>
      <c r="P2535" s="8" t="b">
        <v>0</v>
      </c>
      <c r="R2535" s="8" t="b">
        <v>0</v>
      </c>
      <c r="S2535" s="8" t="b">
        <v>0</v>
      </c>
      <c r="T2535" s="8" t="b">
        <v>1</v>
      </c>
      <c r="U2535" s="8" t="b">
        <v>0</v>
      </c>
      <c r="V2535" s="8" t="b">
        <v>0</v>
      </c>
      <c r="X2535" s="8" t="b">
        <v>0</v>
      </c>
      <c r="Y2535" s="8" t="b">
        <v>0</v>
      </c>
      <c r="Z2535" s="8" t="b">
        <v>0</v>
      </c>
      <c r="AA2535" s="8" t="b">
        <v>0</v>
      </c>
      <c r="AB2535" s="8" t="b">
        <v>0</v>
      </c>
      <c r="AC2535" s="8" t="b">
        <v>0</v>
      </c>
      <c r="AD2535" s="8" t="b">
        <v>0</v>
      </c>
      <c r="AE2535" s="8" t="b">
        <v>1</v>
      </c>
      <c r="AF2535" s="11" t="s">
        <v>6286</v>
      </c>
      <c r="AG2535" s="11" t="b" cm="1">
        <f t="array" ref="AG2535">IF(OR(Y2535:AA2535="TRUE", AE2535="true"), "Threatened")</f>
        <v>0</v>
      </c>
      <c r="AH2535" s="11" t="s">
        <v>6287</v>
      </c>
      <c r="AI2535" s="8" t="b">
        <v>1</v>
      </c>
    </row>
    <row r="2536" spans="1:35" ht="31.2">
      <c r="A2536" s="8">
        <v>-73.970010110000004</v>
      </c>
      <c r="B2536" s="8">
        <v>40.76967295</v>
      </c>
      <c r="C2536" s="8" t="s">
        <v>6288</v>
      </c>
      <c r="D2536" s="8" t="s">
        <v>1310</v>
      </c>
      <c r="E2536" s="8" t="b">
        <f t="shared" si="39"/>
        <v>0</v>
      </c>
      <c r="F2536" s="8" t="str" cm="1">
        <f t="array" ref="F2536">_xlfn._xlws.FILTER(E2536:E5734, C2536:C5734= "6D-PM-1020-01", "No Squirrels Found")</f>
        <v>No Squirrels Found</v>
      </c>
      <c r="G2536" s="8" t="s">
        <v>34</v>
      </c>
      <c r="H2536" s="10">
        <v>10132018</v>
      </c>
      <c r="I2536" s="10">
        <v>8</v>
      </c>
      <c r="J2536" s="8" t="s">
        <v>39</v>
      </c>
      <c r="K2536" s="8" t="s">
        <v>192</v>
      </c>
      <c r="M2536" s="8" t="s">
        <v>193</v>
      </c>
      <c r="O2536" s="8" t="s">
        <v>50</v>
      </c>
      <c r="P2536" s="8">
        <v>4</v>
      </c>
      <c r="R2536" s="8" t="b">
        <v>0</v>
      </c>
      <c r="S2536" s="8" t="b">
        <v>0</v>
      </c>
      <c r="T2536" s="8" t="b">
        <v>1</v>
      </c>
      <c r="U2536" s="8" t="b">
        <v>0</v>
      </c>
      <c r="V2536" s="8" t="b">
        <v>0</v>
      </c>
      <c r="X2536" s="8" t="b">
        <v>0</v>
      </c>
      <c r="Y2536" s="8" t="b">
        <v>0</v>
      </c>
      <c r="Z2536" s="8" t="b">
        <v>0</v>
      </c>
      <c r="AA2536" s="8" t="b">
        <v>0</v>
      </c>
      <c r="AB2536" s="8" t="b">
        <v>1</v>
      </c>
      <c r="AC2536" s="8" t="b">
        <v>0</v>
      </c>
      <c r="AD2536" s="8" t="b">
        <v>0</v>
      </c>
      <c r="AE2536" s="8" t="b">
        <v>0</v>
      </c>
      <c r="AG2536" s="11" t="b" cm="1">
        <f t="array" ref="AG2536">IF(OR(Y2536:AA2536="TRUE", AE2536="true"), "Threatened")</f>
        <v>0</v>
      </c>
      <c r="AH2536" s="11" t="s">
        <v>6289</v>
      </c>
      <c r="AI2536" s="8" t="b">
        <v>1</v>
      </c>
    </row>
    <row r="2537" spans="1:35" ht="31.2">
      <c r="A2537" s="8">
        <v>-73.968508729999996</v>
      </c>
      <c r="B2537" s="8">
        <v>40.777906809999998</v>
      </c>
      <c r="C2537" s="8" t="s">
        <v>6290</v>
      </c>
      <c r="D2537" s="8" t="s">
        <v>271</v>
      </c>
      <c r="E2537" s="8" t="b">
        <f t="shared" si="39"/>
        <v>0</v>
      </c>
      <c r="F2537" s="8" t="str" cm="1">
        <f t="array" ref="F2537">_xlfn._xlws.FILTER(E2537:E5735, C2537:C5735= "6D-PM-1020-01", "No Squirrels Found")</f>
        <v>No Squirrels Found</v>
      </c>
      <c r="G2537" s="8" t="s">
        <v>48</v>
      </c>
      <c r="H2537" s="10">
        <v>10142018</v>
      </c>
      <c r="I2537" s="10">
        <v>1</v>
      </c>
      <c r="J2537" s="8" t="s">
        <v>39</v>
      </c>
      <c r="K2537" s="8" t="s">
        <v>40</v>
      </c>
      <c r="L2537" s="8" t="s">
        <v>41</v>
      </c>
      <c r="M2537" s="8" t="s">
        <v>42</v>
      </c>
      <c r="O2537" s="8" t="s">
        <v>43</v>
      </c>
      <c r="P2537" s="8" t="b">
        <v>0</v>
      </c>
      <c r="R2537" s="8" t="b">
        <v>0</v>
      </c>
      <c r="S2537" s="8" t="b">
        <v>0</v>
      </c>
      <c r="T2537" s="8" t="b">
        <v>0</v>
      </c>
      <c r="U2537" s="8" t="b">
        <v>0</v>
      </c>
      <c r="V2537" s="8" t="b">
        <v>0</v>
      </c>
      <c r="W2537" s="11" t="s">
        <v>6291</v>
      </c>
      <c r="X2537" s="8" t="b">
        <v>0</v>
      </c>
      <c r="Y2537" s="8" t="b">
        <v>0</v>
      </c>
      <c r="Z2537" s="8" t="b">
        <v>0</v>
      </c>
      <c r="AA2537" s="8" t="b">
        <v>0</v>
      </c>
      <c r="AB2537" s="8" t="b">
        <v>0</v>
      </c>
      <c r="AC2537" s="8" t="b">
        <v>1</v>
      </c>
      <c r="AD2537" s="8" t="b">
        <v>0</v>
      </c>
      <c r="AE2537" s="8" t="b">
        <v>0</v>
      </c>
      <c r="AG2537" s="11" t="b" cm="1">
        <f t="array" ref="AG2537">IF(OR(Y2537:AA2537="TRUE", AE2537="true"), "Threatened")</f>
        <v>0</v>
      </c>
      <c r="AH2537" s="11" t="s">
        <v>6292</v>
      </c>
      <c r="AI2537" s="8" t="b">
        <v>0</v>
      </c>
    </row>
    <row r="2538" spans="1:35" ht="31.2">
      <c r="A2538" s="8">
        <v>-73.973553370000005</v>
      </c>
      <c r="B2538" s="8">
        <v>40.76906056</v>
      </c>
      <c r="C2538" s="8" t="s">
        <v>6293</v>
      </c>
      <c r="D2538" s="8" t="s">
        <v>264</v>
      </c>
      <c r="E2538" s="8" t="b">
        <f t="shared" si="39"/>
        <v>0</v>
      </c>
      <c r="F2538" s="8" t="str" cm="1">
        <f t="array" ref="F2538">_xlfn._xlws.FILTER(E2538:E5736, C2538:C5736= "6D-PM-1020-01", "No Squirrels Found")</f>
        <v>No Squirrels Found</v>
      </c>
      <c r="G2538" s="8" t="s">
        <v>34</v>
      </c>
      <c r="H2538" s="10">
        <v>10072018</v>
      </c>
      <c r="I2538" s="10">
        <v>5</v>
      </c>
      <c r="J2538" s="8" t="s">
        <v>39</v>
      </c>
      <c r="K2538" s="8" t="s">
        <v>40</v>
      </c>
      <c r="L2538" s="8" t="s">
        <v>41</v>
      </c>
      <c r="M2538" s="8" t="s">
        <v>42</v>
      </c>
      <c r="O2538" s="8" t="s">
        <v>43</v>
      </c>
      <c r="P2538" s="8" t="b">
        <v>0</v>
      </c>
      <c r="R2538" s="8" t="b">
        <v>0</v>
      </c>
      <c r="S2538" s="8" t="b">
        <v>0</v>
      </c>
      <c r="T2538" s="8" t="b">
        <v>0</v>
      </c>
      <c r="U2538" s="8" t="b">
        <v>0</v>
      </c>
      <c r="V2538" s="8" t="b">
        <v>1</v>
      </c>
      <c r="X2538" s="8" t="b">
        <v>0</v>
      </c>
      <c r="Y2538" s="8" t="b">
        <v>0</v>
      </c>
      <c r="Z2538" s="8" t="b">
        <v>0</v>
      </c>
      <c r="AA2538" s="8" t="b">
        <v>0</v>
      </c>
      <c r="AB2538" s="8" t="b">
        <v>0</v>
      </c>
      <c r="AC2538" s="8" t="b">
        <v>0</v>
      </c>
      <c r="AD2538" s="8" t="b">
        <v>1</v>
      </c>
      <c r="AE2538" s="8" t="b">
        <v>0</v>
      </c>
      <c r="AG2538" s="11" t="b" cm="1">
        <f t="array" ref="AG2538">IF(OR(Y2538:AA2538="TRUE", AE2538="true"), "Threatened")</f>
        <v>0</v>
      </c>
      <c r="AH2538" s="11" t="s">
        <v>6294</v>
      </c>
      <c r="AI2538" s="8" t="b">
        <v>1</v>
      </c>
    </row>
    <row r="2539" spans="1:35" ht="31.2">
      <c r="A2539" s="8">
        <v>-73.979698540000001</v>
      </c>
      <c r="B2539" s="8">
        <v>40.767861279999998</v>
      </c>
      <c r="C2539" s="8" t="s">
        <v>6295</v>
      </c>
      <c r="D2539" s="8" t="s">
        <v>855</v>
      </c>
      <c r="E2539" s="8" t="b">
        <f t="shared" si="39"/>
        <v>0</v>
      </c>
      <c r="F2539" s="8" t="str" cm="1">
        <f t="array" ref="F2539">_xlfn._xlws.FILTER(E2539:E5737, C2539:C5737= "6D-PM-1020-01", "No Squirrels Found")</f>
        <v>No Squirrels Found</v>
      </c>
      <c r="G2539" s="8" t="s">
        <v>48</v>
      </c>
      <c r="H2539" s="10">
        <v>10122018</v>
      </c>
      <c r="I2539" s="10">
        <v>1</v>
      </c>
      <c r="J2539" s="8" t="s">
        <v>39</v>
      </c>
      <c r="K2539" s="8" t="s">
        <v>40</v>
      </c>
      <c r="M2539" s="8" t="s">
        <v>55</v>
      </c>
      <c r="O2539" s="8" t="s">
        <v>43</v>
      </c>
      <c r="P2539" s="8" t="b">
        <v>0</v>
      </c>
      <c r="R2539" s="8" t="b">
        <v>0</v>
      </c>
      <c r="S2539" s="8" t="b">
        <v>0</v>
      </c>
      <c r="T2539" s="8" t="b">
        <v>0</v>
      </c>
      <c r="U2539" s="8" t="b">
        <v>0</v>
      </c>
      <c r="V2539" s="8" t="b">
        <v>1</v>
      </c>
      <c r="X2539" s="8" t="b">
        <v>0</v>
      </c>
      <c r="Y2539" s="8" t="b">
        <v>0</v>
      </c>
      <c r="Z2539" s="8" t="b">
        <v>0</v>
      </c>
      <c r="AA2539" s="8" t="b">
        <v>0</v>
      </c>
      <c r="AB2539" s="8" t="b">
        <v>0</v>
      </c>
      <c r="AC2539" s="8" t="b">
        <v>0</v>
      </c>
      <c r="AD2539" s="8" t="b">
        <v>1</v>
      </c>
      <c r="AE2539" s="8" t="b">
        <v>0</v>
      </c>
      <c r="AG2539" s="11" t="b" cm="1">
        <f t="array" ref="AG2539">IF(OR(Y2539:AA2539="TRUE", AE2539="true"), "Threatened")</f>
        <v>0</v>
      </c>
      <c r="AH2539" s="11" t="s">
        <v>6296</v>
      </c>
      <c r="AI2539" s="8" t="b">
        <v>1</v>
      </c>
    </row>
    <row r="2540" spans="1:35" ht="31.2">
      <c r="A2540" s="8">
        <v>-73.978103340000004</v>
      </c>
      <c r="B2540" s="8">
        <v>40.766672409999998</v>
      </c>
      <c r="C2540" s="8" t="s">
        <v>6297</v>
      </c>
      <c r="D2540" s="8" t="s">
        <v>1278</v>
      </c>
      <c r="E2540" s="8" t="b">
        <f t="shared" si="39"/>
        <v>0</v>
      </c>
      <c r="F2540" s="8" t="str" cm="1">
        <f t="array" ref="F2540">_xlfn._xlws.FILTER(E2540:E5738, C2540:C5738= "6D-PM-1020-01", "No Squirrels Found")</f>
        <v>No Squirrels Found</v>
      </c>
      <c r="G2540" s="8" t="s">
        <v>48</v>
      </c>
      <c r="H2540" s="10">
        <v>10062018</v>
      </c>
      <c r="I2540" s="10">
        <v>3</v>
      </c>
      <c r="J2540" s="8" t="s">
        <v>39</v>
      </c>
      <c r="K2540" s="8" t="s">
        <v>41</v>
      </c>
      <c r="L2540" s="8" t="s">
        <v>84</v>
      </c>
      <c r="M2540" s="8" t="s">
        <v>85</v>
      </c>
      <c r="O2540" s="8" t="s">
        <v>43</v>
      </c>
      <c r="P2540" s="8" t="b">
        <v>0</v>
      </c>
      <c r="R2540" s="8" t="b">
        <v>0</v>
      </c>
      <c r="S2540" s="8" t="b">
        <v>0</v>
      </c>
      <c r="T2540" s="8" t="b">
        <v>0</v>
      </c>
      <c r="U2540" s="8" t="b">
        <v>0</v>
      </c>
      <c r="V2540" s="8" t="b">
        <v>1</v>
      </c>
      <c r="X2540" s="8" t="b">
        <v>0</v>
      </c>
      <c r="Y2540" s="8" t="b">
        <v>0</v>
      </c>
      <c r="Z2540" s="8" t="b">
        <v>0</v>
      </c>
      <c r="AA2540" s="8" t="b">
        <v>0</v>
      </c>
      <c r="AB2540" s="8" t="b">
        <v>1</v>
      </c>
      <c r="AC2540" s="8" t="b">
        <v>0</v>
      </c>
      <c r="AD2540" s="8" t="b">
        <v>1</v>
      </c>
      <c r="AE2540" s="8" t="b">
        <v>0</v>
      </c>
      <c r="AG2540" s="11" t="b" cm="1">
        <f t="array" ref="AG2540">IF(OR(Y2540:AA2540="TRUE", AE2540="true"), "Threatened")</f>
        <v>0</v>
      </c>
      <c r="AH2540" s="11" t="s">
        <v>6298</v>
      </c>
      <c r="AI2540" s="8" t="b">
        <v>1</v>
      </c>
    </row>
    <row r="2541" spans="1:35" ht="31.2">
      <c r="A2541" s="8">
        <v>-73.959127910000007</v>
      </c>
      <c r="B2541" s="8">
        <v>40.792119710000001</v>
      </c>
      <c r="C2541" s="8" t="s">
        <v>6299</v>
      </c>
      <c r="D2541" s="8" t="s">
        <v>1214</v>
      </c>
      <c r="E2541" s="8" t="b">
        <f t="shared" si="39"/>
        <v>0</v>
      </c>
      <c r="F2541" s="8" t="str" cm="1">
        <f t="array" ref="F2541">_xlfn._xlws.FILTER(E2541:E5739, C2541:C5739= "6D-PM-1020-01", "No Squirrels Found")</f>
        <v>No Squirrels Found</v>
      </c>
      <c r="G2541" s="8" t="s">
        <v>48</v>
      </c>
      <c r="H2541" s="10">
        <v>10142018</v>
      </c>
      <c r="I2541" s="10">
        <v>13</v>
      </c>
      <c r="J2541" s="8" t="s">
        <v>39</v>
      </c>
      <c r="K2541" s="8" t="s">
        <v>192</v>
      </c>
      <c r="L2541" s="8" t="s">
        <v>41</v>
      </c>
      <c r="M2541" s="8" t="s">
        <v>717</v>
      </c>
      <c r="N2541" s="11" t="s">
        <v>6300</v>
      </c>
      <c r="O2541" s="8" t="s">
        <v>43</v>
      </c>
      <c r="P2541" s="8" t="b">
        <v>0</v>
      </c>
      <c r="R2541" s="8" t="b">
        <v>0</v>
      </c>
      <c r="S2541" s="8" t="b">
        <v>0</v>
      </c>
      <c r="T2541" s="8" t="b">
        <v>0</v>
      </c>
      <c r="U2541" s="8" t="b">
        <v>0</v>
      </c>
      <c r="V2541" s="8" t="b">
        <v>0</v>
      </c>
      <c r="W2541" s="11" t="s">
        <v>141</v>
      </c>
      <c r="X2541" s="8" t="b">
        <v>0</v>
      </c>
      <c r="Y2541" s="8" t="b">
        <v>0</v>
      </c>
      <c r="Z2541" s="8" t="b">
        <v>0</v>
      </c>
      <c r="AA2541" s="8" t="b">
        <v>0</v>
      </c>
      <c r="AB2541" s="8" t="b">
        <v>0</v>
      </c>
      <c r="AC2541" s="8" t="b">
        <v>0</v>
      </c>
      <c r="AD2541" s="8" t="b">
        <v>1</v>
      </c>
      <c r="AE2541" s="8" t="b">
        <v>0</v>
      </c>
      <c r="AG2541" s="11" t="b" cm="1">
        <f t="array" ref="AG2541">IF(OR(Y2541:AA2541="TRUE", AE2541="true"), "Threatened")</f>
        <v>0</v>
      </c>
      <c r="AH2541" s="11" t="s">
        <v>6301</v>
      </c>
      <c r="AI2541" s="8" t="b">
        <v>0</v>
      </c>
    </row>
    <row r="2542" spans="1:35" ht="31.2">
      <c r="A2542" s="8">
        <v>-73.957909709999996</v>
      </c>
      <c r="B2542" s="8">
        <v>40.797227339999999</v>
      </c>
      <c r="C2542" s="8" t="s">
        <v>6302</v>
      </c>
      <c r="D2542" s="8" t="s">
        <v>233</v>
      </c>
      <c r="E2542" s="8" t="b">
        <f t="shared" si="39"/>
        <v>0</v>
      </c>
      <c r="F2542" s="8" t="str" cm="1">
        <f t="array" ref="F2542">_xlfn._xlws.FILTER(E2542:E5740, C2542:C5740= "6D-PM-1020-01", "No Squirrels Found")</f>
        <v>No Squirrels Found</v>
      </c>
      <c r="G2542" s="8" t="s">
        <v>48</v>
      </c>
      <c r="H2542" s="10">
        <v>10172018</v>
      </c>
      <c r="I2542" s="10">
        <v>3</v>
      </c>
      <c r="J2542" s="8" t="s">
        <v>39</v>
      </c>
      <c r="K2542" s="8" t="s">
        <v>40</v>
      </c>
      <c r="L2542" s="8" t="s">
        <v>192</v>
      </c>
      <c r="M2542" s="8" t="s">
        <v>354</v>
      </c>
      <c r="O2542" s="8" t="s">
        <v>43</v>
      </c>
      <c r="P2542" s="8" t="b">
        <v>0</v>
      </c>
      <c r="R2542" s="8" t="b">
        <v>0</v>
      </c>
      <c r="S2542" s="8" t="b">
        <v>0</v>
      </c>
      <c r="T2542" s="8" t="b">
        <v>0</v>
      </c>
      <c r="U2542" s="8" t="b">
        <v>0</v>
      </c>
      <c r="V2542" s="8" t="b">
        <v>1</v>
      </c>
      <c r="X2542" s="8" t="b">
        <v>0</v>
      </c>
      <c r="Y2542" s="8" t="b">
        <v>0</v>
      </c>
      <c r="Z2542" s="8" t="b">
        <v>0</v>
      </c>
      <c r="AA2542" s="8" t="b">
        <v>0</v>
      </c>
      <c r="AB2542" s="8" t="b">
        <v>0</v>
      </c>
      <c r="AC2542" s="8" t="b">
        <v>0</v>
      </c>
      <c r="AD2542" s="8" t="b">
        <v>0</v>
      </c>
      <c r="AE2542" s="8" t="b">
        <v>1</v>
      </c>
      <c r="AG2542" s="11" t="b" cm="1">
        <f t="array" ref="AG2542">IF(OR(Y2542:AA2542="TRUE", AE2542="true"), "Threatened")</f>
        <v>0</v>
      </c>
      <c r="AH2542" s="11" t="s">
        <v>6303</v>
      </c>
      <c r="AI2542" s="8" t="b">
        <v>1</v>
      </c>
    </row>
    <row r="2543" spans="1:35" ht="31.2">
      <c r="A2543" s="8">
        <v>-73.975480210000001</v>
      </c>
      <c r="B2543" s="8">
        <v>40.773300800000001</v>
      </c>
      <c r="C2543" s="8" t="s">
        <v>6304</v>
      </c>
      <c r="D2543" s="8" t="s">
        <v>1403</v>
      </c>
      <c r="E2543" s="8" t="b">
        <f t="shared" si="39"/>
        <v>0</v>
      </c>
      <c r="F2543" s="8" t="str" cm="1">
        <f t="array" ref="F2543">_xlfn._xlws.FILTER(E2543:E5741, C2543:C5741= "6D-PM-1020-01", "No Squirrels Found")</f>
        <v>No Squirrels Found</v>
      </c>
      <c r="G2543" s="8" t="s">
        <v>34</v>
      </c>
      <c r="H2543" s="10">
        <v>10062018</v>
      </c>
      <c r="I2543" s="10">
        <v>3</v>
      </c>
      <c r="J2543" s="8" t="s">
        <v>39</v>
      </c>
      <c r="K2543" s="8" t="s">
        <v>40</v>
      </c>
      <c r="L2543" s="8" t="s">
        <v>84</v>
      </c>
      <c r="M2543" s="8" t="s">
        <v>103</v>
      </c>
      <c r="O2543" s="8" t="s">
        <v>50</v>
      </c>
      <c r="P2543" s="8">
        <v>15</v>
      </c>
      <c r="R2543" s="8" t="b">
        <v>0</v>
      </c>
      <c r="S2543" s="8" t="b">
        <v>1</v>
      </c>
      <c r="T2543" s="8" t="b">
        <v>0</v>
      </c>
      <c r="U2543" s="8" t="b">
        <v>0</v>
      </c>
      <c r="V2543" s="8" t="b">
        <v>0</v>
      </c>
      <c r="X2543" s="8" t="b">
        <v>0</v>
      </c>
      <c r="Y2543" s="8" t="b">
        <v>0</v>
      </c>
      <c r="Z2543" s="8" t="b">
        <v>0</v>
      </c>
      <c r="AA2543" s="8" t="b">
        <v>0</v>
      </c>
      <c r="AB2543" s="8" t="b">
        <v>0</v>
      </c>
      <c r="AC2543" s="8" t="b">
        <v>0</v>
      </c>
      <c r="AD2543" s="8" t="b">
        <v>1</v>
      </c>
      <c r="AE2543" s="8" t="b">
        <v>0</v>
      </c>
      <c r="AG2543" s="11" t="b" cm="1">
        <f t="array" ref="AG2543">IF(OR(Y2543:AA2543="TRUE", AE2543="true"), "Threatened")</f>
        <v>0</v>
      </c>
      <c r="AH2543" s="11" t="s">
        <v>6305</v>
      </c>
      <c r="AI2543" s="8" t="b">
        <v>1</v>
      </c>
    </row>
    <row r="2544" spans="1:35" ht="31.2">
      <c r="A2544" s="8">
        <v>-73.969142500000004</v>
      </c>
      <c r="B2544" s="8">
        <v>40.780542850000003</v>
      </c>
      <c r="C2544" s="8" t="s">
        <v>6306</v>
      </c>
      <c r="D2544" s="8" t="s">
        <v>631</v>
      </c>
      <c r="E2544" s="8" t="b">
        <f t="shared" si="39"/>
        <v>0</v>
      </c>
      <c r="F2544" s="8" t="str" cm="1">
        <f t="array" ref="F2544">_xlfn._xlws.FILTER(E2544:E5742, C2544:C5742= "6D-PM-1020-01", "No Squirrels Found")</f>
        <v>No Squirrels Found</v>
      </c>
      <c r="G2544" s="8" t="s">
        <v>48</v>
      </c>
      <c r="H2544" s="10">
        <v>10182018</v>
      </c>
      <c r="I2544" s="10">
        <v>2</v>
      </c>
      <c r="J2544" s="8" t="s">
        <v>39</v>
      </c>
      <c r="K2544" s="8" t="s">
        <v>40</v>
      </c>
      <c r="L2544" s="8" t="s">
        <v>41</v>
      </c>
      <c r="M2544" s="8" t="s">
        <v>42</v>
      </c>
      <c r="O2544" s="8" t="s">
        <v>43</v>
      </c>
      <c r="P2544" s="8" t="b">
        <v>0</v>
      </c>
      <c r="R2544" s="8" t="b">
        <v>1</v>
      </c>
      <c r="S2544" s="8" t="b">
        <v>0</v>
      </c>
      <c r="T2544" s="8" t="b">
        <v>0</v>
      </c>
      <c r="U2544" s="8" t="b">
        <v>0</v>
      </c>
      <c r="V2544" s="8" t="b">
        <v>0</v>
      </c>
      <c r="X2544" s="8" t="b">
        <v>0</v>
      </c>
      <c r="Y2544" s="8" t="b">
        <v>0</v>
      </c>
      <c r="Z2544" s="8" t="b">
        <v>0</v>
      </c>
      <c r="AA2544" s="8" t="b">
        <v>0</v>
      </c>
      <c r="AB2544" s="8" t="b">
        <v>0</v>
      </c>
      <c r="AC2544" s="8" t="b">
        <v>0</v>
      </c>
      <c r="AD2544" s="8" t="b">
        <v>1</v>
      </c>
      <c r="AE2544" s="8" t="b">
        <v>0</v>
      </c>
      <c r="AG2544" s="11" t="b" cm="1">
        <f t="array" ref="AG2544">IF(OR(Y2544:AA2544="TRUE", AE2544="true"), "Threatened")</f>
        <v>0</v>
      </c>
      <c r="AH2544" s="11" t="s">
        <v>6307</v>
      </c>
      <c r="AI2544" s="8" t="b">
        <v>1</v>
      </c>
    </row>
    <row r="2545" spans="1:35" ht="31.2">
      <c r="A2545" s="8">
        <v>-73.971368080000005</v>
      </c>
      <c r="B2545" s="8">
        <v>40.777166149999999</v>
      </c>
      <c r="C2545" s="8" t="s">
        <v>6308</v>
      </c>
      <c r="D2545" s="8" t="s">
        <v>741</v>
      </c>
      <c r="E2545" s="8" t="b">
        <f t="shared" si="39"/>
        <v>0</v>
      </c>
      <c r="F2545" s="8" t="str" cm="1">
        <f t="array" ref="F2545">_xlfn._xlws.FILTER(E2545:E5743, C2545:C5743= "6D-PM-1020-01", "No Squirrels Found")</f>
        <v>No Squirrels Found</v>
      </c>
      <c r="G2545" s="8" t="s">
        <v>34</v>
      </c>
      <c r="H2545" s="10">
        <v>10192018</v>
      </c>
      <c r="I2545" s="10">
        <v>3</v>
      </c>
      <c r="J2545" s="8" t="s">
        <v>54</v>
      </c>
      <c r="K2545" s="8" t="s">
        <v>40</v>
      </c>
      <c r="L2545" s="8" t="s">
        <v>41</v>
      </c>
      <c r="M2545" s="8" t="s">
        <v>42</v>
      </c>
      <c r="O2545" s="8" t="s">
        <v>43</v>
      </c>
      <c r="P2545" s="8" t="b">
        <v>0</v>
      </c>
      <c r="R2545" s="8" t="b">
        <v>0</v>
      </c>
      <c r="S2545" s="8" t="b">
        <v>0</v>
      </c>
      <c r="T2545" s="8" t="b">
        <v>0</v>
      </c>
      <c r="U2545" s="8" t="b">
        <v>0</v>
      </c>
      <c r="V2545" s="8" t="b">
        <v>1</v>
      </c>
      <c r="X2545" s="8" t="b">
        <v>0</v>
      </c>
      <c r="Y2545" s="8" t="b">
        <v>0</v>
      </c>
      <c r="Z2545" s="8" t="b">
        <v>0</v>
      </c>
      <c r="AA2545" s="8" t="b">
        <v>0</v>
      </c>
      <c r="AB2545" s="8" t="b">
        <v>0</v>
      </c>
      <c r="AC2545" s="8" t="b">
        <v>0</v>
      </c>
      <c r="AD2545" s="8" t="b">
        <v>0</v>
      </c>
      <c r="AE2545" s="8" t="b">
        <v>1</v>
      </c>
      <c r="AG2545" s="11" t="b" cm="1">
        <f t="array" ref="AG2545">IF(OR(Y2545:AA2545="TRUE", AE2545="true"), "Threatened")</f>
        <v>0</v>
      </c>
      <c r="AH2545" s="11" t="s">
        <v>6309</v>
      </c>
      <c r="AI2545" s="8" t="b">
        <v>1</v>
      </c>
    </row>
    <row r="2546" spans="1:35" ht="31.2">
      <c r="A2546" s="8">
        <v>-73.961759430000001</v>
      </c>
      <c r="B2546" s="8">
        <v>40.794680370000002</v>
      </c>
      <c r="C2546" s="8" t="s">
        <v>6310</v>
      </c>
      <c r="D2546" s="8" t="s">
        <v>301</v>
      </c>
      <c r="E2546" s="8" t="b">
        <f t="shared" si="39"/>
        <v>0</v>
      </c>
      <c r="F2546" s="8" t="str" cm="1">
        <f t="array" ref="F2546">_xlfn._xlws.FILTER(E2546:E5744, C2546:C5744= "6D-PM-1020-01", "No Squirrels Found")</f>
        <v>No Squirrels Found</v>
      </c>
      <c r="G2546" s="8" t="s">
        <v>48</v>
      </c>
      <c r="H2546" s="10">
        <v>10142018</v>
      </c>
      <c r="I2546" s="10">
        <v>1</v>
      </c>
      <c r="J2546" s="8" t="s">
        <v>39</v>
      </c>
      <c r="K2546" s="8" t="s">
        <v>40</v>
      </c>
      <c r="L2546" s="8" t="s">
        <v>84</v>
      </c>
      <c r="M2546" s="8" t="s">
        <v>103</v>
      </c>
      <c r="O2546" s="8" t="s">
        <v>43</v>
      </c>
      <c r="P2546" s="8" t="b">
        <v>0</v>
      </c>
      <c r="R2546" s="8" t="b">
        <v>1</v>
      </c>
      <c r="S2546" s="8" t="b">
        <v>0</v>
      </c>
      <c r="T2546" s="8" t="b">
        <v>0</v>
      </c>
      <c r="U2546" s="8" t="b">
        <v>1</v>
      </c>
      <c r="V2546" s="8" t="b">
        <v>0</v>
      </c>
      <c r="X2546" s="8" t="b">
        <v>0</v>
      </c>
      <c r="Y2546" s="8" t="b">
        <v>0</v>
      </c>
      <c r="Z2546" s="8" t="b">
        <v>0</v>
      </c>
      <c r="AA2546" s="8" t="b">
        <v>0</v>
      </c>
      <c r="AB2546" s="8" t="b">
        <v>0</v>
      </c>
      <c r="AC2546" s="8" t="b">
        <v>0</v>
      </c>
      <c r="AD2546" s="8" t="b">
        <v>1</v>
      </c>
      <c r="AE2546" s="8" t="b">
        <v>0</v>
      </c>
      <c r="AG2546" s="11" t="b" cm="1">
        <f t="array" ref="AG2546">IF(OR(Y2546:AA2546="TRUE", AE2546="true"), "Threatened")</f>
        <v>0</v>
      </c>
      <c r="AH2546" s="11" t="s">
        <v>6311</v>
      </c>
      <c r="AI2546" s="8" t="b">
        <v>1</v>
      </c>
    </row>
    <row r="2547" spans="1:35" ht="31.2">
      <c r="A2547" s="8">
        <v>-73.966026740000004</v>
      </c>
      <c r="B2547" s="8">
        <v>40.776444400000003</v>
      </c>
      <c r="C2547" s="8" t="s">
        <v>6312</v>
      </c>
      <c r="D2547" s="8" t="s">
        <v>1530</v>
      </c>
      <c r="E2547" s="8" t="b">
        <f t="shared" si="39"/>
        <v>0</v>
      </c>
      <c r="F2547" s="8" t="str" cm="1">
        <f t="array" ref="F2547">_xlfn._xlws.FILTER(E2547:E5745, C2547:C5745= "6D-PM-1020-01", "No Squirrels Found")</f>
        <v>No Squirrels Found</v>
      </c>
      <c r="G2547" s="8" t="s">
        <v>48</v>
      </c>
      <c r="H2547" s="10">
        <v>10072018</v>
      </c>
      <c r="I2547" s="10">
        <v>1</v>
      </c>
      <c r="J2547" s="8" t="s">
        <v>39</v>
      </c>
      <c r="K2547" s="8" t="s">
        <v>40</v>
      </c>
      <c r="M2547" s="8" t="s">
        <v>55</v>
      </c>
      <c r="O2547" s="8" t="s">
        <v>43</v>
      </c>
      <c r="P2547" s="8" t="b">
        <v>0</v>
      </c>
      <c r="R2547" s="8" t="b">
        <v>1</v>
      </c>
      <c r="S2547" s="8" t="b">
        <v>0</v>
      </c>
      <c r="T2547" s="8" t="b">
        <v>0</v>
      </c>
      <c r="U2547" s="8" t="b">
        <v>0</v>
      </c>
      <c r="V2547" s="8" t="b">
        <v>0</v>
      </c>
      <c r="X2547" s="8" t="b">
        <v>0</v>
      </c>
      <c r="Y2547" s="8" t="b">
        <v>0</v>
      </c>
      <c r="Z2547" s="8" t="b">
        <v>0</v>
      </c>
      <c r="AA2547" s="8" t="b">
        <v>0</v>
      </c>
      <c r="AB2547" s="8" t="b">
        <v>0</v>
      </c>
      <c r="AC2547" s="8" t="b">
        <v>0</v>
      </c>
      <c r="AD2547" s="8" t="b">
        <v>0</v>
      </c>
      <c r="AE2547" s="8" t="b">
        <v>0</v>
      </c>
      <c r="AG2547" s="11" t="b" cm="1">
        <f t="array" ref="AG2547">IF(OR(Y2547:AA2547="TRUE", AE2547="true"), "Threatened")</f>
        <v>0</v>
      </c>
      <c r="AH2547" s="11" t="s">
        <v>6313</v>
      </c>
      <c r="AI2547" s="8" t="b">
        <v>1</v>
      </c>
    </row>
    <row r="2548" spans="1:35" ht="31.2">
      <c r="A2548" s="8">
        <v>-73.974339369999996</v>
      </c>
      <c r="B2548" s="8">
        <v>40.76763468</v>
      </c>
      <c r="C2548" s="8" t="s">
        <v>6314</v>
      </c>
      <c r="D2548" s="8" t="s">
        <v>1706</v>
      </c>
      <c r="E2548" s="8" t="b">
        <f t="shared" si="39"/>
        <v>0</v>
      </c>
      <c r="F2548" s="8" t="str" cm="1">
        <f t="array" ref="F2548">_xlfn._xlws.FILTER(E2548:E5746, C2548:C5746= "6D-PM-1020-01", "No Squirrels Found")</f>
        <v>No Squirrels Found</v>
      </c>
      <c r="G2548" s="8" t="s">
        <v>48</v>
      </c>
      <c r="H2548" s="10">
        <v>10062018</v>
      </c>
      <c r="I2548" s="10">
        <v>12</v>
      </c>
      <c r="J2548" s="8" t="s">
        <v>54</v>
      </c>
      <c r="K2548" s="8" t="s">
        <v>41</v>
      </c>
      <c r="L2548" s="8" t="s">
        <v>84</v>
      </c>
      <c r="M2548" s="8" t="s">
        <v>85</v>
      </c>
      <c r="O2548" s="8" t="s">
        <v>43</v>
      </c>
      <c r="P2548" s="8" t="b">
        <v>0</v>
      </c>
      <c r="R2548" s="8" t="b">
        <v>0</v>
      </c>
      <c r="S2548" s="8" t="b">
        <v>0</v>
      </c>
      <c r="T2548" s="8" t="b">
        <v>0</v>
      </c>
      <c r="U2548" s="8" t="b">
        <v>0</v>
      </c>
      <c r="V2548" s="8" t="b">
        <v>1</v>
      </c>
      <c r="X2548" s="8" t="b">
        <v>0</v>
      </c>
      <c r="Y2548" s="8" t="b">
        <v>0</v>
      </c>
      <c r="Z2548" s="8" t="b">
        <v>0</v>
      </c>
      <c r="AA2548" s="8" t="b">
        <v>1</v>
      </c>
      <c r="AB2548" s="8" t="b">
        <v>0</v>
      </c>
      <c r="AC2548" s="8" t="b">
        <v>0</v>
      </c>
      <c r="AD2548" s="8" t="b">
        <v>1</v>
      </c>
      <c r="AE2548" s="8" t="b">
        <v>0</v>
      </c>
      <c r="AG2548" s="11" t="b" cm="1">
        <f t="array" ref="AG2548">IF(OR(Y2548:AA2548="TRUE", AE2548="true"), "Threatened")</f>
        <v>0</v>
      </c>
      <c r="AH2548" s="11" t="s">
        <v>6315</v>
      </c>
      <c r="AI2548" s="8" t="b">
        <v>1</v>
      </c>
    </row>
    <row r="2549" spans="1:35" ht="31.2">
      <c r="A2549" s="8">
        <v>-73.970357149999998</v>
      </c>
      <c r="B2549" s="8">
        <v>40.767851559999997</v>
      </c>
      <c r="C2549" s="8" t="s">
        <v>6316</v>
      </c>
      <c r="D2549" s="8" t="s">
        <v>716</v>
      </c>
      <c r="E2549" s="8" t="b">
        <f t="shared" si="39"/>
        <v>0</v>
      </c>
      <c r="F2549" s="8" t="str" cm="1">
        <f t="array" ref="F2549">_xlfn._xlws.FILTER(E2549:E5747, C2549:C5747= "6D-PM-1020-01", "No Squirrels Found")</f>
        <v>No Squirrels Found</v>
      </c>
      <c r="G2549" s="8" t="s">
        <v>48</v>
      </c>
      <c r="H2549" s="10">
        <v>10102018</v>
      </c>
      <c r="I2549" s="10">
        <v>6</v>
      </c>
      <c r="J2549" s="8" t="s">
        <v>39</v>
      </c>
      <c r="K2549" s="8" t="s">
        <v>40</v>
      </c>
      <c r="M2549" s="8" t="s">
        <v>55</v>
      </c>
      <c r="O2549" s="8" t="s">
        <v>43</v>
      </c>
      <c r="P2549" s="8" t="b">
        <v>0</v>
      </c>
      <c r="R2549" s="8" t="b">
        <v>0</v>
      </c>
      <c r="S2549" s="8" t="b">
        <v>0</v>
      </c>
      <c r="T2549" s="8" t="b">
        <v>0</v>
      </c>
      <c r="U2549" s="8" t="b">
        <v>0</v>
      </c>
      <c r="V2549" s="8" t="b">
        <v>1</v>
      </c>
      <c r="X2549" s="8" t="b">
        <v>0</v>
      </c>
      <c r="Y2549" s="8" t="b">
        <v>0</v>
      </c>
      <c r="Z2549" s="8" t="b">
        <v>0</v>
      </c>
      <c r="AA2549" s="8" t="b">
        <v>0</v>
      </c>
      <c r="AB2549" s="8" t="b">
        <v>0</v>
      </c>
      <c r="AC2549" s="8" t="b">
        <v>0</v>
      </c>
      <c r="AD2549" s="8" t="b">
        <v>1</v>
      </c>
      <c r="AE2549" s="8" t="b">
        <v>0</v>
      </c>
      <c r="AG2549" s="11" t="b" cm="1">
        <f t="array" ref="AG2549">IF(OR(Y2549:AA2549="TRUE", AE2549="true"), "Threatened")</f>
        <v>0</v>
      </c>
      <c r="AH2549" s="11" t="s">
        <v>6317</v>
      </c>
      <c r="AI2549" s="8" t="b">
        <v>1</v>
      </c>
    </row>
    <row r="2550" spans="1:35" ht="31.2">
      <c r="A2550" s="8">
        <v>-73.97224851</v>
      </c>
      <c r="B2550" s="8">
        <v>40.765904370000001</v>
      </c>
      <c r="C2550" s="8" t="s">
        <v>6318</v>
      </c>
      <c r="D2550" s="8" t="s">
        <v>988</v>
      </c>
      <c r="E2550" s="8" t="b">
        <f t="shared" si="39"/>
        <v>0</v>
      </c>
      <c r="F2550" s="8" t="str" cm="1">
        <f t="array" ref="F2550">_xlfn._xlws.FILTER(E2550:E5748, C2550:C5748= "6D-PM-1020-01", "No Squirrels Found")</f>
        <v>No Squirrels Found</v>
      </c>
      <c r="G2550" s="8" t="s">
        <v>34</v>
      </c>
      <c r="H2550" s="10">
        <v>10132018</v>
      </c>
      <c r="I2550" s="10">
        <v>1</v>
      </c>
      <c r="J2550" s="8" t="s">
        <v>39</v>
      </c>
      <c r="K2550" s="8" t="s">
        <v>192</v>
      </c>
      <c r="M2550" s="8" t="s">
        <v>193</v>
      </c>
      <c r="O2550" s="8" t="s">
        <v>43</v>
      </c>
      <c r="P2550" s="8" t="b">
        <v>0</v>
      </c>
      <c r="R2550" s="8" t="b">
        <v>0</v>
      </c>
      <c r="S2550" s="8" t="b">
        <v>0</v>
      </c>
      <c r="T2550" s="8" t="b">
        <v>0</v>
      </c>
      <c r="U2550" s="8" t="b">
        <v>1</v>
      </c>
      <c r="V2550" s="8" t="b">
        <v>1</v>
      </c>
      <c r="X2550" s="8" t="b">
        <v>0</v>
      </c>
      <c r="Y2550" s="8" t="b">
        <v>0</v>
      </c>
      <c r="Z2550" s="8" t="b">
        <v>0</v>
      </c>
      <c r="AA2550" s="8" t="b">
        <v>0</v>
      </c>
      <c r="AB2550" s="8" t="b">
        <v>0</v>
      </c>
      <c r="AC2550" s="8" t="b">
        <v>0</v>
      </c>
      <c r="AD2550" s="8" t="b">
        <v>1</v>
      </c>
      <c r="AE2550" s="8" t="b">
        <v>0</v>
      </c>
      <c r="AG2550" s="11" t="b" cm="1">
        <f t="array" ref="AG2550">IF(OR(Y2550:AA2550="TRUE", AE2550="true"), "Threatened")</f>
        <v>0</v>
      </c>
      <c r="AH2550" s="11" t="s">
        <v>6319</v>
      </c>
      <c r="AI2550" s="8" t="b">
        <v>1</v>
      </c>
    </row>
    <row r="2551" spans="1:35" ht="31.2">
      <c r="A2551" s="8">
        <v>-73.969480570000002</v>
      </c>
      <c r="B2551" s="8">
        <v>40.77435569</v>
      </c>
      <c r="C2551" s="8" t="s">
        <v>6320</v>
      </c>
      <c r="D2551" s="8" t="s">
        <v>655</v>
      </c>
      <c r="E2551" s="8" t="b">
        <f t="shared" si="39"/>
        <v>0</v>
      </c>
      <c r="F2551" s="8" t="str" cm="1">
        <f t="array" ref="F2551">_xlfn._xlws.FILTER(E2551:E5749, C2551:C5749= "6D-PM-1020-01", "No Squirrels Found")</f>
        <v>No Squirrels Found</v>
      </c>
      <c r="G2551" s="8" t="s">
        <v>48</v>
      </c>
      <c r="H2551" s="10">
        <v>10202018</v>
      </c>
      <c r="I2551" s="10">
        <v>1</v>
      </c>
      <c r="J2551" s="8" t="s">
        <v>39</v>
      </c>
      <c r="K2551" s="8" t="s">
        <v>41</v>
      </c>
      <c r="L2551" s="8" t="s">
        <v>84</v>
      </c>
      <c r="M2551" s="8" t="s">
        <v>85</v>
      </c>
      <c r="O2551" s="8" t="s">
        <v>50</v>
      </c>
      <c r="P2551" s="8">
        <v>17</v>
      </c>
      <c r="Q2551" s="8" t="s">
        <v>2868</v>
      </c>
      <c r="R2551" s="8" t="b">
        <v>0</v>
      </c>
      <c r="S2551" s="8" t="b">
        <v>0</v>
      </c>
      <c r="T2551" s="8" t="b">
        <v>0</v>
      </c>
      <c r="U2551" s="8" t="b">
        <v>0</v>
      </c>
      <c r="V2551" s="8" t="b">
        <v>0</v>
      </c>
      <c r="W2551" s="11" t="s">
        <v>694</v>
      </c>
      <c r="X2551" s="8" t="b">
        <v>0</v>
      </c>
      <c r="Y2551" s="8" t="b">
        <v>0</v>
      </c>
      <c r="Z2551" s="8" t="b">
        <v>0</v>
      </c>
      <c r="AA2551" s="8" t="b">
        <v>0</v>
      </c>
      <c r="AB2551" s="8" t="b">
        <v>0</v>
      </c>
      <c r="AC2551" s="8" t="b">
        <v>0</v>
      </c>
      <c r="AD2551" s="8" t="b">
        <v>0</v>
      </c>
      <c r="AE2551" s="8" t="b">
        <v>0</v>
      </c>
      <c r="AG2551" s="11" t="b" cm="1">
        <f t="array" ref="AG2551">IF(OR(Y2551:AA2551="TRUE", AE2551="true"), "Threatened")</f>
        <v>0</v>
      </c>
      <c r="AH2551" s="11" t="s">
        <v>6321</v>
      </c>
      <c r="AI2551" s="8" t="b">
        <v>0</v>
      </c>
    </row>
    <row r="2552" spans="1:35" ht="46.8">
      <c r="A2552" s="8">
        <v>-73.970138809999995</v>
      </c>
      <c r="B2552" s="8">
        <v>40.770579300000001</v>
      </c>
      <c r="C2552" s="8" t="s">
        <v>6322</v>
      </c>
      <c r="D2552" s="8" t="s">
        <v>199</v>
      </c>
      <c r="E2552" s="8" t="b">
        <f t="shared" si="39"/>
        <v>0</v>
      </c>
      <c r="F2552" s="8" t="str" cm="1">
        <f t="array" ref="F2552">_xlfn._xlws.FILTER(E2552:E5750, C2552:C5750= "6D-PM-1020-01", "No Squirrels Found")</f>
        <v>No Squirrels Found</v>
      </c>
      <c r="G2552" s="8" t="s">
        <v>34</v>
      </c>
      <c r="H2552" s="10">
        <v>10142018</v>
      </c>
      <c r="I2552" s="10">
        <v>2</v>
      </c>
      <c r="J2552" s="8" t="s">
        <v>39</v>
      </c>
      <c r="K2552" s="8" t="s">
        <v>40</v>
      </c>
      <c r="L2552" s="8" t="s">
        <v>84</v>
      </c>
      <c r="M2552" s="8" t="s">
        <v>103</v>
      </c>
      <c r="O2552" s="8" t="s">
        <v>43</v>
      </c>
      <c r="P2552" s="8" t="b">
        <v>0</v>
      </c>
      <c r="R2552" s="8" t="b">
        <v>0</v>
      </c>
      <c r="S2552" s="8" t="b">
        <v>0</v>
      </c>
      <c r="T2552" s="8" t="b">
        <v>0</v>
      </c>
      <c r="U2552" s="8" t="b">
        <v>1</v>
      </c>
      <c r="V2552" s="8" t="b">
        <v>0</v>
      </c>
      <c r="X2552" s="8" t="b">
        <v>0</v>
      </c>
      <c r="Y2552" s="8" t="b">
        <v>0</v>
      </c>
      <c r="Z2552" s="8" t="b">
        <v>0</v>
      </c>
      <c r="AA2552" s="8" t="b">
        <v>0</v>
      </c>
      <c r="AB2552" s="8" t="b">
        <v>0</v>
      </c>
      <c r="AC2552" s="8" t="b">
        <v>0</v>
      </c>
      <c r="AD2552" s="8" t="b">
        <v>0</v>
      </c>
      <c r="AE2552" s="8" t="b">
        <v>0</v>
      </c>
      <c r="AF2552" s="11" t="s">
        <v>6323</v>
      </c>
      <c r="AG2552" s="11" t="b" cm="1">
        <f t="array" ref="AG2552">IF(OR(Y2552:AA2552="TRUE", AE2552="true"), "Threatened")</f>
        <v>0</v>
      </c>
      <c r="AH2552" s="11" t="s">
        <v>6324</v>
      </c>
      <c r="AI2552" s="8" t="b">
        <v>1</v>
      </c>
    </row>
    <row r="2553" spans="1:35" ht="31.2">
      <c r="A2553" s="8">
        <v>-73.972494769999997</v>
      </c>
      <c r="B2553" s="8">
        <v>40.769661929999998</v>
      </c>
      <c r="C2553" s="8" t="s">
        <v>6325</v>
      </c>
      <c r="D2553" s="8" t="s">
        <v>66</v>
      </c>
      <c r="E2553" s="8" t="b">
        <f t="shared" si="39"/>
        <v>0</v>
      </c>
      <c r="F2553" s="8" t="str" cm="1">
        <f t="array" ref="F2553">_xlfn._xlws.FILTER(E2553:E5751, C2553:C5751= "6D-PM-1020-01", "No Squirrels Found")</f>
        <v>No Squirrels Found</v>
      </c>
      <c r="G2553" s="8" t="s">
        <v>48</v>
      </c>
      <c r="H2553" s="10">
        <v>10082018</v>
      </c>
      <c r="I2553" s="10">
        <v>5</v>
      </c>
      <c r="J2553" s="8" t="s">
        <v>39</v>
      </c>
      <c r="K2553" s="8" t="s">
        <v>40</v>
      </c>
      <c r="M2553" s="8" t="s">
        <v>55</v>
      </c>
      <c r="O2553" s="8" t="s">
        <v>50</v>
      </c>
      <c r="P2553" s="8">
        <v>30</v>
      </c>
      <c r="Q2553" s="8" t="s">
        <v>3930</v>
      </c>
      <c r="R2553" s="8" t="b">
        <v>0</v>
      </c>
      <c r="S2553" s="8" t="b">
        <v>0</v>
      </c>
      <c r="T2553" s="8" t="b">
        <v>1</v>
      </c>
      <c r="U2553" s="8" t="b">
        <v>0</v>
      </c>
      <c r="V2553" s="8" t="b">
        <v>0</v>
      </c>
      <c r="W2553" s="11" t="s">
        <v>141</v>
      </c>
      <c r="X2553" s="8" t="b">
        <v>0</v>
      </c>
      <c r="Y2553" s="8" t="b">
        <v>0</v>
      </c>
      <c r="Z2553" s="8" t="b">
        <v>0</v>
      </c>
      <c r="AA2553" s="8" t="b">
        <v>0</v>
      </c>
      <c r="AB2553" s="8" t="b">
        <v>0</v>
      </c>
      <c r="AC2553" s="8" t="b">
        <v>0</v>
      </c>
      <c r="AD2553" s="8" t="b">
        <v>1</v>
      </c>
      <c r="AE2553" s="8" t="b">
        <v>0</v>
      </c>
      <c r="AG2553" s="11" t="b" cm="1">
        <f t="array" ref="AG2553">IF(OR(Y2553:AA2553="TRUE", AE2553="true"), "Threatened")</f>
        <v>0</v>
      </c>
      <c r="AH2553" s="11" t="s">
        <v>6326</v>
      </c>
      <c r="AI2553" s="8" t="b">
        <v>0</v>
      </c>
    </row>
    <row r="2554" spans="1:35" ht="31.2">
      <c r="A2554" s="8">
        <v>-73.971474459999996</v>
      </c>
      <c r="B2554" s="8">
        <v>40.773626620000002</v>
      </c>
      <c r="C2554" s="8" t="s">
        <v>6327</v>
      </c>
      <c r="D2554" s="8" t="s">
        <v>6022</v>
      </c>
      <c r="E2554" s="8" t="b">
        <f t="shared" si="39"/>
        <v>0</v>
      </c>
      <c r="F2554" s="8" t="str" cm="1">
        <f t="array" ref="F2554">_xlfn._xlws.FILTER(E2554:E5752, C2554:C5752= "6D-PM-1020-01", "No Squirrels Found")</f>
        <v>No Squirrels Found</v>
      </c>
      <c r="G2554" s="8" t="s">
        <v>48</v>
      </c>
      <c r="H2554" s="10">
        <v>10102018</v>
      </c>
      <c r="I2554" s="10">
        <v>1</v>
      </c>
      <c r="J2554" s="8" t="s">
        <v>39</v>
      </c>
      <c r="K2554" s="8" t="s">
        <v>40</v>
      </c>
      <c r="L2554" s="8" t="s">
        <v>41</v>
      </c>
      <c r="M2554" s="8" t="s">
        <v>42</v>
      </c>
      <c r="O2554" s="8" t="s">
        <v>43</v>
      </c>
      <c r="P2554" s="8" t="b">
        <v>0</v>
      </c>
      <c r="R2554" s="8" t="b">
        <v>0</v>
      </c>
      <c r="S2554" s="8" t="b">
        <v>0</v>
      </c>
      <c r="T2554" s="8" t="b">
        <v>0</v>
      </c>
      <c r="U2554" s="8" t="b">
        <v>0</v>
      </c>
      <c r="V2554" s="8" t="b">
        <v>1</v>
      </c>
      <c r="X2554" s="8" t="b">
        <v>0</v>
      </c>
      <c r="Y2554" s="8" t="b">
        <v>0</v>
      </c>
      <c r="Z2554" s="8" t="b">
        <v>0</v>
      </c>
      <c r="AA2554" s="8" t="b">
        <v>0</v>
      </c>
      <c r="AB2554" s="8" t="b">
        <v>1</v>
      </c>
      <c r="AC2554" s="8" t="b">
        <v>0</v>
      </c>
      <c r="AD2554" s="8" t="b">
        <v>1</v>
      </c>
      <c r="AE2554" s="8" t="b">
        <v>0</v>
      </c>
      <c r="AG2554" s="11" t="b" cm="1">
        <f t="array" ref="AG2554">IF(OR(Y2554:AA2554="TRUE", AE2554="true"), "Threatened")</f>
        <v>0</v>
      </c>
      <c r="AH2554" s="11" t="s">
        <v>6328</v>
      </c>
      <c r="AI2554" s="8" t="b">
        <v>1</v>
      </c>
    </row>
    <row r="2555" spans="1:35" ht="31.2">
      <c r="A2555" s="8">
        <v>-73.970150520000004</v>
      </c>
      <c r="B2555" s="8">
        <v>40.768998359999998</v>
      </c>
      <c r="C2555" s="8" t="s">
        <v>6329</v>
      </c>
      <c r="D2555" s="8" t="s">
        <v>242</v>
      </c>
      <c r="E2555" s="8" t="b">
        <f t="shared" si="39"/>
        <v>0</v>
      </c>
      <c r="F2555" s="8" t="str" cm="1">
        <f t="array" ref="F2555">_xlfn._xlws.FILTER(E2555:E5753, C2555:C5753= "6D-PM-1020-01", "No Squirrels Found")</f>
        <v>No Squirrels Found</v>
      </c>
      <c r="G2555" s="8" t="s">
        <v>34</v>
      </c>
      <c r="H2555" s="10">
        <v>10132018</v>
      </c>
      <c r="I2555" s="10">
        <v>7</v>
      </c>
      <c r="J2555" s="8" t="s">
        <v>39</v>
      </c>
      <c r="K2555" s="8" t="s">
        <v>41</v>
      </c>
      <c r="M2555" s="8" t="s">
        <v>49</v>
      </c>
      <c r="O2555" s="8" t="s">
        <v>50</v>
      </c>
      <c r="P2555" s="8">
        <v>11</v>
      </c>
      <c r="R2555" s="8" t="b">
        <v>0</v>
      </c>
      <c r="S2555" s="8" t="b">
        <v>0</v>
      </c>
      <c r="T2555" s="8" t="b">
        <v>1</v>
      </c>
      <c r="U2555" s="8" t="b">
        <v>0</v>
      </c>
      <c r="V2555" s="8" t="b">
        <v>0</v>
      </c>
      <c r="X2555" s="8" t="b">
        <v>0</v>
      </c>
      <c r="Y2555" s="8" t="b">
        <v>0</v>
      </c>
      <c r="Z2555" s="8" t="b">
        <v>0</v>
      </c>
      <c r="AA2555" s="8" t="b">
        <v>0</v>
      </c>
      <c r="AB2555" s="8" t="b">
        <v>0</v>
      </c>
      <c r="AC2555" s="8" t="b">
        <v>0</v>
      </c>
      <c r="AD2555" s="8" t="b">
        <v>0</v>
      </c>
      <c r="AE2555" s="8" t="b">
        <v>0</v>
      </c>
      <c r="AG2555" s="11" t="b" cm="1">
        <f t="array" ref="AG2555">IF(OR(Y2555:AA2555="TRUE", AE2555="true"), "Threatened")</f>
        <v>0</v>
      </c>
      <c r="AH2555" s="11" t="s">
        <v>6330</v>
      </c>
      <c r="AI2555" s="8" t="b">
        <v>1</v>
      </c>
    </row>
    <row r="2556" spans="1:35" ht="31.2">
      <c r="A2556" s="8">
        <v>-73.961312800000002</v>
      </c>
      <c r="B2556" s="8">
        <v>40.792932149999999</v>
      </c>
      <c r="C2556" s="8" t="s">
        <v>6331</v>
      </c>
      <c r="D2556" s="8" t="s">
        <v>931</v>
      </c>
      <c r="E2556" s="8" t="b">
        <f t="shared" si="39"/>
        <v>0</v>
      </c>
      <c r="F2556" s="8" t="str" cm="1">
        <f t="array" ref="F2556">_xlfn._xlws.FILTER(E2556:E5754, C2556:C5754= "6D-PM-1020-01", "No Squirrels Found")</f>
        <v>No Squirrels Found</v>
      </c>
      <c r="G2556" s="8" t="s">
        <v>48</v>
      </c>
      <c r="H2556" s="10">
        <v>10102018</v>
      </c>
      <c r="I2556" s="10">
        <v>4</v>
      </c>
      <c r="J2556" s="8" t="s">
        <v>39</v>
      </c>
      <c r="K2556" s="8" t="s">
        <v>40</v>
      </c>
      <c r="M2556" s="8" t="s">
        <v>55</v>
      </c>
      <c r="O2556" s="8" t="s">
        <v>43</v>
      </c>
      <c r="P2556" s="8" t="b">
        <v>0</v>
      </c>
      <c r="R2556" s="8" t="b">
        <v>0</v>
      </c>
      <c r="S2556" s="8" t="b">
        <v>0</v>
      </c>
      <c r="T2556" s="8" t="b">
        <v>0</v>
      </c>
      <c r="U2556" s="8" t="b">
        <v>0</v>
      </c>
      <c r="V2556" s="8" t="b">
        <v>1</v>
      </c>
      <c r="X2556" s="8" t="b">
        <v>0</v>
      </c>
      <c r="Y2556" s="8" t="b">
        <v>0</v>
      </c>
      <c r="Z2556" s="8" t="b">
        <v>0</v>
      </c>
      <c r="AA2556" s="8" t="b">
        <v>0</v>
      </c>
      <c r="AB2556" s="8" t="b">
        <v>0</v>
      </c>
      <c r="AC2556" s="8" t="b">
        <v>0</v>
      </c>
      <c r="AD2556" s="8" t="b">
        <v>1</v>
      </c>
      <c r="AE2556" s="8" t="b">
        <v>0</v>
      </c>
      <c r="AG2556" s="11" t="b" cm="1">
        <f t="array" ref="AG2556">IF(OR(Y2556:AA2556="TRUE", AE2556="true"), "Threatened")</f>
        <v>0</v>
      </c>
      <c r="AH2556" s="11" t="s">
        <v>6332</v>
      </c>
      <c r="AI2556" s="8" t="b">
        <v>1</v>
      </c>
    </row>
    <row r="2557" spans="1:35" ht="31.2">
      <c r="A2557" s="8">
        <v>-73.96398284</v>
      </c>
      <c r="B2557" s="8">
        <v>40.791015199999997</v>
      </c>
      <c r="C2557" s="8" t="s">
        <v>6333</v>
      </c>
      <c r="D2557" s="8" t="s">
        <v>911</v>
      </c>
      <c r="E2557" s="8" t="b">
        <f t="shared" si="39"/>
        <v>0</v>
      </c>
      <c r="F2557" s="8" t="str" cm="1">
        <f t="array" ref="F2557">_xlfn._xlws.FILTER(E2557:E5755, C2557:C5755= "6D-PM-1020-01", "No Squirrels Found")</f>
        <v>No Squirrels Found</v>
      </c>
      <c r="G2557" s="8" t="s">
        <v>34</v>
      </c>
      <c r="H2557" s="10">
        <v>10192018</v>
      </c>
      <c r="I2557" s="10">
        <v>9</v>
      </c>
      <c r="J2557" s="8" t="s">
        <v>39</v>
      </c>
      <c r="K2557" s="8" t="s">
        <v>40</v>
      </c>
      <c r="L2557" s="8" t="s">
        <v>117</v>
      </c>
      <c r="M2557" s="8" t="s">
        <v>118</v>
      </c>
      <c r="O2557" s="8" t="s">
        <v>43</v>
      </c>
      <c r="P2557" s="8" t="b">
        <v>0</v>
      </c>
      <c r="R2557" s="8" t="b">
        <v>0</v>
      </c>
      <c r="S2557" s="8" t="b">
        <v>0</v>
      </c>
      <c r="T2557" s="8" t="b">
        <v>0</v>
      </c>
      <c r="U2557" s="8" t="b">
        <v>0</v>
      </c>
      <c r="V2557" s="8" t="b">
        <v>1</v>
      </c>
      <c r="X2557" s="8" t="b">
        <v>0</v>
      </c>
      <c r="Y2557" s="8" t="b">
        <v>0</v>
      </c>
      <c r="Z2557" s="8" t="b">
        <v>0</v>
      </c>
      <c r="AA2557" s="8" t="b">
        <v>0</v>
      </c>
      <c r="AB2557" s="8" t="b">
        <v>0</v>
      </c>
      <c r="AC2557" s="8" t="b">
        <v>0</v>
      </c>
      <c r="AD2557" s="8" t="b">
        <v>0</v>
      </c>
      <c r="AE2557" s="8" t="b">
        <v>1</v>
      </c>
      <c r="AG2557" s="11" t="b" cm="1">
        <f t="array" ref="AG2557">IF(OR(Y2557:AA2557="TRUE", AE2557="true"), "Threatened")</f>
        <v>0</v>
      </c>
      <c r="AH2557" s="11" t="s">
        <v>6334</v>
      </c>
      <c r="AI2557" s="8" t="b">
        <v>1</v>
      </c>
    </row>
    <row r="2558" spans="1:35" ht="31.2">
      <c r="A2558" s="8">
        <v>-73.971245429999996</v>
      </c>
      <c r="B2558" s="8">
        <v>40.767426270000001</v>
      </c>
      <c r="C2558" s="8" t="s">
        <v>6335</v>
      </c>
      <c r="D2558" s="8" t="s">
        <v>716</v>
      </c>
      <c r="E2558" s="8" t="b">
        <f t="shared" si="39"/>
        <v>0</v>
      </c>
      <c r="F2558" s="8" t="str" cm="1">
        <f t="array" ref="F2558">_xlfn._xlws.FILTER(E2558:E5756, C2558:C5756= "6D-PM-1020-01", "No Squirrels Found")</f>
        <v>No Squirrels Found</v>
      </c>
      <c r="G2558" s="8" t="s">
        <v>34</v>
      </c>
      <c r="H2558" s="10">
        <v>10082018</v>
      </c>
      <c r="I2558" s="10">
        <v>2</v>
      </c>
      <c r="J2558" s="8" t="s">
        <v>39</v>
      </c>
      <c r="K2558" s="8" t="s">
        <v>192</v>
      </c>
      <c r="M2558" s="8" t="s">
        <v>193</v>
      </c>
      <c r="O2558" s="8" t="s">
        <v>43</v>
      </c>
      <c r="P2558" s="8" t="b">
        <v>0</v>
      </c>
      <c r="Q2558" s="8" t="s">
        <v>6336</v>
      </c>
      <c r="R2558" s="8" t="b">
        <v>1</v>
      </c>
      <c r="S2558" s="8" t="b">
        <v>0</v>
      </c>
      <c r="T2558" s="8" t="b">
        <v>0</v>
      </c>
      <c r="U2558" s="8" t="b">
        <v>0</v>
      </c>
      <c r="V2558" s="8" t="b">
        <v>0</v>
      </c>
      <c r="X2558" s="8" t="b">
        <v>0</v>
      </c>
      <c r="Y2558" s="8" t="b">
        <v>0</v>
      </c>
      <c r="Z2558" s="8" t="b">
        <v>0</v>
      </c>
      <c r="AA2558" s="8" t="b">
        <v>0</v>
      </c>
      <c r="AB2558" s="8" t="b">
        <v>0</v>
      </c>
      <c r="AC2558" s="8" t="b">
        <v>0</v>
      </c>
      <c r="AD2558" s="8" t="b">
        <v>0</v>
      </c>
      <c r="AE2558" s="8" t="b">
        <v>0</v>
      </c>
      <c r="AG2558" s="11" t="b" cm="1">
        <f t="array" ref="AG2558">IF(OR(Y2558:AA2558="TRUE", AE2558="true"), "Threatened")</f>
        <v>0</v>
      </c>
      <c r="AH2558" s="11" t="s">
        <v>6337</v>
      </c>
      <c r="AI2558" s="8" t="b">
        <v>1</v>
      </c>
    </row>
    <row r="2559" spans="1:35" ht="31.2">
      <c r="A2559" s="8">
        <v>-73.974946959999997</v>
      </c>
      <c r="B2559" s="8">
        <v>40.766780539999999</v>
      </c>
      <c r="C2559" s="8" t="s">
        <v>6338</v>
      </c>
      <c r="D2559" s="8" t="s">
        <v>481</v>
      </c>
      <c r="E2559" s="8" t="b">
        <f t="shared" si="39"/>
        <v>0</v>
      </c>
      <c r="F2559" s="8" t="str" cm="1">
        <f t="array" ref="F2559">_xlfn._xlws.FILTER(E2559:E5757, C2559:C5757= "6D-PM-1020-01", "No Squirrels Found")</f>
        <v>No Squirrels Found</v>
      </c>
      <c r="G2559" s="8" t="s">
        <v>34</v>
      </c>
      <c r="H2559" s="10">
        <v>10142018</v>
      </c>
      <c r="I2559" s="10">
        <v>10</v>
      </c>
      <c r="J2559" s="8" t="s">
        <v>39</v>
      </c>
      <c r="K2559" s="8" t="s">
        <v>40</v>
      </c>
      <c r="L2559" s="8" t="s">
        <v>84</v>
      </c>
      <c r="M2559" s="8" t="s">
        <v>103</v>
      </c>
      <c r="O2559" s="8" t="s">
        <v>43</v>
      </c>
      <c r="P2559" s="8" t="b">
        <v>0</v>
      </c>
      <c r="R2559" s="8" t="b">
        <v>1</v>
      </c>
      <c r="S2559" s="8" t="b">
        <v>0</v>
      </c>
      <c r="T2559" s="8" t="b">
        <v>0</v>
      </c>
      <c r="U2559" s="8" t="b">
        <v>0</v>
      </c>
      <c r="V2559" s="8" t="b">
        <v>0</v>
      </c>
      <c r="X2559" s="8" t="b">
        <v>0</v>
      </c>
      <c r="Y2559" s="8" t="b">
        <v>0</v>
      </c>
      <c r="Z2559" s="8" t="b">
        <v>0</v>
      </c>
      <c r="AA2559" s="8" t="b">
        <v>0</v>
      </c>
      <c r="AB2559" s="8" t="b">
        <v>0</v>
      </c>
      <c r="AC2559" s="8" t="b">
        <v>0</v>
      </c>
      <c r="AD2559" s="8" t="b">
        <v>1</v>
      </c>
      <c r="AE2559" s="8" t="b">
        <v>0</v>
      </c>
      <c r="AG2559" s="11" t="b" cm="1">
        <f t="array" ref="AG2559">IF(OR(Y2559:AA2559="TRUE", AE2559="true"), "Threatened")</f>
        <v>0</v>
      </c>
      <c r="AH2559" s="11" t="s">
        <v>6339</v>
      </c>
      <c r="AI2559" s="8" t="b">
        <v>1</v>
      </c>
    </row>
    <row r="2560" spans="1:35" ht="31.2">
      <c r="A2560" s="8">
        <v>-73.957238349999997</v>
      </c>
      <c r="B2560" s="8">
        <v>40.787685740000001</v>
      </c>
      <c r="C2560" s="8" t="s">
        <v>6340</v>
      </c>
      <c r="D2560" s="8" t="s">
        <v>5625</v>
      </c>
      <c r="E2560" s="8" t="b">
        <f t="shared" si="39"/>
        <v>0</v>
      </c>
      <c r="F2560" s="8" t="str" cm="1">
        <f t="array" ref="F2560">_xlfn._xlws.FILTER(E2560:E5758, C2560:C5758= "6D-PM-1020-01", "No Squirrels Found")</f>
        <v>No Squirrels Found</v>
      </c>
      <c r="G2560" s="8" t="s">
        <v>34</v>
      </c>
      <c r="H2560" s="10">
        <v>10062018</v>
      </c>
      <c r="I2560" s="10">
        <v>1</v>
      </c>
      <c r="J2560" s="8" t="s">
        <v>39</v>
      </c>
      <c r="K2560" s="8" t="s">
        <v>40</v>
      </c>
      <c r="L2560" s="8" t="s">
        <v>41</v>
      </c>
      <c r="M2560" s="8" t="s">
        <v>42</v>
      </c>
      <c r="O2560" s="8" t="s">
        <v>50</v>
      </c>
      <c r="P2560" s="8">
        <v>5</v>
      </c>
      <c r="R2560" s="8" t="b">
        <v>0</v>
      </c>
      <c r="S2560" s="8" t="b">
        <v>0</v>
      </c>
      <c r="T2560" s="8" t="b">
        <v>1</v>
      </c>
      <c r="U2560" s="8" t="b">
        <v>0</v>
      </c>
      <c r="V2560" s="8" t="b">
        <v>0</v>
      </c>
      <c r="X2560" s="8" t="b">
        <v>0</v>
      </c>
      <c r="Y2560" s="8" t="b">
        <v>0</v>
      </c>
      <c r="Z2560" s="8" t="b">
        <v>0</v>
      </c>
      <c r="AA2560" s="8" t="b">
        <v>0</v>
      </c>
      <c r="AB2560" s="8" t="b">
        <v>1</v>
      </c>
      <c r="AC2560" s="8" t="b">
        <v>0</v>
      </c>
      <c r="AD2560" s="8" t="b">
        <v>1</v>
      </c>
      <c r="AE2560" s="8" t="b">
        <v>0</v>
      </c>
      <c r="AG2560" s="11" t="b" cm="1">
        <f t="array" ref="AG2560">IF(OR(Y2560:AA2560="TRUE", AE2560="true"), "Threatened")</f>
        <v>0</v>
      </c>
      <c r="AH2560" s="11" t="s">
        <v>6341</v>
      </c>
      <c r="AI2560" s="8" t="b">
        <v>1</v>
      </c>
    </row>
    <row r="2561" spans="1:35" ht="31.2">
      <c r="A2561" s="8">
        <v>-73.975545909999994</v>
      </c>
      <c r="B2561" s="8">
        <v>40.768086660000002</v>
      </c>
      <c r="C2561" s="8" t="s">
        <v>6342</v>
      </c>
      <c r="D2561" s="8" t="s">
        <v>794</v>
      </c>
      <c r="E2561" s="8" t="b">
        <f t="shared" si="39"/>
        <v>0</v>
      </c>
      <c r="F2561" s="8" t="str" cm="1">
        <f t="array" ref="F2561">_xlfn._xlws.FILTER(E2561:E5759, C2561:C5759= "6D-PM-1020-01", "No Squirrels Found")</f>
        <v>No Squirrels Found</v>
      </c>
      <c r="G2561" s="8" t="s">
        <v>48</v>
      </c>
      <c r="H2561" s="10">
        <v>10202018</v>
      </c>
      <c r="I2561" s="10">
        <v>4</v>
      </c>
      <c r="J2561" s="8" t="s">
        <v>39</v>
      </c>
      <c r="K2561" s="8" t="s">
        <v>41</v>
      </c>
      <c r="L2561" s="8" t="s">
        <v>192</v>
      </c>
      <c r="M2561" s="8" t="s">
        <v>1145</v>
      </c>
      <c r="O2561" s="8" t="s">
        <v>43</v>
      </c>
      <c r="P2561" s="8" t="b">
        <v>0</v>
      </c>
      <c r="R2561" s="8" t="b">
        <v>0</v>
      </c>
      <c r="S2561" s="8" t="b">
        <v>0</v>
      </c>
      <c r="T2561" s="8" t="b">
        <v>0</v>
      </c>
      <c r="U2561" s="8" t="b">
        <v>0</v>
      </c>
      <c r="V2561" s="8" t="b">
        <v>0</v>
      </c>
      <c r="W2561" s="11" t="s">
        <v>4326</v>
      </c>
      <c r="X2561" s="8" t="b">
        <v>0</v>
      </c>
      <c r="Y2561" s="8" t="b">
        <v>0</v>
      </c>
      <c r="Z2561" s="8" t="b">
        <v>0</v>
      </c>
      <c r="AA2561" s="8" t="b">
        <v>0</v>
      </c>
      <c r="AB2561" s="8" t="b">
        <v>0</v>
      </c>
      <c r="AC2561" s="8" t="b">
        <v>0</v>
      </c>
      <c r="AD2561" s="8" t="b">
        <v>0</v>
      </c>
      <c r="AE2561" s="8" t="b">
        <v>1</v>
      </c>
      <c r="AG2561" s="11" t="b" cm="1">
        <f t="array" ref="AG2561">IF(OR(Y2561:AA2561="TRUE", AE2561="true"), "Threatened")</f>
        <v>0</v>
      </c>
      <c r="AH2561" s="11" t="s">
        <v>6343</v>
      </c>
      <c r="AI2561" s="8" t="b">
        <v>0</v>
      </c>
    </row>
    <row r="2562" spans="1:35" ht="31.2">
      <c r="A2562" s="8">
        <v>-73.959151300000002</v>
      </c>
      <c r="B2562" s="8">
        <v>40.783597810000003</v>
      </c>
      <c r="C2562" s="8" t="s">
        <v>6344</v>
      </c>
      <c r="D2562" s="8" t="s">
        <v>2570</v>
      </c>
      <c r="E2562" s="8" t="b">
        <f t="shared" si="39"/>
        <v>0</v>
      </c>
      <c r="F2562" s="8" t="str" cm="1">
        <f t="array" ref="F2562">_xlfn._xlws.FILTER(E2562:E5760, C2562:C5760= "6D-PM-1020-01", "No Squirrels Found")</f>
        <v>No Squirrels Found</v>
      </c>
      <c r="G2562" s="8" t="s">
        <v>34</v>
      </c>
      <c r="H2562" s="10">
        <v>10072018</v>
      </c>
      <c r="I2562" s="10">
        <v>1</v>
      </c>
      <c r="J2562" s="8" t="s">
        <v>39</v>
      </c>
      <c r="K2562" s="8" t="s">
        <v>40</v>
      </c>
      <c r="M2562" s="8" t="s">
        <v>55</v>
      </c>
      <c r="O2562" s="8" t="s">
        <v>50</v>
      </c>
      <c r="P2562" s="8">
        <v>15</v>
      </c>
      <c r="R2562" s="8" t="b">
        <v>0</v>
      </c>
      <c r="S2562" s="8" t="b">
        <v>0</v>
      </c>
      <c r="T2562" s="8" t="b">
        <v>1</v>
      </c>
      <c r="U2562" s="8" t="b">
        <v>0</v>
      </c>
      <c r="V2562" s="8" t="b">
        <v>0</v>
      </c>
      <c r="X2562" s="8" t="b">
        <v>0</v>
      </c>
      <c r="Y2562" s="8" t="b">
        <v>0</v>
      </c>
      <c r="Z2562" s="8" t="b">
        <v>0</v>
      </c>
      <c r="AA2562" s="8" t="b">
        <v>0</v>
      </c>
      <c r="AB2562" s="8" t="b">
        <v>0</v>
      </c>
      <c r="AC2562" s="8" t="b">
        <v>0</v>
      </c>
      <c r="AD2562" s="8" t="b">
        <v>0</v>
      </c>
      <c r="AE2562" s="8" t="b">
        <v>0</v>
      </c>
      <c r="AG2562" s="11" t="b" cm="1">
        <f t="array" ref="AG2562">IF(OR(Y2562:AA2562="TRUE", AE2562="true"), "Threatened")</f>
        <v>0</v>
      </c>
      <c r="AH2562" s="11" t="s">
        <v>6345</v>
      </c>
      <c r="AI2562" s="8" t="b">
        <v>1</v>
      </c>
    </row>
    <row r="2563" spans="1:35" ht="31.2">
      <c r="A2563" s="8">
        <v>-73.961564370000005</v>
      </c>
      <c r="B2563" s="8">
        <v>40.794467840000003</v>
      </c>
      <c r="C2563" s="8" t="s">
        <v>6346</v>
      </c>
      <c r="D2563" s="8" t="s">
        <v>434</v>
      </c>
      <c r="E2563" s="8" t="b">
        <f t="shared" ref="E2563:E2626" si="40">OR(D2563 = "05D", D2563 = "07D", D2563 = "06C", D2563 = "06E")</f>
        <v>0</v>
      </c>
      <c r="F2563" s="8" t="str" cm="1">
        <f t="array" ref="F2563">_xlfn._xlws.FILTER(E2563:E5761, C2563:C5761= "6D-PM-1020-01", "No Squirrels Found")</f>
        <v>No Squirrels Found</v>
      </c>
      <c r="G2563" s="8" t="s">
        <v>34</v>
      </c>
      <c r="H2563" s="10">
        <v>10132018</v>
      </c>
      <c r="I2563" s="10">
        <v>6</v>
      </c>
      <c r="J2563" s="8" t="s">
        <v>39</v>
      </c>
      <c r="K2563" s="8" t="s">
        <v>40</v>
      </c>
      <c r="L2563" s="8" t="s">
        <v>41</v>
      </c>
      <c r="M2563" s="8" t="s">
        <v>42</v>
      </c>
      <c r="O2563" s="8" t="s">
        <v>43</v>
      </c>
      <c r="P2563" s="8" t="b">
        <v>0</v>
      </c>
      <c r="R2563" s="8" t="b">
        <v>1</v>
      </c>
      <c r="S2563" s="8" t="b">
        <v>0</v>
      </c>
      <c r="T2563" s="8" t="b">
        <v>1</v>
      </c>
      <c r="U2563" s="8" t="b">
        <v>0</v>
      </c>
      <c r="V2563" s="8" t="b">
        <v>0</v>
      </c>
      <c r="W2563" s="11" t="s">
        <v>6347</v>
      </c>
      <c r="X2563" s="8" t="b">
        <v>1</v>
      </c>
      <c r="Y2563" s="8" t="b">
        <v>0</v>
      </c>
      <c r="Z2563" s="8" t="b">
        <v>0</v>
      </c>
      <c r="AA2563" s="8" t="b">
        <v>0</v>
      </c>
      <c r="AB2563" s="8" t="b">
        <v>0</v>
      </c>
      <c r="AC2563" s="8" t="b">
        <v>0</v>
      </c>
      <c r="AD2563" s="8" t="b">
        <v>0</v>
      </c>
      <c r="AE2563" s="8" t="b">
        <v>1</v>
      </c>
      <c r="AF2563" s="11" t="s">
        <v>1294</v>
      </c>
      <c r="AG2563" s="11" t="b" cm="1">
        <f t="array" ref="AG2563">IF(OR(Y2563:AA2563="TRUE", AE2563="true"), "Threatened")</f>
        <v>0</v>
      </c>
      <c r="AH2563" s="11" t="s">
        <v>6348</v>
      </c>
      <c r="AI2563" s="8" t="b">
        <v>0</v>
      </c>
    </row>
    <row r="2564" spans="1:35" ht="31.2">
      <c r="A2564" s="8">
        <v>-73.966453659999999</v>
      </c>
      <c r="B2564" s="8">
        <v>40.78276941</v>
      </c>
      <c r="C2564" s="8" t="s">
        <v>6349</v>
      </c>
      <c r="D2564" s="8" t="s">
        <v>469</v>
      </c>
      <c r="E2564" s="8" t="b">
        <f t="shared" si="40"/>
        <v>0</v>
      </c>
      <c r="F2564" s="8" t="str" cm="1">
        <f t="array" ref="F2564">_xlfn._xlws.FILTER(E2564:E5762, C2564:C5762= "6D-PM-1020-01", "No Squirrels Found")</f>
        <v>No Squirrels Found</v>
      </c>
      <c r="G2564" s="8" t="s">
        <v>48</v>
      </c>
      <c r="H2564" s="10">
        <v>10082018</v>
      </c>
      <c r="I2564" s="10">
        <v>3</v>
      </c>
      <c r="J2564" s="8" t="s">
        <v>39</v>
      </c>
      <c r="K2564" s="8" t="s">
        <v>40</v>
      </c>
      <c r="M2564" s="8" t="s">
        <v>55</v>
      </c>
      <c r="O2564" s="8" t="s">
        <v>43</v>
      </c>
      <c r="P2564" s="8" t="b">
        <v>0</v>
      </c>
      <c r="R2564" s="8" t="b">
        <v>0</v>
      </c>
      <c r="S2564" s="8" t="b">
        <v>0</v>
      </c>
      <c r="T2564" s="8" t="b">
        <v>0</v>
      </c>
      <c r="U2564" s="8" t="b">
        <v>0</v>
      </c>
      <c r="V2564" s="8" t="b">
        <v>1</v>
      </c>
      <c r="X2564" s="8" t="b">
        <v>0</v>
      </c>
      <c r="Y2564" s="8" t="b">
        <v>0</v>
      </c>
      <c r="Z2564" s="8" t="b">
        <v>0</v>
      </c>
      <c r="AA2564" s="8" t="b">
        <v>0</v>
      </c>
      <c r="AB2564" s="8" t="b">
        <v>0</v>
      </c>
      <c r="AC2564" s="8" t="b">
        <v>0</v>
      </c>
      <c r="AD2564" s="8" t="b">
        <v>1</v>
      </c>
      <c r="AE2564" s="8" t="b">
        <v>0</v>
      </c>
      <c r="AG2564" s="11" t="b" cm="1">
        <f t="array" ref="AG2564">IF(OR(Y2564:AA2564="TRUE", AE2564="true"), "Threatened")</f>
        <v>0</v>
      </c>
      <c r="AH2564" s="11" t="s">
        <v>6350</v>
      </c>
      <c r="AI2564" s="8" t="b">
        <v>1</v>
      </c>
    </row>
    <row r="2565" spans="1:35" ht="31.2">
      <c r="A2565" s="8">
        <v>-73.970996229999997</v>
      </c>
      <c r="B2565" s="8">
        <v>40.771554070000001</v>
      </c>
      <c r="C2565" s="8" t="s">
        <v>6351</v>
      </c>
      <c r="D2565" s="8" t="s">
        <v>581</v>
      </c>
      <c r="E2565" s="8" t="b">
        <f t="shared" si="40"/>
        <v>0</v>
      </c>
      <c r="F2565" s="8" t="str" cm="1">
        <f t="array" ref="F2565">_xlfn._xlws.FILTER(E2565:E5763, C2565:C5763= "6D-PM-1020-01", "No Squirrels Found")</f>
        <v>No Squirrels Found</v>
      </c>
      <c r="G2565" s="8" t="s">
        <v>34</v>
      </c>
      <c r="H2565" s="10">
        <v>10072018</v>
      </c>
      <c r="I2565" s="10">
        <v>2</v>
      </c>
      <c r="J2565" s="8" t="s">
        <v>39</v>
      </c>
      <c r="K2565" s="8" t="s">
        <v>40</v>
      </c>
      <c r="L2565" s="8" t="s">
        <v>41</v>
      </c>
      <c r="M2565" s="8" t="s">
        <v>42</v>
      </c>
      <c r="O2565" s="8" t="s">
        <v>43</v>
      </c>
      <c r="P2565" s="8" t="b">
        <v>0</v>
      </c>
      <c r="R2565" s="8" t="b">
        <v>1</v>
      </c>
      <c r="S2565" s="8" t="b">
        <v>0</v>
      </c>
      <c r="T2565" s="8" t="b">
        <v>0</v>
      </c>
      <c r="U2565" s="8" t="b">
        <v>0</v>
      </c>
      <c r="V2565" s="8" t="b">
        <v>1</v>
      </c>
      <c r="X2565" s="8" t="b">
        <v>0</v>
      </c>
      <c r="Y2565" s="8" t="b">
        <v>0</v>
      </c>
      <c r="Z2565" s="8" t="b">
        <v>0</v>
      </c>
      <c r="AA2565" s="8" t="b">
        <v>0</v>
      </c>
      <c r="AB2565" s="8" t="b">
        <v>0</v>
      </c>
      <c r="AC2565" s="8" t="b">
        <v>0</v>
      </c>
      <c r="AD2565" s="8" t="b">
        <v>0</v>
      </c>
      <c r="AE2565" s="8" t="b">
        <v>0</v>
      </c>
      <c r="AG2565" s="11" t="b" cm="1">
        <f t="array" ref="AG2565">IF(OR(Y2565:AA2565="TRUE", AE2565="true"), "Threatened")</f>
        <v>0</v>
      </c>
      <c r="AH2565" s="11" t="s">
        <v>6352</v>
      </c>
      <c r="AI2565" s="8" t="b">
        <v>1</v>
      </c>
    </row>
    <row r="2566" spans="1:35" ht="31.2">
      <c r="A2566" s="8">
        <v>-73.970864030000001</v>
      </c>
      <c r="B2566" s="8">
        <v>40.77817211</v>
      </c>
      <c r="C2566" s="8" t="s">
        <v>6353</v>
      </c>
      <c r="D2566" s="8" t="s">
        <v>1631</v>
      </c>
      <c r="E2566" s="8" t="b">
        <f t="shared" si="40"/>
        <v>0</v>
      </c>
      <c r="F2566" s="8" t="str" cm="1">
        <f t="array" ref="F2566">_xlfn._xlws.FILTER(E2566:E5764, C2566:C5764= "6D-PM-1020-01", "No Squirrels Found")</f>
        <v>No Squirrels Found</v>
      </c>
      <c r="G2566" s="8" t="s">
        <v>48</v>
      </c>
      <c r="H2566" s="10">
        <v>10102018</v>
      </c>
      <c r="I2566" s="10">
        <v>1</v>
      </c>
      <c r="J2566" s="8" t="s">
        <v>39</v>
      </c>
      <c r="K2566" s="8" t="s">
        <v>40</v>
      </c>
      <c r="M2566" s="8" t="s">
        <v>55</v>
      </c>
      <c r="O2566" s="8" t="s">
        <v>43</v>
      </c>
      <c r="P2566" s="8" t="b">
        <v>0</v>
      </c>
      <c r="R2566" s="8" t="b">
        <v>0</v>
      </c>
      <c r="S2566" s="8" t="b">
        <v>0</v>
      </c>
      <c r="T2566" s="8" t="b">
        <v>0</v>
      </c>
      <c r="U2566" s="8" t="b">
        <v>0</v>
      </c>
      <c r="V2566" s="8" t="b">
        <v>1</v>
      </c>
      <c r="X2566" s="8" t="b">
        <v>0</v>
      </c>
      <c r="Y2566" s="8" t="b">
        <v>0</v>
      </c>
      <c r="Z2566" s="8" t="b">
        <v>0</v>
      </c>
      <c r="AA2566" s="8" t="b">
        <v>0</v>
      </c>
      <c r="AB2566" s="8" t="b">
        <v>0</v>
      </c>
      <c r="AC2566" s="8" t="b">
        <v>0</v>
      </c>
      <c r="AD2566" s="8" t="b">
        <v>0</v>
      </c>
      <c r="AE2566" s="8" t="b">
        <v>1</v>
      </c>
      <c r="AG2566" s="11" t="b" cm="1">
        <f t="array" ref="AG2566">IF(OR(Y2566:AA2566="TRUE", AE2566="true"), "Threatened")</f>
        <v>0</v>
      </c>
      <c r="AH2566" s="11" t="s">
        <v>6354</v>
      </c>
      <c r="AI2566" s="8" t="b">
        <v>1</v>
      </c>
    </row>
    <row r="2567" spans="1:35" ht="31.2">
      <c r="A2567" s="8">
        <v>-73.974422669999996</v>
      </c>
      <c r="B2567" s="8">
        <v>40.775562569999998</v>
      </c>
      <c r="C2567" s="8" t="s">
        <v>6355</v>
      </c>
      <c r="D2567" s="8" t="s">
        <v>268</v>
      </c>
      <c r="E2567" s="8" t="b">
        <f t="shared" si="40"/>
        <v>0</v>
      </c>
      <c r="F2567" s="8" t="str" cm="1">
        <f t="array" ref="F2567">_xlfn._xlws.FILTER(E2567:E5765, C2567:C5765= "6D-PM-1020-01", "No Squirrels Found")</f>
        <v>No Squirrels Found</v>
      </c>
      <c r="G2567" s="8" t="s">
        <v>48</v>
      </c>
      <c r="H2567" s="10">
        <v>10072018</v>
      </c>
      <c r="I2567" s="10">
        <v>4</v>
      </c>
      <c r="J2567" s="8" t="s">
        <v>39</v>
      </c>
      <c r="K2567" s="8" t="s">
        <v>40</v>
      </c>
      <c r="M2567" s="8" t="s">
        <v>55</v>
      </c>
      <c r="O2567" s="8" t="s">
        <v>43</v>
      </c>
      <c r="P2567" s="8" t="b">
        <v>0</v>
      </c>
      <c r="R2567" s="8" t="b">
        <v>0</v>
      </c>
      <c r="S2567" s="8" t="b">
        <v>0</v>
      </c>
      <c r="T2567" s="8" t="b">
        <v>0</v>
      </c>
      <c r="U2567" s="8" t="b">
        <v>1</v>
      </c>
      <c r="V2567" s="8" t="b">
        <v>1</v>
      </c>
      <c r="X2567" s="8" t="b">
        <v>0</v>
      </c>
      <c r="Y2567" s="8" t="b">
        <v>0</v>
      </c>
      <c r="Z2567" s="8" t="b">
        <v>0</v>
      </c>
      <c r="AA2567" s="8" t="b">
        <v>0</v>
      </c>
      <c r="AB2567" s="8" t="b">
        <v>0</v>
      </c>
      <c r="AC2567" s="8" t="b">
        <v>0</v>
      </c>
      <c r="AD2567" s="8" t="b">
        <v>0</v>
      </c>
      <c r="AE2567" s="8" t="b">
        <v>0</v>
      </c>
      <c r="AG2567" s="11" t="b" cm="1">
        <f t="array" ref="AG2567">IF(OR(Y2567:AA2567="TRUE", AE2567="true"), "Threatened")</f>
        <v>0</v>
      </c>
      <c r="AH2567" s="11" t="s">
        <v>6356</v>
      </c>
      <c r="AI2567" s="8" t="b">
        <v>1</v>
      </c>
    </row>
    <row r="2568" spans="1:35" ht="31.2">
      <c r="A2568" s="8">
        <v>-73.969024180000005</v>
      </c>
      <c r="B2568" s="8">
        <v>40.783796760000001</v>
      </c>
      <c r="C2568" s="8" t="s">
        <v>6357</v>
      </c>
      <c r="D2568" s="8" t="s">
        <v>1415</v>
      </c>
      <c r="E2568" s="8" t="b">
        <f t="shared" si="40"/>
        <v>0</v>
      </c>
      <c r="F2568" s="8" t="str" cm="1">
        <f t="array" ref="F2568">_xlfn._xlws.FILTER(E2568:E5766, C2568:C5766= "6D-PM-1020-01", "No Squirrels Found")</f>
        <v>No Squirrels Found</v>
      </c>
      <c r="G2568" s="8" t="s">
        <v>48</v>
      </c>
      <c r="H2568" s="10">
        <v>10192018</v>
      </c>
      <c r="I2568" s="10">
        <v>7</v>
      </c>
      <c r="J2568" s="8" t="s">
        <v>39</v>
      </c>
      <c r="K2568" s="8" t="s">
        <v>40</v>
      </c>
      <c r="M2568" s="8" t="s">
        <v>55</v>
      </c>
      <c r="O2568" s="8" t="s">
        <v>43</v>
      </c>
      <c r="P2568" s="8" t="b">
        <v>0</v>
      </c>
      <c r="R2568" s="8" t="b">
        <v>0</v>
      </c>
      <c r="S2568" s="8" t="b">
        <v>0</v>
      </c>
      <c r="T2568" s="8" t="b">
        <v>0</v>
      </c>
      <c r="U2568" s="8" t="b">
        <v>0</v>
      </c>
      <c r="V2568" s="8" t="b">
        <v>1</v>
      </c>
      <c r="X2568" s="8" t="b">
        <v>0</v>
      </c>
      <c r="Y2568" s="8" t="b">
        <v>0</v>
      </c>
      <c r="Z2568" s="8" t="b">
        <v>0</v>
      </c>
      <c r="AA2568" s="8" t="b">
        <v>0</v>
      </c>
      <c r="AB2568" s="8" t="b">
        <v>0</v>
      </c>
      <c r="AC2568" s="8" t="b">
        <v>0</v>
      </c>
      <c r="AD2568" s="8" t="b">
        <v>1</v>
      </c>
      <c r="AE2568" s="8" t="b">
        <v>0</v>
      </c>
      <c r="AG2568" s="11" t="b" cm="1">
        <f t="array" ref="AG2568">IF(OR(Y2568:AA2568="TRUE", AE2568="true"), "Threatened")</f>
        <v>0</v>
      </c>
      <c r="AH2568" s="11" t="s">
        <v>6358</v>
      </c>
      <c r="AI2568" s="8" t="b">
        <v>1</v>
      </c>
    </row>
    <row r="2569" spans="1:35" ht="31.2">
      <c r="A2569" s="8">
        <v>-73.977903909999995</v>
      </c>
      <c r="B2569" s="8">
        <v>40.767531310000003</v>
      </c>
      <c r="C2569" s="8" t="s">
        <v>6359</v>
      </c>
      <c r="D2569" s="8" t="s">
        <v>768</v>
      </c>
      <c r="E2569" s="8" t="b">
        <f t="shared" si="40"/>
        <v>0</v>
      </c>
      <c r="F2569" s="8" t="str" cm="1">
        <f t="array" ref="F2569">_xlfn._xlws.FILTER(E2569:E5767, C2569:C5767= "6D-PM-1020-01", "No Squirrels Found")</f>
        <v>No Squirrels Found</v>
      </c>
      <c r="G2569" s="8" t="s">
        <v>34</v>
      </c>
      <c r="H2569" s="10">
        <v>10122018</v>
      </c>
      <c r="I2569" s="10">
        <v>1</v>
      </c>
      <c r="J2569" s="8" t="s">
        <v>39</v>
      </c>
      <c r="K2569" s="8" t="s">
        <v>40</v>
      </c>
      <c r="L2569" s="8" t="s">
        <v>117</v>
      </c>
      <c r="M2569" s="8" t="s">
        <v>118</v>
      </c>
      <c r="O2569" s="8" t="s">
        <v>43</v>
      </c>
      <c r="P2569" s="8" t="b">
        <v>0</v>
      </c>
      <c r="R2569" s="8" t="b">
        <v>0</v>
      </c>
      <c r="S2569" s="8" t="b">
        <v>0</v>
      </c>
      <c r="T2569" s="8" t="b">
        <v>0</v>
      </c>
      <c r="U2569" s="8" t="b">
        <v>0</v>
      </c>
      <c r="V2569" s="8" t="b">
        <v>1</v>
      </c>
      <c r="X2569" s="8" t="b">
        <v>0</v>
      </c>
      <c r="Y2569" s="8" t="b">
        <v>0</v>
      </c>
      <c r="Z2569" s="8" t="b">
        <v>0</v>
      </c>
      <c r="AA2569" s="8" t="b">
        <v>0</v>
      </c>
      <c r="AB2569" s="8" t="b">
        <v>0</v>
      </c>
      <c r="AC2569" s="8" t="b">
        <v>0</v>
      </c>
      <c r="AD2569" s="8" t="b">
        <v>1</v>
      </c>
      <c r="AE2569" s="8" t="b">
        <v>0</v>
      </c>
      <c r="AG2569" s="11" t="b" cm="1">
        <f t="array" ref="AG2569">IF(OR(Y2569:AA2569="TRUE", AE2569="true"), "Threatened")</f>
        <v>0</v>
      </c>
      <c r="AH2569" s="11" t="s">
        <v>6360</v>
      </c>
      <c r="AI2569" s="8" t="b">
        <v>1</v>
      </c>
    </row>
    <row r="2570" spans="1:35" ht="31.2">
      <c r="A2570" s="8">
        <v>-73.955966369999999</v>
      </c>
      <c r="B2570" s="8">
        <v>40.794582830000003</v>
      </c>
      <c r="C2570" s="8" t="s">
        <v>6361</v>
      </c>
      <c r="D2570" s="8" t="s">
        <v>33</v>
      </c>
      <c r="E2570" s="8" t="b">
        <f t="shared" si="40"/>
        <v>0</v>
      </c>
      <c r="F2570" s="8" t="str" cm="1">
        <f t="array" ref="F2570">_xlfn._xlws.FILTER(E2570:E5768, C2570:C5768= "6D-PM-1020-01", "No Squirrels Found")</f>
        <v>No Squirrels Found</v>
      </c>
      <c r="G2570" s="8" t="s">
        <v>48</v>
      </c>
      <c r="H2570" s="10">
        <v>10102018</v>
      </c>
      <c r="I2570" s="10">
        <v>1</v>
      </c>
      <c r="J2570" s="8" t="s">
        <v>39</v>
      </c>
      <c r="K2570" s="8" t="s">
        <v>40</v>
      </c>
      <c r="L2570" s="8" t="s">
        <v>41</v>
      </c>
      <c r="M2570" s="8" t="s">
        <v>42</v>
      </c>
      <c r="O2570" s="8" t="s">
        <v>50</v>
      </c>
      <c r="P2570" s="8">
        <v>4</v>
      </c>
      <c r="R2570" s="8" t="b">
        <v>0</v>
      </c>
      <c r="S2570" s="8" t="b">
        <v>0</v>
      </c>
      <c r="T2570" s="8" t="b">
        <v>1</v>
      </c>
      <c r="U2570" s="8" t="b">
        <v>0</v>
      </c>
      <c r="V2570" s="8" t="b">
        <v>0</v>
      </c>
      <c r="X2570" s="8" t="b">
        <v>0</v>
      </c>
      <c r="Y2570" s="8" t="b">
        <v>0</v>
      </c>
      <c r="Z2570" s="8" t="b">
        <v>0</v>
      </c>
      <c r="AA2570" s="8" t="b">
        <v>1</v>
      </c>
      <c r="AB2570" s="8" t="b">
        <v>0</v>
      </c>
      <c r="AC2570" s="8" t="b">
        <v>0</v>
      </c>
      <c r="AD2570" s="8" t="b">
        <v>1</v>
      </c>
      <c r="AE2570" s="8" t="b">
        <v>0</v>
      </c>
      <c r="AG2570" s="11" t="b" cm="1">
        <f t="array" ref="AG2570">IF(OR(Y2570:AA2570="TRUE", AE2570="true"), "Threatened")</f>
        <v>0</v>
      </c>
      <c r="AH2570" s="11" t="s">
        <v>6362</v>
      </c>
      <c r="AI2570" s="8" t="b">
        <v>1</v>
      </c>
    </row>
    <row r="2571" spans="1:35" ht="31.2">
      <c r="A2571" s="8">
        <v>-73.972106420000003</v>
      </c>
      <c r="B2571" s="8">
        <v>40.766705379999998</v>
      </c>
      <c r="C2571" s="8" t="s">
        <v>6363</v>
      </c>
      <c r="D2571" s="8" t="s">
        <v>988</v>
      </c>
      <c r="E2571" s="8" t="b">
        <f t="shared" si="40"/>
        <v>0</v>
      </c>
      <c r="F2571" s="8" t="str" cm="1">
        <f t="array" ref="F2571">_xlfn._xlws.FILTER(E2571:E5769, C2571:C5769= "6D-PM-1020-01", "No Squirrels Found")</f>
        <v>No Squirrels Found</v>
      </c>
      <c r="G2571" s="8" t="s">
        <v>48</v>
      </c>
      <c r="H2571" s="10">
        <v>10102018</v>
      </c>
      <c r="I2571" s="10">
        <v>1</v>
      </c>
      <c r="J2571" s="8" t="s">
        <v>39</v>
      </c>
      <c r="K2571" s="8" t="s">
        <v>40</v>
      </c>
      <c r="M2571" s="8" t="s">
        <v>55</v>
      </c>
      <c r="O2571" s="8" t="s">
        <v>43</v>
      </c>
      <c r="P2571" s="8" t="b">
        <v>0</v>
      </c>
      <c r="R2571" s="8" t="b">
        <v>1</v>
      </c>
      <c r="S2571" s="8" t="b">
        <v>0</v>
      </c>
      <c r="T2571" s="8" t="b">
        <v>0</v>
      </c>
      <c r="U2571" s="8" t="b">
        <v>0</v>
      </c>
      <c r="V2571" s="8" t="b">
        <v>0</v>
      </c>
      <c r="X2571" s="8" t="b">
        <v>0</v>
      </c>
      <c r="Y2571" s="8" t="b">
        <v>0</v>
      </c>
      <c r="Z2571" s="8" t="b">
        <v>0</v>
      </c>
      <c r="AA2571" s="8" t="b">
        <v>0</v>
      </c>
      <c r="AB2571" s="8" t="b">
        <v>0</v>
      </c>
      <c r="AC2571" s="8" t="b">
        <v>0</v>
      </c>
      <c r="AD2571" s="8" t="b">
        <v>1</v>
      </c>
      <c r="AE2571" s="8" t="b">
        <v>0</v>
      </c>
      <c r="AG2571" s="11" t="b" cm="1">
        <f t="array" ref="AG2571">IF(OR(Y2571:AA2571="TRUE", AE2571="true"), "Threatened")</f>
        <v>0</v>
      </c>
      <c r="AH2571" s="11" t="s">
        <v>6364</v>
      </c>
      <c r="AI2571" s="8" t="b">
        <v>1</v>
      </c>
    </row>
    <row r="2572" spans="1:35" ht="31.2">
      <c r="A2572" s="8">
        <v>-73.969546820000005</v>
      </c>
      <c r="B2572" s="8">
        <v>40.782114210000003</v>
      </c>
      <c r="C2572" s="8" t="s">
        <v>6365</v>
      </c>
      <c r="D2572" s="8" t="s">
        <v>102</v>
      </c>
      <c r="E2572" s="8" t="b">
        <f t="shared" si="40"/>
        <v>0</v>
      </c>
      <c r="F2572" s="8" t="str" cm="1">
        <f t="array" ref="F2572">_xlfn._xlws.FILTER(E2572:E5770, C2572:C5770= "6D-PM-1020-01", "No Squirrels Found")</f>
        <v>No Squirrels Found</v>
      </c>
      <c r="G2572" s="8" t="s">
        <v>34</v>
      </c>
      <c r="H2572" s="10">
        <v>10132018</v>
      </c>
      <c r="I2572" s="10">
        <v>3</v>
      </c>
      <c r="J2572" s="8" t="s">
        <v>39</v>
      </c>
      <c r="K2572" s="8" t="s">
        <v>40</v>
      </c>
      <c r="L2572" s="8" t="s">
        <v>84</v>
      </c>
      <c r="M2572" s="8" t="s">
        <v>103</v>
      </c>
      <c r="O2572" s="8" t="s">
        <v>43</v>
      </c>
      <c r="P2572" s="8" t="b">
        <v>0</v>
      </c>
      <c r="R2572" s="8" t="b">
        <v>0</v>
      </c>
      <c r="S2572" s="8" t="b">
        <v>0</v>
      </c>
      <c r="T2572" s="8" t="b">
        <v>0</v>
      </c>
      <c r="U2572" s="8" t="b">
        <v>0</v>
      </c>
      <c r="V2572" s="8" t="b">
        <v>1</v>
      </c>
      <c r="X2572" s="8" t="b">
        <v>0</v>
      </c>
      <c r="Y2572" s="8" t="b">
        <v>0</v>
      </c>
      <c r="Z2572" s="8" t="b">
        <v>0</v>
      </c>
      <c r="AA2572" s="8" t="b">
        <v>0</v>
      </c>
      <c r="AB2572" s="8" t="b">
        <v>0</v>
      </c>
      <c r="AC2572" s="8" t="b">
        <v>0</v>
      </c>
      <c r="AD2572" s="8" t="b">
        <v>0</v>
      </c>
      <c r="AE2572" s="8" t="b">
        <v>0</v>
      </c>
      <c r="AG2572" s="11" t="b" cm="1">
        <f t="array" ref="AG2572">IF(OR(Y2572:AA2572="TRUE", AE2572="true"), "Threatened")</f>
        <v>0</v>
      </c>
      <c r="AH2572" s="11" t="s">
        <v>6366</v>
      </c>
      <c r="AI2572" s="8" t="b">
        <v>1</v>
      </c>
    </row>
    <row r="2573" spans="1:35" ht="31.2">
      <c r="A2573" s="8">
        <v>-73.971990180000006</v>
      </c>
      <c r="B2573" s="8">
        <v>40.772052600000002</v>
      </c>
      <c r="C2573" s="8" t="s">
        <v>6367</v>
      </c>
      <c r="D2573" s="8" t="s">
        <v>527</v>
      </c>
      <c r="E2573" s="8" t="b">
        <f t="shared" si="40"/>
        <v>0</v>
      </c>
      <c r="F2573" s="8" t="str" cm="1">
        <f t="array" ref="F2573">_xlfn._xlws.FILTER(E2573:E5771, C2573:C5771= "6D-PM-1020-01", "No Squirrels Found")</f>
        <v>No Squirrels Found</v>
      </c>
      <c r="G2573" s="8" t="s">
        <v>34</v>
      </c>
      <c r="H2573" s="10">
        <v>10142018</v>
      </c>
      <c r="I2573" s="10">
        <v>7</v>
      </c>
      <c r="J2573" s="8" t="s">
        <v>39</v>
      </c>
      <c r="K2573" s="8" t="s">
        <v>192</v>
      </c>
      <c r="M2573" s="8" t="s">
        <v>193</v>
      </c>
      <c r="N2573" s="11" t="s">
        <v>6368</v>
      </c>
      <c r="O2573" s="8" t="s">
        <v>43</v>
      </c>
      <c r="P2573" s="8" t="b">
        <v>0</v>
      </c>
      <c r="R2573" s="8" t="b">
        <v>0</v>
      </c>
      <c r="S2573" s="8" t="b">
        <v>0</v>
      </c>
      <c r="T2573" s="8" t="b">
        <v>0</v>
      </c>
      <c r="U2573" s="8" t="b">
        <v>0</v>
      </c>
      <c r="V2573" s="8" t="b">
        <v>1</v>
      </c>
      <c r="X2573" s="8" t="b">
        <v>0</v>
      </c>
      <c r="Y2573" s="8" t="b">
        <v>0</v>
      </c>
      <c r="Z2573" s="8" t="b">
        <v>0</v>
      </c>
      <c r="AA2573" s="8" t="b">
        <v>0</v>
      </c>
      <c r="AB2573" s="8" t="b">
        <v>0</v>
      </c>
      <c r="AC2573" s="8" t="b">
        <v>0</v>
      </c>
      <c r="AD2573" s="8" t="b">
        <v>1</v>
      </c>
      <c r="AE2573" s="8" t="b">
        <v>0</v>
      </c>
      <c r="AG2573" s="11" t="b" cm="1">
        <f t="array" ref="AG2573">IF(OR(Y2573:AA2573="TRUE", AE2573="true"), "Threatened")</f>
        <v>0</v>
      </c>
      <c r="AH2573" s="11" t="s">
        <v>6369</v>
      </c>
      <c r="AI2573" s="8" t="b">
        <v>1</v>
      </c>
    </row>
    <row r="2574" spans="1:35" ht="31.2">
      <c r="A2574" s="8">
        <v>-73.981014909999999</v>
      </c>
      <c r="B2574" s="8">
        <v>40.768392540000001</v>
      </c>
      <c r="C2574" s="8" t="s">
        <v>6370</v>
      </c>
      <c r="D2574" s="8" t="s">
        <v>1909</v>
      </c>
      <c r="E2574" s="8" t="b">
        <f t="shared" si="40"/>
        <v>0</v>
      </c>
      <c r="F2574" s="8" t="str" cm="1">
        <f t="array" ref="F2574">_xlfn._xlws.FILTER(E2574:E5772, C2574:C5772= "6D-PM-1020-01", "No Squirrels Found")</f>
        <v>No Squirrels Found</v>
      </c>
      <c r="G2574" s="8" t="s">
        <v>48</v>
      </c>
      <c r="H2574" s="10">
        <v>10102018</v>
      </c>
      <c r="I2574" s="10">
        <v>3</v>
      </c>
      <c r="J2574" s="8" t="s">
        <v>39</v>
      </c>
      <c r="K2574" s="8" t="s">
        <v>40</v>
      </c>
      <c r="L2574" s="8" t="s">
        <v>41</v>
      </c>
      <c r="M2574" s="8" t="s">
        <v>42</v>
      </c>
      <c r="O2574" s="8" t="s">
        <v>50</v>
      </c>
      <c r="P2574" s="8">
        <v>1</v>
      </c>
      <c r="Q2574" s="8" t="s">
        <v>6371</v>
      </c>
      <c r="R2574" s="8" t="b">
        <v>0</v>
      </c>
      <c r="S2574" s="8" t="b">
        <v>0</v>
      </c>
      <c r="T2574" s="8" t="b">
        <v>0</v>
      </c>
      <c r="U2574" s="8" t="b">
        <v>1</v>
      </c>
      <c r="V2574" s="8" t="b">
        <v>0</v>
      </c>
      <c r="X2574" s="8" t="b">
        <v>0</v>
      </c>
      <c r="Y2574" s="8" t="b">
        <v>0</v>
      </c>
      <c r="Z2574" s="8" t="b">
        <v>0</v>
      </c>
      <c r="AA2574" s="8" t="b">
        <v>0</v>
      </c>
      <c r="AB2574" s="8" t="b">
        <v>0</v>
      </c>
      <c r="AC2574" s="8" t="b">
        <v>0</v>
      </c>
      <c r="AD2574" s="8" t="b">
        <v>1</v>
      </c>
      <c r="AE2574" s="8" t="b">
        <v>0</v>
      </c>
      <c r="AG2574" s="11" t="b" cm="1">
        <f t="array" ref="AG2574">IF(OR(Y2574:AA2574="TRUE", AE2574="true"), "Threatened")</f>
        <v>0</v>
      </c>
      <c r="AH2574" s="11" t="s">
        <v>6372</v>
      </c>
      <c r="AI2574" s="8" t="b">
        <v>1</v>
      </c>
    </row>
    <row r="2575" spans="1:35" ht="31.2">
      <c r="A2575" s="8">
        <v>-73.978199540000006</v>
      </c>
      <c r="B2575" s="8">
        <v>40.769566060000002</v>
      </c>
      <c r="C2575" s="8" t="s">
        <v>6373</v>
      </c>
      <c r="D2575" s="8" t="s">
        <v>1586</v>
      </c>
      <c r="E2575" s="8" t="b">
        <f t="shared" si="40"/>
        <v>0</v>
      </c>
      <c r="F2575" s="8" t="str" cm="1">
        <f t="array" ref="F2575">_xlfn._xlws.FILTER(E2575:E5773, C2575:C5773= "6D-PM-1020-01", "No Squirrels Found")</f>
        <v>No Squirrels Found</v>
      </c>
      <c r="G2575" s="8" t="s">
        <v>34</v>
      </c>
      <c r="H2575" s="10">
        <v>10102018</v>
      </c>
      <c r="I2575" s="10">
        <v>17</v>
      </c>
      <c r="J2575" s="8" t="s">
        <v>39</v>
      </c>
      <c r="K2575" s="8" t="s">
        <v>41</v>
      </c>
      <c r="L2575" s="8" t="s">
        <v>135</v>
      </c>
      <c r="M2575" s="8" t="s">
        <v>136</v>
      </c>
      <c r="O2575" s="8" t="s">
        <v>43</v>
      </c>
      <c r="P2575" s="8" t="b">
        <v>0</v>
      </c>
      <c r="Q2575" s="8" t="s">
        <v>6374</v>
      </c>
      <c r="R2575" s="8" t="b">
        <v>1</v>
      </c>
      <c r="S2575" s="8" t="b">
        <v>0</v>
      </c>
      <c r="T2575" s="8" t="b">
        <v>1</v>
      </c>
      <c r="U2575" s="8" t="b">
        <v>0</v>
      </c>
      <c r="V2575" s="8" t="b">
        <v>1</v>
      </c>
      <c r="X2575" s="8" t="b">
        <v>0</v>
      </c>
      <c r="Y2575" s="8" t="b">
        <v>0</v>
      </c>
      <c r="Z2575" s="8" t="b">
        <v>0</v>
      </c>
      <c r="AA2575" s="8" t="b">
        <v>0</v>
      </c>
      <c r="AB2575" s="8" t="b">
        <v>1</v>
      </c>
      <c r="AC2575" s="8" t="b">
        <v>0</v>
      </c>
      <c r="AD2575" s="8" t="b">
        <v>0</v>
      </c>
      <c r="AE2575" s="8" t="b">
        <v>1</v>
      </c>
      <c r="AG2575" s="11" t="b" cm="1">
        <f t="array" ref="AG2575">IF(OR(Y2575:AA2575="TRUE", AE2575="true"), "Threatened")</f>
        <v>0</v>
      </c>
      <c r="AH2575" s="11" t="s">
        <v>6375</v>
      </c>
      <c r="AI2575" s="8" t="b">
        <v>1</v>
      </c>
    </row>
    <row r="2576" spans="1:35" ht="31.2">
      <c r="A2576" s="8">
        <v>-73.973575339999996</v>
      </c>
      <c r="B2576" s="8">
        <v>40.768706139999999</v>
      </c>
      <c r="C2576" s="8" t="s">
        <v>6376</v>
      </c>
      <c r="D2576" s="8" t="s">
        <v>1668</v>
      </c>
      <c r="E2576" s="8" t="b">
        <f t="shared" si="40"/>
        <v>0</v>
      </c>
      <c r="F2576" s="8" t="str" cm="1">
        <f t="array" ref="F2576">_xlfn._xlws.FILTER(E2576:E5774, C2576:C5774= "6D-PM-1020-01", "No Squirrels Found")</f>
        <v>No Squirrels Found</v>
      </c>
      <c r="G2576" s="8" t="s">
        <v>34</v>
      </c>
      <c r="H2576" s="10">
        <v>10102018</v>
      </c>
      <c r="I2576" s="10">
        <v>4</v>
      </c>
      <c r="J2576" s="8" t="s">
        <v>39</v>
      </c>
      <c r="K2576" s="8" t="s">
        <v>40</v>
      </c>
      <c r="L2576" s="8" t="s">
        <v>41</v>
      </c>
      <c r="M2576" s="8" t="s">
        <v>42</v>
      </c>
      <c r="O2576" s="8" t="s">
        <v>43</v>
      </c>
      <c r="P2576" s="8" t="b">
        <v>0</v>
      </c>
      <c r="R2576" s="8" t="b">
        <v>0</v>
      </c>
      <c r="S2576" s="8" t="b">
        <v>0</v>
      </c>
      <c r="T2576" s="8" t="b">
        <v>0</v>
      </c>
      <c r="U2576" s="8" t="b">
        <v>1</v>
      </c>
      <c r="V2576" s="8" t="b">
        <v>0</v>
      </c>
      <c r="X2576" s="8" t="b">
        <v>0</v>
      </c>
      <c r="Y2576" s="8" t="b">
        <v>0</v>
      </c>
      <c r="Z2576" s="8" t="b">
        <v>0</v>
      </c>
      <c r="AA2576" s="8" t="b">
        <v>0</v>
      </c>
      <c r="AB2576" s="8" t="b">
        <v>0</v>
      </c>
      <c r="AC2576" s="8" t="b">
        <v>1</v>
      </c>
      <c r="AD2576" s="8" t="b">
        <v>0</v>
      </c>
      <c r="AE2576" s="8" t="b">
        <v>0</v>
      </c>
      <c r="AG2576" s="11" t="b" cm="1">
        <f t="array" ref="AG2576">IF(OR(Y2576:AA2576="TRUE", AE2576="true"), "Threatened")</f>
        <v>0</v>
      </c>
      <c r="AH2576" s="11" t="s">
        <v>6377</v>
      </c>
      <c r="AI2576" s="8" t="b">
        <v>1</v>
      </c>
    </row>
    <row r="2577" spans="1:35" ht="31.2">
      <c r="A2577" s="8">
        <v>-73.975162589999996</v>
      </c>
      <c r="B2577" s="8">
        <v>40.767102340000001</v>
      </c>
      <c r="C2577" s="8" t="s">
        <v>6378</v>
      </c>
      <c r="D2577" s="8" t="s">
        <v>1706</v>
      </c>
      <c r="E2577" s="8" t="b">
        <f t="shared" si="40"/>
        <v>0</v>
      </c>
      <c r="F2577" s="8" t="str" cm="1">
        <f t="array" ref="F2577">_xlfn._xlws.FILTER(E2577:E5775, C2577:C5775= "6D-PM-1020-01", "No Squirrels Found")</f>
        <v>No Squirrels Found</v>
      </c>
      <c r="G2577" s="8" t="s">
        <v>48</v>
      </c>
      <c r="H2577" s="10">
        <v>10062018</v>
      </c>
      <c r="I2577" s="10">
        <v>2</v>
      </c>
      <c r="J2577" s="8" t="s">
        <v>39</v>
      </c>
      <c r="K2577" s="8" t="s">
        <v>40</v>
      </c>
      <c r="L2577" s="8" t="s">
        <v>84</v>
      </c>
      <c r="M2577" s="8" t="s">
        <v>103</v>
      </c>
      <c r="O2577" s="8" t="s">
        <v>43</v>
      </c>
      <c r="P2577" s="8" t="b">
        <v>0</v>
      </c>
      <c r="R2577" s="8" t="b">
        <v>0</v>
      </c>
      <c r="S2577" s="8" t="b">
        <v>0</v>
      </c>
      <c r="T2577" s="8" t="b">
        <v>0</v>
      </c>
      <c r="U2577" s="8" t="b">
        <v>0</v>
      </c>
      <c r="V2577" s="8" t="b">
        <v>1</v>
      </c>
      <c r="X2577" s="8" t="b">
        <v>0</v>
      </c>
      <c r="Y2577" s="8" t="b">
        <v>0</v>
      </c>
      <c r="Z2577" s="8" t="b">
        <v>0</v>
      </c>
      <c r="AA2577" s="8" t="b">
        <v>0</v>
      </c>
      <c r="AB2577" s="8" t="b">
        <v>1</v>
      </c>
      <c r="AC2577" s="8" t="b">
        <v>0</v>
      </c>
      <c r="AD2577" s="8" t="b">
        <v>1</v>
      </c>
      <c r="AE2577" s="8" t="b">
        <v>0</v>
      </c>
      <c r="AG2577" s="11" t="b" cm="1">
        <f t="array" ref="AG2577">IF(OR(Y2577:AA2577="TRUE", AE2577="true"), "Threatened")</f>
        <v>0</v>
      </c>
      <c r="AH2577" s="11" t="s">
        <v>6379</v>
      </c>
      <c r="AI2577" s="8" t="b">
        <v>1</v>
      </c>
    </row>
    <row r="2578" spans="1:35" ht="31.2">
      <c r="A2578" s="8">
        <v>-73.959704849999994</v>
      </c>
      <c r="B2578" s="8">
        <v>40.795584650000002</v>
      </c>
      <c r="C2578" s="8" t="s">
        <v>6380</v>
      </c>
      <c r="D2578" s="8" t="s">
        <v>972</v>
      </c>
      <c r="E2578" s="8" t="b">
        <f t="shared" si="40"/>
        <v>0</v>
      </c>
      <c r="F2578" s="8" t="str" cm="1">
        <f t="array" ref="F2578">_xlfn._xlws.FILTER(E2578:E5776, C2578:C5776= "6D-PM-1020-01", "No Squirrels Found")</f>
        <v>No Squirrels Found</v>
      </c>
      <c r="G2578" s="8" t="s">
        <v>48</v>
      </c>
      <c r="H2578" s="10">
        <v>10182018</v>
      </c>
      <c r="I2578" s="10">
        <v>6</v>
      </c>
      <c r="J2578" s="8" t="s">
        <v>39</v>
      </c>
      <c r="K2578" s="8" t="s">
        <v>40</v>
      </c>
      <c r="M2578" s="8" t="s">
        <v>55</v>
      </c>
      <c r="O2578" s="8" t="s">
        <v>50</v>
      </c>
      <c r="P2578" s="8">
        <v>1</v>
      </c>
      <c r="R2578" s="8" t="b">
        <v>0</v>
      </c>
      <c r="S2578" s="8" t="b">
        <v>0</v>
      </c>
      <c r="T2578" s="8" t="b">
        <v>1</v>
      </c>
      <c r="U2578" s="8" t="b">
        <v>0</v>
      </c>
      <c r="V2578" s="8" t="b">
        <v>0</v>
      </c>
      <c r="X2578" s="8" t="b">
        <v>0</v>
      </c>
      <c r="Y2578" s="8" t="b">
        <v>1</v>
      </c>
      <c r="Z2578" s="8" t="b">
        <v>0</v>
      </c>
      <c r="AA2578" s="8" t="b">
        <v>0</v>
      </c>
      <c r="AB2578" s="8" t="b">
        <v>0</v>
      </c>
      <c r="AC2578" s="8" t="b">
        <v>0</v>
      </c>
      <c r="AD2578" s="8" t="b">
        <v>0</v>
      </c>
      <c r="AE2578" s="8" t="b">
        <v>1</v>
      </c>
      <c r="AG2578" s="11" t="b" cm="1">
        <f t="array" ref="AG2578">IF(OR(Y2578:AA2578="TRUE", AE2578="true"), "Threatened")</f>
        <v>0</v>
      </c>
      <c r="AH2578" s="11" t="s">
        <v>6381</v>
      </c>
      <c r="AI2578" s="8" t="b">
        <v>1</v>
      </c>
    </row>
    <row r="2579" spans="1:35" ht="31.2">
      <c r="A2579" s="8">
        <v>-73.976538700000006</v>
      </c>
      <c r="B2579" s="8">
        <v>40.766371970000002</v>
      </c>
      <c r="C2579" s="8" t="s">
        <v>6382</v>
      </c>
      <c r="D2579" s="8" t="s">
        <v>1862</v>
      </c>
      <c r="E2579" s="8" t="b">
        <f t="shared" si="40"/>
        <v>0</v>
      </c>
      <c r="F2579" s="8" t="str" cm="1">
        <f t="array" ref="F2579">_xlfn._xlws.FILTER(E2579:E5777, C2579:C5777= "6D-PM-1020-01", "No Squirrels Found")</f>
        <v>No Squirrels Found</v>
      </c>
      <c r="G2579" s="8" t="s">
        <v>48</v>
      </c>
      <c r="H2579" s="10">
        <v>10102018</v>
      </c>
      <c r="I2579" s="10">
        <v>2</v>
      </c>
      <c r="J2579" s="8" t="s">
        <v>39</v>
      </c>
      <c r="K2579" s="8" t="s">
        <v>40</v>
      </c>
      <c r="M2579" s="8" t="s">
        <v>55</v>
      </c>
      <c r="O2579" s="8" t="s">
        <v>43</v>
      </c>
      <c r="P2579" s="8" t="b">
        <v>0</v>
      </c>
      <c r="R2579" s="8" t="b">
        <v>0</v>
      </c>
      <c r="S2579" s="8" t="b">
        <v>0</v>
      </c>
      <c r="T2579" s="8" t="b">
        <v>0</v>
      </c>
      <c r="U2579" s="8" t="b">
        <v>1</v>
      </c>
      <c r="V2579" s="8" t="b">
        <v>0</v>
      </c>
      <c r="X2579" s="8" t="b">
        <v>0</v>
      </c>
      <c r="Y2579" s="8" t="b">
        <v>0</v>
      </c>
      <c r="Z2579" s="8" t="b">
        <v>0</v>
      </c>
      <c r="AA2579" s="8" t="b">
        <v>0</v>
      </c>
      <c r="AB2579" s="8" t="b">
        <v>0</v>
      </c>
      <c r="AC2579" s="8" t="b">
        <v>0</v>
      </c>
      <c r="AD2579" s="8" t="b">
        <v>1</v>
      </c>
      <c r="AE2579" s="8" t="b">
        <v>0</v>
      </c>
      <c r="AG2579" s="11" t="b" cm="1">
        <f t="array" ref="AG2579">IF(OR(Y2579:AA2579="TRUE", AE2579="true"), "Threatened")</f>
        <v>0</v>
      </c>
      <c r="AH2579" s="11" t="s">
        <v>6383</v>
      </c>
      <c r="AI2579" s="8" t="b">
        <v>1</v>
      </c>
    </row>
    <row r="2580" spans="1:35" ht="31.2">
      <c r="A2580" s="8">
        <v>-73.969813049999999</v>
      </c>
      <c r="B2580" s="8">
        <v>40.774500060000001</v>
      </c>
      <c r="C2580" s="8" t="s">
        <v>6384</v>
      </c>
      <c r="D2580" s="8" t="s">
        <v>655</v>
      </c>
      <c r="E2580" s="8" t="b">
        <f t="shared" si="40"/>
        <v>0</v>
      </c>
      <c r="F2580" s="8" t="str" cm="1">
        <f t="array" ref="F2580">_xlfn._xlws.FILTER(E2580:E5778, C2580:C5778= "6D-PM-1020-01", "No Squirrels Found")</f>
        <v>No Squirrels Found</v>
      </c>
      <c r="G2580" s="8" t="s">
        <v>34</v>
      </c>
      <c r="H2580" s="10">
        <v>10072018</v>
      </c>
      <c r="I2580" s="10">
        <v>15</v>
      </c>
      <c r="J2580" s="8" t="s">
        <v>39</v>
      </c>
      <c r="K2580" s="8" t="s">
        <v>40</v>
      </c>
      <c r="L2580" s="8" t="s">
        <v>117</v>
      </c>
      <c r="M2580" s="8" t="s">
        <v>118</v>
      </c>
      <c r="O2580" s="8" t="s">
        <v>43</v>
      </c>
      <c r="P2580" s="8" t="b">
        <v>0</v>
      </c>
      <c r="R2580" s="8" t="b">
        <v>0</v>
      </c>
      <c r="S2580" s="8" t="b">
        <v>0</v>
      </c>
      <c r="T2580" s="8" t="b">
        <v>0</v>
      </c>
      <c r="U2580" s="8" t="b">
        <v>1</v>
      </c>
      <c r="V2580" s="8" t="b">
        <v>1</v>
      </c>
      <c r="X2580" s="8" t="b">
        <v>0</v>
      </c>
      <c r="Y2580" s="8" t="b">
        <v>0</v>
      </c>
      <c r="Z2580" s="8" t="b">
        <v>0</v>
      </c>
      <c r="AA2580" s="8" t="b">
        <v>0</v>
      </c>
      <c r="AB2580" s="8" t="b">
        <v>0</v>
      </c>
      <c r="AC2580" s="8" t="b">
        <v>0</v>
      </c>
      <c r="AD2580" s="8" t="b">
        <v>1</v>
      </c>
      <c r="AE2580" s="8" t="b">
        <v>0</v>
      </c>
      <c r="AG2580" s="11" t="b" cm="1">
        <f t="array" ref="AG2580">IF(OR(Y2580:AA2580="TRUE", AE2580="true"), "Threatened")</f>
        <v>0</v>
      </c>
      <c r="AH2580" s="11" t="s">
        <v>6385</v>
      </c>
      <c r="AI2580" s="8" t="b">
        <v>1</v>
      </c>
    </row>
    <row r="2581" spans="1:35" ht="31.2">
      <c r="A2581" s="8">
        <v>-73.970795749999994</v>
      </c>
      <c r="B2581" s="8">
        <v>40.770472720000001</v>
      </c>
      <c r="C2581" s="8" t="s">
        <v>6386</v>
      </c>
      <c r="D2581" s="8" t="s">
        <v>199</v>
      </c>
      <c r="E2581" s="8" t="b">
        <f t="shared" si="40"/>
        <v>0</v>
      </c>
      <c r="F2581" s="8" t="str" cm="1">
        <f t="array" ref="F2581">_xlfn._xlws.FILTER(E2581:E5779, C2581:C5779= "6D-PM-1020-01", "No Squirrels Found")</f>
        <v>No Squirrels Found</v>
      </c>
      <c r="G2581" s="8" t="s">
        <v>34</v>
      </c>
      <c r="H2581" s="10">
        <v>10142018</v>
      </c>
      <c r="I2581" s="10">
        <v>1</v>
      </c>
      <c r="J2581" s="8" t="s">
        <v>39</v>
      </c>
      <c r="K2581" s="8" t="s">
        <v>40</v>
      </c>
      <c r="L2581" s="8" t="s">
        <v>41</v>
      </c>
      <c r="M2581" s="8" t="s">
        <v>42</v>
      </c>
      <c r="O2581" s="8" t="s">
        <v>43</v>
      </c>
      <c r="P2581" s="8" t="b">
        <v>0</v>
      </c>
      <c r="R2581" s="8" t="b">
        <v>0</v>
      </c>
      <c r="S2581" s="8" t="b">
        <v>0</v>
      </c>
      <c r="T2581" s="8" t="b">
        <v>0</v>
      </c>
      <c r="U2581" s="8" t="b">
        <v>1</v>
      </c>
      <c r="V2581" s="8" t="b">
        <v>0</v>
      </c>
      <c r="X2581" s="8" t="b">
        <v>0</v>
      </c>
      <c r="Y2581" s="8" t="b">
        <v>0</v>
      </c>
      <c r="Z2581" s="8" t="b">
        <v>0</v>
      </c>
      <c r="AA2581" s="8" t="b">
        <v>0</v>
      </c>
      <c r="AB2581" s="8" t="b">
        <v>0</v>
      </c>
      <c r="AC2581" s="8" t="b">
        <v>0</v>
      </c>
      <c r="AD2581" s="8" t="b">
        <v>1</v>
      </c>
      <c r="AE2581" s="8" t="b">
        <v>0</v>
      </c>
      <c r="AG2581" s="11" t="b" cm="1">
        <f t="array" ref="AG2581">IF(OR(Y2581:AA2581="TRUE", AE2581="true"), "Threatened")</f>
        <v>0</v>
      </c>
      <c r="AH2581" s="11" t="s">
        <v>6387</v>
      </c>
      <c r="AI2581" s="8" t="b">
        <v>1</v>
      </c>
    </row>
    <row r="2582" spans="1:35" ht="31.2">
      <c r="A2582" s="8">
        <v>-73.96359812</v>
      </c>
      <c r="B2582" s="8">
        <v>40.792816950000002</v>
      </c>
      <c r="C2582" s="8" t="s">
        <v>6388</v>
      </c>
      <c r="D2582" s="8" t="s">
        <v>125</v>
      </c>
      <c r="E2582" s="8" t="b">
        <f t="shared" si="40"/>
        <v>0</v>
      </c>
      <c r="F2582" s="8" t="str" cm="1">
        <f t="array" ref="F2582">_xlfn._xlws.FILTER(E2582:E5780, C2582:C5780= "6D-PM-1020-01", "No Squirrels Found")</f>
        <v>No Squirrels Found</v>
      </c>
      <c r="G2582" s="8" t="s">
        <v>48</v>
      </c>
      <c r="H2582" s="10">
        <v>10182018</v>
      </c>
      <c r="I2582" s="10">
        <v>5</v>
      </c>
      <c r="J2582" s="8" t="s">
        <v>39</v>
      </c>
      <c r="K2582" s="8" t="s">
        <v>40</v>
      </c>
      <c r="M2582" s="8" t="s">
        <v>55</v>
      </c>
      <c r="O2582" s="8" t="s">
        <v>43</v>
      </c>
      <c r="P2582" s="8" t="b">
        <v>0</v>
      </c>
      <c r="R2582" s="8" t="b">
        <v>1</v>
      </c>
      <c r="S2582" s="8" t="b">
        <v>0</v>
      </c>
      <c r="T2582" s="8" t="b">
        <v>0</v>
      </c>
      <c r="U2582" s="8" t="b">
        <v>0</v>
      </c>
      <c r="V2582" s="8" t="b">
        <v>0</v>
      </c>
      <c r="X2582" s="8" t="b">
        <v>0</v>
      </c>
      <c r="Y2582" s="8" t="b">
        <v>0</v>
      </c>
      <c r="Z2582" s="8" t="b">
        <v>0</v>
      </c>
      <c r="AA2582" s="8" t="b">
        <v>0</v>
      </c>
      <c r="AB2582" s="8" t="b">
        <v>0</v>
      </c>
      <c r="AC2582" s="8" t="b">
        <v>0</v>
      </c>
      <c r="AD2582" s="8" t="b">
        <v>1</v>
      </c>
      <c r="AE2582" s="8" t="b">
        <v>0</v>
      </c>
      <c r="AG2582" s="11" t="b" cm="1">
        <f t="array" ref="AG2582">IF(OR(Y2582:AA2582="TRUE", AE2582="true"), "Threatened")</f>
        <v>0</v>
      </c>
      <c r="AH2582" s="11" t="s">
        <v>6389</v>
      </c>
      <c r="AI2582" s="8" t="b">
        <v>1</v>
      </c>
    </row>
    <row r="2583" spans="1:35" ht="31.2">
      <c r="A2583" s="8">
        <v>-73.966500409999995</v>
      </c>
      <c r="B2583" s="8">
        <v>40.780565639999999</v>
      </c>
      <c r="C2583" s="8" t="s">
        <v>6390</v>
      </c>
      <c r="D2583" s="8" t="s">
        <v>2083</v>
      </c>
      <c r="E2583" s="8" t="b">
        <f t="shared" si="40"/>
        <v>0</v>
      </c>
      <c r="F2583" s="8" t="str" cm="1">
        <f t="array" ref="F2583">_xlfn._xlws.FILTER(E2583:E5781, C2583:C5781= "6D-PM-1020-01", "No Squirrels Found")</f>
        <v>No Squirrels Found</v>
      </c>
      <c r="G2583" s="8" t="s">
        <v>34</v>
      </c>
      <c r="H2583" s="10">
        <v>10182018</v>
      </c>
      <c r="I2583" s="10">
        <v>5</v>
      </c>
      <c r="K2583" s="8" t="s">
        <v>40</v>
      </c>
      <c r="L2583" s="8" t="s">
        <v>84</v>
      </c>
      <c r="M2583" s="8" t="s">
        <v>103</v>
      </c>
      <c r="O2583" s="8" t="s">
        <v>43</v>
      </c>
      <c r="P2583" s="8" t="b">
        <v>0</v>
      </c>
      <c r="R2583" s="8" t="b">
        <v>0</v>
      </c>
      <c r="S2583" s="8" t="b">
        <v>0</v>
      </c>
      <c r="T2583" s="8" t="b">
        <v>0</v>
      </c>
      <c r="U2583" s="8" t="b">
        <v>0</v>
      </c>
      <c r="V2583" s="8" t="b">
        <v>1</v>
      </c>
      <c r="X2583" s="8" t="b">
        <v>0</v>
      </c>
      <c r="Y2583" s="8" t="b">
        <v>0</v>
      </c>
      <c r="Z2583" s="8" t="b">
        <v>0</v>
      </c>
      <c r="AA2583" s="8" t="b">
        <v>0</v>
      </c>
      <c r="AB2583" s="8" t="b">
        <v>0</v>
      </c>
      <c r="AC2583" s="8" t="b">
        <v>0</v>
      </c>
      <c r="AD2583" s="8" t="b">
        <v>1</v>
      </c>
      <c r="AE2583" s="8" t="b">
        <v>0</v>
      </c>
      <c r="AG2583" s="11" t="b" cm="1">
        <f t="array" ref="AG2583">IF(OR(Y2583:AA2583="TRUE", AE2583="true"), "Threatened")</f>
        <v>0</v>
      </c>
      <c r="AH2583" s="11" t="s">
        <v>6391</v>
      </c>
      <c r="AI2583" s="8" t="b">
        <v>1</v>
      </c>
    </row>
    <row r="2584" spans="1:35" ht="62.4">
      <c r="A2584" s="8">
        <v>-73.976969310000001</v>
      </c>
      <c r="B2584" s="8">
        <v>40.768439000000001</v>
      </c>
      <c r="C2584" s="8" t="s">
        <v>6392</v>
      </c>
      <c r="D2584" s="8" t="s">
        <v>512</v>
      </c>
      <c r="E2584" s="8" t="b">
        <f t="shared" si="40"/>
        <v>0</v>
      </c>
      <c r="F2584" s="8" t="str" cm="1">
        <f t="array" ref="F2584">_xlfn._xlws.FILTER(E2584:E5782, C2584:C5782= "6D-PM-1020-01", "No Squirrels Found")</f>
        <v>No Squirrels Found</v>
      </c>
      <c r="G2584" s="8" t="s">
        <v>48</v>
      </c>
      <c r="H2584" s="10">
        <v>10062018</v>
      </c>
      <c r="I2584" s="10">
        <v>1</v>
      </c>
      <c r="J2584" s="8" t="s">
        <v>39</v>
      </c>
      <c r="K2584" s="8" t="s">
        <v>41</v>
      </c>
      <c r="L2584" s="8" t="s">
        <v>40</v>
      </c>
      <c r="M2584" s="8" t="s">
        <v>110</v>
      </c>
      <c r="O2584" s="8" t="s">
        <v>50</v>
      </c>
      <c r="P2584" s="8">
        <v>9</v>
      </c>
      <c r="Q2584" s="8" t="s">
        <v>5489</v>
      </c>
      <c r="R2584" s="8" t="b">
        <v>1</v>
      </c>
      <c r="S2584" s="8" t="b">
        <v>0</v>
      </c>
      <c r="T2584" s="8" t="b">
        <v>1</v>
      </c>
      <c r="U2584" s="8" t="b">
        <v>1</v>
      </c>
      <c r="V2584" s="8" t="b">
        <v>1</v>
      </c>
      <c r="W2584" s="11" t="s">
        <v>6393</v>
      </c>
      <c r="X2584" s="8" t="b">
        <v>0</v>
      </c>
      <c r="Y2584" s="8" t="b">
        <v>0</v>
      </c>
      <c r="Z2584" s="8" t="b">
        <v>0</v>
      </c>
      <c r="AA2584" s="8" t="b">
        <v>1</v>
      </c>
      <c r="AB2584" s="8" t="b">
        <v>0</v>
      </c>
      <c r="AC2584" s="8" t="b">
        <v>0</v>
      </c>
      <c r="AD2584" s="8" t="b">
        <v>0</v>
      </c>
      <c r="AE2584" s="8" t="b">
        <v>1</v>
      </c>
      <c r="AF2584" s="11" t="s">
        <v>6394</v>
      </c>
      <c r="AG2584" s="11" t="b" cm="1">
        <f t="array" ref="AG2584">IF(OR(Y2584:AA2584="TRUE", AE2584="true"), "Threatened")</f>
        <v>0</v>
      </c>
      <c r="AH2584" s="11" t="s">
        <v>6395</v>
      </c>
      <c r="AI2584" s="8" t="b">
        <v>0</v>
      </c>
    </row>
    <row r="2585" spans="1:35" ht="31.2">
      <c r="A2585" s="8">
        <v>-73.972718749999999</v>
      </c>
      <c r="B2585" s="8">
        <v>40.766959569999997</v>
      </c>
      <c r="C2585" s="8" t="s">
        <v>6396</v>
      </c>
      <c r="D2585" s="8" t="s">
        <v>1902</v>
      </c>
      <c r="E2585" s="8" t="b">
        <f t="shared" si="40"/>
        <v>0</v>
      </c>
      <c r="F2585" s="8" t="str" cm="1">
        <f t="array" ref="F2585">_xlfn._xlws.FILTER(E2585:E5783, C2585:C5783= "6D-PM-1020-01", "No Squirrels Found")</f>
        <v>No Squirrels Found</v>
      </c>
      <c r="G2585" s="8" t="s">
        <v>48</v>
      </c>
      <c r="H2585" s="10">
        <v>10082018</v>
      </c>
      <c r="I2585" s="10">
        <v>2</v>
      </c>
      <c r="J2585" s="8" t="s">
        <v>39</v>
      </c>
      <c r="K2585" s="8" t="s">
        <v>40</v>
      </c>
      <c r="M2585" s="8" t="s">
        <v>55</v>
      </c>
      <c r="O2585" s="8" t="s">
        <v>50</v>
      </c>
      <c r="R2585" s="8" t="b">
        <v>0</v>
      </c>
      <c r="S2585" s="8" t="b">
        <v>0</v>
      </c>
      <c r="T2585" s="8" t="b">
        <v>1</v>
      </c>
      <c r="U2585" s="8" t="b">
        <v>0</v>
      </c>
      <c r="V2585" s="8" t="b">
        <v>0</v>
      </c>
      <c r="X2585" s="8" t="b">
        <v>0</v>
      </c>
      <c r="Y2585" s="8" t="b">
        <v>0</v>
      </c>
      <c r="Z2585" s="8" t="b">
        <v>0</v>
      </c>
      <c r="AA2585" s="8" t="b">
        <v>0</v>
      </c>
      <c r="AB2585" s="8" t="b">
        <v>0</v>
      </c>
      <c r="AC2585" s="8" t="b">
        <v>0</v>
      </c>
      <c r="AD2585" s="8" t="b">
        <v>1</v>
      </c>
      <c r="AE2585" s="8" t="b">
        <v>0</v>
      </c>
      <c r="AG2585" s="11" t="b" cm="1">
        <f t="array" ref="AG2585">IF(OR(Y2585:AA2585="TRUE", AE2585="true"), "Threatened")</f>
        <v>0</v>
      </c>
      <c r="AH2585" s="11" t="s">
        <v>6397</v>
      </c>
      <c r="AI2585" s="8" t="b">
        <v>1</v>
      </c>
    </row>
    <row r="2586" spans="1:35" ht="31.2">
      <c r="A2586" s="8">
        <v>-73.977172679999995</v>
      </c>
      <c r="B2586" s="8">
        <v>40.77323208</v>
      </c>
      <c r="C2586" s="8" t="s">
        <v>6398</v>
      </c>
      <c r="D2586" s="8" t="s">
        <v>753</v>
      </c>
      <c r="E2586" s="8" t="b">
        <f t="shared" si="40"/>
        <v>0</v>
      </c>
      <c r="F2586" s="8" t="str" cm="1">
        <f t="array" ref="F2586">_xlfn._xlws.FILTER(E2586:E5784, C2586:C5784= "6D-PM-1020-01", "No Squirrels Found")</f>
        <v>No Squirrels Found</v>
      </c>
      <c r="G2586" s="8" t="s">
        <v>48</v>
      </c>
      <c r="H2586" s="10">
        <v>10132018</v>
      </c>
      <c r="I2586" s="10">
        <v>1</v>
      </c>
      <c r="J2586" s="8" t="s">
        <v>39</v>
      </c>
      <c r="K2586" s="8" t="s">
        <v>40</v>
      </c>
      <c r="L2586" s="8" t="s">
        <v>41</v>
      </c>
      <c r="M2586" s="8" t="s">
        <v>42</v>
      </c>
      <c r="O2586" s="8" t="s">
        <v>43</v>
      </c>
      <c r="P2586" s="8" t="b">
        <v>0</v>
      </c>
      <c r="Q2586" s="8" t="s">
        <v>6399</v>
      </c>
      <c r="R2586" s="8" t="b">
        <v>1</v>
      </c>
      <c r="S2586" s="8" t="b">
        <v>0</v>
      </c>
      <c r="T2586" s="8" t="b">
        <v>0</v>
      </c>
      <c r="U2586" s="8" t="b">
        <v>0</v>
      </c>
      <c r="V2586" s="8" t="b">
        <v>1</v>
      </c>
      <c r="X2586" s="8" t="b">
        <v>0</v>
      </c>
      <c r="Y2586" s="8" t="b">
        <v>0</v>
      </c>
      <c r="Z2586" s="8" t="b">
        <v>0</v>
      </c>
      <c r="AA2586" s="8" t="b">
        <v>0</v>
      </c>
      <c r="AB2586" s="8" t="b">
        <v>0</v>
      </c>
      <c r="AC2586" s="8" t="b">
        <v>0</v>
      </c>
      <c r="AD2586" s="8" t="b">
        <v>0</v>
      </c>
      <c r="AE2586" s="8" t="b">
        <v>1</v>
      </c>
      <c r="AG2586" s="11" t="b" cm="1">
        <f t="array" ref="AG2586">IF(OR(Y2586:AA2586="TRUE", AE2586="true"), "Threatened")</f>
        <v>0</v>
      </c>
      <c r="AH2586" s="11" t="s">
        <v>6400</v>
      </c>
      <c r="AI2586" s="8" t="b">
        <v>1</v>
      </c>
    </row>
    <row r="2587" spans="1:35" ht="31.2">
      <c r="A2587" s="8">
        <v>-73.975296529999994</v>
      </c>
      <c r="B2587" s="8">
        <v>40.775253859999999</v>
      </c>
      <c r="C2587" s="8" t="s">
        <v>6401</v>
      </c>
      <c r="D2587" s="8" t="s">
        <v>472</v>
      </c>
      <c r="E2587" s="8" t="b">
        <f t="shared" si="40"/>
        <v>0</v>
      </c>
      <c r="F2587" s="8" t="str" cm="1">
        <f t="array" ref="F2587">_xlfn._xlws.FILTER(E2587:E5785, C2587:C5785= "6D-PM-1020-01", "No Squirrels Found")</f>
        <v>No Squirrels Found</v>
      </c>
      <c r="G2587" s="8" t="s">
        <v>48</v>
      </c>
      <c r="H2587" s="10">
        <v>10062018</v>
      </c>
      <c r="I2587" s="10">
        <v>3</v>
      </c>
      <c r="J2587" s="8" t="s">
        <v>39</v>
      </c>
      <c r="K2587" s="8" t="s">
        <v>40</v>
      </c>
      <c r="L2587" s="8" t="s">
        <v>41</v>
      </c>
      <c r="M2587" s="8" t="s">
        <v>42</v>
      </c>
      <c r="O2587" s="8" t="s">
        <v>50</v>
      </c>
      <c r="Q2587" s="8" t="s">
        <v>1087</v>
      </c>
      <c r="R2587" s="8" t="b">
        <v>0</v>
      </c>
      <c r="S2587" s="8" t="b">
        <v>0</v>
      </c>
      <c r="T2587" s="8" t="b">
        <v>1</v>
      </c>
      <c r="U2587" s="8" t="b">
        <v>0</v>
      </c>
      <c r="V2587" s="8" t="b">
        <v>0</v>
      </c>
      <c r="X2587" s="8" t="b">
        <v>0</v>
      </c>
      <c r="Y2587" s="8" t="b">
        <v>0</v>
      </c>
      <c r="Z2587" s="8" t="b">
        <v>0</v>
      </c>
      <c r="AA2587" s="8" t="b">
        <v>0</v>
      </c>
      <c r="AB2587" s="8" t="b">
        <v>1</v>
      </c>
      <c r="AC2587" s="8" t="b">
        <v>1</v>
      </c>
      <c r="AD2587" s="8" t="b">
        <v>0</v>
      </c>
      <c r="AE2587" s="8" t="b">
        <v>0</v>
      </c>
      <c r="AG2587" s="11" t="b" cm="1">
        <f t="array" ref="AG2587">IF(OR(Y2587:AA2587="TRUE", AE2587="true"), "Threatened")</f>
        <v>0</v>
      </c>
      <c r="AH2587" s="11" t="s">
        <v>6402</v>
      </c>
      <c r="AI2587" s="8" t="b">
        <v>1</v>
      </c>
    </row>
    <row r="2588" spans="1:35" ht="31.2">
      <c r="A2588" s="8">
        <v>-73.978997129999996</v>
      </c>
      <c r="B2588" s="8">
        <v>40.770702409999998</v>
      </c>
      <c r="C2588" s="8" t="s">
        <v>6403</v>
      </c>
      <c r="D2588" s="8" t="s">
        <v>342</v>
      </c>
      <c r="E2588" s="8" t="b">
        <f t="shared" si="40"/>
        <v>0</v>
      </c>
      <c r="F2588" s="8" t="str" cm="1">
        <f t="array" ref="F2588">_xlfn._xlws.FILTER(E2588:E5786, C2588:C5786= "6D-PM-1020-01", "No Squirrels Found")</f>
        <v>No Squirrels Found</v>
      </c>
      <c r="G2588" s="8" t="s">
        <v>34</v>
      </c>
      <c r="H2588" s="10">
        <v>10102018</v>
      </c>
      <c r="I2588" s="10">
        <v>4</v>
      </c>
      <c r="J2588" s="8" t="s">
        <v>39</v>
      </c>
      <c r="K2588" s="8" t="s">
        <v>41</v>
      </c>
      <c r="L2588" s="8" t="s">
        <v>84</v>
      </c>
      <c r="M2588" s="8" t="s">
        <v>85</v>
      </c>
      <c r="O2588" s="8" t="s">
        <v>43</v>
      </c>
      <c r="P2588" s="8" t="b">
        <v>0</v>
      </c>
      <c r="R2588" s="8" t="b">
        <v>0</v>
      </c>
      <c r="S2588" s="8" t="b">
        <v>0</v>
      </c>
      <c r="T2588" s="8" t="b">
        <v>0</v>
      </c>
      <c r="U2588" s="8" t="b">
        <v>1</v>
      </c>
      <c r="V2588" s="8" t="b">
        <v>1</v>
      </c>
      <c r="X2588" s="8" t="b">
        <v>0</v>
      </c>
      <c r="Y2588" s="8" t="b">
        <v>0</v>
      </c>
      <c r="Z2588" s="8" t="b">
        <v>0</v>
      </c>
      <c r="AA2588" s="8" t="b">
        <v>0</v>
      </c>
      <c r="AB2588" s="8" t="b">
        <v>1</v>
      </c>
      <c r="AC2588" s="8" t="b">
        <v>0</v>
      </c>
      <c r="AD2588" s="8" t="b">
        <v>0</v>
      </c>
      <c r="AE2588" s="8" t="b">
        <v>0</v>
      </c>
      <c r="AG2588" s="11" t="b" cm="1">
        <f t="array" ref="AG2588">IF(OR(Y2588:AA2588="TRUE", AE2588="true"), "Threatened")</f>
        <v>0</v>
      </c>
      <c r="AH2588" s="11" t="s">
        <v>6404</v>
      </c>
      <c r="AI2588" s="8" t="b">
        <v>1</v>
      </c>
    </row>
    <row r="2589" spans="1:35" ht="31.2">
      <c r="A2589" s="8">
        <v>-73.958100740000006</v>
      </c>
      <c r="B2589" s="8">
        <v>40.795940309999999</v>
      </c>
      <c r="C2589" s="8" t="s">
        <v>6405</v>
      </c>
      <c r="D2589" s="8" t="s">
        <v>191</v>
      </c>
      <c r="E2589" s="8" t="b">
        <f t="shared" si="40"/>
        <v>0</v>
      </c>
      <c r="F2589" s="8" t="str" cm="1">
        <f t="array" ref="F2589">_xlfn._xlws.FILTER(E2589:E5787, C2589:C5787= "6D-PM-1020-01", "No Squirrels Found")</f>
        <v>No Squirrels Found</v>
      </c>
      <c r="G2589" s="8" t="s">
        <v>48</v>
      </c>
      <c r="H2589" s="10">
        <v>10192018</v>
      </c>
      <c r="I2589" s="10">
        <v>6</v>
      </c>
      <c r="J2589" s="8" t="s">
        <v>39</v>
      </c>
      <c r="K2589" s="8" t="s">
        <v>40</v>
      </c>
      <c r="M2589" s="8" t="s">
        <v>55</v>
      </c>
      <c r="O2589" s="8" t="s">
        <v>50</v>
      </c>
      <c r="P2589" s="8">
        <v>23</v>
      </c>
      <c r="R2589" s="8" t="b">
        <v>0</v>
      </c>
      <c r="S2589" s="8" t="b">
        <v>0</v>
      </c>
      <c r="T2589" s="8" t="b">
        <v>1</v>
      </c>
      <c r="U2589" s="8" t="b">
        <v>0</v>
      </c>
      <c r="V2589" s="8" t="b">
        <v>0</v>
      </c>
      <c r="X2589" s="8" t="b">
        <v>1</v>
      </c>
      <c r="Y2589" s="8" t="b">
        <v>0</v>
      </c>
      <c r="Z2589" s="8" t="b">
        <v>0</v>
      </c>
      <c r="AA2589" s="8" t="b">
        <v>1</v>
      </c>
      <c r="AB2589" s="8" t="b">
        <v>0</v>
      </c>
      <c r="AC2589" s="8" t="b">
        <v>0</v>
      </c>
      <c r="AD2589" s="8" t="b">
        <v>1</v>
      </c>
      <c r="AE2589" s="8" t="b">
        <v>0</v>
      </c>
      <c r="AG2589" s="11" t="b" cm="1">
        <f t="array" ref="AG2589">IF(OR(Y2589:AA2589="TRUE", AE2589="true"), "Threatened")</f>
        <v>0</v>
      </c>
      <c r="AH2589" s="11" t="s">
        <v>6406</v>
      </c>
      <c r="AI2589" s="8" t="b">
        <v>1</v>
      </c>
    </row>
    <row r="2590" spans="1:35" ht="31.2">
      <c r="A2590" s="8">
        <v>-73.969416659999993</v>
      </c>
      <c r="B2590" s="8">
        <v>40.769778860000002</v>
      </c>
      <c r="C2590" s="8" t="s">
        <v>6407</v>
      </c>
      <c r="D2590" s="8" t="s">
        <v>1326</v>
      </c>
      <c r="E2590" s="8" t="b">
        <f t="shared" si="40"/>
        <v>0</v>
      </c>
      <c r="F2590" s="8" t="str" cm="1">
        <f t="array" ref="F2590">_xlfn._xlws.FILTER(E2590:E5788, C2590:C5788= "6D-PM-1020-01", "No Squirrels Found")</f>
        <v>No Squirrels Found</v>
      </c>
      <c r="G2590" s="8" t="s">
        <v>34</v>
      </c>
      <c r="H2590" s="10">
        <v>10132018</v>
      </c>
      <c r="I2590" s="10">
        <v>3</v>
      </c>
      <c r="J2590" s="8" t="s">
        <v>39</v>
      </c>
      <c r="K2590" s="8" t="s">
        <v>40</v>
      </c>
      <c r="L2590" s="8" t="s">
        <v>117</v>
      </c>
      <c r="M2590" s="8" t="s">
        <v>118</v>
      </c>
      <c r="O2590" s="8" t="s">
        <v>43</v>
      </c>
      <c r="P2590" s="8" t="b">
        <v>0</v>
      </c>
      <c r="R2590" s="8" t="b">
        <v>0</v>
      </c>
      <c r="S2590" s="8" t="b">
        <v>0</v>
      </c>
      <c r="T2590" s="8" t="b">
        <v>0</v>
      </c>
      <c r="U2590" s="8" t="b">
        <v>1</v>
      </c>
      <c r="V2590" s="8" t="b">
        <v>1</v>
      </c>
      <c r="X2590" s="8" t="b">
        <v>0</v>
      </c>
      <c r="Y2590" s="8" t="b">
        <v>0</v>
      </c>
      <c r="Z2590" s="8" t="b">
        <v>0</v>
      </c>
      <c r="AA2590" s="8" t="b">
        <v>0</v>
      </c>
      <c r="AB2590" s="8" t="b">
        <v>0</v>
      </c>
      <c r="AC2590" s="8" t="b">
        <v>0</v>
      </c>
      <c r="AD2590" s="8" t="b">
        <v>1</v>
      </c>
      <c r="AE2590" s="8" t="b">
        <v>0</v>
      </c>
      <c r="AG2590" s="11" t="b" cm="1">
        <f t="array" ref="AG2590">IF(OR(Y2590:AA2590="TRUE", AE2590="true"), "Threatened")</f>
        <v>0</v>
      </c>
      <c r="AH2590" s="11" t="s">
        <v>6408</v>
      </c>
      <c r="AI2590" s="8" t="b">
        <v>1</v>
      </c>
    </row>
    <row r="2591" spans="1:35" ht="31.2">
      <c r="A2591" s="8">
        <v>-73.956852479999995</v>
      </c>
      <c r="B2591" s="8">
        <v>40.797466499999999</v>
      </c>
      <c r="C2591" s="8" t="s">
        <v>6409</v>
      </c>
      <c r="D2591" s="8" t="s">
        <v>1248</v>
      </c>
      <c r="E2591" s="8" t="b">
        <f t="shared" si="40"/>
        <v>0</v>
      </c>
      <c r="F2591" s="8" t="str" cm="1">
        <f t="array" ref="F2591">_xlfn._xlws.FILTER(E2591:E5789, C2591:C5789= "6D-PM-1020-01", "No Squirrels Found")</f>
        <v>No Squirrels Found</v>
      </c>
      <c r="G2591" s="8" t="s">
        <v>34</v>
      </c>
      <c r="H2591" s="10">
        <v>10062018</v>
      </c>
      <c r="I2591" s="10">
        <v>6</v>
      </c>
      <c r="J2591" s="8" t="s">
        <v>54</v>
      </c>
      <c r="K2591" s="8" t="s">
        <v>40</v>
      </c>
      <c r="M2591" s="8" t="s">
        <v>55</v>
      </c>
      <c r="O2591" s="8" t="s">
        <v>43</v>
      </c>
      <c r="P2591" s="8" t="b">
        <v>0</v>
      </c>
      <c r="Q2591" s="8" t="s">
        <v>6410</v>
      </c>
      <c r="R2591" s="8" t="b">
        <v>0</v>
      </c>
      <c r="S2591" s="8" t="b">
        <v>0</v>
      </c>
      <c r="T2591" s="8" t="b">
        <v>0</v>
      </c>
      <c r="U2591" s="8" t="b">
        <v>0</v>
      </c>
      <c r="V2591" s="8" t="b">
        <v>1</v>
      </c>
      <c r="X2591" s="8" t="b">
        <v>0</v>
      </c>
      <c r="Y2591" s="8" t="b">
        <v>0</v>
      </c>
      <c r="Z2591" s="8" t="b">
        <v>0</v>
      </c>
      <c r="AA2591" s="8" t="b">
        <v>0</v>
      </c>
      <c r="AB2591" s="8" t="b">
        <v>0</v>
      </c>
      <c r="AC2591" s="8" t="b">
        <v>1</v>
      </c>
      <c r="AD2591" s="8" t="b">
        <v>0</v>
      </c>
      <c r="AE2591" s="8" t="b">
        <v>0</v>
      </c>
      <c r="AG2591" s="11" t="b" cm="1">
        <f t="array" ref="AG2591">IF(OR(Y2591:AA2591="TRUE", AE2591="true"), "Threatened")</f>
        <v>0</v>
      </c>
      <c r="AH2591" s="11" t="s">
        <v>6411</v>
      </c>
      <c r="AI2591" s="8" t="b">
        <v>1</v>
      </c>
    </row>
    <row r="2592" spans="1:35" ht="31.2">
      <c r="A2592" s="8">
        <v>-73.978635100000005</v>
      </c>
      <c r="B2592" s="8">
        <v>40.771611419999999</v>
      </c>
      <c r="C2592" s="8" t="s">
        <v>6412</v>
      </c>
      <c r="D2592" s="8" t="s">
        <v>874</v>
      </c>
      <c r="E2592" s="8" t="b">
        <f t="shared" si="40"/>
        <v>0</v>
      </c>
      <c r="F2592" s="8" t="str" cm="1">
        <f t="array" ref="F2592">_xlfn._xlws.FILTER(E2592:E5790, C2592:C5790= "6D-PM-1020-01", "No Squirrels Found")</f>
        <v>No Squirrels Found</v>
      </c>
      <c r="G2592" s="8" t="s">
        <v>34</v>
      </c>
      <c r="H2592" s="10">
        <v>10122018</v>
      </c>
      <c r="I2592" s="10">
        <v>6</v>
      </c>
      <c r="J2592" s="8" t="s">
        <v>39</v>
      </c>
      <c r="K2592" s="8" t="s">
        <v>40</v>
      </c>
      <c r="L2592" s="8" t="s">
        <v>84</v>
      </c>
      <c r="M2592" s="8" t="s">
        <v>103</v>
      </c>
      <c r="O2592" s="8" t="s">
        <v>43</v>
      </c>
      <c r="P2592" s="8" t="b">
        <v>0</v>
      </c>
      <c r="Q2592" s="8" t="s">
        <v>1882</v>
      </c>
      <c r="R2592" s="8" t="b">
        <v>0</v>
      </c>
      <c r="S2592" s="8" t="b">
        <v>1</v>
      </c>
      <c r="T2592" s="8" t="b">
        <v>0</v>
      </c>
      <c r="U2592" s="8" t="b">
        <v>0</v>
      </c>
      <c r="V2592" s="8" t="b">
        <v>1</v>
      </c>
      <c r="X2592" s="8" t="b">
        <v>0</v>
      </c>
      <c r="Y2592" s="8" t="b">
        <v>0</v>
      </c>
      <c r="Z2592" s="8" t="b">
        <v>0</v>
      </c>
      <c r="AA2592" s="8" t="b">
        <v>1</v>
      </c>
      <c r="AB2592" s="8" t="b">
        <v>0</v>
      </c>
      <c r="AC2592" s="8" t="b">
        <v>0</v>
      </c>
      <c r="AD2592" s="8" t="b">
        <v>1</v>
      </c>
      <c r="AE2592" s="8" t="b">
        <v>0</v>
      </c>
      <c r="AG2592" s="11" t="b" cm="1">
        <f t="array" ref="AG2592">IF(OR(Y2592:AA2592="TRUE", AE2592="true"), "Threatened")</f>
        <v>0</v>
      </c>
      <c r="AH2592" s="11" t="s">
        <v>6413</v>
      </c>
      <c r="AI2592" s="8" t="b">
        <v>1</v>
      </c>
    </row>
    <row r="2593" spans="1:35" ht="31.2">
      <c r="A2593" s="8">
        <v>-73.975812849999997</v>
      </c>
      <c r="B2593" s="8">
        <v>40.771594610000001</v>
      </c>
      <c r="C2593" s="8" t="s">
        <v>6414</v>
      </c>
      <c r="D2593" s="8" t="s">
        <v>2804</v>
      </c>
      <c r="E2593" s="8" t="b">
        <f t="shared" si="40"/>
        <v>0</v>
      </c>
      <c r="F2593" s="8" t="str" cm="1">
        <f t="array" ref="F2593">_xlfn._xlws.FILTER(E2593:E5791, C2593:C5791= "6D-PM-1020-01", "No Squirrels Found")</f>
        <v>No Squirrels Found</v>
      </c>
      <c r="G2593" s="8" t="s">
        <v>34</v>
      </c>
      <c r="H2593" s="10">
        <v>10202018</v>
      </c>
      <c r="I2593" s="10">
        <v>3</v>
      </c>
      <c r="J2593" s="8" t="s">
        <v>39</v>
      </c>
      <c r="K2593" s="8" t="s">
        <v>40</v>
      </c>
      <c r="L2593" s="8" t="s">
        <v>41</v>
      </c>
      <c r="M2593" s="8" t="s">
        <v>42</v>
      </c>
      <c r="O2593" s="8" t="s">
        <v>50</v>
      </c>
      <c r="P2593" s="8">
        <v>5</v>
      </c>
      <c r="R2593" s="8" t="b">
        <v>0</v>
      </c>
      <c r="S2593" s="8" t="b">
        <v>0</v>
      </c>
      <c r="T2593" s="8" t="b">
        <v>1</v>
      </c>
      <c r="U2593" s="8" t="b">
        <v>0</v>
      </c>
      <c r="V2593" s="8" t="b">
        <v>0</v>
      </c>
      <c r="X2593" s="8" t="b">
        <v>0</v>
      </c>
      <c r="Y2593" s="8" t="b">
        <v>0</v>
      </c>
      <c r="Z2593" s="8" t="b">
        <v>0</v>
      </c>
      <c r="AA2593" s="8" t="b">
        <v>0</v>
      </c>
      <c r="AB2593" s="8" t="b">
        <v>0</v>
      </c>
      <c r="AC2593" s="8" t="b">
        <v>0</v>
      </c>
      <c r="AD2593" s="8" t="b">
        <v>0</v>
      </c>
      <c r="AE2593" s="8" t="b">
        <v>0</v>
      </c>
      <c r="AG2593" s="11" t="b" cm="1">
        <f t="array" ref="AG2593">IF(OR(Y2593:AA2593="TRUE", AE2593="true"), "Threatened")</f>
        <v>0</v>
      </c>
      <c r="AH2593" s="11" t="s">
        <v>6415</v>
      </c>
      <c r="AI2593" s="8" t="b">
        <v>1</v>
      </c>
    </row>
    <row r="2594" spans="1:35" ht="31.2">
      <c r="A2594" s="8">
        <v>-73.959019179999999</v>
      </c>
      <c r="B2594" s="8">
        <v>40.790616700000001</v>
      </c>
      <c r="C2594" s="8" t="s">
        <v>6416</v>
      </c>
      <c r="D2594" s="8" t="s">
        <v>75</v>
      </c>
      <c r="E2594" s="8" t="b">
        <f t="shared" si="40"/>
        <v>0</v>
      </c>
      <c r="F2594" s="8" t="str" cm="1">
        <f t="array" ref="F2594">_xlfn._xlws.FILTER(E2594:E5792, C2594:C5792= "6D-PM-1020-01", "No Squirrels Found")</f>
        <v>No Squirrels Found</v>
      </c>
      <c r="G2594" s="8" t="s">
        <v>34</v>
      </c>
      <c r="H2594" s="10">
        <v>10172018</v>
      </c>
      <c r="I2594" s="10">
        <v>8</v>
      </c>
      <c r="J2594" s="8" t="s">
        <v>39</v>
      </c>
      <c r="K2594" s="8" t="s">
        <v>40</v>
      </c>
      <c r="M2594" s="8" t="s">
        <v>55</v>
      </c>
      <c r="O2594" s="8" t="s">
        <v>43</v>
      </c>
      <c r="P2594" s="8" t="b">
        <v>0</v>
      </c>
      <c r="Q2594" s="8" t="s">
        <v>823</v>
      </c>
      <c r="R2594" s="8" t="b">
        <v>0</v>
      </c>
      <c r="S2594" s="8" t="b">
        <v>0</v>
      </c>
      <c r="T2594" s="8" t="b">
        <v>0</v>
      </c>
      <c r="U2594" s="8" t="b">
        <v>1</v>
      </c>
      <c r="V2594" s="8" t="b">
        <v>1</v>
      </c>
      <c r="X2594" s="8" t="b">
        <v>0</v>
      </c>
      <c r="Y2594" s="8" t="b">
        <v>0</v>
      </c>
      <c r="Z2594" s="8" t="b">
        <v>0</v>
      </c>
      <c r="AA2594" s="8" t="b">
        <v>0</v>
      </c>
      <c r="AB2594" s="8" t="b">
        <v>0</v>
      </c>
      <c r="AC2594" s="8" t="b">
        <v>0</v>
      </c>
      <c r="AD2594" s="8" t="b">
        <v>0</v>
      </c>
      <c r="AE2594" s="8" t="b">
        <v>1</v>
      </c>
      <c r="AG2594" s="11" t="b" cm="1">
        <f t="array" ref="AG2594">IF(OR(Y2594:AA2594="TRUE", AE2594="true"), "Threatened")</f>
        <v>0</v>
      </c>
      <c r="AH2594" s="11" t="s">
        <v>6417</v>
      </c>
      <c r="AI2594" s="8" t="b">
        <v>1</v>
      </c>
    </row>
    <row r="2595" spans="1:35" ht="31.2">
      <c r="A2595" s="8">
        <v>-73.963881209999997</v>
      </c>
      <c r="B2595" s="8">
        <v>40.792371490000001</v>
      </c>
      <c r="C2595" s="8" t="s">
        <v>6418</v>
      </c>
      <c r="D2595" s="8" t="s">
        <v>125</v>
      </c>
      <c r="E2595" s="8" t="b">
        <f t="shared" si="40"/>
        <v>0</v>
      </c>
      <c r="F2595" s="8" t="str" cm="1">
        <f t="array" ref="F2595">_xlfn._xlws.FILTER(E2595:E5793, C2595:C5793= "6D-PM-1020-01", "No Squirrels Found")</f>
        <v>No Squirrels Found</v>
      </c>
      <c r="G2595" s="8" t="s">
        <v>34</v>
      </c>
      <c r="H2595" s="10">
        <v>10132018</v>
      </c>
      <c r="I2595" s="10">
        <v>2</v>
      </c>
      <c r="J2595" s="8" t="s">
        <v>3843</v>
      </c>
      <c r="K2595" s="8" t="s">
        <v>40</v>
      </c>
      <c r="L2595" s="8" t="s">
        <v>84</v>
      </c>
      <c r="M2595" s="8" t="s">
        <v>103</v>
      </c>
      <c r="O2595" s="8" t="s">
        <v>43</v>
      </c>
      <c r="P2595" s="8" t="b">
        <v>0</v>
      </c>
      <c r="R2595" s="8" t="b">
        <v>0</v>
      </c>
      <c r="S2595" s="8" t="b">
        <v>0</v>
      </c>
      <c r="T2595" s="8" t="b">
        <v>0</v>
      </c>
      <c r="U2595" s="8" t="b">
        <v>0</v>
      </c>
      <c r="V2595" s="8" t="b">
        <v>1</v>
      </c>
      <c r="X2595" s="8" t="b">
        <v>0</v>
      </c>
      <c r="Y2595" s="8" t="b">
        <v>0</v>
      </c>
      <c r="Z2595" s="8" t="b">
        <v>0</v>
      </c>
      <c r="AA2595" s="8" t="b">
        <v>0</v>
      </c>
      <c r="AB2595" s="8" t="b">
        <v>0</v>
      </c>
      <c r="AC2595" s="8" t="b">
        <v>0</v>
      </c>
      <c r="AD2595" s="8" t="b">
        <v>1</v>
      </c>
      <c r="AE2595" s="8" t="b">
        <v>0</v>
      </c>
      <c r="AG2595" s="11" t="b" cm="1">
        <f t="array" ref="AG2595">IF(OR(Y2595:AA2595="TRUE", AE2595="true"), "Threatened")</f>
        <v>0</v>
      </c>
      <c r="AH2595" s="11" t="s">
        <v>6419</v>
      </c>
      <c r="AI2595" s="8" t="b">
        <v>1</v>
      </c>
    </row>
    <row r="2596" spans="1:35" ht="31.2">
      <c r="A2596" s="8">
        <v>-73.969267669999994</v>
      </c>
      <c r="B2596" s="8">
        <v>40.77006789</v>
      </c>
      <c r="C2596" s="8" t="s">
        <v>6420</v>
      </c>
      <c r="D2596" s="8" t="s">
        <v>1326</v>
      </c>
      <c r="E2596" s="8" t="b">
        <f t="shared" si="40"/>
        <v>0</v>
      </c>
      <c r="F2596" s="8" t="str" cm="1">
        <f t="array" ref="F2596">_xlfn._xlws.FILTER(E2596:E5794, C2596:C5794= "6D-PM-1020-01", "No Squirrels Found")</f>
        <v>No Squirrels Found</v>
      </c>
      <c r="G2596" s="8" t="s">
        <v>34</v>
      </c>
      <c r="H2596" s="10">
        <v>10132018</v>
      </c>
      <c r="I2596" s="10">
        <v>8</v>
      </c>
      <c r="J2596" s="8" t="s">
        <v>39</v>
      </c>
      <c r="K2596" s="8" t="s">
        <v>41</v>
      </c>
      <c r="L2596" s="8" t="s">
        <v>135</v>
      </c>
      <c r="M2596" s="8" t="s">
        <v>136</v>
      </c>
      <c r="O2596" s="8" t="s">
        <v>50</v>
      </c>
      <c r="P2596" s="8">
        <v>1</v>
      </c>
      <c r="R2596" s="8" t="b">
        <v>0</v>
      </c>
      <c r="S2596" s="8" t="b">
        <v>0</v>
      </c>
      <c r="T2596" s="8" t="b">
        <v>1</v>
      </c>
      <c r="U2596" s="8" t="b">
        <v>1</v>
      </c>
      <c r="V2596" s="8" t="b">
        <v>1</v>
      </c>
      <c r="X2596" s="8" t="b">
        <v>0</v>
      </c>
      <c r="Y2596" s="8" t="b">
        <v>0</v>
      </c>
      <c r="Z2596" s="8" t="b">
        <v>0</v>
      </c>
      <c r="AA2596" s="8" t="b">
        <v>0</v>
      </c>
      <c r="AB2596" s="8" t="b">
        <v>0</v>
      </c>
      <c r="AC2596" s="8" t="b">
        <v>0</v>
      </c>
      <c r="AD2596" s="8" t="b">
        <v>0</v>
      </c>
      <c r="AE2596" s="8" t="b">
        <v>1</v>
      </c>
      <c r="AG2596" s="11" t="b" cm="1">
        <f t="array" ref="AG2596">IF(OR(Y2596:AA2596="TRUE", AE2596="true"), "Threatened")</f>
        <v>0</v>
      </c>
      <c r="AH2596" s="11" t="s">
        <v>6421</v>
      </c>
      <c r="AI2596" s="8" t="b">
        <v>1</v>
      </c>
    </row>
    <row r="2597" spans="1:35" ht="31.2">
      <c r="A2597" s="8">
        <v>-73.972978659999995</v>
      </c>
      <c r="B2597" s="8">
        <v>40.777823859999998</v>
      </c>
      <c r="C2597" s="8" t="s">
        <v>6422</v>
      </c>
      <c r="D2597" s="8" t="s">
        <v>1764</v>
      </c>
      <c r="E2597" s="8" t="b">
        <f t="shared" si="40"/>
        <v>0</v>
      </c>
      <c r="F2597" s="8" t="str" cm="1">
        <f t="array" ref="F2597">_xlfn._xlws.FILTER(E2597:E5795, C2597:C5795= "6D-PM-1020-01", "No Squirrels Found")</f>
        <v>No Squirrels Found</v>
      </c>
      <c r="G2597" s="8" t="s">
        <v>48</v>
      </c>
      <c r="H2597" s="10">
        <v>10072018</v>
      </c>
      <c r="I2597" s="10">
        <v>1</v>
      </c>
      <c r="J2597" s="8" t="s">
        <v>39</v>
      </c>
      <c r="K2597" s="8" t="s">
        <v>40</v>
      </c>
      <c r="L2597" s="8" t="s">
        <v>41</v>
      </c>
      <c r="M2597" s="8" t="s">
        <v>42</v>
      </c>
      <c r="N2597" s="11" t="s">
        <v>6423</v>
      </c>
      <c r="O2597" s="8" t="s">
        <v>43</v>
      </c>
      <c r="P2597" s="8" t="b">
        <v>0</v>
      </c>
      <c r="R2597" s="8" t="b">
        <v>0</v>
      </c>
      <c r="S2597" s="8" t="b">
        <v>0</v>
      </c>
      <c r="T2597" s="8" t="b">
        <v>0</v>
      </c>
      <c r="U2597" s="8" t="b">
        <v>0</v>
      </c>
      <c r="V2597" s="8" t="b">
        <v>1</v>
      </c>
      <c r="X2597" s="8" t="b">
        <v>0</v>
      </c>
      <c r="Y2597" s="8" t="b">
        <v>0</v>
      </c>
      <c r="Z2597" s="8" t="b">
        <v>0</v>
      </c>
      <c r="AA2597" s="8" t="b">
        <v>0</v>
      </c>
      <c r="AB2597" s="8" t="b">
        <v>0</v>
      </c>
      <c r="AC2597" s="8" t="b">
        <v>0</v>
      </c>
      <c r="AD2597" s="8" t="b">
        <v>0</v>
      </c>
      <c r="AE2597" s="8" t="b">
        <v>1</v>
      </c>
      <c r="AG2597" s="11" t="b" cm="1">
        <f t="array" ref="AG2597">IF(OR(Y2597:AA2597="TRUE", AE2597="true"), "Threatened")</f>
        <v>0</v>
      </c>
      <c r="AH2597" s="11" t="s">
        <v>6424</v>
      </c>
      <c r="AI2597" s="8" t="b">
        <v>1</v>
      </c>
    </row>
    <row r="2598" spans="1:35" ht="31.2">
      <c r="A2598" s="8">
        <v>-73.970630439999994</v>
      </c>
      <c r="B2598" s="8">
        <v>40.777106060000001</v>
      </c>
      <c r="C2598" s="8" t="s">
        <v>6425</v>
      </c>
      <c r="D2598" s="8" t="s">
        <v>741</v>
      </c>
      <c r="E2598" s="8" t="b">
        <f t="shared" si="40"/>
        <v>0</v>
      </c>
      <c r="F2598" s="8" t="str" cm="1">
        <f t="array" ref="F2598">_xlfn._xlws.FILTER(E2598:E5796, C2598:C5796= "6D-PM-1020-01", "No Squirrels Found")</f>
        <v>No Squirrels Found</v>
      </c>
      <c r="G2598" s="8" t="s">
        <v>34</v>
      </c>
      <c r="H2598" s="10">
        <v>10192018</v>
      </c>
      <c r="I2598" s="10">
        <v>14</v>
      </c>
      <c r="J2598" s="8" t="s">
        <v>39</v>
      </c>
      <c r="K2598" s="8" t="s">
        <v>40</v>
      </c>
      <c r="L2598" s="8" t="s">
        <v>41</v>
      </c>
      <c r="M2598" s="8" t="s">
        <v>42</v>
      </c>
      <c r="O2598" s="8" t="s">
        <v>43</v>
      </c>
      <c r="P2598" s="8" t="b">
        <v>0</v>
      </c>
      <c r="R2598" s="8" t="b">
        <v>0</v>
      </c>
      <c r="S2598" s="8" t="b">
        <v>0</v>
      </c>
      <c r="T2598" s="8" t="b">
        <v>0</v>
      </c>
      <c r="U2598" s="8" t="b">
        <v>0</v>
      </c>
      <c r="V2598" s="8" t="b">
        <v>1</v>
      </c>
      <c r="X2598" s="8" t="b">
        <v>0</v>
      </c>
      <c r="Y2598" s="8" t="b">
        <v>0</v>
      </c>
      <c r="Z2598" s="8" t="b">
        <v>0</v>
      </c>
      <c r="AA2598" s="8" t="b">
        <v>0</v>
      </c>
      <c r="AB2598" s="8" t="b">
        <v>0</v>
      </c>
      <c r="AC2598" s="8" t="b">
        <v>0</v>
      </c>
      <c r="AD2598" s="8" t="b">
        <v>0</v>
      </c>
      <c r="AE2598" s="8" t="b">
        <v>0</v>
      </c>
      <c r="AG2598" s="11" t="b" cm="1">
        <f t="array" ref="AG2598">IF(OR(Y2598:AA2598="TRUE", AE2598="true"), "Threatened")</f>
        <v>0</v>
      </c>
      <c r="AH2598" s="11" t="s">
        <v>6426</v>
      </c>
      <c r="AI2598" s="8" t="b">
        <v>1</v>
      </c>
    </row>
    <row r="2599" spans="1:35" ht="31.2">
      <c r="A2599" s="8">
        <v>-73.976658499999999</v>
      </c>
      <c r="B2599" s="8">
        <v>40.768686850000002</v>
      </c>
      <c r="C2599" s="8" t="s">
        <v>6427</v>
      </c>
      <c r="D2599" s="8" t="s">
        <v>544</v>
      </c>
      <c r="E2599" s="8" t="b">
        <f t="shared" si="40"/>
        <v>0</v>
      </c>
      <c r="F2599" s="8" t="str" cm="1">
        <f t="array" ref="F2599">_xlfn._xlws.FILTER(E2599:E5797, C2599:C5797= "6D-PM-1020-01", "No Squirrels Found")</f>
        <v>No Squirrels Found</v>
      </c>
      <c r="G2599" s="8" t="s">
        <v>48</v>
      </c>
      <c r="H2599" s="10">
        <v>10122018</v>
      </c>
      <c r="I2599" s="10">
        <v>3</v>
      </c>
      <c r="J2599" s="8" t="s">
        <v>39</v>
      </c>
      <c r="K2599" s="8" t="s">
        <v>40</v>
      </c>
      <c r="M2599" s="8" t="s">
        <v>55</v>
      </c>
      <c r="O2599" s="8" t="s">
        <v>43</v>
      </c>
      <c r="P2599" s="8" t="b">
        <v>0</v>
      </c>
      <c r="R2599" s="8" t="b">
        <v>0</v>
      </c>
      <c r="S2599" s="8" t="b">
        <v>1</v>
      </c>
      <c r="T2599" s="8" t="b">
        <v>1</v>
      </c>
      <c r="U2599" s="8" t="b">
        <v>0</v>
      </c>
      <c r="V2599" s="8" t="b">
        <v>0</v>
      </c>
      <c r="X2599" s="8" t="b">
        <v>0</v>
      </c>
      <c r="Y2599" s="8" t="b">
        <v>0</v>
      </c>
      <c r="Z2599" s="8" t="b">
        <v>0</v>
      </c>
      <c r="AA2599" s="8" t="b">
        <v>0</v>
      </c>
      <c r="AB2599" s="8" t="b">
        <v>1</v>
      </c>
      <c r="AC2599" s="8" t="b">
        <v>0</v>
      </c>
      <c r="AD2599" s="8" t="b">
        <v>1</v>
      </c>
      <c r="AE2599" s="8" t="b">
        <v>0</v>
      </c>
      <c r="AG2599" s="11" t="b" cm="1">
        <f t="array" ref="AG2599">IF(OR(Y2599:AA2599="TRUE", AE2599="true"), "Threatened")</f>
        <v>0</v>
      </c>
      <c r="AH2599" s="11" t="s">
        <v>6428</v>
      </c>
      <c r="AI2599" s="8" t="b">
        <v>1</v>
      </c>
    </row>
    <row r="2600" spans="1:35" ht="31.2">
      <c r="A2600" s="8">
        <v>-73.968989339999993</v>
      </c>
      <c r="B2600" s="8">
        <v>40.785308739999998</v>
      </c>
      <c r="C2600" s="8" t="s">
        <v>6429</v>
      </c>
      <c r="D2600" s="8" t="s">
        <v>2867</v>
      </c>
      <c r="E2600" s="8" t="b">
        <f t="shared" si="40"/>
        <v>0</v>
      </c>
      <c r="F2600" s="8" t="str" cm="1">
        <f t="array" ref="F2600">_xlfn._xlws.FILTER(E2600:E5798, C2600:C5798= "6D-PM-1020-01", "No Squirrels Found")</f>
        <v>No Squirrels Found</v>
      </c>
      <c r="G2600" s="8" t="s">
        <v>48</v>
      </c>
      <c r="H2600" s="10">
        <v>10182018</v>
      </c>
      <c r="I2600" s="10">
        <v>3</v>
      </c>
      <c r="J2600" s="8" t="s">
        <v>54</v>
      </c>
      <c r="K2600" s="8" t="s">
        <v>40</v>
      </c>
      <c r="L2600" s="8" t="s">
        <v>41</v>
      </c>
      <c r="M2600" s="8" t="s">
        <v>42</v>
      </c>
      <c r="O2600" s="8" t="s">
        <v>50</v>
      </c>
      <c r="P2600" s="8">
        <v>8</v>
      </c>
      <c r="Q2600" s="8" t="s">
        <v>2868</v>
      </c>
      <c r="R2600" s="8" t="b">
        <v>0</v>
      </c>
      <c r="S2600" s="8" t="b">
        <v>0</v>
      </c>
      <c r="T2600" s="8" t="b">
        <v>1</v>
      </c>
      <c r="U2600" s="8" t="b">
        <v>0</v>
      </c>
      <c r="V2600" s="8" t="b">
        <v>0</v>
      </c>
      <c r="X2600" s="8" t="b">
        <v>0</v>
      </c>
      <c r="Y2600" s="8" t="b">
        <v>0</v>
      </c>
      <c r="Z2600" s="8" t="b">
        <v>0</v>
      </c>
      <c r="AA2600" s="8" t="b">
        <v>0</v>
      </c>
      <c r="AB2600" s="8" t="b">
        <v>0</v>
      </c>
      <c r="AC2600" s="8" t="b">
        <v>0</v>
      </c>
      <c r="AD2600" s="8" t="b">
        <v>1</v>
      </c>
      <c r="AE2600" s="8" t="b">
        <v>0</v>
      </c>
      <c r="AG2600" s="11" t="b" cm="1">
        <f t="array" ref="AG2600">IF(OR(Y2600:AA2600="TRUE", AE2600="true"), "Threatened")</f>
        <v>0</v>
      </c>
      <c r="AH2600" s="11" t="s">
        <v>6430</v>
      </c>
      <c r="AI2600" s="8" t="b">
        <v>1</v>
      </c>
    </row>
    <row r="2601" spans="1:35" ht="31.2">
      <c r="A2601" s="8">
        <v>-73.954455370000005</v>
      </c>
      <c r="B2601" s="8">
        <v>40.791286620000001</v>
      </c>
      <c r="C2601" s="8" t="s">
        <v>6431</v>
      </c>
      <c r="D2601" s="8" t="s">
        <v>1028</v>
      </c>
      <c r="E2601" s="8" t="b">
        <f t="shared" si="40"/>
        <v>0</v>
      </c>
      <c r="F2601" s="8" t="str" cm="1">
        <f t="array" ref="F2601">_xlfn._xlws.FILTER(E2601:E5799, C2601:C5799= "6D-PM-1020-01", "No Squirrels Found")</f>
        <v>No Squirrels Found</v>
      </c>
      <c r="G2601" s="8" t="s">
        <v>48</v>
      </c>
      <c r="H2601" s="10">
        <v>10122018</v>
      </c>
      <c r="I2601" s="10">
        <v>1</v>
      </c>
      <c r="J2601" s="8" t="s">
        <v>39</v>
      </c>
      <c r="K2601" s="8" t="s">
        <v>40</v>
      </c>
      <c r="L2601" s="8" t="s">
        <v>117</v>
      </c>
      <c r="M2601" s="8" t="s">
        <v>118</v>
      </c>
      <c r="O2601" s="8" t="s">
        <v>43</v>
      </c>
      <c r="P2601" s="8" t="b">
        <v>0</v>
      </c>
      <c r="R2601" s="8" t="b">
        <v>0</v>
      </c>
      <c r="S2601" s="8" t="b">
        <v>0</v>
      </c>
      <c r="T2601" s="8" t="b">
        <v>0</v>
      </c>
      <c r="U2601" s="8" t="b">
        <v>1</v>
      </c>
      <c r="V2601" s="8" t="b">
        <v>0</v>
      </c>
      <c r="X2601" s="8" t="b">
        <v>0</v>
      </c>
      <c r="Y2601" s="8" t="b">
        <v>0</v>
      </c>
      <c r="Z2601" s="8" t="b">
        <v>0</v>
      </c>
      <c r="AA2601" s="8" t="b">
        <v>0</v>
      </c>
      <c r="AB2601" s="8" t="b">
        <v>0</v>
      </c>
      <c r="AC2601" s="8" t="b">
        <v>0</v>
      </c>
      <c r="AD2601" s="8" t="b">
        <v>0</v>
      </c>
      <c r="AE2601" s="8" t="b">
        <v>0</v>
      </c>
      <c r="AG2601" s="11" t="b" cm="1">
        <f t="array" ref="AG2601">IF(OR(Y2601:AA2601="TRUE", AE2601="true"), "Threatened")</f>
        <v>0</v>
      </c>
      <c r="AH2601" s="11" t="s">
        <v>6432</v>
      </c>
      <c r="AI2601" s="8" t="b">
        <v>1</v>
      </c>
    </row>
    <row r="2602" spans="1:35" ht="31.2">
      <c r="A2602" s="8">
        <v>-73.97963695</v>
      </c>
      <c r="B2602" s="8">
        <v>40.767799979999999</v>
      </c>
      <c r="C2602" s="8" t="s">
        <v>6433</v>
      </c>
      <c r="D2602" s="8" t="s">
        <v>1301</v>
      </c>
      <c r="E2602" s="8" t="b">
        <f t="shared" si="40"/>
        <v>0</v>
      </c>
      <c r="F2602" s="8" t="str" cm="1">
        <f t="array" ref="F2602">_xlfn._xlws.FILTER(E2602:E5800, C2602:C5800= "6D-PM-1020-01", "No Squirrels Found")</f>
        <v>No Squirrels Found</v>
      </c>
      <c r="G2602" s="8" t="s">
        <v>34</v>
      </c>
      <c r="H2602" s="10">
        <v>10132018</v>
      </c>
      <c r="I2602" s="10">
        <v>10</v>
      </c>
      <c r="J2602" s="8" t="s">
        <v>39</v>
      </c>
      <c r="K2602" s="8" t="s">
        <v>41</v>
      </c>
      <c r="M2602" s="8" t="s">
        <v>49</v>
      </c>
      <c r="O2602" s="8" t="s">
        <v>43</v>
      </c>
      <c r="P2602" s="8" t="b">
        <v>0</v>
      </c>
      <c r="R2602" s="8" t="b">
        <v>0</v>
      </c>
      <c r="S2602" s="8" t="b">
        <v>0</v>
      </c>
      <c r="T2602" s="8" t="b">
        <v>0</v>
      </c>
      <c r="U2602" s="8" t="b">
        <v>0</v>
      </c>
      <c r="V2602" s="8" t="b">
        <v>1</v>
      </c>
      <c r="X2602" s="8" t="b">
        <v>0</v>
      </c>
      <c r="Y2602" s="8" t="b">
        <v>0</v>
      </c>
      <c r="Z2602" s="8" t="b">
        <v>0</v>
      </c>
      <c r="AA2602" s="8" t="b">
        <v>0</v>
      </c>
      <c r="AB2602" s="8" t="b">
        <v>0</v>
      </c>
      <c r="AC2602" s="8" t="b">
        <v>0</v>
      </c>
      <c r="AD2602" s="8" t="b">
        <v>1</v>
      </c>
      <c r="AE2602" s="8" t="b">
        <v>0</v>
      </c>
      <c r="AG2602" s="11" t="b" cm="1">
        <f t="array" ref="AG2602">IF(OR(Y2602:AA2602="TRUE", AE2602="true"), "Threatened")</f>
        <v>0</v>
      </c>
      <c r="AH2602" s="11" t="s">
        <v>6434</v>
      </c>
      <c r="AI2602" s="8" t="b">
        <v>1</v>
      </c>
    </row>
    <row r="2603" spans="1:35" ht="31.2">
      <c r="A2603" s="8">
        <v>-73.975482290000002</v>
      </c>
      <c r="B2603" s="8">
        <v>40.771776690000003</v>
      </c>
      <c r="C2603" s="8" t="s">
        <v>6435</v>
      </c>
      <c r="D2603" s="8" t="s">
        <v>2804</v>
      </c>
      <c r="E2603" s="8" t="b">
        <f t="shared" si="40"/>
        <v>0</v>
      </c>
      <c r="F2603" s="8" t="str" cm="1">
        <f t="array" ref="F2603">_xlfn._xlws.FILTER(E2603:E5801, C2603:C5801= "6D-PM-1020-01", "No Squirrels Found")</f>
        <v>No Squirrels Found</v>
      </c>
      <c r="G2603" s="8" t="s">
        <v>34</v>
      </c>
      <c r="H2603" s="10">
        <v>10202018</v>
      </c>
      <c r="I2603" s="10">
        <v>1</v>
      </c>
      <c r="J2603" s="8" t="s">
        <v>39</v>
      </c>
      <c r="K2603" s="8" t="s">
        <v>40</v>
      </c>
      <c r="L2603" s="8" t="s">
        <v>41</v>
      </c>
      <c r="M2603" s="8" t="s">
        <v>42</v>
      </c>
      <c r="O2603" s="8" t="s">
        <v>43</v>
      </c>
      <c r="P2603" s="8" t="b">
        <v>0</v>
      </c>
      <c r="R2603" s="8" t="b">
        <v>0</v>
      </c>
      <c r="S2603" s="8" t="b">
        <v>0</v>
      </c>
      <c r="T2603" s="8" t="b">
        <v>0</v>
      </c>
      <c r="U2603" s="8" t="b">
        <v>1</v>
      </c>
      <c r="V2603" s="8" t="b">
        <v>0</v>
      </c>
      <c r="X2603" s="8" t="b">
        <v>0</v>
      </c>
      <c r="Y2603" s="8" t="b">
        <v>0</v>
      </c>
      <c r="Z2603" s="8" t="b">
        <v>0</v>
      </c>
      <c r="AA2603" s="8" t="b">
        <v>0</v>
      </c>
      <c r="AB2603" s="8" t="b">
        <v>0</v>
      </c>
      <c r="AC2603" s="8" t="b">
        <v>0</v>
      </c>
      <c r="AD2603" s="8" t="b">
        <v>0</v>
      </c>
      <c r="AE2603" s="8" t="b">
        <v>0</v>
      </c>
      <c r="AG2603" s="11" t="b" cm="1">
        <f t="array" ref="AG2603">IF(OR(Y2603:AA2603="TRUE", AE2603="true"), "Threatened")</f>
        <v>0</v>
      </c>
      <c r="AH2603" s="11" t="s">
        <v>6436</v>
      </c>
      <c r="AI2603" s="8" t="b">
        <v>1</v>
      </c>
    </row>
    <row r="2604" spans="1:35" ht="31.2">
      <c r="A2604" s="8">
        <v>-73.970878150000004</v>
      </c>
      <c r="B2604" s="8">
        <v>40.772413810000003</v>
      </c>
      <c r="C2604" s="8" t="s">
        <v>6437</v>
      </c>
      <c r="D2604" s="8" t="s">
        <v>329</v>
      </c>
      <c r="E2604" s="8" t="b">
        <f t="shared" si="40"/>
        <v>0</v>
      </c>
      <c r="F2604" s="8" t="str" cm="1">
        <f t="array" ref="F2604">_xlfn._xlws.FILTER(E2604:E5802, C2604:C5802= "6D-PM-1020-01", "No Squirrels Found")</f>
        <v>No Squirrels Found</v>
      </c>
      <c r="G2604" s="8" t="s">
        <v>48</v>
      </c>
      <c r="H2604" s="10">
        <v>10072018</v>
      </c>
      <c r="I2604" s="10">
        <v>3</v>
      </c>
      <c r="J2604" s="8" t="s">
        <v>39</v>
      </c>
      <c r="K2604" s="8" t="s">
        <v>40</v>
      </c>
      <c r="M2604" s="8" t="s">
        <v>55</v>
      </c>
      <c r="O2604" s="8" t="s">
        <v>50</v>
      </c>
      <c r="P2604" s="8">
        <v>50</v>
      </c>
      <c r="R2604" s="8" t="b">
        <v>0</v>
      </c>
      <c r="S2604" s="8" t="b">
        <v>0</v>
      </c>
      <c r="T2604" s="8" t="b">
        <v>1</v>
      </c>
      <c r="U2604" s="8" t="b">
        <v>0</v>
      </c>
      <c r="V2604" s="8" t="b">
        <v>0</v>
      </c>
      <c r="X2604" s="8" t="b">
        <v>0</v>
      </c>
      <c r="Y2604" s="8" t="b">
        <v>0</v>
      </c>
      <c r="Z2604" s="8" t="b">
        <v>0</v>
      </c>
      <c r="AA2604" s="8" t="b">
        <v>0</v>
      </c>
      <c r="AB2604" s="8" t="b">
        <v>0</v>
      </c>
      <c r="AC2604" s="8" t="b">
        <v>0</v>
      </c>
      <c r="AD2604" s="8" t="b">
        <v>0</v>
      </c>
      <c r="AE2604" s="8" t="b">
        <v>0</v>
      </c>
      <c r="AG2604" s="11" t="b" cm="1">
        <f t="array" ref="AG2604">IF(OR(Y2604:AA2604="TRUE", AE2604="true"), "Threatened")</f>
        <v>0</v>
      </c>
      <c r="AH2604" s="11" t="s">
        <v>6438</v>
      </c>
      <c r="AI2604" s="8" t="b">
        <v>1</v>
      </c>
    </row>
    <row r="2605" spans="1:35" ht="31.2">
      <c r="A2605" s="8">
        <v>-73.960516369999993</v>
      </c>
      <c r="B2605" s="8">
        <v>40.791418</v>
      </c>
      <c r="C2605" s="8" t="s">
        <v>6439</v>
      </c>
      <c r="D2605" s="8" t="s">
        <v>309</v>
      </c>
      <c r="E2605" s="8" t="b">
        <f t="shared" si="40"/>
        <v>0</v>
      </c>
      <c r="F2605" s="8" t="str" cm="1">
        <f t="array" ref="F2605">_xlfn._xlws.FILTER(E2605:E5803, C2605:C5803= "6D-PM-1020-01", "No Squirrels Found")</f>
        <v>No Squirrels Found</v>
      </c>
      <c r="G2605" s="8" t="s">
        <v>34</v>
      </c>
      <c r="H2605" s="10">
        <v>10062018</v>
      </c>
      <c r="I2605" s="10">
        <v>5</v>
      </c>
      <c r="J2605" s="8" t="s">
        <v>54</v>
      </c>
      <c r="K2605" s="8" t="s">
        <v>40</v>
      </c>
      <c r="L2605" s="8" t="s">
        <v>168</v>
      </c>
      <c r="M2605" s="8" t="s">
        <v>169</v>
      </c>
      <c r="O2605" s="8" t="s">
        <v>43</v>
      </c>
      <c r="P2605" s="8" t="b">
        <v>0</v>
      </c>
      <c r="R2605" s="8" t="b">
        <v>1</v>
      </c>
      <c r="S2605" s="8" t="b">
        <v>0</v>
      </c>
      <c r="T2605" s="8" t="b">
        <v>1</v>
      </c>
      <c r="U2605" s="8" t="b">
        <v>1</v>
      </c>
      <c r="V2605" s="8" t="b">
        <v>0</v>
      </c>
      <c r="X2605" s="8" t="b">
        <v>0</v>
      </c>
      <c r="Y2605" s="8" t="b">
        <v>0</v>
      </c>
      <c r="Z2605" s="8" t="b">
        <v>0</v>
      </c>
      <c r="AA2605" s="8" t="b">
        <v>0</v>
      </c>
      <c r="AB2605" s="8" t="b">
        <v>1</v>
      </c>
      <c r="AC2605" s="8" t="b">
        <v>0</v>
      </c>
      <c r="AD2605" s="8" t="b">
        <v>0</v>
      </c>
      <c r="AE2605" s="8" t="b">
        <v>1</v>
      </c>
      <c r="AG2605" s="11" t="b" cm="1">
        <f t="array" ref="AG2605">IF(OR(Y2605:AA2605="TRUE", AE2605="true"), "Threatened")</f>
        <v>0</v>
      </c>
      <c r="AH2605" s="11" t="s">
        <v>6440</v>
      </c>
      <c r="AI2605" s="8" t="b">
        <v>1</v>
      </c>
    </row>
    <row r="2606" spans="1:35" ht="31.2">
      <c r="A2606" s="8">
        <v>-73.973689640000003</v>
      </c>
      <c r="B2606" s="8">
        <v>40.767763090000003</v>
      </c>
      <c r="C2606" s="8" t="s">
        <v>6441</v>
      </c>
      <c r="D2606" s="8" t="s">
        <v>651</v>
      </c>
      <c r="E2606" s="8" t="b">
        <f t="shared" si="40"/>
        <v>0</v>
      </c>
      <c r="F2606" s="8" t="str" cm="1">
        <f t="array" ref="F2606">_xlfn._xlws.FILTER(E2606:E5804, C2606:C5804= "6D-PM-1020-01", "No Squirrels Found")</f>
        <v>No Squirrels Found</v>
      </c>
      <c r="G2606" s="8" t="s">
        <v>48</v>
      </c>
      <c r="H2606" s="10">
        <v>10062018</v>
      </c>
      <c r="I2606" s="10">
        <v>1</v>
      </c>
      <c r="J2606" s="8" t="s">
        <v>39</v>
      </c>
      <c r="K2606" s="8" t="s">
        <v>40</v>
      </c>
      <c r="L2606" s="8" t="s">
        <v>84</v>
      </c>
      <c r="M2606" s="8" t="s">
        <v>103</v>
      </c>
      <c r="O2606" s="8" t="s">
        <v>43</v>
      </c>
      <c r="P2606" s="8" t="b">
        <v>0</v>
      </c>
      <c r="R2606" s="8" t="b">
        <v>0</v>
      </c>
      <c r="S2606" s="8" t="b">
        <v>0</v>
      </c>
      <c r="T2606" s="8" t="b">
        <v>0</v>
      </c>
      <c r="U2606" s="8" t="b">
        <v>0</v>
      </c>
      <c r="V2606" s="8" t="b">
        <v>1</v>
      </c>
      <c r="X2606" s="8" t="b">
        <v>0</v>
      </c>
      <c r="Y2606" s="8" t="b">
        <v>0</v>
      </c>
      <c r="Z2606" s="8" t="b">
        <v>0</v>
      </c>
      <c r="AA2606" s="8" t="b">
        <v>0</v>
      </c>
      <c r="AB2606" s="8" t="b">
        <v>0</v>
      </c>
      <c r="AC2606" s="8" t="b">
        <v>0</v>
      </c>
      <c r="AD2606" s="8" t="b">
        <v>1</v>
      </c>
      <c r="AE2606" s="8" t="b">
        <v>0</v>
      </c>
      <c r="AG2606" s="11" t="b" cm="1">
        <f t="array" ref="AG2606">IF(OR(Y2606:AA2606="TRUE", AE2606="true"), "Threatened")</f>
        <v>0</v>
      </c>
      <c r="AH2606" s="11" t="s">
        <v>6442</v>
      </c>
      <c r="AI2606" s="8" t="b">
        <v>1</v>
      </c>
    </row>
    <row r="2607" spans="1:35" ht="31.2">
      <c r="A2607" s="8">
        <v>-73.961434170000004</v>
      </c>
      <c r="B2607" s="8">
        <v>40.794546429999997</v>
      </c>
      <c r="C2607" s="8" t="s">
        <v>6443</v>
      </c>
      <c r="D2607" s="8" t="s">
        <v>434</v>
      </c>
      <c r="E2607" s="8" t="b">
        <f t="shared" si="40"/>
        <v>0</v>
      </c>
      <c r="F2607" s="8" t="str" cm="1">
        <f t="array" ref="F2607">_xlfn._xlws.FILTER(E2607:E5805, C2607:C5805= "6D-PM-1020-01", "No Squirrels Found")</f>
        <v>No Squirrels Found</v>
      </c>
      <c r="G2607" s="8" t="s">
        <v>34</v>
      </c>
      <c r="H2607" s="10">
        <v>10132018</v>
      </c>
      <c r="I2607" s="10">
        <v>2</v>
      </c>
      <c r="J2607" s="8" t="s">
        <v>54</v>
      </c>
      <c r="M2607" s="8" t="s">
        <v>35</v>
      </c>
      <c r="O2607" s="8" t="s">
        <v>43</v>
      </c>
      <c r="P2607" s="8" t="b">
        <v>0</v>
      </c>
      <c r="R2607" s="8" t="b">
        <v>0</v>
      </c>
      <c r="S2607" s="8" t="b">
        <v>0</v>
      </c>
      <c r="T2607" s="8" t="b">
        <v>0</v>
      </c>
      <c r="U2607" s="8" t="b">
        <v>1</v>
      </c>
      <c r="V2607" s="8" t="b">
        <v>0</v>
      </c>
      <c r="W2607" s="11" t="s">
        <v>5393</v>
      </c>
      <c r="X2607" s="8" t="b">
        <v>0</v>
      </c>
      <c r="Y2607" s="8" t="b">
        <v>0</v>
      </c>
      <c r="Z2607" s="8" t="b">
        <v>0</v>
      </c>
      <c r="AA2607" s="8" t="b">
        <v>0</v>
      </c>
      <c r="AB2607" s="8" t="b">
        <v>1</v>
      </c>
      <c r="AC2607" s="8" t="b">
        <v>0</v>
      </c>
      <c r="AD2607" s="8" t="b">
        <v>1</v>
      </c>
      <c r="AE2607" s="8" t="b">
        <v>0</v>
      </c>
      <c r="AG2607" s="11" t="b" cm="1">
        <f t="array" ref="AG2607">IF(OR(Y2607:AA2607="TRUE", AE2607="true"), "Threatened")</f>
        <v>0</v>
      </c>
      <c r="AH2607" s="11" t="s">
        <v>6444</v>
      </c>
      <c r="AI2607" s="8" t="b">
        <v>0</v>
      </c>
    </row>
    <row r="2608" spans="1:35" ht="31.2">
      <c r="A2608" s="8">
        <v>-73.964298869999993</v>
      </c>
      <c r="B2608" s="8">
        <v>40.779559130000003</v>
      </c>
      <c r="C2608" s="8" t="s">
        <v>6445</v>
      </c>
      <c r="D2608" s="8" t="s">
        <v>1018</v>
      </c>
      <c r="E2608" s="8" t="b">
        <f t="shared" si="40"/>
        <v>0</v>
      </c>
      <c r="F2608" s="8" t="str" cm="1">
        <f t="array" ref="F2608">_xlfn._xlws.FILTER(E2608:E5806, C2608:C5806= "6D-PM-1020-01", "No Squirrels Found")</f>
        <v>No Squirrels Found</v>
      </c>
      <c r="G2608" s="8" t="s">
        <v>48</v>
      </c>
      <c r="H2608" s="10">
        <v>10102018</v>
      </c>
      <c r="I2608" s="10">
        <v>4</v>
      </c>
      <c r="J2608" s="8" t="s">
        <v>39</v>
      </c>
      <c r="K2608" s="8" t="s">
        <v>40</v>
      </c>
      <c r="L2608" s="8" t="s">
        <v>117</v>
      </c>
      <c r="M2608" s="8" t="s">
        <v>118</v>
      </c>
      <c r="O2608" s="8" t="s">
        <v>43</v>
      </c>
      <c r="P2608" s="8" t="b">
        <v>0</v>
      </c>
      <c r="R2608" s="8" t="b">
        <v>0</v>
      </c>
      <c r="S2608" s="8" t="b">
        <v>0</v>
      </c>
      <c r="T2608" s="8" t="b">
        <v>1</v>
      </c>
      <c r="U2608" s="8" t="b">
        <v>1</v>
      </c>
      <c r="V2608" s="8" t="b">
        <v>1</v>
      </c>
      <c r="X2608" s="8" t="b">
        <v>0</v>
      </c>
      <c r="Y2608" s="8" t="b">
        <v>0</v>
      </c>
      <c r="Z2608" s="8" t="b">
        <v>0</v>
      </c>
      <c r="AA2608" s="8" t="b">
        <v>0</v>
      </c>
      <c r="AB2608" s="8" t="b">
        <v>0</v>
      </c>
      <c r="AC2608" s="8" t="b">
        <v>0</v>
      </c>
      <c r="AD2608" s="8" t="b">
        <v>1</v>
      </c>
      <c r="AE2608" s="8" t="b">
        <v>1</v>
      </c>
      <c r="AF2608" s="11" t="s">
        <v>6446</v>
      </c>
      <c r="AG2608" s="11" t="b" cm="1">
        <f t="array" ref="AG2608">IF(OR(Y2608:AA2608="TRUE", AE2608="true"), "Threatened")</f>
        <v>0</v>
      </c>
      <c r="AH2608" s="11" t="s">
        <v>6447</v>
      </c>
      <c r="AI2608" s="8" t="b">
        <v>1</v>
      </c>
    </row>
    <row r="2609" spans="1:35" ht="31.2">
      <c r="A2609" s="8">
        <v>-73.952267770000006</v>
      </c>
      <c r="B2609" s="8">
        <v>40.793403480000002</v>
      </c>
      <c r="C2609" s="8" t="s">
        <v>6448</v>
      </c>
      <c r="D2609" s="8" t="s">
        <v>2056</v>
      </c>
      <c r="E2609" s="8" t="b">
        <f t="shared" si="40"/>
        <v>0</v>
      </c>
      <c r="F2609" s="8" t="str" cm="1">
        <f t="array" ref="F2609">_xlfn._xlws.FILTER(E2609:E5807, C2609:C5807= "6D-PM-1020-01", "No Squirrels Found")</f>
        <v>No Squirrels Found</v>
      </c>
      <c r="G2609" s="8" t="s">
        <v>48</v>
      </c>
      <c r="H2609" s="10">
        <v>10192018</v>
      </c>
      <c r="I2609" s="10">
        <v>2</v>
      </c>
      <c r="J2609" s="8" t="s">
        <v>39</v>
      </c>
      <c r="K2609" s="8" t="s">
        <v>41</v>
      </c>
      <c r="L2609" s="8" t="s">
        <v>40</v>
      </c>
      <c r="M2609" s="8" t="s">
        <v>110</v>
      </c>
      <c r="O2609" s="8" t="s">
        <v>43</v>
      </c>
      <c r="P2609" s="8" t="b">
        <v>0</v>
      </c>
      <c r="R2609" s="8" t="b">
        <v>0</v>
      </c>
      <c r="S2609" s="8" t="b">
        <v>0</v>
      </c>
      <c r="T2609" s="8" t="b">
        <v>0</v>
      </c>
      <c r="U2609" s="8" t="b">
        <v>0</v>
      </c>
      <c r="V2609" s="8" t="b">
        <v>1</v>
      </c>
      <c r="X2609" s="8" t="b">
        <v>0</v>
      </c>
      <c r="Y2609" s="8" t="b">
        <v>0</v>
      </c>
      <c r="Z2609" s="8" t="b">
        <v>0</v>
      </c>
      <c r="AA2609" s="8" t="b">
        <v>0</v>
      </c>
      <c r="AB2609" s="8" t="b">
        <v>0</v>
      </c>
      <c r="AC2609" s="8" t="b">
        <v>0</v>
      </c>
      <c r="AD2609" s="8" t="b">
        <v>0</v>
      </c>
      <c r="AE2609" s="8" t="b">
        <v>1</v>
      </c>
      <c r="AG2609" s="11" t="b" cm="1">
        <f t="array" ref="AG2609">IF(OR(Y2609:AA2609="TRUE", AE2609="true"), "Threatened")</f>
        <v>0</v>
      </c>
      <c r="AH2609" s="11" t="s">
        <v>6449</v>
      </c>
      <c r="AI2609" s="8" t="b">
        <v>1</v>
      </c>
    </row>
    <row r="2610" spans="1:35" ht="31.2">
      <c r="A2610" s="8">
        <v>-73.959686529999999</v>
      </c>
      <c r="B2610" s="8">
        <v>40.789378720000002</v>
      </c>
      <c r="C2610" s="8" t="s">
        <v>6450</v>
      </c>
      <c r="D2610" s="8" t="s">
        <v>896</v>
      </c>
      <c r="E2610" s="8" t="b">
        <f t="shared" si="40"/>
        <v>0</v>
      </c>
      <c r="F2610" s="8" t="str" cm="1">
        <f t="array" ref="F2610">_xlfn._xlws.FILTER(E2610:E5808, C2610:C5808= "6D-PM-1020-01", "No Squirrels Found")</f>
        <v>No Squirrels Found</v>
      </c>
      <c r="G2610" s="8" t="s">
        <v>48</v>
      </c>
      <c r="H2610" s="10">
        <v>10132018</v>
      </c>
      <c r="I2610" s="10">
        <v>1</v>
      </c>
      <c r="J2610" s="8" t="s">
        <v>39</v>
      </c>
      <c r="K2610" s="8" t="s">
        <v>40</v>
      </c>
      <c r="L2610" s="8" t="s">
        <v>192</v>
      </c>
      <c r="M2610" s="8" t="s">
        <v>354</v>
      </c>
      <c r="O2610" s="8" t="s">
        <v>50</v>
      </c>
      <c r="P2610" s="8">
        <v>25</v>
      </c>
      <c r="R2610" s="8" t="b">
        <v>1</v>
      </c>
      <c r="S2610" s="8" t="b">
        <v>0</v>
      </c>
      <c r="T2610" s="8" t="b">
        <v>1</v>
      </c>
      <c r="U2610" s="8" t="b">
        <v>0</v>
      </c>
      <c r="V2610" s="8" t="b">
        <v>0</v>
      </c>
      <c r="X2610" s="8" t="b">
        <v>0</v>
      </c>
      <c r="Y2610" s="8" t="b">
        <v>0</v>
      </c>
      <c r="Z2610" s="8" t="b">
        <v>0</v>
      </c>
      <c r="AA2610" s="8" t="b">
        <v>0</v>
      </c>
      <c r="AB2610" s="8" t="b">
        <v>0</v>
      </c>
      <c r="AC2610" s="8" t="b">
        <v>0</v>
      </c>
      <c r="AD2610" s="8" t="b">
        <v>0</v>
      </c>
      <c r="AE2610" s="8" t="b">
        <v>0</v>
      </c>
      <c r="AG2610" s="11" t="b" cm="1">
        <f t="array" ref="AG2610">IF(OR(Y2610:AA2610="TRUE", AE2610="true"), "Threatened")</f>
        <v>0</v>
      </c>
      <c r="AH2610" s="11" t="s">
        <v>6451</v>
      </c>
      <c r="AI2610" s="8" t="b">
        <v>1</v>
      </c>
    </row>
    <row r="2611" spans="1:35" ht="31.2">
      <c r="A2611" s="8">
        <v>-73.971337989999995</v>
      </c>
      <c r="B2611" s="8">
        <v>40.769636759999997</v>
      </c>
      <c r="C2611" s="8" t="s">
        <v>6452</v>
      </c>
      <c r="D2611" s="8" t="s">
        <v>113</v>
      </c>
      <c r="E2611" s="8" t="b">
        <f t="shared" si="40"/>
        <v>0</v>
      </c>
      <c r="F2611" s="8" t="str" cm="1">
        <f t="array" ref="F2611">_xlfn._xlws.FILTER(E2611:E5809, C2611:C5809= "6D-PM-1020-01", "No Squirrels Found")</f>
        <v>No Squirrels Found</v>
      </c>
      <c r="G2611" s="8" t="s">
        <v>34</v>
      </c>
      <c r="H2611" s="10">
        <v>10062018</v>
      </c>
      <c r="I2611" s="10">
        <v>1</v>
      </c>
      <c r="J2611" s="8" t="s">
        <v>39</v>
      </c>
      <c r="K2611" s="8" t="s">
        <v>40</v>
      </c>
      <c r="L2611" s="8" t="s">
        <v>117</v>
      </c>
      <c r="M2611" s="8" t="s">
        <v>118</v>
      </c>
      <c r="O2611" s="8" t="s">
        <v>43</v>
      </c>
      <c r="P2611" s="8" t="b">
        <v>0</v>
      </c>
      <c r="Q2611" s="8" t="s">
        <v>6453</v>
      </c>
      <c r="R2611" s="8" t="b">
        <v>0</v>
      </c>
      <c r="S2611" s="8" t="b">
        <v>0</v>
      </c>
      <c r="T2611" s="8" t="b">
        <v>0</v>
      </c>
      <c r="U2611" s="8" t="b">
        <v>1</v>
      </c>
      <c r="V2611" s="8" t="b">
        <v>1</v>
      </c>
      <c r="X2611" s="8" t="b">
        <v>0</v>
      </c>
      <c r="Y2611" s="8" t="b">
        <v>0</v>
      </c>
      <c r="Z2611" s="8" t="b">
        <v>0</v>
      </c>
      <c r="AA2611" s="8" t="b">
        <v>0</v>
      </c>
      <c r="AB2611" s="8" t="b">
        <v>1</v>
      </c>
      <c r="AC2611" s="8" t="b">
        <v>1</v>
      </c>
      <c r="AD2611" s="8" t="b">
        <v>0</v>
      </c>
      <c r="AE2611" s="8" t="b">
        <v>0</v>
      </c>
      <c r="AG2611" s="11" t="b" cm="1">
        <f t="array" ref="AG2611">IF(OR(Y2611:AA2611="TRUE", AE2611="true"), "Threatened")</f>
        <v>0</v>
      </c>
      <c r="AH2611" s="11" t="s">
        <v>6454</v>
      </c>
      <c r="AI2611" s="8" t="b">
        <v>1</v>
      </c>
    </row>
    <row r="2612" spans="1:35" ht="31.2">
      <c r="A2612" s="8">
        <v>-73.951448049999996</v>
      </c>
      <c r="B2612" s="8">
        <v>40.797395160000001</v>
      </c>
      <c r="C2612" s="8" t="s">
        <v>6455</v>
      </c>
      <c r="D2612" s="8" t="s">
        <v>401</v>
      </c>
      <c r="E2612" s="8" t="b">
        <f t="shared" si="40"/>
        <v>0</v>
      </c>
      <c r="F2612" s="8" t="str" cm="1">
        <f t="array" ref="F2612">_xlfn._xlws.FILTER(E2612:E5810, C2612:C5810= "6D-PM-1020-01", "No Squirrels Found")</f>
        <v>No Squirrels Found</v>
      </c>
      <c r="G2612" s="8" t="s">
        <v>48</v>
      </c>
      <c r="H2612" s="10">
        <v>10182018</v>
      </c>
      <c r="I2612" s="10">
        <v>2</v>
      </c>
      <c r="J2612" s="8" t="s">
        <v>39</v>
      </c>
      <c r="K2612" s="8" t="s">
        <v>40</v>
      </c>
      <c r="M2612" s="8" t="s">
        <v>55</v>
      </c>
      <c r="O2612" s="8" t="s">
        <v>43</v>
      </c>
      <c r="P2612" s="8" t="b">
        <v>0</v>
      </c>
      <c r="R2612" s="8" t="b">
        <v>1</v>
      </c>
      <c r="S2612" s="8" t="b">
        <v>0</v>
      </c>
      <c r="T2612" s="8" t="b">
        <v>0</v>
      </c>
      <c r="U2612" s="8" t="b">
        <v>0</v>
      </c>
      <c r="V2612" s="8" t="b">
        <v>0</v>
      </c>
      <c r="X2612" s="8" t="b">
        <v>0</v>
      </c>
      <c r="Y2612" s="8" t="b">
        <v>0</v>
      </c>
      <c r="Z2612" s="8" t="b">
        <v>0</v>
      </c>
      <c r="AA2612" s="8" t="b">
        <v>0</v>
      </c>
      <c r="AB2612" s="8" t="b">
        <v>0</v>
      </c>
      <c r="AC2612" s="8" t="b">
        <v>0</v>
      </c>
      <c r="AD2612" s="8" t="b">
        <v>1</v>
      </c>
      <c r="AE2612" s="8" t="b">
        <v>0</v>
      </c>
      <c r="AG2612" s="11" t="b" cm="1">
        <f t="array" ref="AG2612">IF(OR(Y2612:AA2612="TRUE", AE2612="true"), "Threatened")</f>
        <v>0</v>
      </c>
      <c r="AH2612" s="11" t="s">
        <v>6456</v>
      </c>
      <c r="AI2612" s="8" t="b">
        <v>1</v>
      </c>
    </row>
    <row r="2613" spans="1:35" ht="31.2">
      <c r="A2613" s="8">
        <v>-73.971167300000005</v>
      </c>
      <c r="B2613" s="8">
        <v>40.774797960000001</v>
      </c>
      <c r="C2613" s="8" t="s">
        <v>6457</v>
      </c>
      <c r="D2613" s="8" t="s">
        <v>738</v>
      </c>
      <c r="E2613" s="8" t="b">
        <f t="shared" si="40"/>
        <v>0</v>
      </c>
      <c r="F2613" s="8" t="str" cm="1">
        <f t="array" ref="F2613">_xlfn._xlws.FILTER(E2613:E5811, C2613:C5811= "6D-PM-1020-01", "No Squirrels Found")</f>
        <v>No Squirrels Found</v>
      </c>
      <c r="G2613" s="8" t="s">
        <v>34</v>
      </c>
      <c r="H2613" s="10">
        <v>10182018</v>
      </c>
      <c r="I2613" s="10">
        <v>5</v>
      </c>
      <c r="J2613" s="8" t="s">
        <v>39</v>
      </c>
      <c r="K2613" s="8" t="s">
        <v>41</v>
      </c>
      <c r="M2613" s="8" t="s">
        <v>49</v>
      </c>
      <c r="O2613" s="8" t="s">
        <v>43</v>
      </c>
      <c r="P2613" s="8" t="b">
        <v>0</v>
      </c>
      <c r="R2613" s="8" t="b">
        <v>0</v>
      </c>
      <c r="S2613" s="8" t="b">
        <v>0</v>
      </c>
      <c r="T2613" s="8" t="b">
        <v>0</v>
      </c>
      <c r="U2613" s="8" t="b">
        <v>0</v>
      </c>
      <c r="V2613" s="8" t="b">
        <v>1</v>
      </c>
      <c r="X2613" s="8" t="b">
        <v>0</v>
      </c>
      <c r="Y2613" s="8" t="b">
        <v>0</v>
      </c>
      <c r="Z2613" s="8" t="b">
        <v>0</v>
      </c>
      <c r="AA2613" s="8" t="b">
        <v>0</v>
      </c>
      <c r="AB2613" s="8" t="b">
        <v>1</v>
      </c>
      <c r="AC2613" s="8" t="b">
        <v>0</v>
      </c>
      <c r="AD2613" s="8" t="b">
        <v>1</v>
      </c>
      <c r="AE2613" s="8" t="b">
        <v>0</v>
      </c>
      <c r="AG2613" s="11" t="b" cm="1">
        <f t="array" ref="AG2613">IF(OR(Y2613:AA2613="TRUE", AE2613="true"), "Threatened")</f>
        <v>0</v>
      </c>
      <c r="AH2613" s="11" t="s">
        <v>6458</v>
      </c>
      <c r="AI2613" s="8" t="b">
        <v>1</v>
      </c>
    </row>
    <row r="2614" spans="1:35" ht="31.2">
      <c r="A2614" s="8">
        <v>-73.963932529999994</v>
      </c>
      <c r="B2614" s="8">
        <v>40.780828980000003</v>
      </c>
      <c r="C2614" s="8" t="s">
        <v>6459</v>
      </c>
      <c r="D2614" s="8" t="s">
        <v>358</v>
      </c>
      <c r="E2614" s="8" t="b">
        <f t="shared" si="40"/>
        <v>0</v>
      </c>
      <c r="F2614" s="8" t="str" cm="1">
        <f t="array" ref="F2614">_xlfn._xlws.FILTER(E2614:E5812, C2614:C5812= "6D-PM-1020-01", "No Squirrels Found")</f>
        <v>No Squirrels Found</v>
      </c>
      <c r="G2614" s="8" t="s">
        <v>48</v>
      </c>
      <c r="H2614" s="10">
        <v>10142018</v>
      </c>
      <c r="I2614" s="10">
        <v>4</v>
      </c>
      <c r="J2614" s="8" t="s">
        <v>39</v>
      </c>
      <c r="K2614" s="8" t="s">
        <v>40</v>
      </c>
      <c r="L2614" s="8" t="s">
        <v>84</v>
      </c>
      <c r="M2614" s="8" t="s">
        <v>103</v>
      </c>
      <c r="O2614" s="8" t="s">
        <v>50</v>
      </c>
      <c r="P2614" s="8">
        <v>6</v>
      </c>
      <c r="R2614" s="8" t="b">
        <v>0</v>
      </c>
      <c r="S2614" s="8" t="b">
        <v>0</v>
      </c>
      <c r="T2614" s="8" t="b">
        <v>0</v>
      </c>
      <c r="U2614" s="8" t="b">
        <v>1</v>
      </c>
      <c r="V2614" s="8" t="b">
        <v>0</v>
      </c>
      <c r="X2614" s="8" t="b">
        <v>0</v>
      </c>
      <c r="Y2614" s="8" t="b">
        <v>0</v>
      </c>
      <c r="Z2614" s="8" t="b">
        <v>0</v>
      </c>
      <c r="AA2614" s="8" t="b">
        <v>0</v>
      </c>
      <c r="AB2614" s="8" t="b">
        <v>0</v>
      </c>
      <c r="AC2614" s="8" t="b">
        <v>0</v>
      </c>
      <c r="AD2614" s="8" t="b">
        <v>1</v>
      </c>
      <c r="AE2614" s="8" t="b">
        <v>0</v>
      </c>
      <c r="AG2614" s="11" t="b" cm="1">
        <f t="array" ref="AG2614">IF(OR(Y2614:AA2614="TRUE", AE2614="true"), "Threatened")</f>
        <v>0</v>
      </c>
      <c r="AH2614" s="11" t="s">
        <v>6460</v>
      </c>
      <c r="AI2614" s="8" t="b">
        <v>1</v>
      </c>
    </row>
    <row r="2615" spans="1:35" ht="31.2">
      <c r="A2615" s="8">
        <v>-73.976587789999996</v>
      </c>
      <c r="B2615" s="8">
        <v>40.766094610000003</v>
      </c>
      <c r="C2615" s="8" t="s">
        <v>6283</v>
      </c>
      <c r="D2615" s="8" t="s">
        <v>1862</v>
      </c>
      <c r="E2615" s="8" t="b">
        <f t="shared" si="40"/>
        <v>0</v>
      </c>
      <c r="F2615" s="8" t="str" cm="1">
        <f t="array" ref="F2615">_xlfn._xlws.FILTER(E2615:E5813, C2615:C5813= "6D-PM-1020-01", "No Squirrels Found")</f>
        <v>No Squirrels Found</v>
      </c>
      <c r="G2615" s="8" t="s">
        <v>48</v>
      </c>
      <c r="H2615" s="10">
        <v>10102018</v>
      </c>
      <c r="I2615" s="10">
        <v>4</v>
      </c>
      <c r="J2615" s="8" t="s">
        <v>39</v>
      </c>
      <c r="K2615" s="8" t="s">
        <v>40</v>
      </c>
      <c r="M2615" s="8" t="s">
        <v>55</v>
      </c>
      <c r="O2615" s="8" t="s">
        <v>43</v>
      </c>
      <c r="P2615" s="8" t="b">
        <v>0</v>
      </c>
      <c r="R2615" s="8" t="b">
        <v>0</v>
      </c>
      <c r="S2615" s="8" t="b">
        <v>0</v>
      </c>
      <c r="T2615" s="8" t="b">
        <v>0</v>
      </c>
      <c r="U2615" s="8" t="b">
        <v>1</v>
      </c>
      <c r="V2615" s="8" t="b">
        <v>0</v>
      </c>
      <c r="X2615" s="8" t="b">
        <v>0</v>
      </c>
      <c r="Y2615" s="8" t="b">
        <v>0</v>
      </c>
      <c r="Z2615" s="8" t="b">
        <v>0</v>
      </c>
      <c r="AA2615" s="8" t="b">
        <v>0</v>
      </c>
      <c r="AB2615" s="8" t="b">
        <v>0</v>
      </c>
      <c r="AC2615" s="8" t="b">
        <v>0</v>
      </c>
      <c r="AD2615" s="8" t="b">
        <v>1</v>
      </c>
      <c r="AE2615" s="8" t="b">
        <v>0</v>
      </c>
      <c r="AG2615" s="11" t="b" cm="1">
        <f t="array" ref="AG2615">IF(OR(Y2615:AA2615="TRUE", AE2615="true"), "Threatened")</f>
        <v>0</v>
      </c>
      <c r="AH2615" s="11" t="s">
        <v>6461</v>
      </c>
      <c r="AI2615" s="8" t="b">
        <v>1</v>
      </c>
    </row>
    <row r="2616" spans="1:35" ht="31.2">
      <c r="A2616" s="8">
        <v>-73.973460520000003</v>
      </c>
      <c r="B2616" s="8">
        <v>40.768621889999999</v>
      </c>
      <c r="C2616" s="8" t="s">
        <v>6462</v>
      </c>
      <c r="D2616" s="8" t="s">
        <v>1668</v>
      </c>
      <c r="E2616" s="8" t="b">
        <f t="shared" si="40"/>
        <v>0</v>
      </c>
      <c r="F2616" s="8" t="str" cm="1">
        <f t="array" ref="F2616">_xlfn._xlws.FILTER(E2616:E5814, C2616:C5814= "6D-PM-1020-01", "No Squirrels Found")</f>
        <v>No Squirrels Found</v>
      </c>
      <c r="G2616" s="8" t="s">
        <v>34</v>
      </c>
      <c r="H2616" s="10">
        <v>10102018</v>
      </c>
      <c r="I2616" s="10">
        <v>2</v>
      </c>
      <c r="J2616" s="8" t="s">
        <v>39</v>
      </c>
      <c r="K2616" s="8" t="s">
        <v>40</v>
      </c>
      <c r="L2616" s="8" t="s">
        <v>41</v>
      </c>
      <c r="M2616" s="8" t="s">
        <v>42</v>
      </c>
      <c r="O2616" s="8" t="s">
        <v>43</v>
      </c>
      <c r="P2616" s="8" t="b">
        <v>0</v>
      </c>
      <c r="R2616" s="8" t="b">
        <v>0</v>
      </c>
      <c r="S2616" s="8" t="b">
        <v>0</v>
      </c>
      <c r="T2616" s="8" t="b">
        <v>0</v>
      </c>
      <c r="U2616" s="8" t="b">
        <v>1</v>
      </c>
      <c r="V2616" s="8" t="b">
        <v>1</v>
      </c>
      <c r="X2616" s="8" t="b">
        <v>0</v>
      </c>
      <c r="Y2616" s="8" t="b">
        <v>0</v>
      </c>
      <c r="Z2616" s="8" t="b">
        <v>0</v>
      </c>
      <c r="AA2616" s="8" t="b">
        <v>0</v>
      </c>
      <c r="AB2616" s="8" t="b">
        <v>0</v>
      </c>
      <c r="AC2616" s="8" t="b">
        <v>0</v>
      </c>
      <c r="AD2616" s="8" t="b">
        <v>0</v>
      </c>
      <c r="AE2616" s="8" t="b">
        <v>1</v>
      </c>
      <c r="AG2616" s="11" t="b" cm="1">
        <f t="array" ref="AG2616">IF(OR(Y2616:AA2616="TRUE", AE2616="true"), "Threatened")</f>
        <v>0</v>
      </c>
      <c r="AH2616" s="11" t="s">
        <v>6463</v>
      </c>
      <c r="AI2616" s="8" t="b">
        <v>1</v>
      </c>
    </row>
    <row r="2617" spans="1:35" ht="31.2">
      <c r="A2617" s="8">
        <v>-73.967591769999999</v>
      </c>
      <c r="B2617" s="8">
        <v>40.77899223</v>
      </c>
      <c r="C2617" s="8" t="s">
        <v>6464</v>
      </c>
      <c r="D2617" s="8" t="s">
        <v>215</v>
      </c>
      <c r="E2617" s="8" t="b">
        <f t="shared" si="40"/>
        <v>0</v>
      </c>
      <c r="F2617" s="8" t="str" cm="1">
        <f t="array" ref="F2617">_xlfn._xlws.FILTER(E2617:E5815, C2617:C5815= "6D-PM-1020-01", "No Squirrels Found")</f>
        <v>No Squirrels Found</v>
      </c>
      <c r="G2617" s="8" t="s">
        <v>48</v>
      </c>
      <c r="H2617" s="10">
        <v>10172018</v>
      </c>
      <c r="I2617" s="10">
        <v>2</v>
      </c>
      <c r="J2617" s="8" t="s">
        <v>39</v>
      </c>
      <c r="K2617" s="8" t="s">
        <v>40</v>
      </c>
      <c r="M2617" s="8" t="s">
        <v>55</v>
      </c>
      <c r="O2617" s="8" t="s">
        <v>50</v>
      </c>
      <c r="P2617" s="8">
        <v>8</v>
      </c>
      <c r="Q2617" s="8" t="s">
        <v>3016</v>
      </c>
      <c r="R2617" s="8" t="b">
        <v>0</v>
      </c>
      <c r="S2617" s="8" t="b">
        <v>0</v>
      </c>
      <c r="T2617" s="8" t="b">
        <v>1</v>
      </c>
      <c r="U2617" s="8" t="b">
        <v>0</v>
      </c>
      <c r="V2617" s="8" t="b">
        <v>1</v>
      </c>
      <c r="X2617" s="8" t="b">
        <v>0</v>
      </c>
      <c r="Y2617" s="8" t="b">
        <v>0</v>
      </c>
      <c r="Z2617" s="8" t="b">
        <v>0</v>
      </c>
      <c r="AA2617" s="8" t="b">
        <v>0</v>
      </c>
      <c r="AB2617" s="8" t="b">
        <v>0</v>
      </c>
      <c r="AC2617" s="8" t="b">
        <v>0</v>
      </c>
      <c r="AD2617" s="8" t="b">
        <v>1</v>
      </c>
      <c r="AE2617" s="8" t="b">
        <v>0</v>
      </c>
      <c r="AG2617" s="11" t="b" cm="1">
        <f t="array" ref="AG2617">IF(OR(Y2617:AA2617="TRUE", AE2617="true"), "Threatened")</f>
        <v>0</v>
      </c>
      <c r="AH2617" s="11" t="s">
        <v>6465</v>
      </c>
      <c r="AI2617" s="8" t="b">
        <v>1</v>
      </c>
    </row>
    <row r="2618" spans="1:35" ht="31.2">
      <c r="A2618" s="8">
        <v>-73.95642282</v>
      </c>
      <c r="B2618" s="8">
        <v>40.793690890000001</v>
      </c>
      <c r="C2618" s="8" t="s">
        <v>6466</v>
      </c>
      <c r="D2618" s="8" t="s">
        <v>702</v>
      </c>
      <c r="E2618" s="8" t="b">
        <f t="shared" si="40"/>
        <v>0</v>
      </c>
      <c r="F2618" s="8" t="str" cm="1">
        <f t="array" ref="F2618">_xlfn._xlws.FILTER(E2618:E5816, C2618:C5816= "6D-PM-1020-01", "No Squirrels Found")</f>
        <v>No Squirrels Found</v>
      </c>
      <c r="G2618" s="8" t="s">
        <v>34</v>
      </c>
      <c r="H2618" s="10">
        <v>10122018</v>
      </c>
      <c r="I2618" s="10">
        <v>6</v>
      </c>
      <c r="J2618" s="8" t="s">
        <v>39</v>
      </c>
      <c r="K2618" s="8" t="s">
        <v>40</v>
      </c>
      <c r="L2618" s="8" t="s">
        <v>84</v>
      </c>
      <c r="M2618" s="8" t="s">
        <v>103</v>
      </c>
      <c r="O2618" s="8" t="s">
        <v>43</v>
      </c>
      <c r="P2618" s="8" t="b">
        <v>0</v>
      </c>
      <c r="R2618" s="8" t="b">
        <v>0</v>
      </c>
      <c r="S2618" s="8" t="b">
        <v>0</v>
      </c>
      <c r="T2618" s="8" t="b">
        <v>0</v>
      </c>
      <c r="U2618" s="8" t="b">
        <v>0</v>
      </c>
      <c r="V2618" s="8" t="b">
        <v>0</v>
      </c>
      <c r="X2618" s="8" t="b">
        <v>0</v>
      </c>
      <c r="Y2618" s="8" t="b">
        <v>0</v>
      </c>
      <c r="Z2618" s="8" t="b">
        <v>0</v>
      </c>
      <c r="AA2618" s="8" t="b">
        <v>0</v>
      </c>
      <c r="AB2618" s="8" t="b">
        <v>0</v>
      </c>
      <c r="AC2618" s="8" t="b">
        <v>0</v>
      </c>
      <c r="AD2618" s="8" t="b">
        <v>0</v>
      </c>
      <c r="AE2618" s="8" t="b">
        <v>0</v>
      </c>
      <c r="AG2618" s="11" t="b" cm="1">
        <f t="array" ref="AG2618">IF(OR(Y2618:AA2618="TRUE", AE2618="true"), "Threatened")</f>
        <v>0</v>
      </c>
      <c r="AH2618" s="11" t="s">
        <v>6467</v>
      </c>
      <c r="AI2618" s="8" t="b">
        <v>1</v>
      </c>
    </row>
    <row r="2619" spans="1:35" ht="31.2">
      <c r="A2619" s="8">
        <v>-73.95795158</v>
      </c>
      <c r="B2619" s="8">
        <v>40.79612547</v>
      </c>
      <c r="C2619" s="8" t="s">
        <v>6468</v>
      </c>
      <c r="D2619" s="8" t="s">
        <v>191</v>
      </c>
      <c r="E2619" s="8" t="b">
        <f t="shared" si="40"/>
        <v>0</v>
      </c>
      <c r="F2619" s="8" t="str" cm="1">
        <f t="array" ref="F2619">_xlfn._xlws.FILTER(E2619:E5817, C2619:C5817= "6D-PM-1020-01", "No Squirrels Found")</f>
        <v>No Squirrels Found</v>
      </c>
      <c r="G2619" s="8" t="s">
        <v>34</v>
      </c>
      <c r="H2619" s="10">
        <v>10142018</v>
      </c>
      <c r="I2619" s="10">
        <v>4</v>
      </c>
      <c r="J2619" s="8" t="s">
        <v>39</v>
      </c>
      <c r="K2619" s="8" t="s">
        <v>40</v>
      </c>
      <c r="L2619" s="8" t="s">
        <v>84</v>
      </c>
      <c r="M2619" s="8" t="s">
        <v>103</v>
      </c>
      <c r="O2619" s="8" t="s">
        <v>43</v>
      </c>
      <c r="P2619" s="8" t="b">
        <v>0</v>
      </c>
      <c r="R2619" s="8" t="b">
        <v>1</v>
      </c>
      <c r="S2619" s="8" t="b">
        <v>0</v>
      </c>
      <c r="T2619" s="8" t="b">
        <v>0</v>
      </c>
      <c r="U2619" s="8" t="b">
        <v>1</v>
      </c>
      <c r="V2619" s="8" t="b">
        <v>0</v>
      </c>
      <c r="X2619" s="8" t="b">
        <v>0</v>
      </c>
      <c r="Y2619" s="8" t="b">
        <v>0</v>
      </c>
      <c r="Z2619" s="8" t="b">
        <v>0</v>
      </c>
      <c r="AA2619" s="8" t="b">
        <v>1</v>
      </c>
      <c r="AB2619" s="8" t="b">
        <v>0</v>
      </c>
      <c r="AC2619" s="8" t="b">
        <v>0</v>
      </c>
      <c r="AD2619" s="8" t="b">
        <v>0</v>
      </c>
      <c r="AE2619" s="8" t="b">
        <v>1</v>
      </c>
      <c r="AG2619" s="11" t="b" cm="1">
        <f t="array" ref="AG2619">IF(OR(Y2619:AA2619="TRUE", AE2619="true"), "Threatened")</f>
        <v>0</v>
      </c>
      <c r="AH2619" s="11" t="s">
        <v>6469</v>
      </c>
      <c r="AI2619" s="8" t="b">
        <v>1</v>
      </c>
    </row>
    <row r="2620" spans="1:35" ht="31.2">
      <c r="A2620" s="8">
        <v>-73.973973760000007</v>
      </c>
      <c r="B2620" s="8">
        <v>40.77271305</v>
      </c>
      <c r="C2620" s="8" t="s">
        <v>6470</v>
      </c>
      <c r="D2620" s="8" t="s">
        <v>1549</v>
      </c>
      <c r="E2620" s="8" t="b">
        <f t="shared" si="40"/>
        <v>0</v>
      </c>
      <c r="F2620" s="8" t="str" cm="1">
        <f t="array" ref="F2620">_xlfn._xlws.FILTER(E2620:E5818, C2620:C5818= "6D-PM-1020-01", "No Squirrels Found")</f>
        <v>No Squirrels Found</v>
      </c>
      <c r="G2620" s="8" t="s">
        <v>48</v>
      </c>
      <c r="H2620" s="10">
        <v>10082018</v>
      </c>
      <c r="I2620" s="10">
        <v>4</v>
      </c>
      <c r="J2620" s="8" t="s">
        <v>39</v>
      </c>
      <c r="K2620" s="8" t="s">
        <v>40</v>
      </c>
      <c r="M2620" s="8" t="s">
        <v>55</v>
      </c>
      <c r="O2620" s="8" t="s">
        <v>43</v>
      </c>
      <c r="P2620" s="8" t="b">
        <v>0</v>
      </c>
      <c r="R2620" s="8" t="b">
        <v>1</v>
      </c>
      <c r="S2620" s="8" t="b">
        <v>0</v>
      </c>
      <c r="T2620" s="8" t="b">
        <v>0</v>
      </c>
      <c r="U2620" s="8" t="b">
        <v>0</v>
      </c>
      <c r="V2620" s="8" t="b">
        <v>0</v>
      </c>
      <c r="X2620" s="8" t="b">
        <v>0</v>
      </c>
      <c r="Y2620" s="8" t="b">
        <v>0</v>
      </c>
      <c r="Z2620" s="8" t="b">
        <v>0</v>
      </c>
      <c r="AA2620" s="8" t="b">
        <v>0</v>
      </c>
      <c r="AB2620" s="8" t="b">
        <v>0</v>
      </c>
      <c r="AC2620" s="8" t="b">
        <v>0</v>
      </c>
      <c r="AD2620" s="8" t="b">
        <v>1</v>
      </c>
      <c r="AE2620" s="8" t="b">
        <v>0</v>
      </c>
      <c r="AG2620" s="11" t="b" cm="1">
        <f t="array" ref="AG2620">IF(OR(Y2620:AA2620="TRUE", AE2620="true"), "Threatened")</f>
        <v>0</v>
      </c>
      <c r="AH2620" s="11" t="s">
        <v>6471</v>
      </c>
      <c r="AI2620" s="8" t="b">
        <v>1</v>
      </c>
    </row>
    <row r="2621" spans="1:35" ht="31.2">
      <c r="A2621" s="8">
        <v>-73.977180009999998</v>
      </c>
      <c r="B2621" s="8">
        <v>40.770886310000002</v>
      </c>
      <c r="C2621" s="8" t="s">
        <v>6472</v>
      </c>
      <c r="D2621" s="8" t="s">
        <v>109</v>
      </c>
      <c r="E2621" s="8" t="b">
        <f t="shared" si="40"/>
        <v>0</v>
      </c>
      <c r="F2621" s="8" t="str" cm="1">
        <f t="array" ref="F2621">_xlfn._xlws.FILTER(E2621:E5819, C2621:C5819= "6D-PM-1020-01", "No Squirrels Found")</f>
        <v>No Squirrels Found</v>
      </c>
      <c r="G2621" s="8" t="s">
        <v>34</v>
      </c>
      <c r="H2621" s="10">
        <v>10102018</v>
      </c>
      <c r="I2621" s="10">
        <v>3</v>
      </c>
      <c r="J2621" s="8" t="s">
        <v>39</v>
      </c>
      <c r="K2621" s="8" t="s">
        <v>41</v>
      </c>
      <c r="L2621" s="8" t="s">
        <v>84</v>
      </c>
      <c r="M2621" s="8" t="s">
        <v>85</v>
      </c>
      <c r="O2621" s="8" t="s">
        <v>43</v>
      </c>
      <c r="P2621" s="8" t="b">
        <v>0</v>
      </c>
      <c r="R2621" s="8" t="b">
        <v>1</v>
      </c>
      <c r="S2621" s="8" t="b">
        <v>0</v>
      </c>
      <c r="T2621" s="8" t="b">
        <v>0</v>
      </c>
      <c r="U2621" s="8" t="b">
        <v>0</v>
      </c>
      <c r="V2621" s="8" t="b">
        <v>0</v>
      </c>
      <c r="X2621" s="8" t="b">
        <v>0</v>
      </c>
      <c r="Y2621" s="8" t="b">
        <v>0</v>
      </c>
      <c r="Z2621" s="8" t="b">
        <v>0</v>
      </c>
      <c r="AA2621" s="8" t="b">
        <v>0</v>
      </c>
      <c r="AB2621" s="8" t="b">
        <v>0</v>
      </c>
      <c r="AC2621" s="8" t="b">
        <v>0</v>
      </c>
      <c r="AD2621" s="8" t="b">
        <v>0</v>
      </c>
      <c r="AE2621" s="8" t="b">
        <v>1</v>
      </c>
      <c r="AG2621" s="11" t="b" cm="1">
        <f t="array" ref="AG2621">IF(OR(Y2621:AA2621="TRUE", AE2621="true"), "Threatened")</f>
        <v>0</v>
      </c>
      <c r="AH2621" s="11" t="s">
        <v>6473</v>
      </c>
      <c r="AI2621" s="8" t="b">
        <v>1</v>
      </c>
    </row>
    <row r="2622" spans="1:35" ht="31.2">
      <c r="A2622" s="8">
        <v>-73.959690469999998</v>
      </c>
      <c r="B2622" s="8">
        <v>40.789720000000003</v>
      </c>
      <c r="C2622" s="8" t="s">
        <v>6474</v>
      </c>
      <c r="D2622" s="8" t="s">
        <v>1409</v>
      </c>
      <c r="E2622" s="8" t="b">
        <f t="shared" si="40"/>
        <v>0</v>
      </c>
      <c r="F2622" s="8" t="str" cm="1">
        <f t="array" ref="F2622">_xlfn._xlws.FILTER(E2622:E5820, C2622:C5820= "6D-PM-1020-01", "No Squirrels Found")</f>
        <v>No Squirrels Found</v>
      </c>
      <c r="G2622" s="8" t="s">
        <v>48</v>
      </c>
      <c r="H2622" s="10">
        <v>10142018</v>
      </c>
      <c r="I2622" s="10">
        <v>1</v>
      </c>
      <c r="J2622" s="8" t="s">
        <v>39</v>
      </c>
      <c r="K2622" s="8" t="s">
        <v>40</v>
      </c>
      <c r="M2622" s="8" t="s">
        <v>55</v>
      </c>
      <c r="O2622" s="8" t="s">
        <v>43</v>
      </c>
      <c r="P2622" s="8" t="b">
        <v>0</v>
      </c>
      <c r="R2622" s="8" t="b">
        <v>1</v>
      </c>
      <c r="S2622" s="8" t="b">
        <v>0</v>
      </c>
      <c r="T2622" s="8" t="b">
        <v>0</v>
      </c>
      <c r="U2622" s="8" t="b">
        <v>0</v>
      </c>
      <c r="V2622" s="8" t="b">
        <v>0</v>
      </c>
      <c r="X2622" s="8" t="b">
        <v>0</v>
      </c>
      <c r="Y2622" s="8" t="b">
        <v>0</v>
      </c>
      <c r="Z2622" s="8" t="b">
        <v>0</v>
      </c>
      <c r="AA2622" s="8" t="b">
        <v>0</v>
      </c>
      <c r="AB2622" s="8" t="b">
        <v>0</v>
      </c>
      <c r="AC2622" s="8" t="b">
        <v>0</v>
      </c>
      <c r="AD2622" s="8" t="b">
        <v>0</v>
      </c>
      <c r="AE2622" s="8" t="b">
        <v>1</v>
      </c>
      <c r="AG2622" s="11" t="b" cm="1">
        <f t="array" ref="AG2622">IF(OR(Y2622:AA2622="TRUE", AE2622="true"), "Threatened")</f>
        <v>0</v>
      </c>
      <c r="AH2622" s="11" t="s">
        <v>6475</v>
      </c>
      <c r="AI2622" s="8" t="b">
        <v>1</v>
      </c>
    </row>
    <row r="2623" spans="1:35" ht="31.2">
      <c r="A2623" s="8">
        <v>-73.969715960000002</v>
      </c>
      <c r="B2623" s="8">
        <v>40.773067140000002</v>
      </c>
      <c r="C2623" s="8" t="s">
        <v>6476</v>
      </c>
      <c r="D2623" s="8" t="s">
        <v>496</v>
      </c>
      <c r="E2623" s="8" t="b">
        <f t="shared" si="40"/>
        <v>0</v>
      </c>
      <c r="F2623" s="8" t="str" cm="1">
        <f t="array" ref="F2623">_xlfn._xlws.FILTER(E2623:E5821, C2623:C5821= "6D-PM-1020-01", "No Squirrels Found")</f>
        <v>No Squirrels Found</v>
      </c>
      <c r="G2623" s="8" t="s">
        <v>34</v>
      </c>
      <c r="H2623" s="10">
        <v>10132018</v>
      </c>
      <c r="I2623" s="10">
        <v>2</v>
      </c>
      <c r="J2623" s="8" t="s">
        <v>39</v>
      </c>
      <c r="K2623" s="8" t="s">
        <v>40</v>
      </c>
      <c r="L2623" s="8" t="s">
        <v>41</v>
      </c>
      <c r="M2623" s="8" t="s">
        <v>42</v>
      </c>
      <c r="O2623" s="8" t="s">
        <v>43</v>
      </c>
      <c r="P2623" s="8" t="b">
        <v>0</v>
      </c>
      <c r="Q2623" s="8" t="s">
        <v>6477</v>
      </c>
      <c r="R2623" s="8" t="b">
        <v>0</v>
      </c>
      <c r="S2623" s="8" t="b">
        <v>0</v>
      </c>
      <c r="T2623" s="8" t="b">
        <v>0</v>
      </c>
      <c r="U2623" s="8" t="b">
        <v>0</v>
      </c>
      <c r="V2623" s="8" t="b">
        <v>1</v>
      </c>
      <c r="X2623" s="8" t="b">
        <v>0</v>
      </c>
      <c r="Y2623" s="8" t="b">
        <v>0</v>
      </c>
      <c r="Z2623" s="8" t="b">
        <v>0</v>
      </c>
      <c r="AA2623" s="8" t="b">
        <v>0</v>
      </c>
      <c r="AB2623" s="8" t="b">
        <v>0</v>
      </c>
      <c r="AC2623" s="8" t="b">
        <v>0</v>
      </c>
      <c r="AD2623" s="8" t="b">
        <v>1</v>
      </c>
      <c r="AE2623" s="8" t="b">
        <v>0</v>
      </c>
      <c r="AG2623" s="11" t="b" cm="1">
        <f t="array" ref="AG2623">IF(OR(Y2623:AA2623="TRUE", AE2623="true"), "Threatened")</f>
        <v>0</v>
      </c>
      <c r="AH2623" s="11" t="s">
        <v>6478</v>
      </c>
      <c r="AI2623" s="8" t="b">
        <v>1</v>
      </c>
    </row>
    <row r="2624" spans="1:35" ht="31.2">
      <c r="A2624" s="8">
        <v>-73.960448290000002</v>
      </c>
      <c r="B2624" s="8">
        <v>40.789864629999997</v>
      </c>
      <c r="C2624" s="8" t="s">
        <v>6479</v>
      </c>
      <c r="D2624" s="8" t="s">
        <v>1409</v>
      </c>
      <c r="E2624" s="8" t="b">
        <f t="shared" si="40"/>
        <v>0</v>
      </c>
      <c r="F2624" s="8" t="str" cm="1">
        <f t="array" ref="F2624">_xlfn._xlws.FILTER(E2624:E5822, C2624:C5822= "6D-PM-1020-01", "No Squirrels Found")</f>
        <v>No Squirrels Found</v>
      </c>
      <c r="G2624" s="8" t="s">
        <v>34</v>
      </c>
      <c r="H2624" s="10">
        <v>10062018</v>
      </c>
      <c r="I2624" s="10">
        <v>7</v>
      </c>
      <c r="J2624" s="8" t="s">
        <v>39</v>
      </c>
      <c r="K2624" s="8" t="s">
        <v>40</v>
      </c>
      <c r="L2624" s="8" t="s">
        <v>41</v>
      </c>
      <c r="M2624" s="8" t="s">
        <v>42</v>
      </c>
      <c r="O2624" s="8" t="s">
        <v>43</v>
      </c>
      <c r="P2624" s="8" t="b">
        <v>0</v>
      </c>
      <c r="R2624" s="8" t="b">
        <v>0</v>
      </c>
      <c r="S2624" s="8" t="b">
        <v>0</v>
      </c>
      <c r="T2624" s="8" t="b">
        <v>0</v>
      </c>
      <c r="U2624" s="8" t="b">
        <v>0</v>
      </c>
      <c r="V2624" s="8" t="b">
        <v>1</v>
      </c>
      <c r="X2624" s="8" t="b">
        <v>0</v>
      </c>
      <c r="Y2624" s="8" t="b">
        <v>0</v>
      </c>
      <c r="Z2624" s="8" t="b">
        <v>0</v>
      </c>
      <c r="AA2624" s="8" t="b">
        <v>0</v>
      </c>
      <c r="AB2624" s="8" t="b">
        <v>0</v>
      </c>
      <c r="AC2624" s="8" t="b">
        <v>0</v>
      </c>
      <c r="AD2624" s="8" t="b">
        <v>1</v>
      </c>
      <c r="AE2624" s="8" t="b">
        <v>0</v>
      </c>
      <c r="AG2624" s="11" t="b" cm="1">
        <f t="array" ref="AG2624">IF(OR(Y2624:AA2624="TRUE", AE2624="true"), "Threatened")</f>
        <v>0</v>
      </c>
      <c r="AH2624" s="11" t="s">
        <v>6480</v>
      </c>
      <c r="AI2624" s="8" t="b">
        <v>1</v>
      </c>
    </row>
    <row r="2625" spans="1:35" ht="31.2">
      <c r="A2625" s="8">
        <v>-73.970630850000006</v>
      </c>
      <c r="B2625" s="8">
        <v>40.769617490000002</v>
      </c>
      <c r="C2625" s="8" t="s">
        <v>6481</v>
      </c>
      <c r="D2625" s="8" t="s">
        <v>113</v>
      </c>
      <c r="E2625" s="8" t="b">
        <f t="shared" si="40"/>
        <v>0</v>
      </c>
      <c r="F2625" s="8" t="str" cm="1">
        <f t="array" ref="F2625">_xlfn._xlws.FILTER(E2625:E5823, C2625:C5823= "6D-PM-1020-01", "No Squirrels Found")</f>
        <v>No Squirrels Found</v>
      </c>
      <c r="G2625" s="8" t="s">
        <v>34</v>
      </c>
      <c r="H2625" s="10">
        <v>10062018</v>
      </c>
      <c r="I2625" s="10">
        <v>10</v>
      </c>
      <c r="J2625" s="8" t="s">
        <v>39</v>
      </c>
      <c r="K2625" s="8" t="s">
        <v>40</v>
      </c>
      <c r="M2625" s="8" t="s">
        <v>55</v>
      </c>
      <c r="O2625" s="8" t="s">
        <v>43</v>
      </c>
      <c r="P2625" s="8" t="b">
        <v>0</v>
      </c>
      <c r="R2625" s="8" t="b">
        <v>0</v>
      </c>
      <c r="S2625" s="8" t="b">
        <v>0</v>
      </c>
      <c r="T2625" s="8" t="b">
        <v>0</v>
      </c>
      <c r="U2625" s="8" t="b">
        <v>0</v>
      </c>
      <c r="V2625" s="8" t="b">
        <v>1</v>
      </c>
      <c r="X2625" s="8" t="b">
        <v>0</v>
      </c>
      <c r="Y2625" s="8" t="b">
        <v>0</v>
      </c>
      <c r="Z2625" s="8" t="b">
        <v>0</v>
      </c>
      <c r="AA2625" s="8" t="b">
        <v>0</v>
      </c>
      <c r="AB2625" s="8" t="b">
        <v>0</v>
      </c>
      <c r="AC2625" s="8" t="b">
        <v>0</v>
      </c>
      <c r="AD2625" s="8" t="b">
        <v>0</v>
      </c>
      <c r="AE2625" s="8" t="b">
        <v>0</v>
      </c>
      <c r="AG2625" s="11" t="b" cm="1">
        <f t="array" ref="AG2625">IF(OR(Y2625:AA2625="TRUE", AE2625="true"), "Threatened")</f>
        <v>0</v>
      </c>
      <c r="AH2625" s="11" t="s">
        <v>6482</v>
      </c>
      <c r="AI2625" s="8" t="b">
        <v>1</v>
      </c>
    </row>
    <row r="2626" spans="1:35" ht="31.2">
      <c r="A2626" s="8">
        <v>-73.969918849999999</v>
      </c>
      <c r="B2626" s="8">
        <v>40.777218040000001</v>
      </c>
      <c r="C2626" s="8" t="s">
        <v>6483</v>
      </c>
      <c r="D2626" s="8" t="s">
        <v>150</v>
      </c>
      <c r="E2626" s="8" t="b">
        <f t="shared" si="40"/>
        <v>0</v>
      </c>
      <c r="F2626" s="8" t="str" cm="1">
        <f t="array" ref="F2626">_xlfn._xlws.FILTER(E2626:E5824, C2626:C5824= "6D-PM-1020-01", "No Squirrels Found")</f>
        <v>No Squirrels Found</v>
      </c>
      <c r="G2626" s="8" t="s">
        <v>34</v>
      </c>
      <c r="H2626" s="10">
        <v>10082018</v>
      </c>
      <c r="I2626" s="10">
        <v>9</v>
      </c>
      <c r="J2626" s="8" t="s">
        <v>39</v>
      </c>
      <c r="K2626" s="8" t="s">
        <v>40</v>
      </c>
      <c r="M2626" s="8" t="s">
        <v>55</v>
      </c>
      <c r="O2626" s="8" t="s">
        <v>43</v>
      </c>
      <c r="P2626" s="8" t="b">
        <v>0</v>
      </c>
      <c r="R2626" s="8" t="b">
        <v>0</v>
      </c>
      <c r="S2626" s="8" t="b">
        <v>0</v>
      </c>
      <c r="T2626" s="8" t="b">
        <v>0</v>
      </c>
      <c r="U2626" s="8" t="b">
        <v>1</v>
      </c>
      <c r="V2626" s="8" t="b">
        <v>1</v>
      </c>
      <c r="X2626" s="8" t="b">
        <v>0</v>
      </c>
      <c r="Y2626" s="8" t="b">
        <v>0</v>
      </c>
      <c r="Z2626" s="8" t="b">
        <v>0</v>
      </c>
      <c r="AA2626" s="8" t="b">
        <v>0</v>
      </c>
      <c r="AB2626" s="8" t="b">
        <v>0</v>
      </c>
      <c r="AC2626" s="8" t="b">
        <v>0</v>
      </c>
      <c r="AD2626" s="8" t="b">
        <v>1</v>
      </c>
      <c r="AE2626" s="8" t="b">
        <v>0</v>
      </c>
      <c r="AG2626" s="11" t="b" cm="1">
        <f t="array" ref="AG2626">IF(OR(Y2626:AA2626="TRUE", AE2626="true"), "Threatened")</f>
        <v>0</v>
      </c>
      <c r="AH2626" s="11" t="s">
        <v>6484</v>
      </c>
      <c r="AI2626" s="8" t="b">
        <v>1</v>
      </c>
    </row>
    <row r="2627" spans="1:35" ht="31.2">
      <c r="A2627" s="8">
        <v>-73.97373297</v>
      </c>
      <c r="B2627" s="8">
        <v>40.772642439999998</v>
      </c>
      <c r="C2627" s="8" t="s">
        <v>6485</v>
      </c>
      <c r="D2627" s="8" t="s">
        <v>2088</v>
      </c>
      <c r="E2627" s="8" t="b">
        <f t="shared" ref="E2627:E2690" si="41">OR(D2627 = "05D", D2627 = "07D", D2627 = "06C", D2627 = "06E")</f>
        <v>0</v>
      </c>
      <c r="F2627" s="8" t="str" cm="1">
        <f t="array" ref="F2627">_xlfn._xlws.FILTER(E2627:E5825, C2627:C5825= "6D-PM-1020-01", "No Squirrels Found")</f>
        <v>No Squirrels Found</v>
      </c>
      <c r="G2627" s="8" t="s">
        <v>34</v>
      </c>
      <c r="H2627" s="10">
        <v>10072018</v>
      </c>
      <c r="I2627" s="10">
        <v>2</v>
      </c>
      <c r="J2627" s="8" t="s">
        <v>39</v>
      </c>
      <c r="K2627" s="8" t="s">
        <v>40</v>
      </c>
      <c r="L2627" s="8" t="s">
        <v>41</v>
      </c>
      <c r="M2627" s="8" t="s">
        <v>42</v>
      </c>
      <c r="O2627" s="8" t="s">
        <v>43</v>
      </c>
      <c r="P2627" s="8" t="b">
        <v>0</v>
      </c>
      <c r="R2627" s="8" t="b">
        <v>0</v>
      </c>
      <c r="S2627" s="8" t="b">
        <v>0</v>
      </c>
      <c r="T2627" s="8" t="b">
        <v>0</v>
      </c>
      <c r="U2627" s="8" t="b">
        <v>1</v>
      </c>
      <c r="V2627" s="8" t="b">
        <v>0</v>
      </c>
      <c r="X2627" s="8" t="b">
        <v>0</v>
      </c>
      <c r="Y2627" s="8" t="b">
        <v>0</v>
      </c>
      <c r="Z2627" s="8" t="b">
        <v>0</v>
      </c>
      <c r="AA2627" s="8" t="b">
        <v>0</v>
      </c>
      <c r="AB2627" s="8" t="b">
        <v>0</v>
      </c>
      <c r="AC2627" s="8" t="b">
        <v>0</v>
      </c>
      <c r="AD2627" s="8" t="b">
        <v>1</v>
      </c>
      <c r="AE2627" s="8" t="b">
        <v>0</v>
      </c>
      <c r="AG2627" s="11" t="b" cm="1">
        <f t="array" ref="AG2627">IF(OR(Y2627:AA2627="TRUE", AE2627="true"), "Threatened")</f>
        <v>0</v>
      </c>
      <c r="AH2627" s="11" t="s">
        <v>6486</v>
      </c>
      <c r="AI2627" s="8" t="b">
        <v>1</v>
      </c>
    </row>
    <row r="2628" spans="1:35" ht="31.2">
      <c r="A2628" s="8">
        <v>-73.976634809999993</v>
      </c>
      <c r="B2628" s="8">
        <v>40.771771559999998</v>
      </c>
      <c r="C2628" s="8" t="s">
        <v>6487</v>
      </c>
      <c r="D2628" s="8" t="s">
        <v>2804</v>
      </c>
      <c r="E2628" s="8" t="b">
        <f t="shared" si="41"/>
        <v>0</v>
      </c>
      <c r="F2628" s="8" t="str" cm="1">
        <f t="array" ref="F2628">_xlfn._xlws.FILTER(E2628:E5826, C2628:C5826= "6D-PM-1020-01", "No Squirrels Found")</f>
        <v>No Squirrels Found</v>
      </c>
      <c r="G2628" s="8" t="s">
        <v>48</v>
      </c>
      <c r="H2628" s="10">
        <v>10122018</v>
      </c>
      <c r="I2628" s="10">
        <v>1</v>
      </c>
      <c r="J2628" s="8" t="s">
        <v>39</v>
      </c>
      <c r="K2628" s="8" t="s">
        <v>40</v>
      </c>
      <c r="L2628" s="8" t="s">
        <v>41</v>
      </c>
      <c r="M2628" s="8" t="s">
        <v>42</v>
      </c>
      <c r="O2628" s="8" t="s">
        <v>43</v>
      </c>
      <c r="P2628" s="8" t="b">
        <v>0</v>
      </c>
      <c r="R2628" s="8" t="b">
        <v>1</v>
      </c>
      <c r="S2628" s="8" t="b">
        <v>0</v>
      </c>
      <c r="T2628" s="8" t="b">
        <v>0</v>
      </c>
      <c r="U2628" s="8" t="b">
        <v>0</v>
      </c>
      <c r="V2628" s="8" t="b">
        <v>1</v>
      </c>
      <c r="W2628" s="11" t="s">
        <v>6488</v>
      </c>
      <c r="X2628" s="8" t="b">
        <v>0</v>
      </c>
      <c r="Y2628" s="8" t="b">
        <v>0</v>
      </c>
      <c r="Z2628" s="8" t="b">
        <v>0</v>
      </c>
      <c r="AA2628" s="8" t="b">
        <v>0</v>
      </c>
      <c r="AB2628" s="8" t="b">
        <v>0</v>
      </c>
      <c r="AC2628" s="8" t="b">
        <v>0</v>
      </c>
      <c r="AD2628" s="8" t="b">
        <v>1</v>
      </c>
      <c r="AE2628" s="8" t="b">
        <v>0</v>
      </c>
      <c r="AG2628" s="11" t="b" cm="1">
        <f t="array" ref="AG2628">IF(OR(Y2628:AA2628="TRUE", AE2628="true"), "Threatened")</f>
        <v>0</v>
      </c>
      <c r="AH2628" s="11" t="s">
        <v>6489</v>
      </c>
      <c r="AI2628" s="8" t="b">
        <v>0</v>
      </c>
    </row>
    <row r="2629" spans="1:35" ht="31.2">
      <c r="A2629" s="8">
        <v>-73.977043910000006</v>
      </c>
      <c r="B2629" s="8">
        <v>40.76857201</v>
      </c>
      <c r="C2629" s="8" t="s">
        <v>6490</v>
      </c>
      <c r="D2629" s="8" t="s">
        <v>512</v>
      </c>
      <c r="E2629" s="8" t="b">
        <f t="shared" si="41"/>
        <v>0</v>
      </c>
      <c r="F2629" s="8" t="str" cm="1">
        <f t="array" ref="F2629">_xlfn._xlws.FILTER(E2629:E5827, C2629:C5827= "6D-PM-1020-01", "No Squirrels Found")</f>
        <v>No Squirrels Found</v>
      </c>
      <c r="G2629" s="8" t="s">
        <v>34</v>
      </c>
      <c r="H2629" s="10">
        <v>10102018</v>
      </c>
      <c r="I2629" s="10">
        <v>13</v>
      </c>
      <c r="J2629" s="8" t="s">
        <v>39</v>
      </c>
      <c r="K2629" s="8" t="s">
        <v>40</v>
      </c>
      <c r="L2629" s="8" t="s">
        <v>84</v>
      </c>
      <c r="M2629" s="8" t="s">
        <v>103</v>
      </c>
      <c r="O2629" s="8" t="s">
        <v>43</v>
      </c>
      <c r="P2629" s="8" t="b">
        <v>0</v>
      </c>
      <c r="R2629" s="8" t="b">
        <v>1</v>
      </c>
      <c r="S2629" s="8" t="b">
        <v>0</v>
      </c>
      <c r="T2629" s="8" t="b">
        <v>0</v>
      </c>
      <c r="U2629" s="8" t="b">
        <v>0</v>
      </c>
      <c r="V2629" s="8" t="b">
        <v>0</v>
      </c>
      <c r="X2629" s="8" t="b">
        <v>0</v>
      </c>
      <c r="Y2629" s="8" t="b">
        <v>0</v>
      </c>
      <c r="Z2629" s="8" t="b">
        <v>0</v>
      </c>
      <c r="AA2629" s="8" t="b">
        <v>0</v>
      </c>
      <c r="AB2629" s="8" t="b">
        <v>0</v>
      </c>
      <c r="AC2629" s="8" t="b">
        <v>0</v>
      </c>
      <c r="AD2629" s="8" t="b">
        <v>0</v>
      </c>
      <c r="AE2629" s="8" t="b">
        <v>0</v>
      </c>
      <c r="AG2629" s="11" t="b" cm="1">
        <f t="array" ref="AG2629">IF(OR(Y2629:AA2629="TRUE", AE2629="true"), "Threatened")</f>
        <v>0</v>
      </c>
      <c r="AH2629" s="11" t="s">
        <v>6491</v>
      </c>
      <c r="AI2629" s="8" t="b">
        <v>1</v>
      </c>
    </row>
    <row r="2630" spans="1:35" ht="31.2">
      <c r="A2630" s="8">
        <v>-73.96045762</v>
      </c>
      <c r="B2630" s="8">
        <v>40.781812010000003</v>
      </c>
      <c r="C2630" s="8" t="s">
        <v>6492</v>
      </c>
      <c r="D2630" s="8" t="s">
        <v>3112</v>
      </c>
      <c r="E2630" s="8" t="b">
        <f t="shared" si="41"/>
        <v>0</v>
      </c>
      <c r="F2630" s="8" t="str" cm="1">
        <f t="array" ref="F2630">_xlfn._xlws.FILTER(E2630:E5828, C2630:C5828= "6D-PM-1020-01", "No Squirrels Found")</f>
        <v>No Squirrels Found</v>
      </c>
      <c r="G2630" s="8" t="s">
        <v>34</v>
      </c>
      <c r="H2630" s="10">
        <v>10192018</v>
      </c>
      <c r="I2630" s="10">
        <v>1</v>
      </c>
      <c r="J2630" s="8" t="s">
        <v>39</v>
      </c>
      <c r="K2630" s="8" t="s">
        <v>40</v>
      </c>
      <c r="M2630" s="8" t="s">
        <v>55</v>
      </c>
      <c r="O2630" s="8" t="s">
        <v>50</v>
      </c>
      <c r="P2630" s="8">
        <v>35</v>
      </c>
      <c r="R2630" s="8" t="b">
        <v>1</v>
      </c>
      <c r="S2630" s="8" t="b">
        <v>0</v>
      </c>
      <c r="T2630" s="8" t="b">
        <v>0</v>
      </c>
      <c r="U2630" s="8" t="b">
        <v>0</v>
      </c>
      <c r="V2630" s="8" t="b">
        <v>0</v>
      </c>
      <c r="W2630" s="11" t="s">
        <v>6493</v>
      </c>
      <c r="X2630" s="8" t="b">
        <v>0</v>
      </c>
      <c r="Y2630" s="8" t="b">
        <v>0</v>
      </c>
      <c r="Z2630" s="8" t="b">
        <v>0</v>
      </c>
      <c r="AA2630" s="8" t="b">
        <v>0</v>
      </c>
      <c r="AB2630" s="8" t="b">
        <v>0</v>
      </c>
      <c r="AC2630" s="8" t="b">
        <v>0</v>
      </c>
      <c r="AD2630" s="8" t="b">
        <v>0</v>
      </c>
      <c r="AE2630" s="8" t="b">
        <v>0</v>
      </c>
      <c r="AG2630" s="11" t="b" cm="1">
        <f t="array" ref="AG2630">IF(OR(Y2630:AA2630="TRUE", AE2630="true"), "Threatened")</f>
        <v>0</v>
      </c>
      <c r="AH2630" s="11" t="s">
        <v>6494</v>
      </c>
      <c r="AI2630" s="8" t="b">
        <v>0</v>
      </c>
    </row>
    <row r="2631" spans="1:35" ht="31.2">
      <c r="A2631" s="8">
        <v>-73.965019830000003</v>
      </c>
      <c r="B2631" s="8">
        <v>40.775986430000003</v>
      </c>
      <c r="C2631" s="8" t="s">
        <v>6495</v>
      </c>
      <c r="D2631" s="8" t="s">
        <v>419</v>
      </c>
      <c r="E2631" s="8" t="b">
        <f t="shared" si="41"/>
        <v>0</v>
      </c>
      <c r="F2631" s="8" t="str" cm="1">
        <f t="array" ref="F2631">_xlfn._xlws.FILTER(E2631:E5829, C2631:C5829= "6D-PM-1020-01", "No Squirrels Found")</f>
        <v>No Squirrels Found</v>
      </c>
      <c r="G2631" s="8" t="s">
        <v>48</v>
      </c>
      <c r="H2631" s="10">
        <v>10082018</v>
      </c>
      <c r="I2631" s="10">
        <v>3</v>
      </c>
      <c r="J2631" s="8" t="s">
        <v>39</v>
      </c>
      <c r="K2631" s="8" t="s">
        <v>40</v>
      </c>
      <c r="M2631" s="8" t="s">
        <v>55</v>
      </c>
      <c r="O2631" s="8" t="s">
        <v>43</v>
      </c>
      <c r="P2631" s="8" t="b">
        <v>0</v>
      </c>
      <c r="R2631" s="8" t="b">
        <v>1</v>
      </c>
      <c r="S2631" s="8" t="b">
        <v>0</v>
      </c>
      <c r="T2631" s="8" t="b">
        <v>0</v>
      </c>
      <c r="U2631" s="8" t="b">
        <v>0</v>
      </c>
      <c r="V2631" s="8" t="b">
        <v>0</v>
      </c>
      <c r="X2631" s="8" t="b">
        <v>0</v>
      </c>
      <c r="Y2631" s="8" t="b">
        <v>0</v>
      </c>
      <c r="Z2631" s="8" t="b">
        <v>0</v>
      </c>
      <c r="AA2631" s="8" t="b">
        <v>0</v>
      </c>
      <c r="AB2631" s="8" t="b">
        <v>0</v>
      </c>
      <c r="AC2631" s="8" t="b">
        <v>0</v>
      </c>
      <c r="AD2631" s="8" t="b">
        <v>1</v>
      </c>
      <c r="AE2631" s="8" t="b">
        <v>0</v>
      </c>
      <c r="AG2631" s="11" t="b" cm="1">
        <f t="array" ref="AG2631">IF(OR(Y2631:AA2631="TRUE", AE2631="true"), "Threatened")</f>
        <v>0</v>
      </c>
      <c r="AH2631" s="11" t="s">
        <v>6496</v>
      </c>
      <c r="AI2631" s="8" t="b">
        <v>1</v>
      </c>
    </row>
    <row r="2632" spans="1:35" ht="31.2">
      <c r="A2632" s="8">
        <v>-73.969008009999996</v>
      </c>
      <c r="B2632" s="8">
        <v>40.771023049999997</v>
      </c>
      <c r="C2632" s="8" t="s">
        <v>6497</v>
      </c>
      <c r="D2632" s="8" t="s">
        <v>1785</v>
      </c>
      <c r="E2632" s="8" t="b">
        <f t="shared" si="41"/>
        <v>0</v>
      </c>
      <c r="F2632" s="8" t="str" cm="1">
        <f t="array" ref="F2632">_xlfn._xlws.FILTER(E2632:E5830, C2632:C5830= "6D-PM-1020-01", "No Squirrels Found")</f>
        <v>No Squirrels Found</v>
      </c>
      <c r="G2632" s="8" t="s">
        <v>34</v>
      </c>
      <c r="H2632" s="10">
        <v>10102018</v>
      </c>
      <c r="I2632" s="10">
        <v>3</v>
      </c>
      <c r="J2632" s="8" t="s">
        <v>39</v>
      </c>
      <c r="K2632" s="8" t="s">
        <v>40</v>
      </c>
      <c r="L2632" s="8" t="s">
        <v>117</v>
      </c>
      <c r="M2632" s="8" t="s">
        <v>118</v>
      </c>
      <c r="R2632" s="8" t="b">
        <v>0</v>
      </c>
      <c r="S2632" s="8" t="b">
        <v>0</v>
      </c>
      <c r="T2632" s="8" t="b">
        <v>0</v>
      </c>
      <c r="U2632" s="8" t="b">
        <v>0</v>
      </c>
      <c r="V2632" s="8" t="b">
        <v>1</v>
      </c>
      <c r="X2632" s="8" t="b">
        <v>0</v>
      </c>
      <c r="Y2632" s="8" t="b">
        <v>0</v>
      </c>
      <c r="Z2632" s="8" t="b">
        <v>0</v>
      </c>
      <c r="AA2632" s="8" t="b">
        <v>0</v>
      </c>
      <c r="AB2632" s="8" t="b">
        <v>0</v>
      </c>
      <c r="AC2632" s="8" t="b">
        <v>0</v>
      </c>
      <c r="AD2632" s="8" t="b">
        <v>1</v>
      </c>
      <c r="AE2632" s="8" t="b">
        <v>1</v>
      </c>
      <c r="AG2632" s="11" t="b" cm="1">
        <f t="array" ref="AG2632">IF(OR(Y2632:AA2632="TRUE", AE2632="true"), "Threatened")</f>
        <v>0</v>
      </c>
      <c r="AH2632" s="11" t="s">
        <v>6498</v>
      </c>
      <c r="AI2632" s="8" t="b">
        <v>1</v>
      </c>
    </row>
    <row r="2633" spans="1:35" ht="31.2">
      <c r="A2633" s="8">
        <v>-73.950827559999993</v>
      </c>
      <c r="B2633" s="8">
        <v>40.797579069999998</v>
      </c>
      <c r="C2633" s="8" t="s">
        <v>6499</v>
      </c>
      <c r="D2633" s="8" t="s">
        <v>686</v>
      </c>
      <c r="E2633" s="8" t="b">
        <f t="shared" si="41"/>
        <v>0</v>
      </c>
      <c r="F2633" s="8" t="str" cm="1">
        <f t="array" ref="F2633">_xlfn._xlws.FILTER(E2633:E5831, C2633:C5831= "6D-PM-1020-01", "No Squirrels Found")</f>
        <v>No Squirrels Found</v>
      </c>
      <c r="G2633" s="8" t="s">
        <v>34</v>
      </c>
      <c r="H2633" s="10">
        <v>10142018</v>
      </c>
      <c r="I2633" s="10">
        <v>2</v>
      </c>
      <c r="J2633" s="8" t="s">
        <v>39</v>
      </c>
      <c r="K2633" s="8" t="s">
        <v>40</v>
      </c>
      <c r="L2633" s="8" t="s">
        <v>84</v>
      </c>
      <c r="M2633" s="8" t="s">
        <v>103</v>
      </c>
      <c r="O2633" s="8" t="s">
        <v>50</v>
      </c>
      <c r="Q2633" s="8" t="s">
        <v>6500</v>
      </c>
      <c r="R2633" s="8" t="b">
        <v>1</v>
      </c>
      <c r="S2633" s="8" t="b">
        <v>0</v>
      </c>
      <c r="T2633" s="8" t="b">
        <v>0</v>
      </c>
      <c r="U2633" s="8" t="b">
        <v>0</v>
      </c>
      <c r="V2633" s="8" t="b">
        <v>0</v>
      </c>
      <c r="X2633" s="8" t="b">
        <v>0</v>
      </c>
      <c r="Y2633" s="8" t="b">
        <v>0</v>
      </c>
      <c r="Z2633" s="8" t="b">
        <v>0</v>
      </c>
      <c r="AA2633" s="8" t="b">
        <v>0</v>
      </c>
      <c r="AB2633" s="8" t="b">
        <v>0</v>
      </c>
      <c r="AC2633" s="8" t="b">
        <v>0</v>
      </c>
      <c r="AD2633" s="8" t="b">
        <v>1</v>
      </c>
      <c r="AE2633" s="8" t="b">
        <v>0</v>
      </c>
      <c r="AG2633" s="11" t="b" cm="1">
        <f t="array" ref="AG2633">IF(OR(Y2633:AA2633="TRUE", AE2633="true"), "Threatened")</f>
        <v>0</v>
      </c>
      <c r="AH2633" s="11" t="s">
        <v>6501</v>
      </c>
      <c r="AI2633" s="8" t="b">
        <v>1</v>
      </c>
    </row>
    <row r="2634" spans="1:35" ht="31.2">
      <c r="A2634" s="8">
        <v>-73.977615110000002</v>
      </c>
      <c r="B2634" s="8">
        <v>40.769468160000002</v>
      </c>
      <c r="C2634" s="8" t="s">
        <v>6502</v>
      </c>
      <c r="D2634" s="8" t="s">
        <v>1586</v>
      </c>
      <c r="E2634" s="8" t="b">
        <f t="shared" si="41"/>
        <v>0</v>
      </c>
      <c r="F2634" s="8" t="str" cm="1">
        <f t="array" ref="F2634">_xlfn._xlws.FILTER(E2634:E5832, C2634:C5832= "6D-PM-1020-01", "No Squirrels Found")</f>
        <v>No Squirrels Found</v>
      </c>
      <c r="G2634" s="8" t="s">
        <v>34</v>
      </c>
      <c r="H2634" s="10">
        <v>10102018</v>
      </c>
      <c r="I2634" s="10">
        <v>9</v>
      </c>
      <c r="J2634" s="8" t="s">
        <v>39</v>
      </c>
      <c r="K2634" s="8" t="s">
        <v>40</v>
      </c>
      <c r="L2634" s="8" t="s">
        <v>84</v>
      </c>
      <c r="M2634" s="8" t="s">
        <v>103</v>
      </c>
      <c r="O2634" s="8" t="s">
        <v>43</v>
      </c>
      <c r="P2634" s="8" t="b">
        <v>0</v>
      </c>
      <c r="R2634" s="8" t="b">
        <v>0</v>
      </c>
      <c r="S2634" s="8" t="b">
        <v>1</v>
      </c>
      <c r="T2634" s="8" t="b">
        <v>0</v>
      </c>
      <c r="U2634" s="8" t="b">
        <v>0</v>
      </c>
      <c r="V2634" s="8" t="b">
        <v>1</v>
      </c>
      <c r="X2634" s="8" t="b">
        <v>0</v>
      </c>
      <c r="Y2634" s="8" t="b">
        <v>0</v>
      </c>
      <c r="Z2634" s="8" t="b">
        <v>0</v>
      </c>
      <c r="AA2634" s="8" t="b">
        <v>0</v>
      </c>
      <c r="AB2634" s="8" t="b">
        <v>0</v>
      </c>
      <c r="AC2634" s="8" t="b">
        <v>0</v>
      </c>
      <c r="AD2634" s="8" t="b">
        <v>0</v>
      </c>
      <c r="AE2634" s="8" t="b">
        <v>0</v>
      </c>
      <c r="AG2634" s="11" t="b" cm="1">
        <f t="array" ref="AG2634">IF(OR(Y2634:AA2634="TRUE", AE2634="true"), "Threatened")</f>
        <v>0</v>
      </c>
      <c r="AH2634" s="11" t="s">
        <v>6503</v>
      </c>
      <c r="AI2634" s="8" t="b">
        <v>1</v>
      </c>
    </row>
    <row r="2635" spans="1:35" ht="31.2">
      <c r="A2635" s="8">
        <v>-73.969568519999996</v>
      </c>
      <c r="B2635" s="8">
        <v>40.778829299999998</v>
      </c>
      <c r="C2635" s="8" t="s">
        <v>6504</v>
      </c>
      <c r="D2635" s="8" t="s">
        <v>721</v>
      </c>
      <c r="E2635" s="8" t="b">
        <f t="shared" si="41"/>
        <v>0</v>
      </c>
      <c r="F2635" s="8" t="str" cm="1">
        <f t="array" ref="F2635">_xlfn._xlws.FILTER(E2635:E5833, C2635:C5833= "6D-PM-1020-01", "No Squirrels Found")</f>
        <v>No Squirrels Found</v>
      </c>
      <c r="G2635" s="8" t="s">
        <v>48</v>
      </c>
      <c r="H2635" s="10">
        <v>10072018</v>
      </c>
      <c r="I2635" s="10">
        <v>4</v>
      </c>
      <c r="J2635" s="8" t="s">
        <v>39</v>
      </c>
      <c r="K2635" s="8" t="s">
        <v>40</v>
      </c>
      <c r="M2635" s="8" t="s">
        <v>55</v>
      </c>
      <c r="O2635" s="8" t="s">
        <v>50</v>
      </c>
      <c r="P2635" s="8">
        <v>8</v>
      </c>
      <c r="R2635" s="8" t="b">
        <v>0</v>
      </c>
      <c r="S2635" s="8" t="b">
        <v>0</v>
      </c>
      <c r="T2635" s="8" t="b">
        <v>1</v>
      </c>
      <c r="U2635" s="8" t="b">
        <v>0</v>
      </c>
      <c r="V2635" s="8" t="b">
        <v>0</v>
      </c>
      <c r="X2635" s="8" t="b">
        <v>0</v>
      </c>
      <c r="Y2635" s="8" t="b">
        <v>0</v>
      </c>
      <c r="Z2635" s="8" t="b">
        <v>0</v>
      </c>
      <c r="AA2635" s="8" t="b">
        <v>1</v>
      </c>
      <c r="AB2635" s="8" t="b">
        <v>0</v>
      </c>
      <c r="AC2635" s="8" t="b">
        <v>0</v>
      </c>
      <c r="AD2635" s="8" t="b">
        <v>0</v>
      </c>
      <c r="AE2635" s="8" t="b">
        <v>1</v>
      </c>
      <c r="AG2635" s="11" t="b" cm="1">
        <f t="array" ref="AG2635">IF(OR(Y2635:AA2635="TRUE", AE2635="true"), "Threatened")</f>
        <v>0</v>
      </c>
      <c r="AH2635" s="11" t="s">
        <v>6505</v>
      </c>
      <c r="AI2635" s="8" t="b">
        <v>1</v>
      </c>
    </row>
    <row r="2636" spans="1:35" ht="31.2">
      <c r="A2636" s="8">
        <v>-73.976383670000004</v>
      </c>
      <c r="B2636" s="8">
        <v>40.770612120000003</v>
      </c>
      <c r="C2636" s="8" t="s">
        <v>6506</v>
      </c>
      <c r="D2636" s="8" t="s">
        <v>109</v>
      </c>
      <c r="E2636" s="8" t="b">
        <f t="shared" si="41"/>
        <v>0</v>
      </c>
      <c r="F2636" s="8" t="str" cm="1">
        <f t="array" ref="F2636">_xlfn._xlws.FILTER(E2636:E5834, C2636:C5834= "6D-PM-1020-01", "No Squirrels Found")</f>
        <v>No Squirrels Found</v>
      </c>
      <c r="G2636" s="8" t="s">
        <v>48</v>
      </c>
      <c r="H2636" s="10">
        <v>10062018</v>
      </c>
      <c r="I2636" s="10">
        <v>6</v>
      </c>
      <c r="J2636" s="8" t="s">
        <v>39</v>
      </c>
      <c r="K2636" s="8" t="s">
        <v>40</v>
      </c>
      <c r="L2636" s="8" t="s">
        <v>41</v>
      </c>
      <c r="M2636" s="8" t="s">
        <v>42</v>
      </c>
      <c r="O2636" s="8" t="s">
        <v>43</v>
      </c>
      <c r="P2636" s="8" t="b">
        <v>0</v>
      </c>
      <c r="R2636" s="8" t="b">
        <v>0</v>
      </c>
      <c r="S2636" s="8" t="b">
        <v>0</v>
      </c>
      <c r="T2636" s="8" t="b">
        <v>0</v>
      </c>
      <c r="U2636" s="8" t="b">
        <v>1</v>
      </c>
      <c r="V2636" s="8" t="b">
        <v>0</v>
      </c>
      <c r="X2636" s="8" t="b">
        <v>0</v>
      </c>
      <c r="Y2636" s="8" t="b">
        <v>0</v>
      </c>
      <c r="Z2636" s="8" t="b">
        <v>0</v>
      </c>
      <c r="AA2636" s="8" t="b">
        <v>0</v>
      </c>
      <c r="AB2636" s="8" t="b">
        <v>0</v>
      </c>
      <c r="AC2636" s="8" t="b">
        <v>0</v>
      </c>
      <c r="AD2636" s="8" t="b">
        <v>1</v>
      </c>
      <c r="AE2636" s="8" t="b">
        <v>0</v>
      </c>
      <c r="AG2636" s="11" t="b" cm="1">
        <f t="array" ref="AG2636">IF(OR(Y2636:AA2636="TRUE", AE2636="true"), "Threatened")</f>
        <v>0</v>
      </c>
      <c r="AH2636" s="11" t="s">
        <v>6507</v>
      </c>
      <c r="AI2636" s="8" t="b">
        <v>1</v>
      </c>
    </row>
    <row r="2637" spans="1:35" ht="31.2">
      <c r="A2637" s="8">
        <v>-73.970026410000003</v>
      </c>
      <c r="B2637" s="8">
        <v>40.769201459999998</v>
      </c>
      <c r="C2637" s="8" t="s">
        <v>6508</v>
      </c>
      <c r="D2637" s="8" t="s">
        <v>1310</v>
      </c>
      <c r="E2637" s="8" t="b">
        <f t="shared" si="41"/>
        <v>0</v>
      </c>
      <c r="F2637" s="8" t="str" cm="1">
        <f t="array" ref="F2637">_xlfn._xlws.FILTER(E2637:E5835, C2637:C5835= "6D-PM-1020-01", "No Squirrels Found")</f>
        <v>No Squirrels Found</v>
      </c>
      <c r="G2637" s="8" t="s">
        <v>34</v>
      </c>
      <c r="H2637" s="10">
        <v>10132018</v>
      </c>
      <c r="I2637" s="10">
        <v>1</v>
      </c>
      <c r="J2637" s="8" t="s">
        <v>54</v>
      </c>
      <c r="K2637" s="8" t="s">
        <v>41</v>
      </c>
      <c r="L2637" s="8" t="s">
        <v>40</v>
      </c>
      <c r="M2637" s="8" t="s">
        <v>110</v>
      </c>
      <c r="O2637" s="8" t="s">
        <v>43</v>
      </c>
      <c r="P2637" s="8" t="b">
        <v>0</v>
      </c>
      <c r="Q2637" s="8" t="s">
        <v>6509</v>
      </c>
      <c r="R2637" s="8" t="b">
        <v>0</v>
      </c>
      <c r="S2637" s="8" t="b">
        <v>0</v>
      </c>
      <c r="T2637" s="8" t="b">
        <v>0</v>
      </c>
      <c r="U2637" s="8" t="b">
        <v>1</v>
      </c>
      <c r="V2637" s="8" t="b">
        <v>0</v>
      </c>
      <c r="X2637" s="8" t="b">
        <v>0</v>
      </c>
      <c r="Y2637" s="8" t="b">
        <v>0</v>
      </c>
      <c r="Z2637" s="8" t="b">
        <v>0</v>
      </c>
      <c r="AA2637" s="8" t="b">
        <v>0</v>
      </c>
      <c r="AB2637" s="8" t="b">
        <v>0</v>
      </c>
      <c r="AC2637" s="8" t="b">
        <v>1</v>
      </c>
      <c r="AD2637" s="8" t="b">
        <v>0</v>
      </c>
      <c r="AE2637" s="8" t="b">
        <v>0</v>
      </c>
      <c r="AG2637" s="11" t="b" cm="1">
        <f t="array" ref="AG2637">IF(OR(Y2637:AA2637="TRUE", AE2637="true"), "Threatened")</f>
        <v>0</v>
      </c>
      <c r="AH2637" s="11" t="s">
        <v>6510</v>
      </c>
      <c r="AI2637" s="8" t="b">
        <v>1</v>
      </c>
    </row>
    <row r="2638" spans="1:35" ht="31.2">
      <c r="A2638" s="8">
        <v>-73.968891670000005</v>
      </c>
      <c r="B2638" s="8">
        <v>40.776700150000003</v>
      </c>
      <c r="C2638" s="8" t="s">
        <v>6511</v>
      </c>
      <c r="D2638" s="8" t="s">
        <v>246</v>
      </c>
      <c r="E2638" s="8" t="b">
        <f t="shared" si="41"/>
        <v>0</v>
      </c>
      <c r="F2638" s="8" t="str" cm="1">
        <f t="array" ref="F2638">_xlfn._xlws.FILTER(E2638:E5836, C2638:C5836= "6D-PM-1020-01", "No Squirrels Found")</f>
        <v>No Squirrels Found</v>
      </c>
      <c r="G2638" s="8" t="s">
        <v>48</v>
      </c>
      <c r="H2638" s="10">
        <v>10072018</v>
      </c>
      <c r="I2638" s="10">
        <v>6</v>
      </c>
      <c r="J2638" s="8" t="s">
        <v>39</v>
      </c>
      <c r="K2638" s="8" t="s">
        <v>40</v>
      </c>
      <c r="L2638" s="8" t="s">
        <v>41</v>
      </c>
      <c r="M2638" s="8" t="s">
        <v>42</v>
      </c>
      <c r="O2638" s="8" t="s">
        <v>43</v>
      </c>
      <c r="P2638" s="8" t="b">
        <v>0</v>
      </c>
      <c r="R2638" s="8" t="b">
        <v>1</v>
      </c>
      <c r="S2638" s="8" t="b">
        <v>0</v>
      </c>
      <c r="T2638" s="8" t="b">
        <v>0</v>
      </c>
      <c r="U2638" s="8" t="b">
        <v>0</v>
      </c>
      <c r="V2638" s="8" t="b">
        <v>0</v>
      </c>
      <c r="W2638" s="11" t="s">
        <v>6512</v>
      </c>
      <c r="X2638" s="8" t="b">
        <v>0</v>
      </c>
      <c r="Y2638" s="8" t="b">
        <v>0</v>
      </c>
      <c r="Z2638" s="8" t="b">
        <v>0</v>
      </c>
      <c r="AA2638" s="8" t="b">
        <v>0</v>
      </c>
      <c r="AB2638" s="8" t="b">
        <v>0</v>
      </c>
      <c r="AC2638" s="8" t="b">
        <v>0</v>
      </c>
      <c r="AD2638" s="8" t="b">
        <v>0</v>
      </c>
      <c r="AE2638" s="8" t="b">
        <v>1</v>
      </c>
      <c r="AG2638" s="11" t="b" cm="1">
        <f t="array" ref="AG2638">IF(OR(Y2638:AA2638="TRUE", AE2638="true"), "Threatened")</f>
        <v>0</v>
      </c>
      <c r="AH2638" s="11" t="s">
        <v>6513</v>
      </c>
      <c r="AI2638" s="8" t="b">
        <v>0</v>
      </c>
    </row>
    <row r="2639" spans="1:35" ht="31.2">
      <c r="A2639" s="8">
        <v>-73.959897330000004</v>
      </c>
      <c r="B2639" s="8">
        <v>40.793334639999998</v>
      </c>
      <c r="C2639" s="8" t="s">
        <v>6514</v>
      </c>
      <c r="D2639" s="8" t="s">
        <v>3812</v>
      </c>
      <c r="E2639" s="8" t="b">
        <f t="shared" si="41"/>
        <v>0</v>
      </c>
      <c r="F2639" s="8" t="str" cm="1">
        <f t="array" ref="F2639">_xlfn._xlws.FILTER(E2639:E5837, C2639:C5837= "6D-PM-1020-01", "No Squirrels Found")</f>
        <v>No Squirrels Found</v>
      </c>
      <c r="G2639" s="8" t="s">
        <v>34</v>
      </c>
      <c r="H2639" s="10">
        <v>10122018</v>
      </c>
      <c r="I2639" s="10">
        <v>1</v>
      </c>
      <c r="J2639" s="8" t="s">
        <v>39</v>
      </c>
      <c r="K2639" s="8" t="s">
        <v>192</v>
      </c>
      <c r="M2639" s="8" t="s">
        <v>193</v>
      </c>
      <c r="O2639" s="8" t="s">
        <v>43</v>
      </c>
      <c r="P2639" s="8" t="b">
        <v>0</v>
      </c>
      <c r="R2639" s="8" t="b">
        <v>0</v>
      </c>
      <c r="S2639" s="8" t="b">
        <v>0</v>
      </c>
      <c r="T2639" s="8" t="b">
        <v>0</v>
      </c>
      <c r="U2639" s="8" t="b">
        <v>0</v>
      </c>
      <c r="V2639" s="8" t="b">
        <v>1</v>
      </c>
      <c r="W2639" s="11" t="s">
        <v>355</v>
      </c>
      <c r="X2639" s="8" t="b">
        <v>0</v>
      </c>
      <c r="Y2639" s="8" t="b">
        <v>0</v>
      </c>
      <c r="Z2639" s="8" t="b">
        <v>0</v>
      </c>
      <c r="AA2639" s="8" t="b">
        <v>0</v>
      </c>
      <c r="AB2639" s="8" t="b">
        <v>0</v>
      </c>
      <c r="AC2639" s="8" t="b">
        <v>0</v>
      </c>
      <c r="AD2639" s="8" t="b">
        <v>1</v>
      </c>
      <c r="AE2639" s="8" t="b">
        <v>0</v>
      </c>
      <c r="AG2639" s="11" t="b" cm="1">
        <f t="array" ref="AG2639">IF(OR(Y2639:AA2639="TRUE", AE2639="true"), "Threatened")</f>
        <v>0</v>
      </c>
      <c r="AH2639" s="11" t="s">
        <v>6515</v>
      </c>
      <c r="AI2639" s="8" t="b">
        <v>0</v>
      </c>
    </row>
    <row r="2640" spans="1:35" ht="31.2">
      <c r="A2640" s="8">
        <v>-73.95438326</v>
      </c>
      <c r="B2640" s="8">
        <v>40.795355059999999</v>
      </c>
      <c r="C2640" s="8" t="s">
        <v>6516</v>
      </c>
      <c r="D2640" s="8" t="s">
        <v>1066</v>
      </c>
      <c r="E2640" s="8" t="b">
        <f t="shared" si="41"/>
        <v>0</v>
      </c>
      <c r="F2640" s="8" t="str" cm="1">
        <f t="array" ref="F2640">_xlfn._xlws.FILTER(E2640:E5838, C2640:C5838= "6D-PM-1020-01", "No Squirrels Found")</f>
        <v>No Squirrels Found</v>
      </c>
      <c r="G2640" s="8" t="s">
        <v>48</v>
      </c>
      <c r="H2640" s="10">
        <v>10142018</v>
      </c>
      <c r="I2640" s="10">
        <v>2</v>
      </c>
      <c r="J2640" s="8" t="s">
        <v>39</v>
      </c>
      <c r="K2640" s="8" t="s">
        <v>40</v>
      </c>
      <c r="L2640" s="8" t="s">
        <v>41</v>
      </c>
      <c r="M2640" s="8" t="s">
        <v>42</v>
      </c>
      <c r="O2640" s="8" t="s">
        <v>50</v>
      </c>
      <c r="P2640" s="8">
        <v>2</v>
      </c>
      <c r="Q2640" s="8" t="s">
        <v>1376</v>
      </c>
      <c r="R2640" s="8" t="b">
        <v>1</v>
      </c>
      <c r="S2640" s="8" t="b">
        <v>0</v>
      </c>
      <c r="T2640" s="8" t="b">
        <v>1</v>
      </c>
      <c r="U2640" s="8" t="b">
        <v>0</v>
      </c>
      <c r="V2640" s="8" t="b">
        <v>1</v>
      </c>
      <c r="X2640" s="8" t="b">
        <v>0</v>
      </c>
      <c r="Y2640" s="8" t="b">
        <v>0</v>
      </c>
      <c r="Z2640" s="8" t="b">
        <v>0</v>
      </c>
      <c r="AA2640" s="8" t="b">
        <v>0</v>
      </c>
      <c r="AB2640" s="8" t="b">
        <v>0</v>
      </c>
      <c r="AC2640" s="8" t="b">
        <v>0</v>
      </c>
      <c r="AD2640" s="8" t="b">
        <v>0</v>
      </c>
      <c r="AE2640" s="8" t="b">
        <v>0</v>
      </c>
      <c r="AG2640" s="11" t="b" cm="1">
        <f t="array" ref="AG2640">IF(OR(Y2640:AA2640="TRUE", AE2640="true"), "Threatened")</f>
        <v>0</v>
      </c>
      <c r="AH2640" s="11" t="s">
        <v>6517</v>
      </c>
      <c r="AI2640" s="8" t="b">
        <v>1</v>
      </c>
    </row>
    <row r="2641" spans="1:35" ht="31.2">
      <c r="A2641" s="8">
        <v>-73.978830470000005</v>
      </c>
      <c r="B2641" s="8">
        <v>40.769637359999997</v>
      </c>
      <c r="C2641" s="8" t="s">
        <v>6518</v>
      </c>
      <c r="D2641" s="8" t="s">
        <v>889</v>
      </c>
      <c r="E2641" s="8" t="b">
        <f t="shared" si="41"/>
        <v>0</v>
      </c>
      <c r="F2641" s="8" t="str" cm="1">
        <f t="array" ref="F2641">_xlfn._xlws.FILTER(E2641:E5839, C2641:C5839= "6D-PM-1020-01", "No Squirrels Found")</f>
        <v>No Squirrels Found</v>
      </c>
      <c r="G2641" s="8" t="s">
        <v>48</v>
      </c>
      <c r="H2641" s="10">
        <v>10102018</v>
      </c>
      <c r="I2641" s="10">
        <v>6</v>
      </c>
      <c r="J2641" s="8" t="s">
        <v>39</v>
      </c>
      <c r="K2641" s="8" t="s">
        <v>40</v>
      </c>
      <c r="M2641" s="8" t="s">
        <v>55</v>
      </c>
      <c r="O2641" s="8" t="s">
        <v>50</v>
      </c>
      <c r="P2641" s="8">
        <v>12</v>
      </c>
      <c r="R2641" s="8" t="b">
        <v>1</v>
      </c>
      <c r="S2641" s="8" t="b">
        <v>0</v>
      </c>
      <c r="T2641" s="8" t="b">
        <v>0</v>
      </c>
      <c r="U2641" s="8" t="b">
        <v>0</v>
      </c>
      <c r="V2641" s="8" t="b">
        <v>0</v>
      </c>
      <c r="W2641" s="11" t="s">
        <v>6519</v>
      </c>
      <c r="X2641" s="8" t="b">
        <v>0</v>
      </c>
      <c r="Y2641" s="8" t="b">
        <v>0</v>
      </c>
      <c r="Z2641" s="8" t="b">
        <v>0</v>
      </c>
      <c r="AA2641" s="8" t="b">
        <v>0</v>
      </c>
      <c r="AB2641" s="8" t="b">
        <v>0</v>
      </c>
      <c r="AC2641" s="8" t="b">
        <v>0</v>
      </c>
      <c r="AD2641" s="8" t="b">
        <v>0</v>
      </c>
      <c r="AE2641" s="8" t="b">
        <v>0</v>
      </c>
      <c r="AG2641" s="11" t="b" cm="1">
        <f t="array" ref="AG2641">IF(OR(Y2641:AA2641="TRUE", AE2641="true"), "Threatened")</f>
        <v>0</v>
      </c>
      <c r="AH2641" s="11" t="s">
        <v>6520</v>
      </c>
      <c r="AI2641" s="8" t="b">
        <v>0</v>
      </c>
    </row>
    <row r="2642" spans="1:35" ht="31.2">
      <c r="A2642" s="8">
        <v>-73.961551670000006</v>
      </c>
      <c r="B2642" s="8">
        <v>40.790521939999998</v>
      </c>
      <c r="C2642" s="8" t="s">
        <v>6521</v>
      </c>
      <c r="D2642" s="8" t="s">
        <v>621</v>
      </c>
      <c r="E2642" s="8" t="b">
        <f t="shared" si="41"/>
        <v>0</v>
      </c>
      <c r="F2642" s="8" t="str" cm="1">
        <f t="array" ref="F2642">_xlfn._xlws.FILTER(E2642:E5840, C2642:C5840= "6D-PM-1020-01", "No Squirrels Found")</f>
        <v>No Squirrels Found</v>
      </c>
      <c r="G2642" s="8" t="s">
        <v>48</v>
      </c>
      <c r="H2642" s="10">
        <v>10142018</v>
      </c>
      <c r="I2642" s="10">
        <v>4</v>
      </c>
      <c r="J2642" s="8" t="s">
        <v>54</v>
      </c>
      <c r="K2642" s="8" t="s">
        <v>40</v>
      </c>
      <c r="M2642" s="8" t="s">
        <v>55</v>
      </c>
      <c r="O2642" s="8" t="s">
        <v>43</v>
      </c>
      <c r="P2642" s="8" t="b">
        <v>0</v>
      </c>
      <c r="Q2642" s="8" t="s">
        <v>6522</v>
      </c>
      <c r="R2642" s="8" t="b">
        <v>1</v>
      </c>
      <c r="S2642" s="8" t="b">
        <v>0</v>
      </c>
      <c r="T2642" s="8" t="b">
        <v>0</v>
      </c>
      <c r="U2642" s="8" t="b">
        <v>1</v>
      </c>
      <c r="V2642" s="8" t="b">
        <v>1</v>
      </c>
      <c r="X2642" s="8" t="b">
        <v>0</v>
      </c>
      <c r="Y2642" s="8" t="b">
        <v>0</v>
      </c>
      <c r="Z2642" s="8" t="b">
        <v>0</v>
      </c>
      <c r="AA2642" s="8" t="b">
        <v>0</v>
      </c>
      <c r="AB2642" s="8" t="b">
        <v>1</v>
      </c>
      <c r="AC2642" s="8" t="b">
        <v>0</v>
      </c>
      <c r="AD2642" s="8" t="b">
        <v>1</v>
      </c>
      <c r="AE2642" s="8" t="b">
        <v>0</v>
      </c>
      <c r="AG2642" s="11" t="b" cm="1">
        <f t="array" ref="AG2642">IF(OR(Y2642:AA2642="TRUE", AE2642="true"), "Threatened")</f>
        <v>0</v>
      </c>
      <c r="AH2642" s="11" t="s">
        <v>6523</v>
      </c>
      <c r="AI2642" s="8" t="b">
        <v>1</v>
      </c>
    </row>
    <row r="2643" spans="1:35" ht="31.2">
      <c r="A2643" s="8">
        <v>-73.975145470000001</v>
      </c>
      <c r="B2643" s="8">
        <v>40.770291360000002</v>
      </c>
      <c r="C2643" s="8" t="s">
        <v>6524</v>
      </c>
      <c r="D2643" s="8" t="s">
        <v>734</v>
      </c>
      <c r="E2643" s="8" t="b">
        <f t="shared" si="41"/>
        <v>0</v>
      </c>
      <c r="F2643" s="8" t="str" cm="1">
        <f t="array" ref="F2643">_xlfn._xlws.FILTER(E2643:E5841, C2643:C5841= "6D-PM-1020-01", "No Squirrels Found")</f>
        <v>No Squirrels Found</v>
      </c>
      <c r="G2643" s="8" t="s">
        <v>34</v>
      </c>
      <c r="H2643" s="10">
        <v>10202018</v>
      </c>
      <c r="I2643" s="10">
        <v>6</v>
      </c>
      <c r="J2643" s="8" t="s">
        <v>39</v>
      </c>
      <c r="K2643" s="8" t="s">
        <v>40</v>
      </c>
      <c r="L2643" s="8" t="s">
        <v>84</v>
      </c>
      <c r="M2643" s="8" t="s">
        <v>103</v>
      </c>
      <c r="O2643" s="8" t="s">
        <v>43</v>
      </c>
      <c r="P2643" s="8" t="b">
        <v>0</v>
      </c>
      <c r="Q2643" s="8" t="s">
        <v>6525</v>
      </c>
      <c r="R2643" s="8" t="b">
        <v>0</v>
      </c>
      <c r="S2643" s="8" t="b">
        <v>0</v>
      </c>
      <c r="T2643" s="8" t="b">
        <v>0</v>
      </c>
      <c r="U2643" s="8" t="b">
        <v>0</v>
      </c>
      <c r="V2643" s="8" t="b">
        <v>1</v>
      </c>
      <c r="X2643" s="8" t="b">
        <v>0</v>
      </c>
      <c r="Y2643" s="8" t="b">
        <v>0</v>
      </c>
      <c r="Z2643" s="8" t="b">
        <v>0</v>
      </c>
      <c r="AA2643" s="8" t="b">
        <v>0</v>
      </c>
      <c r="AB2643" s="8" t="b">
        <v>0</v>
      </c>
      <c r="AC2643" s="8" t="b">
        <v>0</v>
      </c>
      <c r="AD2643" s="8" t="b">
        <v>1</v>
      </c>
      <c r="AE2643" s="8" t="b">
        <v>0</v>
      </c>
      <c r="AG2643" s="11" t="b" cm="1">
        <f t="array" ref="AG2643">IF(OR(Y2643:AA2643="TRUE", AE2643="true"), "Threatened")</f>
        <v>0</v>
      </c>
      <c r="AH2643" s="11" t="s">
        <v>6526</v>
      </c>
      <c r="AI2643" s="8" t="b">
        <v>1</v>
      </c>
    </row>
    <row r="2644" spans="1:35" ht="31.2">
      <c r="A2644" s="8">
        <v>-73.969371899999999</v>
      </c>
      <c r="B2644" s="8">
        <v>40.776871020000002</v>
      </c>
      <c r="C2644" s="8" t="s">
        <v>6527</v>
      </c>
      <c r="D2644" s="8" t="s">
        <v>121</v>
      </c>
      <c r="E2644" s="8" t="b">
        <f t="shared" si="41"/>
        <v>0</v>
      </c>
      <c r="F2644" s="8" t="str" cm="1">
        <f t="array" ref="F2644">_xlfn._xlws.FILTER(E2644:E5842, C2644:C5842= "6D-PM-1020-01", "No Squirrels Found")</f>
        <v>No Squirrels Found</v>
      </c>
      <c r="G2644" s="8" t="s">
        <v>34</v>
      </c>
      <c r="H2644" s="10">
        <v>10172018</v>
      </c>
      <c r="I2644" s="10">
        <v>2</v>
      </c>
      <c r="J2644" s="8" t="s">
        <v>39</v>
      </c>
      <c r="K2644" s="8" t="s">
        <v>40</v>
      </c>
      <c r="L2644" s="8" t="s">
        <v>84</v>
      </c>
      <c r="M2644" s="8" t="s">
        <v>103</v>
      </c>
      <c r="O2644" s="8" t="s">
        <v>43</v>
      </c>
      <c r="P2644" s="8" t="b">
        <v>0</v>
      </c>
      <c r="R2644" s="8" t="b">
        <v>0</v>
      </c>
      <c r="S2644" s="8" t="b">
        <v>0</v>
      </c>
      <c r="T2644" s="8" t="b">
        <v>0</v>
      </c>
      <c r="U2644" s="8" t="b">
        <v>0</v>
      </c>
      <c r="V2644" s="8" t="b">
        <v>1</v>
      </c>
      <c r="W2644" s="11" t="s">
        <v>1433</v>
      </c>
      <c r="X2644" s="8" t="b">
        <v>0</v>
      </c>
      <c r="Y2644" s="8" t="b">
        <v>0</v>
      </c>
      <c r="Z2644" s="8" t="b">
        <v>0</v>
      </c>
      <c r="AA2644" s="8" t="b">
        <v>0</v>
      </c>
      <c r="AB2644" s="8" t="b">
        <v>0</v>
      </c>
      <c r="AC2644" s="8" t="b">
        <v>0</v>
      </c>
      <c r="AD2644" s="8" t="b">
        <v>0</v>
      </c>
      <c r="AE2644" s="8" t="b">
        <v>0</v>
      </c>
      <c r="AG2644" s="11" t="b" cm="1">
        <f t="array" ref="AG2644">IF(OR(Y2644:AA2644="TRUE", AE2644="true"), "Threatened")</f>
        <v>0</v>
      </c>
      <c r="AH2644" s="11" t="s">
        <v>6528</v>
      </c>
      <c r="AI2644" s="8" t="b">
        <v>0</v>
      </c>
    </row>
    <row r="2645" spans="1:35" ht="31.2">
      <c r="A2645" s="8">
        <v>-73.977544539999997</v>
      </c>
      <c r="B2645" s="8">
        <v>40.769709650000003</v>
      </c>
      <c r="C2645" s="8" t="s">
        <v>6529</v>
      </c>
      <c r="D2645" s="8" t="s">
        <v>1586</v>
      </c>
      <c r="E2645" s="8" t="b">
        <f t="shared" si="41"/>
        <v>0</v>
      </c>
      <c r="F2645" s="8" t="str" cm="1">
        <f t="array" ref="F2645">_xlfn._xlws.FILTER(E2645:E5843, C2645:C5843= "6D-PM-1020-01", "No Squirrels Found")</f>
        <v>No Squirrels Found</v>
      </c>
      <c r="G2645" s="8" t="s">
        <v>34</v>
      </c>
      <c r="H2645" s="10">
        <v>10102018</v>
      </c>
      <c r="I2645" s="10">
        <v>13</v>
      </c>
      <c r="J2645" s="8" t="s">
        <v>39</v>
      </c>
      <c r="K2645" s="8" t="s">
        <v>40</v>
      </c>
      <c r="L2645" s="8" t="s">
        <v>117</v>
      </c>
      <c r="M2645" s="8" t="s">
        <v>118</v>
      </c>
      <c r="O2645" s="8" t="s">
        <v>43</v>
      </c>
      <c r="P2645" s="8" t="b">
        <v>0</v>
      </c>
      <c r="R2645" s="8" t="b">
        <v>1</v>
      </c>
      <c r="S2645" s="8" t="b">
        <v>0</v>
      </c>
      <c r="T2645" s="8" t="b">
        <v>0</v>
      </c>
      <c r="U2645" s="8" t="b">
        <v>0</v>
      </c>
      <c r="V2645" s="8" t="b">
        <v>1</v>
      </c>
      <c r="X2645" s="8" t="b">
        <v>0</v>
      </c>
      <c r="Y2645" s="8" t="b">
        <v>0</v>
      </c>
      <c r="Z2645" s="8" t="b">
        <v>0</v>
      </c>
      <c r="AA2645" s="8" t="b">
        <v>0</v>
      </c>
      <c r="AB2645" s="8" t="b">
        <v>0</v>
      </c>
      <c r="AC2645" s="8" t="b">
        <v>0</v>
      </c>
      <c r="AD2645" s="8" t="b">
        <v>0</v>
      </c>
      <c r="AE2645" s="8" t="b">
        <v>0</v>
      </c>
      <c r="AG2645" s="11" t="b" cm="1">
        <f t="array" ref="AG2645">IF(OR(Y2645:AA2645="TRUE", AE2645="true"), "Threatened")</f>
        <v>0</v>
      </c>
      <c r="AH2645" s="11" t="s">
        <v>6530</v>
      </c>
      <c r="AI2645" s="8" t="b">
        <v>1</v>
      </c>
    </row>
    <row r="2646" spans="1:35" ht="31.2">
      <c r="A2646" s="8">
        <v>-73.958496740000001</v>
      </c>
      <c r="B2646" s="8">
        <v>40.797732029999999</v>
      </c>
      <c r="C2646" s="8" t="s">
        <v>6531</v>
      </c>
      <c r="D2646" s="8" t="s">
        <v>58</v>
      </c>
      <c r="E2646" s="8" t="b">
        <f t="shared" si="41"/>
        <v>0</v>
      </c>
      <c r="F2646" s="8" t="str" cm="1">
        <f t="array" ref="F2646">_xlfn._xlws.FILTER(E2646:E5844, C2646:C5844= "6D-PM-1020-01", "No Squirrels Found")</f>
        <v>No Squirrels Found</v>
      </c>
      <c r="G2646" s="8" t="s">
        <v>34</v>
      </c>
      <c r="H2646" s="10">
        <v>10142018</v>
      </c>
      <c r="I2646" s="10">
        <v>5</v>
      </c>
      <c r="J2646" s="8" t="s">
        <v>39</v>
      </c>
      <c r="K2646" s="8" t="s">
        <v>40</v>
      </c>
      <c r="L2646" s="8" t="s">
        <v>84</v>
      </c>
      <c r="M2646" s="8" t="s">
        <v>103</v>
      </c>
      <c r="O2646" s="8" t="s">
        <v>43</v>
      </c>
      <c r="P2646" s="8" t="b">
        <v>0</v>
      </c>
      <c r="R2646" s="8" t="b">
        <v>0</v>
      </c>
      <c r="S2646" s="8" t="b">
        <v>0</v>
      </c>
      <c r="T2646" s="8" t="b">
        <v>0</v>
      </c>
      <c r="U2646" s="8" t="b">
        <v>1</v>
      </c>
      <c r="V2646" s="8" t="b">
        <v>1</v>
      </c>
      <c r="W2646" s="11" t="s">
        <v>6532</v>
      </c>
      <c r="X2646" s="8" t="b">
        <v>0</v>
      </c>
      <c r="Y2646" s="8" t="b">
        <v>0</v>
      </c>
      <c r="Z2646" s="8" t="b">
        <v>0</v>
      </c>
      <c r="AA2646" s="8" t="b">
        <v>0</v>
      </c>
      <c r="AB2646" s="8" t="b">
        <v>0</v>
      </c>
      <c r="AC2646" s="8" t="b">
        <v>0</v>
      </c>
      <c r="AD2646" s="8" t="b">
        <v>1</v>
      </c>
      <c r="AE2646" s="8" t="b">
        <v>0</v>
      </c>
      <c r="AG2646" s="11" t="b" cm="1">
        <f t="array" ref="AG2646">IF(OR(Y2646:AA2646="TRUE", AE2646="true"), "Threatened")</f>
        <v>0</v>
      </c>
      <c r="AH2646" s="11" t="s">
        <v>6533</v>
      </c>
      <c r="AI2646" s="8" t="b">
        <v>0</v>
      </c>
    </row>
    <row r="2647" spans="1:35" ht="31.2">
      <c r="A2647" s="8">
        <v>-73.977223929999994</v>
      </c>
      <c r="B2647" s="8">
        <v>40.773171670000004</v>
      </c>
      <c r="C2647" s="8" t="s">
        <v>6534</v>
      </c>
      <c r="D2647" s="8" t="s">
        <v>753</v>
      </c>
      <c r="E2647" s="8" t="b">
        <f t="shared" si="41"/>
        <v>0</v>
      </c>
      <c r="F2647" s="8" t="str" cm="1">
        <f t="array" ref="F2647">_xlfn._xlws.FILTER(E2647:E5845, C2647:C5845= "6D-PM-1020-01", "No Squirrels Found")</f>
        <v>No Squirrels Found</v>
      </c>
      <c r="G2647" s="8" t="s">
        <v>48</v>
      </c>
      <c r="H2647" s="10">
        <v>10132018</v>
      </c>
      <c r="I2647" s="10">
        <v>5</v>
      </c>
      <c r="J2647" s="8" t="s">
        <v>39</v>
      </c>
      <c r="K2647" s="8" t="s">
        <v>41</v>
      </c>
      <c r="L2647" s="8" t="s">
        <v>40</v>
      </c>
      <c r="M2647" s="8" t="s">
        <v>110</v>
      </c>
      <c r="O2647" s="8" t="s">
        <v>50</v>
      </c>
      <c r="P2647" s="8">
        <v>20</v>
      </c>
      <c r="R2647" s="8" t="b">
        <v>1</v>
      </c>
      <c r="S2647" s="8" t="b">
        <v>0</v>
      </c>
      <c r="T2647" s="8" t="b">
        <v>1</v>
      </c>
      <c r="U2647" s="8" t="b">
        <v>1</v>
      </c>
      <c r="V2647" s="8" t="b">
        <v>0</v>
      </c>
      <c r="X2647" s="8" t="b">
        <v>0</v>
      </c>
      <c r="Y2647" s="8" t="b">
        <v>0</v>
      </c>
      <c r="Z2647" s="8" t="b">
        <v>0</v>
      </c>
      <c r="AA2647" s="8" t="b">
        <v>0</v>
      </c>
      <c r="AB2647" s="8" t="b">
        <v>0</v>
      </c>
      <c r="AC2647" s="8" t="b">
        <v>1</v>
      </c>
      <c r="AD2647" s="8" t="b">
        <v>0</v>
      </c>
      <c r="AE2647" s="8" t="b">
        <v>0</v>
      </c>
      <c r="AG2647" s="11" t="b" cm="1">
        <f t="array" ref="AG2647">IF(OR(Y2647:AA2647="TRUE", AE2647="true"), "Threatened")</f>
        <v>0</v>
      </c>
      <c r="AH2647" s="11" t="s">
        <v>6535</v>
      </c>
      <c r="AI2647" s="8" t="b">
        <v>1</v>
      </c>
    </row>
    <row r="2648" spans="1:35" ht="31.2">
      <c r="A2648" s="8">
        <v>-73.95449954</v>
      </c>
      <c r="B2648" s="8">
        <v>40.794971670000002</v>
      </c>
      <c r="C2648" s="8" t="s">
        <v>6536</v>
      </c>
      <c r="D2648" s="8" t="s">
        <v>378</v>
      </c>
      <c r="E2648" s="8" t="b">
        <f t="shared" si="41"/>
        <v>0</v>
      </c>
      <c r="F2648" s="8" t="str" cm="1">
        <f t="array" ref="F2648">_xlfn._xlws.FILTER(E2648:E5846, C2648:C5846= "6D-PM-1020-01", "No Squirrels Found")</f>
        <v>No Squirrels Found</v>
      </c>
      <c r="G2648" s="8" t="s">
        <v>48</v>
      </c>
      <c r="H2648" s="10">
        <v>10182018</v>
      </c>
      <c r="I2648" s="10">
        <v>1</v>
      </c>
      <c r="J2648" s="8" t="s">
        <v>39</v>
      </c>
      <c r="K2648" s="8" t="s">
        <v>41</v>
      </c>
      <c r="L2648" s="8" t="s">
        <v>135</v>
      </c>
      <c r="M2648" s="8" t="s">
        <v>136</v>
      </c>
      <c r="O2648" s="8" t="s">
        <v>43</v>
      </c>
      <c r="P2648" s="8" t="b">
        <v>0</v>
      </c>
      <c r="R2648" s="8" t="b">
        <v>1</v>
      </c>
      <c r="S2648" s="8" t="b">
        <v>0</v>
      </c>
      <c r="T2648" s="8" t="b">
        <v>0</v>
      </c>
      <c r="U2648" s="8" t="b">
        <v>0</v>
      </c>
      <c r="V2648" s="8" t="b">
        <v>0</v>
      </c>
      <c r="X2648" s="8" t="b">
        <v>0</v>
      </c>
      <c r="Y2648" s="8" t="b">
        <v>0</v>
      </c>
      <c r="Z2648" s="8" t="b">
        <v>0</v>
      </c>
      <c r="AA2648" s="8" t="b">
        <v>0</v>
      </c>
      <c r="AB2648" s="8" t="b">
        <v>0</v>
      </c>
      <c r="AC2648" s="8" t="b">
        <v>0</v>
      </c>
      <c r="AD2648" s="8" t="b">
        <v>0</v>
      </c>
      <c r="AE2648" s="8" t="b">
        <v>1</v>
      </c>
      <c r="AG2648" s="11" t="b" cm="1">
        <f t="array" ref="AG2648">IF(OR(Y2648:AA2648="TRUE", AE2648="true"), "Threatened")</f>
        <v>0</v>
      </c>
      <c r="AH2648" s="11" t="s">
        <v>6537</v>
      </c>
      <c r="AI2648" s="8" t="b">
        <v>1</v>
      </c>
    </row>
    <row r="2649" spans="1:35" ht="31.2">
      <c r="A2649" s="8">
        <v>-73.972941050000003</v>
      </c>
      <c r="B2649" s="8">
        <v>40.770948500000003</v>
      </c>
      <c r="C2649" s="8" t="s">
        <v>6538</v>
      </c>
      <c r="D2649" s="8" t="s">
        <v>368</v>
      </c>
      <c r="E2649" s="8" t="b">
        <f t="shared" si="41"/>
        <v>0</v>
      </c>
      <c r="F2649" s="8" t="str" cm="1">
        <f t="array" ref="F2649">_xlfn._xlws.FILTER(E2649:E5847, C2649:C5847= "6D-PM-1020-01", "No Squirrels Found")</f>
        <v>No Squirrels Found</v>
      </c>
      <c r="G2649" s="8" t="s">
        <v>48</v>
      </c>
      <c r="H2649" s="10">
        <v>10082018</v>
      </c>
      <c r="I2649" s="10">
        <v>13</v>
      </c>
      <c r="J2649" s="8" t="s">
        <v>39</v>
      </c>
      <c r="K2649" s="8" t="s">
        <v>40</v>
      </c>
      <c r="M2649" s="8" t="s">
        <v>55</v>
      </c>
      <c r="O2649" s="8" t="s">
        <v>50</v>
      </c>
      <c r="P2649" s="8">
        <v>4</v>
      </c>
      <c r="Q2649" s="8" t="s">
        <v>6539</v>
      </c>
      <c r="R2649" s="8" t="b">
        <v>1</v>
      </c>
      <c r="S2649" s="8" t="b">
        <v>0</v>
      </c>
      <c r="T2649" s="8" t="b">
        <v>0</v>
      </c>
      <c r="U2649" s="8" t="b">
        <v>1</v>
      </c>
      <c r="V2649" s="8" t="b">
        <v>1</v>
      </c>
      <c r="W2649" s="11" t="s">
        <v>6540</v>
      </c>
      <c r="X2649" s="8" t="b">
        <v>0</v>
      </c>
      <c r="Y2649" s="8" t="b">
        <v>0</v>
      </c>
      <c r="Z2649" s="8" t="b">
        <v>0</v>
      </c>
      <c r="AA2649" s="8" t="b">
        <v>0</v>
      </c>
      <c r="AB2649" s="8" t="b">
        <v>0</v>
      </c>
      <c r="AC2649" s="8" t="b">
        <v>0</v>
      </c>
      <c r="AD2649" s="8" t="b">
        <v>1</v>
      </c>
      <c r="AE2649" s="8" t="b">
        <v>0</v>
      </c>
      <c r="AG2649" s="11" t="b" cm="1">
        <f t="array" ref="AG2649">IF(OR(Y2649:AA2649="TRUE", AE2649="true"), "Threatened")</f>
        <v>0</v>
      </c>
      <c r="AH2649" s="11" t="s">
        <v>6541</v>
      </c>
      <c r="AI2649" s="8" t="b">
        <v>0</v>
      </c>
    </row>
    <row r="2650" spans="1:35" ht="31.2">
      <c r="A2650" s="8">
        <v>-73.970642859999998</v>
      </c>
      <c r="B2650" s="8">
        <v>40.776293389999999</v>
      </c>
      <c r="C2650" s="8" t="s">
        <v>6542</v>
      </c>
      <c r="D2650" s="8" t="s">
        <v>79</v>
      </c>
      <c r="E2650" s="8" t="b">
        <f t="shared" si="41"/>
        <v>0</v>
      </c>
      <c r="F2650" s="8" t="str" cm="1">
        <f t="array" ref="F2650">_xlfn._xlws.FILTER(E2650:E5848, C2650:C5848= "6D-PM-1020-01", "No Squirrels Found")</f>
        <v>No Squirrels Found</v>
      </c>
      <c r="G2650" s="8" t="s">
        <v>48</v>
      </c>
      <c r="H2650" s="10">
        <v>10172018</v>
      </c>
      <c r="I2650" s="10">
        <v>7</v>
      </c>
      <c r="J2650" s="8" t="s">
        <v>39</v>
      </c>
      <c r="K2650" s="8" t="s">
        <v>40</v>
      </c>
      <c r="L2650" s="8" t="s">
        <v>41</v>
      </c>
      <c r="M2650" s="8" t="s">
        <v>42</v>
      </c>
      <c r="O2650" s="8" t="s">
        <v>43</v>
      </c>
      <c r="P2650" s="8" t="b">
        <v>0</v>
      </c>
      <c r="R2650" s="8" t="b">
        <v>0</v>
      </c>
      <c r="S2650" s="8" t="b">
        <v>0</v>
      </c>
      <c r="T2650" s="8" t="b">
        <v>0</v>
      </c>
      <c r="U2650" s="8" t="b">
        <v>0</v>
      </c>
      <c r="V2650" s="8" t="b">
        <v>1</v>
      </c>
      <c r="X2650" s="8" t="b">
        <v>0</v>
      </c>
      <c r="Y2650" s="8" t="b">
        <v>0</v>
      </c>
      <c r="Z2650" s="8" t="b">
        <v>0</v>
      </c>
      <c r="AA2650" s="8" t="b">
        <v>0</v>
      </c>
      <c r="AB2650" s="8" t="b">
        <v>0</v>
      </c>
      <c r="AC2650" s="8" t="b">
        <v>0</v>
      </c>
      <c r="AD2650" s="8" t="b">
        <v>1</v>
      </c>
      <c r="AE2650" s="8" t="b">
        <v>0</v>
      </c>
      <c r="AG2650" s="11" t="b" cm="1">
        <f t="array" ref="AG2650">IF(OR(Y2650:AA2650="TRUE", AE2650="true"), "Threatened")</f>
        <v>0</v>
      </c>
      <c r="AH2650" s="11" t="s">
        <v>6543</v>
      </c>
      <c r="AI2650" s="8" t="b">
        <v>1</v>
      </c>
    </row>
    <row r="2651" spans="1:35" ht="31.2">
      <c r="A2651" s="8">
        <v>-73.953825170000002</v>
      </c>
      <c r="B2651" s="8">
        <v>40.791936020000001</v>
      </c>
      <c r="C2651" s="8" t="s">
        <v>6544</v>
      </c>
      <c r="D2651" s="8" t="s">
        <v>3751</v>
      </c>
      <c r="E2651" s="8" t="b">
        <f t="shared" si="41"/>
        <v>0</v>
      </c>
      <c r="F2651" s="8" t="str" cm="1">
        <f t="array" ref="F2651">_xlfn._xlws.FILTER(E2651:E5849, C2651:C5849= "6D-PM-1020-01", "No Squirrels Found")</f>
        <v>No Squirrels Found</v>
      </c>
      <c r="G2651" s="8" t="s">
        <v>34</v>
      </c>
      <c r="H2651" s="10">
        <v>10062018</v>
      </c>
      <c r="I2651" s="10">
        <v>1</v>
      </c>
      <c r="J2651" s="8" t="s">
        <v>39</v>
      </c>
      <c r="K2651" s="8" t="s">
        <v>40</v>
      </c>
      <c r="L2651" s="8" t="s">
        <v>41</v>
      </c>
      <c r="M2651" s="8" t="s">
        <v>42</v>
      </c>
      <c r="O2651" s="8" t="s">
        <v>43</v>
      </c>
      <c r="P2651" s="8" t="b">
        <v>0</v>
      </c>
      <c r="R2651" s="8" t="b">
        <v>0</v>
      </c>
      <c r="S2651" s="8" t="b">
        <v>0</v>
      </c>
      <c r="T2651" s="8" t="b">
        <v>0</v>
      </c>
      <c r="U2651" s="8" t="b">
        <v>0</v>
      </c>
      <c r="V2651" s="8" t="b">
        <v>1</v>
      </c>
      <c r="X2651" s="8" t="b">
        <v>0</v>
      </c>
      <c r="Y2651" s="8" t="b">
        <v>0</v>
      </c>
      <c r="Z2651" s="8" t="b">
        <v>0</v>
      </c>
      <c r="AA2651" s="8" t="b">
        <v>0</v>
      </c>
      <c r="AB2651" s="8" t="b">
        <v>0</v>
      </c>
      <c r="AC2651" s="8" t="b">
        <v>0</v>
      </c>
      <c r="AD2651" s="8" t="b">
        <v>1</v>
      </c>
      <c r="AE2651" s="8" t="b">
        <v>0</v>
      </c>
      <c r="AG2651" s="11" t="b" cm="1">
        <f t="array" ref="AG2651">IF(OR(Y2651:AA2651="TRUE", AE2651="true"), "Threatened")</f>
        <v>0</v>
      </c>
      <c r="AH2651" s="11" t="s">
        <v>6545</v>
      </c>
      <c r="AI2651" s="8" t="b">
        <v>1</v>
      </c>
    </row>
    <row r="2652" spans="1:35" ht="31.2">
      <c r="A2652" s="8">
        <v>-73.963299320000004</v>
      </c>
      <c r="B2652" s="8">
        <v>40.788819949999997</v>
      </c>
      <c r="C2652" s="8" t="s">
        <v>6546</v>
      </c>
      <c r="D2652" s="8" t="s">
        <v>188</v>
      </c>
      <c r="E2652" s="8" t="b">
        <f t="shared" si="41"/>
        <v>0</v>
      </c>
      <c r="F2652" s="8" t="str" cm="1">
        <f t="array" ref="F2652">_xlfn._xlws.FILTER(E2652:E5850, C2652:C5850= "6D-PM-1020-01", "No Squirrels Found")</f>
        <v>No Squirrels Found</v>
      </c>
      <c r="G2652" s="8" t="s">
        <v>48</v>
      </c>
      <c r="H2652" s="10">
        <v>10072018</v>
      </c>
      <c r="I2652" s="10">
        <v>5</v>
      </c>
      <c r="J2652" s="8" t="s">
        <v>39</v>
      </c>
      <c r="K2652" s="8" t="s">
        <v>192</v>
      </c>
      <c r="L2652" s="8" t="s">
        <v>40</v>
      </c>
      <c r="M2652" s="8" t="s">
        <v>1236</v>
      </c>
      <c r="O2652" s="8" t="s">
        <v>43</v>
      </c>
      <c r="P2652" s="8" t="b">
        <v>0</v>
      </c>
      <c r="R2652" s="8" t="b">
        <v>0</v>
      </c>
      <c r="S2652" s="8" t="b">
        <v>0</v>
      </c>
      <c r="T2652" s="8" t="b">
        <v>0</v>
      </c>
      <c r="U2652" s="8" t="b">
        <v>0</v>
      </c>
      <c r="V2652" s="8" t="b">
        <v>1</v>
      </c>
      <c r="X2652" s="8" t="b">
        <v>0</v>
      </c>
      <c r="Y2652" s="8" t="b">
        <v>0</v>
      </c>
      <c r="Z2652" s="8" t="b">
        <v>0</v>
      </c>
      <c r="AA2652" s="8" t="b">
        <v>0</v>
      </c>
      <c r="AB2652" s="8" t="b">
        <v>0</v>
      </c>
      <c r="AC2652" s="8" t="b">
        <v>0</v>
      </c>
      <c r="AD2652" s="8" t="b">
        <v>0</v>
      </c>
      <c r="AE2652" s="8" t="b">
        <v>0</v>
      </c>
      <c r="AG2652" s="11" t="b" cm="1">
        <f t="array" ref="AG2652">IF(OR(Y2652:AA2652="TRUE", AE2652="true"), "Threatened")</f>
        <v>0</v>
      </c>
      <c r="AH2652" s="11" t="s">
        <v>6547</v>
      </c>
      <c r="AI2652" s="8" t="b">
        <v>1</v>
      </c>
    </row>
    <row r="2653" spans="1:35" ht="31.2">
      <c r="A2653" s="8">
        <v>-73.962054249999994</v>
      </c>
      <c r="B2653" s="8">
        <v>40.79437317</v>
      </c>
      <c r="C2653" s="8" t="s">
        <v>6548</v>
      </c>
      <c r="D2653" s="8" t="s">
        <v>2657</v>
      </c>
      <c r="E2653" s="8" t="b">
        <f t="shared" si="41"/>
        <v>0</v>
      </c>
      <c r="F2653" s="8" t="str" cm="1">
        <f t="array" ref="F2653">_xlfn._xlws.FILTER(E2653:E5851, C2653:C5851= "6D-PM-1020-01", "No Squirrels Found")</f>
        <v>No Squirrels Found</v>
      </c>
      <c r="G2653" s="8" t="s">
        <v>48</v>
      </c>
      <c r="H2653" s="10">
        <v>10122018</v>
      </c>
      <c r="I2653" s="10">
        <v>1</v>
      </c>
      <c r="J2653" s="8" t="s">
        <v>39</v>
      </c>
      <c r="K2653" s="8" t="s">
        <v>40</v>
      </c>
      <c r="L2653" s="8" t="s">
        <v>41</v>
      </c>
      <c r="M2653" s="8" t="s">
        <v>42</v>
      </c>
      <c r="O2653" s="8" t="s">
        <v>50</v>
      </c>
      <c r="P2653" s="8">
        <v>10</v>
      </c>
      <c r="Q2653" s="8" t="s">
        <v>4119</v>
      </c>
      <c r="R2653" s="8" t="b">
        <v>1</v>
      </c>
      <c r="S2653" s="8" t="b">
        <v>1</v>
      </c>
      <c r="T2653" s="8" t="b">
        <v>1</v>
      </c>
      <c r="U2653" s="8" t="b">
        <v>0</v>
      </c>
      <c r="V2653" s="8" t="b">
        <v>0</v>
      </c>
      <c r="X2653" s="8" t="b">
        <v>0</v>
      </c>
      <c r="Y2653" s="8" t="b">
        <v>0</v>
      </c>
      <c r="Z2653" s="8" t="b">
        <v>0</v>
      </c>
      <c r="AA2653" s="8" t="b">
        <v>0</v>
      </c>
      <c r="AB2653" s="8" t="b">
        <v>0</v>
      </c>
      <c r="AC2653" s="8" t="b">
        <v>0</v>
      </c>
      <c r="AD2653" s="8" t="b">
        <v>1</v>
      </c>
      <c r="AE2653" s="8" t="b">
        <v>0</v>
      </c>
      <c r="AG2653" s="11" t="b" cm="1">
        <f t="array" ref="AG2653">IF(OR(Y2653:AA2653="TRUE", AE2653="true"), "Threatened")</f>
        <v>0</v>
      </c>
      <c r="AH2653" s="11" t="s">
        <v>6549</v>
      </c>
      <c r="AI2653" s="8" t="b">
        <v>1</v>
      </c>
    </row>
    <row r="2654" spans="1:35" ht="31.2">
      <c r="A2654" s="8">
        <v>-73.958932540000006</v>
      </c>
      <c r="B2654" s="8">
        <v>40.791344549999998</v>
      </c>
      <c r="C2654" s="8" t="s">
        <v>6550</v>
      </c>
      <c r="D2654" s="8" t="s">
        <v>1214</v>
      </c>
      <c r="E2654" s="8" t="b">
        <f t="shared" si="41"/>
        <v>0</v>
      </c>
      <c r="F2654" s="8" t="str" cm="1">
        <f t="array" ref="F2654">_xlfn._xlws.FILTER(E2654:E5852, C2654:C5852= "6D-PM-1020-01", "No Squirrels Found")</f>
        <v>No Squirrels Found</v>
      </c>
      <c r="G2654" s="8" t="s">
        <v>48</v>
      </c>
      <c r="H2654" s="10">
        <v>10142018</v>
      </c>
      <c r="I2654" s="10">
        <v>11</v>
      </c>
      <c r="J2654" s="8" t="s">
        <v>54</v>
      </c>
      <c r="K2654" s="8" t="s">
        <v>40</v>
      </c>
      <c r="L2654" s="8" t="s">
        <v>117</v>
      </c>
      <c r="M2654" s="8" t="s">
        <v>118</v>
      </c>
      <c r="O2654" s="8" t="s">
        <v>50</v>
      </c>
      <c r="P2654" s="8">
        <v>15</v>
      </c>
      <c r="R2654" s="8" t="b">
        <v>0</v>
      </c>
      <c r="S2654" s="8" t="b">
        <v>1</v>
      </c>
      <c r="T2654" s="8" t="b">
        <v>0</v>
      </c>
      <c r="U2654" s="8" t="b">
        <v>0</v>
      </c>
      <c r="V2654" s="8" t="b">
        <v>0</v>
      </c>
      <c r="X2654" s="8" t="b">
        <v>0</v>
      </c>
      <c r="Y2654" s="8" t="b">
        <v>0</v>
      </c>
      <c r="Z2654" s="8" t="b">
        <v>0</v>
      </c>
      <c r="AA2654" s="8" t="b">
        <v>0</v>
      </c>
      <c r="AB2654" s="8" t="b">
        <v>0</v>
      </c>
      <c r="AC2654" s="8" t="b">
        <v>0</v>
      </c>
      <c r="AD2654" s="8" t="b">
        <v>1</v>
      </c>
      <c r="AE2654" s="8" t="b">
        <v>0</v>
      </c>
      <c r="AG2654" s="11" t="b" cm="1">
        <f t="array" ref="AG2654">IF(OR(Y2654:AA2654="TRUE", AE2654="true"), "Threatened")</f>
        <v>0</v>
      </c>
      <c r="AH2654" s="11" t="s">
        <v>6551</v>
      </c>
      <c r="AI2654" s="8" t="b">
        <v>1</v>
      </c>
    </row>
    <row r="2655" spans="1:35" ht="31.2">
      <c r="A2655" s="8">
        <v>-73.954926119999996</v>
      </c>
      <c r="B2655" s="8">
        <v>40.794470199999999</v>
      </c>
      <c r="C2655" s="8" t="s">
        <v>6552</v>
      </c>
      <c r="D2655" s="8" t="s">
        <v>939</v>
      </c>
      <c r="E2655" s="8" t="b">
        <f t="shared" si="41"/>
        <v>0</v>
      </c>
      <c r="F2655" s="8" t="str" cm="1">
        <f t="array" ref="F2655">_xlfn._xlws.FILTER(E2655:E5853, C2655:C5853= "6D-PM-1020-01", "No Squirrels Found")</f>
        <v>No Squirrels Found</v>
      </c>
      <c r="G2655" s="8" t="s">
        <v>48</v>
      </c>
      <c r="H2655" s="10">
        <v>10142018</v>
      </c>
      <c r="I2655" s="10">
        <v>4</v>
      </c>
      <c r="J2655" s="8" t="s">
        <v>39</v>
      </c>
      <c r="K2655" s="8" t="s">
        <v>40</v>
      </c>
      <c r="M2655" s="8" t="s">
        <v>55</v>
      </c>
      <c r="O2655" s="8" t="s">
        <v>50</v>
      </c>
      <c r="P2655" s="8">
        <v>5</v>
      </c>
      <c r="R2655" s="8" t="b">
        <v>0</v>
      </c>
      <c r="S2655" s="8" t="b">
        <v>1</v>
      </c>
      <c r="T2655" s="8" t="b">
        <v>0</v>
      </c>
      <c r="U2655" s="8" t="b">
        <v>0</v>
      </c>
      <c r="V2655" s="8" t="b">
        <v>0</v>
      </c>
      <c r="W2655" s="11" t="s">
        <v>1369</v>
      </c>
      <c r="X2655" s="8" t="b">
        <v>0</v>
      </c>
      <c r="Y2655" s="8" t="b">
        <v>0</v>
      </c>
      <c r="Z2655" s="8" t="b">
        <v>0</v>
      </c>
      <c r="AA2655" s="8" t="b">
        <v>0</v>
      </c>
      <c r="AB2655" s="8" t="b">
        <v>0</v>
      </c>
      <c r="AC2655" s="8" t="b">
        <v>0</v>
      </c>
      <c r="AD2655" s="8" t="b">
        <v>1</v>
      </c>
      <c r="AE2655" s="8" t="b">
        <v>0</v>
      </c>
      <c r="AG2655" s="11" t="b" cm="1">
        <f t="array" ref="AG2655">IF(OR(Y2655:AA2655="TRUE", AE2655="true"), "Threatened")</f>
        <v>0</v>
      </c>
      <c r="AH2655" s="11" t="s">
        <v>6553</v>
      </c>
      <c r="AI2655" s="8" t="b">
        <v>0</v>
      </c>
    </row>
    <row r="2656" spans="1:35" ht="31.2">
      <c r="A2656" s="8">
        <v>-73.965915609999996</v>
      </c>
      <c r="B2656" s="8">
        <v>40.781070980000003</v>
      </c>
      <c r="C2656" s="8" t="s">
        <v>6554</v>
      </c>
      <c r="D2656" s="8" t="s">
        <v>6555</v>
      </c>
      <c r="E2656" s="8" t="b">
        <f t="shared" si="41"/>
        <v>0</v>
      </c>
      <c r="F2656" s="8" t="str" cm="1">
        <f t="array" ref="F2656">_xlfn._xlws.FILTER(E2656:E5854, C2656:C5854= "6D-PM-1020-01", "No Squirrels Found")</f>
        <v>No Squirrels Found</v>
      </c>
      <c r="G2656" s="8" t="s">
        <v>48</v>
      </c>
      <c r="H2656" s="10">
        <v>10142018</v>
      </c>
      <c r="I2656" s="10">
        <v>1</v>
      </c>
      <c r="J2656" s="8" t="s">
        <v>39</v>
      </c>
      <c r="K2656" s="8" t="s">
        <v>40</v>
      </c>
      <c r="L2656" s="8" t="s">
        <v>117</v>
      </c>
      <c r="M2656" s="8" t="s">
        <v>118</v>
      </c>
      <c r="O2656" s="8" t="s">
        <v>43</v>
      </c>
      <c r="P2656" s="8" t="b">
        <v>0</v>
      </c>
      <c r="R2656" s="8" t="b">
        <v>1</v>
      </c>
      <c r="S2656" s="8" t="b">
        <v>0</v>
      </c>
      <c r="T2656" s="8" t="b">
        <v>0</v>
      </c>
      <c r="U2656" s="8" t="b">
        <v>1</v>
      </c>
      <c r="V2656" s="8" t="b">
        <v>1</v>
      </c>
      <c r="X2656" s="8" t="b">
        <v>0</v>
      </c>
      <c r="Y2656" s="8" t="b">
        <v>0</v>
      </c>
      <c r="Z2656" s="8" t="b">
        <v>0</v>
      </c>
      <c r="AA2656" s="8" t="b">
        <v>0</v>
      </c>
      <c r="AB2656" s="8" t="b">
        <v>1</v>
      </c>
      <c r="AC2656" s="8" t="b">
        <v>0</v>
      </c>
      <c r="AD2656" s="8" t="b">
        <v>0</v>
      </c>
      <c r="AE2656" s="8" t="b">
        <v>0</v>
      </c>
      <c r="AG2656" s="11" t="b" cm="1">
        <f t="array" ref="AG2656">IF(OR(Y2656:AA2656="TRUE", AE2656="true"), "Threatened")</f>
        <v>0</v>
      </c>
      <c r="AH2656" s="11" t="s">
        <v>6556</v>
      </c>
      <c r="AI2656" s="8" t="b">
        <v>1</v>
      </c>
    </row>
    <row r="2657" spans="1:35" ht="31.2">
      <c r="A2657" s="8">
        <v>-73.972399600000003</v>
      </c>
      <c r="B2657" s="8">
        <v>40.778876510000003</v>
      </c>
      <c r="C2657" s="8" t="s">
        <v>6557</v>
      </c>
      <c r="D2657" s="8" t="s">
        <v>1141</v>
      </c>
      <c r="E2657" s="8" t="b">
        <f t="shared" si="41"/>
        <v>0</v>
      </c>
      <c r="F2657" s="8" t="str" cm="1">
        <f t="array" ref="F2657">_xlfn._xlws.FILTER(E2657:E5855, C2657:C5855= "6D-PM-1020-01", "No Squirrels Found")</f>
        <v>No Squirrels Found</v>
      </c>
      <c r="G2657" s="8" t="s">
        <v>34</v>
      </c>
      <c r="H2657" s="10">
        <v>10172018</v>
      </c>
      <c r="I2657" s="10">
        <v>4</v>
      </c>
      <c r="J2657" s="8" t="s">
        <v>39</v>
      </c>
      <c r="K2657" s="8" t="s">
        <v>40</v>
      </c>
      <c r="M2657" s="8" t="s">
        <v>55</v>
      </c>
      <c r="O2657" s="8" t="s">
        <v>43</v>
      </c>
      <c r="P2657" s="8" t="b">
        <v>0</v>
      </c>
      <c r="Q2657" s="8" t="s">
        <v>6558</v>
      </c>
      <c r="R2657" s="8" t="b">
        <v>0</v>
      </c>
      <c r="S2657" s="8" t="b">
        <v>0</v>
      </c>
      <c r="T2657" s="8" t="b">
        <v>0</v>
      </c>
      <c r="U2657" s="8" t="b">
        <v>0</v>
      </c>
      <c r="V2657" s="8" t="b">
        <v>1</v>
      </c>
      <c r="X2657" s="8" t="b">
        <v>0</v>
      </c>
      <c r="Y2657" s="8" t="b">
        <v>0</v>
      </c>
      <c r="Z2657" s="8" t="b">
        <v>0</v>
      </c>
      <c r="AA2657" s="8" t="b">
        <v>0</v>
      </c>
      <c r="AB2657" s="8" t="b">
        <v>0</v>
      </c>
      <c r="AC2657" s="8" t="b">
        <v>0</v>
      </c>
      <c r="AD2657" s="8" t="b">
        <v>0</v>
      </c>
      <c r="AE2657" s="8" t="b">
        <v>0</v>
      </c>
      <c r="AG2657" s="11" t="b" cm="1">
        <f t="array" ref="AG2657">IF(OR(Y2657:AA2657="TRUE", AE2657="true"), "Threatened")</f>
        <v>0</v>
      </c>
      <c r="AH2657" s="11" t="s">
        <v>6559</v>
      </c>
      <c r="AI2657" s="8" t="b">
        <v>1</v>
      </c>
    </row>
    <row r="2658" spans="1:35" ht="31.2">
      <c r="A2658" s="8">
        <v>-73.958215069999994</v>
      </c>
      <c r="B2658" s="8">
        <v>40.796286279999997</v>
      </c>
      <c r="C2658" s="8" t="s">
        <v>6560</v>
      </c>
      <c r="D2658" s="8" t="s">
        <v>191</v>
      </c>
      <c r="E2658" s="8" t="b">
        <f t="shared" si="41"/>
        <v>0</v>
      </c>
      <c r="F2658" s="8" t="str" cm="1">
        <f t="array" ref="F2658">_xlfn._xlws.FILTER(E2658:E5856, C2658:C5856= "6D-PM-1020-01", "No Squirrels Found")</f>
        <v>No Squirrels Found</v>
      </c>
      <c r="G2658" s="8" t="s">
        <v>48</v>
      </c>
      <c r="H2658" s="10">
        <v>10192018</v>
      </c>
      <c r="I2658" s="10">
        <v>8</v>
      </c>
      <c r="J2658" s="8" t="s">
        <v>54</v>
      </c>
      <c r="K2658" s="8" t="s">
        <v>40</v>
      </c>
      <c r="L2658" s="8" t="s">
        <v>84</v>
      </c>
      <c r="M2658" s="8" t="s">
        <v>103</v>
      </c>
      <c r="O2658" s="8" t="s">
        <v>43</v>
      </c>
      <c r="P2658" s="8" t="b">
        <v>0</v>
      </c>
      <c r="R2658" s="8" t="b">
        <v>1</v>
      </c>
      <c r="S2658" s="8" t="b">
        <v>0</v>
      </c>
      <c r="T2658" s="8" t="b">
        <v>0</v>
      </c>
      <c r="U2658" s="8" t="b">
        <v>0</v>
      </c>
      <c r="V2658" s="8" t="b">
        <v>1</v>
      </c>
      <c r="X2658" s="8" t="b">
        <v>1</v>
      </c>
      <c r="Y2658" s="8" t="b">
        <v>0</v>
      </c>
      <c r="Z2658" s="8" t="b">
        <v>0</v>
      </c>
      <c r="AA2658" s="8" t="b">
        <v>0</v>
      </c>
      <c r="AB2658" s="8" t="b">
        <v>0</v>
      </c>
      <c r="AC2658" s="8" t="b">
        <v>0</v>
      </c>
      <c r="AD2658" s="8" t="b">
        <v>1</v>
      </c>
      <c r="AE2658" s="8" t="b">
        <v>0</v>
      </c>
      <c r="AG2658" s="11" t="b" cm="1">
        <f t="array" ref="AG2658">IF(OR(Y2658:AA2658="TRUE", AE2658="true"), "Threatened")</f>
        <v>0</v>
      </c>
      <c r="AH2658" s="11" t="s">
        <v>6561</v>
      </c>
      <c r="AI2658" s="8" t="b">
        <v>1</v>
      </c>
    </row>
    <row r="2659" spans="1:35" ht="31.2">
      <c r="A2659" s="8">
        <v>-73.969021220000002</v>
      </c>
      <c r="B2659" s="8">
        <v>40.783409939999999</v>
      </c>
      <c r="C2659" s="8" t="s">
        <v>6562</v>
      </c>
      <c r="D2659" s="8" t="s">
        <v>1415</v>
      </c>
      <c r="E2659" s="8" t="b">
        <f t="shared" si="41"/>
        <v>0</v>
      </c>
      <c r="F2659" s="8" t="str" cm="1">
        <f t="array" ref="F2659">_xlfn._xlws.FILTER(E2659:E5857, C2659:C5857= "6D-PM-1020-01", "No Squirrels Found")</f>
        <v>No Squirrels Found</v>
      </c>
      <c r="G2659" s="8" t="s">
        <v>34</v>
      </c>
      <c r="H2659" s="10">
        <v>10172018</v>
      </c>
      <c r="I2659" s="10">
        <v>5</v>
      </c>
      <c r="J2659" s="8" t="s">
        <v>54</v>
      </c>
      <c r="K2659" s="8" t="s">
        <v>40</v>
      </c>
      <c r="M2659" s="8" t="s">
        <v>55</v>
      </c>
      <c r="O2659" s="8" t="s">
        <v>43</v>
      </c>
      <c r="P2659" s="8" t="b">
        <v>0</v>
      </c>
      <c r="R2659" s="8" t="b">
        <v>1</v>
      </c>
      <c r="S2659" s="8" t="b">
        <v>0</v>
      </c>
      <c r="T2659" s="8" t="b">
        <v>0</v>
      </c>
      <c r="U2659" s="8" t="b">
        <v>0</v>
      </c>
      <c r="V2659" s="8" t="b">
        <v>0</v>
      </c>
      <c r="X2659" s="8" t="b">
        <v>0</v>
      </c>
      <c r="Y2659" s="8" t="b">
        <v>0</v>
      </c>
      <c r="Z2659" s="8" t="b">
        <v>0</v>
      </c>
      <c r="AA2659" s="8" t="b">
        <v>0</v>
      </c>
      <c r="AB2659" s="8" t="b">
        <v>0</v>
      </c>
      <c r="AC2659" s="8" t="b">
        <v>0</v>
      </c>
      <c r="AD2659" s="8" t="b">
        <v>0</v>
      </c>
      <c r="AE2659" s="8" t="b">
        <v>0</v>
      </c>
      <c r="AG2659" s="11" t="b" cm="1">
        <f t="array" ref="AG2659">IF(OR(Y2659:AA2659="TRUE", AE2659="true"), "Threatened")</f>
        <v>0</v>
      </c>
      <c r="AH2659" s="11" t="s">
        <v>6563</v>
      </c>
      <c r="AI2659" s="8" t="b">
        <v>1</v>
      </c>
    </row>
    <row r="2660" spans="1:35" ht="31.2">
      <c r="A2660" s="8">
        <v>-73.955360339999999</v>
      </c>
      <c r="B2660" s="8">
        <v>40.798528300000001</v>
      </c>
      <c r="C2660" s="8" t="s">
        <v>6564</v>
      </c>
      <c r="D2660" s="8" t="s">
        <v>353</v>
      </c>
      <c r="E2660" s="8" t="b">
        <f t="shared" si="41"/>
        <v>0</v>
      </c>
      <c r="F2660" s="8" t="str" cm="1">
        <f t="array" ref="F2660">_xlfn._xlws.FILTER(E2660:E5858, C2660:C5858= "6D-PM-1020-01", "No Squirrels Found")</f>
        <v>No Squirrels Found</v>
      </c>
      <c r="G2660" s="8" t="s">
        <v>34</v>
      </c>
      <c r="H2660" s="10">
        <v>10142018</v>
      </c>
      <c r="I2660" s="10">
        <v>5</v>
      </c>
      <c r="J2660" s="8" t="s">
        <v>39</v>
      </c>
      <c r="K2660" s="8" t="s">
        <v>40</v>
      </c>
      <c r="L2660" s="8" t="s">
        <v>84</v>
      </c>
      <c r="M2660" s="8" t="s">
        <v>103</v>
      </c>
      <c r="O2660" s="8" t="s">
        <v>50</v>
      </c>
      <c r="P2660" s="8">
        <v>12</v>
      </c>
      <c r="R2660" s="8" t="b">
        <v>0</v>
      </c>
      <c r="S2660" s="8" t="b">
        <v>0</v>
      </c>
      <c r="T2660" s="8" t="b">
        <v>0</v>
      </c>
      <c r="U2660" s="8" t="b">
        <v>1</v>
      </c>
      <c r="V2660" s="8" t="b">
        <v>0</v>
      </c>
      <c r="X2660" s="8" t="b">
        <v>0</v>
      </c>
      <c r="Y2660" s="8" t="b">
        <v>0</v>
      </c>
      <c r="Z2660" s="8" t="b">
        <v>0</v>
      </c>
      <c r="AA2660" s="8" t="b">
        <v>0</v>
      </c>
      <c r="AB2660" s="8" t="b">
        <v>0</v>
      </c>
      <c r="AC2660" s="8" t="b">
        <v>0</v>
      </c>
      <c r="AD2660" s="8" t="b">
        <v>0</v>
      </c>
      <c r="AE2660" s="8" t="b">
        <v>0</v>
      </c>
      <c r="AG2660" s="11" t="b" cm="1">
        <f t="array" ref="AG2660">IF(OR(Y2660:AA2660="TRUE", AE2660="true"), "Threatened")</f>
        <v>0</v>
      </c>
      <c r="AH2660" s="11" t="s">
        <v>6565</v>
      </c>
      <c r="AI2660" s="8" t="b">
        <v>1</v>
      </c>
    </row>
    <row r="2661" spans="1:35" ht="31.2">
      <c r="A2661" s="8">
        <v>-73.972605639999998</v>
      </c>
      <c r="B2661" s="8">
        <v>40.779346789999998</v>
      </c>
      <c r="C2661" s="8" t="s">
        <v>6566</v>
      </c>
      <c r="D2661" s="8" t="s">
        <v>1106</v>
      </c>
      <c r="E2661" s="8" t="b">
        <f t="shared" si="41"/>
        <v>0</v>
      </c>
      <c r="F2661" s="8" t="str" cm="1">
        <f t="array" ref="F2661">_xlfn._xlws.FILTER(E2661:E5859, C2661:C5859= "6D-PM-1020-01", "No Squirrels Found")</f>
        <v>No Squirrels Found</v>
      </c>
      <c r="G2661" s="8" t="s">
        <v>34</v>
      </c>
      <c r="H2661" s="10">
        <v>10192018</v>
      </c>
      <c r="I2661" s="10">
        <v>3</v>
      </c>
      <c r="K2661" s="8" t="s">
        <v>40</v>
      </c>
      <c r="M2661" s="8" t="s">
        <v>55</v>
      </c>
      <c r="O2661" s="8" t="s">
        <v>50</v>
      </c>
      <c r="P2661" s="8">
        <v>15</v>
      </c>
      <c r="R2661" s="8" t="b">
        <v>0</v>
      </c>
      <c r="S2661" s="8" t="b">
        <v>0</v>
      </c>
      <c r="T2661" s="8" t="b">
        <v>1</v>
      </c>
      <c r="U2661" s="8" t="b">
        <v>0</v>
      </c>
      <c r="V2661" s="8" t="b">
        <v>0</v>
      </c>
      <c r="X2661" s="8" t="b">
        <v>0</v>
      </c>
      <c r="Y2661" s="8" t="b">
        <v>0</v>
      </c>
      <c r="Z2661" s="8" t="b">
        <v>0</v>
      </c>
      <c r="AA2661" s="8" t="b">
        <v>0</v>
      </c>
      <c r="AB2661" s="8" t="b">
        <v>0</v>
      </c>
      <c r="AC2661" s="8" t="b">
        <v>0</v>
      </c>
      <c r="AD2661" s="8" t="b">
        <v>0</v>
      </c>
      <c r="AE2661" s="8" t="b">
        <v>0</v>
      </c>
      <c r="AG2661" s="11" t="b" cm="1">
        <f t="array" ref="AG2661">IF(OR(Y2661:AA2661="TRUE", AE2661="true"), "Threatened")</f>
        <v>0</v>
      </c>
      <c r="AH2661" s="11" t="s">
        <v>6567</v>
      </c>
      <c r="AI2661" s="8" t="b">
        <v>1</v>
      </c>
    </row>
    <row r="2662" spans="1:35" ht="31.2">
      <c r="A2662" s="8">
        <v>-73.969384099999999</v>
      </c>
      <c r="B2662" s="8">
        <v>40.770414870000003</v>
      </c>
      <c r="C2662" s="8" t="s">
        <v>6568</v>
      </c>
      <c r="D2662" s="8" t="s">
        <v>1326</v>
      </c>
      <c r="E2662" s="8" t="b">
        <f t="shared" si="41"/>
        <v>0</v>
      </c>
      <c r="F2662" s="8" t="str" cm="1">
        <f t="array" ref="F2662">_xlfn._xlws.FILTER(E2662:E5860, C2662:C5860= "6D-PM-1020-01", "No Squirrels Found")</f>
        <v>No Squirrels Found</v>
      </c>
      <c r="G2662" s="8" t="s">
        <v>34</v>
      </c>
      <c r="H2662" s="10">
        <v>10132018</v>
      </c>
      <c r="I2662" s="10">
        <v>6</v>
      </c>
      <c r="J2662" s="8" t="s">
        <v>39</v>
      </c>
      <c r="K2662" s="8" t="s">
        <v>40</v>
      </c>
      <c r="L2662" s="8" t="s">
        <v>117</v>
      </c>
      <c r="M2662" s="8" t="s">
        <v>118</v>
      </c>
      <c r="O2662" s="8" t="s">
        <v>43</v>
      </c>
      <c r="P2662" s="8" t="b">
        <v>0</v>
      </c>
      <c r="R2662" s="8" t="b">
        <v>0</v>
      </c>
      <c r="S2662" s="8" t="b">
        <v>0</v>
      </c>
      <c r="T2662" s="8" t="b">
        <v>0</v>
      </c>
      <c r="U2662" s="8" t="b">
        <v>0</v>
      </c>
      <c r="V2662" s="8" t="b">
        <v>1</v>
      </c>
      <c r="X2662" s="8" t="b">
        <v>0</v>
      </c>
      <c r="Y2662" s="8" t="b">
        <v>0</v>
      </c>
      <c r="Z2662" s="8" t="b">
        <v>0</v>
      </c>
      <c r="AA2662" s="8" t="b">
        <v>0</v>
      </c>
      <c r="AB2662" s="8" t="b">
        <v>0</v>
      </c>
      <c r="AC2662" s="8" t="b">
        <v>0</v>
      </c>
      <c r="AD2662" s="8" t="b">
        <v>1</v>
      </c>
      <c r="AE2662" s="8" t="b">
        <v>0</v>
      </c>
      <c r="AG2662" s="11" t="b" cm="1">
        <f t="array" ref="AG2662">IF(OR(Y2662:AA2662="TRUE", AE2662="true"), "Threatened")</f>
        <v>0</v>
      </c>
      <c r="AH2662" s="11" t="s">
        <v>6569</v>
      </c>
      <c r="AI2662" s="8" t="b">
        <v>1</v>
      </c>
    </row>
    <row r="2663" spans="1:35" ht="31.2">
      <c r="A2663" s="8">
        <v>-73.970862890000006</v>
      </c>
      <c r="B2663" s="8">
        <v>40.772563089999998</v>
      </c>
      <c r="C2663" s="8" t="s">
        <v>6570</v>
      </c>
      <c r="D2663" s="8" t="s">
        <v>329</v>
      </c>
      <c r="E2663" s="8" t="b">
        <f t="shared" si="41"/>
        <v>0</v>
      </c>
      <c r="F2663" s="8" t="str" cm="1">
        <f t="array" ref="F2663">_xlfn._xlws.FILTER(E2663:E5861, C2663:C5861= "6D-PM-1020-01", "No Squirrels Found")</f>
        <v>No Squirrels Found</v>
      </c>
      <c r="G2663" s="8" t="s">
        <v>34</v>
      </c>
      <c r="H2663" s="10">
        <v>10192018</v>
      </c>
      <c r="I2663" s="10">
        <v>8</v>
      </c>
      <c r="J2663" s="8" t="s">
        <v>39</v>
      </c>
      <c r="K2663" s="8" t="s">
        <v>40</v>
      </c>
      <c r="L2663" s="8" t="s">
        <v>41</v>
      </c>
      <c r="M2663" s="8" t="s">
        <v>42</v>
      </c>
      <c r="O2663" s="8" t="s">
        <v>43</v>
      </c>
      <c r="P2663" s="8" t="b">
        <v>0</v>
      </c>
      <c r="Q2663" s="8" t="s">
        <v>6571</v>
      </c>
      <c r="R2663" s="8" t="b">
        <v>1</v>
      </c>
      <c r="S2663" s="8" t="b">
        <v>0</v>
      </c>
      <c r="T2663" s="8" t="b">
        <v>0</v>
      </c>
      <c r="U2663" s="8" t="b">
        <v>0</v>
      </c>
      <c r="V2663" s="8" t="b">
        <v>1</v>
      </c>
      <c r="W2663" s="11" t="s">
        <v>355</v>
      </c>
      <c r="X2663" s="8" t="b">
        <v>0</v>
      </c>
      <c r="Y2663" s="8" t="b">
        <v>0</v>
      </c>
      <c r="Z2663" s="8" t="b">
        <v>0</v>
      </c>
      <c r="AA2663" s="8" t="b">
        <v>0</v>
      </c>
      <c r="AB2663" s="8" t="b">
        <v>0</v>
      </c>
      <c r="AC2663" s="8" t="b">
        <v>0</v>
      </c>
      <c r="AD2663" s="8" t="b">
        <v>0</v>
      </c>
      <c r="AE2663" s="8" t="b">
        <v>1</v>
      </c>
      <c r="AG2663" s="11" t="b" cm="1">
        <f t="array" ref="AG2663">IF(OR(Y2663:AA2663="TRUE", AE2663="true"), "Threatened")</f>
        <v>0</v>
      </c>
      <c r="AH2663" s="11" t="s">
        <v>6572</v>
      </c>
      <c r="AI2663" s="8" t="b">
        <v>0</v>
      </c>
    </row>
    <row r="2664" spans="1:35" ht="31.2">
      <c r="A2664" s="8">
        <v>-73.961342920000007</v>
      </c>
      <c r="B2664" s="8">
        <v>40.791215809999997</v>
      </c>
      <c r="C2664" s="8" t="s">
        <v>6573</v>
      </c>
      <c r="D2664" s="8" t="s">
        <v>616</v>
      </c>
      <c r="E2664" s="8" t="b">
        <f t="shared" si="41"/>
        <v>0</v>
      </c>
      <c r="F2664" s="8" t="str" cm="1">
        <f t="array" ref="F2664">_xlfn._xlws.FILTER(E2664:E5862, C2664:C5862= "6D-PM-1020-01", "No Squirrels Found")</f>
        <v>No Squirrels Found</v>
      </c>
      <c r="G2664" s="8" t="s">
        <v>48</v>
      </c>
      <c r="H2664" s="10">
        <v>10142018</v>
      </c>
      <c r="I2664" s="10">
        <v>2</v>
      </c>
      <c r="J2664" s="8" t="s">
        <v>39</v>
      </c>
      <c r="K2664" s="8" t="s">
        <v>40</v>
      </c>
      <c r="M2664" s="8" t="s">
        <v>55</v>
      </c>
      <c r="O2664" s="8" t="s">
        <v>50</v>
      </c>
      <c r="P2664" s="8">
        <v>3</v>
      </c>
      <c r="R2664" s="8" t="b">
        <v>0</v>
      </c>
      <c r="S2664" s="8" t="b">
        <v>1</v>
      </c>
      <c r="T2664" s="8" t="b">
        <v>1</v>
      </c>
      <c r="U2664" s="8" t="b">
        <v>0</v>
      </c>
      <c r="V2664" s="8" t="b">
        <v>0</v>
      </c>
      <c r="X2664" s="8" t="b">
        <v>0</v>
      </c>
      <c r="Y2664" s="8" t="b">
        <v>0</v>
      </c>
      <c r="Z2664" s="8" t="b">
        <v>0</v>
      </c>
      <c r="AA2664" s="8" t="b">
        <v>0</v>
      </c>
      <c r="AB2664" s="8" t="b">
        <v>0</v>
      </c>
      <c r="AC2664" s="8" t="b">
        <v>0</v>
      </c>
      <c r="AD2664" s="8" t="b">
        <v>0</v>
      </c>
      <c r="AE2664" s="8" t="b">
        <v>0</v>
      </c>
      <c r="AG2664" s="11" t="b" cm="1">
        <f t="array" ref="AG2664">IF(OR(Y2664:AA2664="TRUE", AE2664="true"), "Threatened")</f>
        <v>0</v>
      </c>
      <c r="AH2664" s="11" t="s">
        <v>6574</v>
      </c>
      <c r="AI2664" s="8" t="b">
        <v>1</v>
      </c>
    </row>
    <row r="2665" spans="1:35" ht="31.2">
      <c r="A2665" s="8">
        <v>-73.959835040000002</v>
      </c>
      <c r="B2665" s="8">
        <v>40.7973274</v>
      </c>
      <c r="C2665" s="8" t="s">
        <v>6575</v>
      </c>
      <c r="D2665" s="8" t="s">
        <v>689</v>
      </c>
      <c r="E2665" s="8" t="b">
        <f t="shared" si="41"/>
        <v>0</v>
      </c>
      <c r="F2665" s="8" t="str" cm="1">
        <f t="array" ref="F2665">_xlfn._xlws.FILTER(E2665:E5863, C2665:C5863= "6D-PM-1020-01", "No Squirrels Found")</f>
        <v>No Squirrels Found</v>
      </c>
      <c r="G2665" s="8" t="s">
        <v>34</v>
      </c>
      <c r="H2665" s="10">
        <v>10132018</v>
      </c>
      <c r="I2665" s="10">
        <v>4</v>
      </c>
      <c r="J2665" s="8" t="s">
        <v>39</v>
      </c>
      <c r="K2665" s="8" t="s">
        <v>40</v>
      </c>
      <c r="L2665" s="8" t="s">
        <v>41</v>
      </c>
      <c r="M2665" s="8" t="s">
        <v>42</v>
      </c>
      <c r="O2665" s="8" t="s">
        <v>43</v>
      </c>
      <c r="P2665" s="8" t="b">
        <v>0</v>
      </c>
      <c r="R2665" s="8" t="b">
        <v>0</v>
      </c>
      <c r="S2665" s="8" t="b">
        <v>0</v>
      </c>
      <c r="T2665" s="8" t="b">
        <v>1</v>
      </c>
      <c r="U2665" s="8" t="b">
        <v>0</v>
      </c>
      <c r="V2665" s="8" t="b">
        <v>0</v>
      </c>
      <c r="X2665" s="8" t="b">
        <v>0</v>
      </c>
      <c r="Y2665" s="8" t="b">
        <v>0</v>
      </c>
      <c r="Z2665" s="8" t="b">
        <v>0</v>
      </c>
      <c r="AA2665" s="8" t="b">
        <v>0</v>
      </c>
      <c r="AB2665" s="8" t="b">
        <v>0</v>
      </c>
      <c r="AC2665" s="8" t="b">
        <v>0</v>
      </c>
      <c r="AD2665" s="8" t="b">
        <v>1</v>
      </c>
      <c r="AE2665" s="8" t="b">
        <v>0</v>
      </c>
      <c r="AG2665" s="11" t="b" cm="1">
        <f t="array" ref="AG2665">IF(OR(Y2665:AA2665="TRUE", AE2665="true"), "Threatened")</f>
        <v>0</v>
      </c>
      <c r="AH2665" s="11" t="s">
        <v>6576</v>
      </c>
      <c r="AI2665" s="8" t="b">
        <v>1</v>
      </c>
    </row>
    <row r="2666" spans="1:35" ht="31.2">
      <c r="A2666" s="8">
        <v>-73.969784070000003</v>
      </c>
      <c r="B2666" s="8">
        <v>40.776694040000002</v>
      </c>
      <c r="C2666" s="8" t="s">
        <v>6577</v>
      </c>
      <c r="D2666" s="8" t="s">
        <v>121</v>
      </c>
      <c r="E2666" s="8" t="b">
        <f t="shared" si="41"/>
        <v>0</v>
      </c>
      <c r="F2666" s="8" t="str" cm="1">
        <f t="array" ref="F2666">_xlfn._xlws.FILTER(E2666:E5864, C2666:C5864= "6D-PM-1020-01", "No Squirrels Found")</f>
        <v>No Squirrels Found</v>
      </c>
      <c r="G2666" s="8" t="s">
        <v>48</v>
      </c>
      <c r="H2666" s="10">
        <v>10082018</v>
      </c>
      <c r="I2666" s="10">
        <v>11</v>
      </c>
      <c r="J2666" s="8" t="s">
        <v>39</v>
      </c>
      <c r="K2666" s="8" t="s">
        <v>40</v>
      </c>
      <c r="L2666" s="8" t="s">
        <v>84</v>
      </c>
      <c r="M2666" s="8" t="s">
        <v>103</v>
      </c>
      <c r="O2666" s="8" t="s">
        <v>43</v>
      </c>
      <c r="P2666" s="8" t="b">
        <v>0</v>
      </c>
      <c r="R2666" s="8" t="b">
        <v>0</v>
      </c>
      <c r="S2666" s="8" t="b">
        <v>0</v>
      </c>
      <c r="T2666" s="8" t="b">
        <v>0</v>
      </c>
      <c r="U2666" s="8" t="b">
        <v>1</v>
      </c>
      <c r="V2666" s="8" t="b">
        <v>1</v>
      </c>
      <c r="W2666" s="11" t="s">
        <v>521</v>
      </c>
      <c r="X2666" s="8" t="b">
        <v>0</v>
      </c>
      <c r="Y2666" s="8" t="b">
        <v>0</v>
      </c>
      <c r="Z2666" s="8" t="b">
        <v>0</v>
      </c>
      <c r="AA2666" s="8" t="b">
        <v>0</v>
      </c>
      <c r="AB2666" s="8" t="b">
        <v>0</v>
      </c>
      <c r="AC2666" s="8" t="b">
        <v>0</v>
      </c>
      <c r="AD2666" s="8" t="b">
        <v>1</v>
      </c>
      <c r="AE2666" s="8" t="b">
        <v>0</v>
      </c>
      <c r="AF2666" s="11" t="s">
        <v>1751</v>
      </c>
      <c r="AG2666" s="11" t="b" cm="1">
        <f t="array" ref="AG2666">IF(OR(Y2666:AA2666="TRUE", AE2666="true"), "Threatened")</f>
        <v>0</v>
      </c>
      <c r="AH2666" s="11" t="s">
        <v>6578</v>
      </c>
      <c r="AI2666" s="8" t="b">
        <v>0</v>
      </c>
    </row>
    <row r="2667" spans="1:35" ht="31.2">
      <c r="A2667" s="8">
        <v>-73.976359340000002</v>
      </c>
      <c r="B2667" s="8">
        <v>40.771729710000002</v>
      </c>
      <c r="C2667" s="8" t="s">
        <v>6579</v>
      </c>
      <c r="D2667" s="8" t="s">
        <v>2804</v>
      </c>
      <c r="E2667" s="8" t="b">
        <f t="shared" si="41"/>
        <v>0</v>
      </c>
      <c r="F2667" s="8" t="str" cm="1">
        <f t="array" ref="F2667">_xlfn._xlws.FILTER(E2667:E5865, C2667:C5865= "6D-PM-1020-01", "No Squirrels Found")</f>
        <v>No Squirrels Found</v>
      </c>
      <c r="G2667" s="8" t="s">
        <v>48</v>
      </c>
      <c r="H2667" s="10">
        <v>10122018</v>
      </c>
      <c r="I2667" s="10">
        <v>3</v>
      </c>
      <c r="J2667" s="8" t="s">
        <v>39</v>
      </c>
      <c r="K2667" s="8" t="s">
        <v>40</v>
      </c>
      <c r="L2667" s="8" t="s">
        <v>41</v>
      </c>
      <c r="M2667" s="8" t="s">
        <v>42</v>
      </c>
      <c r="O2667" s="8" t="s">
        <v>43</v>
      </c>
      <c r="P2667" s="8" t="b">
        <v>0</v>
      </c>
      <c r="R2667" s="8" t="b">
        <v>0</v>
      </c>
      <c r="S2667" s="8" t="b">
        <v>0</v>
      </c>
      <c r="T2667" s="8" t="b">
        <v>0</v>
      </c>
      <c r="U2667" s="8" t="b">
        <v>0</v>
      </c>
      <c r="V2667" s="8" t="b">
        <v>1</v>
      </c>
      <c r="W2667" s="11" t="s">
        <v>6580</v>
      </c>
      <c r="X2667" s="8" t="b">
        <v>0</v>
      </c>
      <c r="Y2667" s="8" t="b">
        <v>0</v>
      </c>
      <c r="Z2667" s="8" t="b">
        <v>0</v>
      </c>
      <c r="AA2667" s="8" t="b">
        <v>0</v>
      </c>
      <c r="AB2667" s="8" t="b">
        <v>0</v>
      </c>
      <c r="AC2667" s="8" t="b">
        <v>0</v>
      </c>
      <c r="AD2667" s="8" t="b">
        <v>1</v>
      </c>
      <c r="AE2667" s="8" t="b">
        <v>0</v>
      </c>
      <c r="AG2667" s="11" t="b" cm="1">
        <f t="array" ref="AG2667">IF(OR(Y2667:AA2667="TRUE", AE2667="true"), "Threatened")</f>
        <v>0</v>
      </c>
      <c r="AH2667" s="11" t="s">
        <v>6581</v>
      </c>
      <c r="AI2667" s="8" t="b">
        <v>0</v>
      </c>
    </row>
    <row r="2668" spans="1:35" ht="31.2">
      <c r="A2668" s="8">
        <v>-73.975951080000002</v>
      </c>
      <c r="B2668" s="8">
        <v>40.769288289999999</v>
      </c>
      <c r="C2668" s="8" t="s">
        <v>6582</v>
      </c>
      <c r="D2668" s="8" t="s">
        <v>53</v>
      </c>
      <c r="E2668" s="8" t="b">
        <f t="shared" si="41"/>
        <v>1</v>
      </c>
      <c r="F2668" s="8" t="str" cm="1">
        <f t="array" ref="F2668">_xlfn._xlws.FILTER(E2668:E5866, C2668:C5866= "6D-PM-1020-01", "No Squirrels Found")</f>
        <v>No Squirrels Found</v>
      </c>
      <c r="G2668" s="8" t="s">
        <v>48</v>
      </c>
      <c r="H2668" s="10">
        <v>10202018</v>
      </c>
      <c r="I2668" s="10">
        <v>4</v>
      </c>
      <c r="J2668" s="8" t="s">
        <v>39</v>
      </c>
      <c r="K2668" s="8" t="s">
        <v>40</v>
      </c>
      <c r="L2668" s="8" t="s">
        <v>749</v>
      </c>
      <c r="M2668" s="8" t="s">
        <v>750</v>
      </c>
      <c r="N2668" s="11" t="s">
        <v>6583</v>
      </c>
      <c r="O2668" s="8" t="s">
        <v>43</v>
      </c>
      <c r="P2668" s="8" t="b">
        <v>0</v>
      </c>
      <c r="R2668" s="8" t="b">
        <v>0</v>
      </c>
      <c r="S2668" s="8" t="b">
        <v>0</v>
      </c>
      <c r="T2668" s="8" t="b">
        <v>0</v>
      </c>
      <c r="U2668" s="8" t="b">
        <v>0</v>
      </c>
      <c r="V2668" s="8" t="b">
        <v>1</v>
      </c>
      <c r="X2668" s="8" t="b">
        <v>0</v>
      </c>
      <c r="Y2668" s="8" t="b">
        <v>0</v>
      </c>
      <c r="Z2668" s="8" t="b">
        <v>0</v>
      </c>
      <c r="AA2668" s="8" t="b">
        <v>0</v>
      </c>
      <c r="AB2668" s="8" t="b">
        <v>0</v>
      </c>
      <c r="AC2668" s="8" t="b">
        <v>0</v>
      </c>
      <c r="AD2668" s="8" t="b">
        <v>1</v>
      </c>
      <c r="AE2668" s="8" t="b">
        <v>0</v>
      </c>
      <c r="AG2668" s="11" t="b" cm="1">
        <f t="array" ref="AG2668">IF(OR(Y2668:AA2668="TRUE", AE2668="true"), "Threatened")</f>
        <v>0</v>
      </c>
      <c r="AH2668" s="11" t="s">
        <v>6584</v>
      </c>
      <c r="AI2668" s="8" t="b">
        <v>1</v>
      </c>
    </row>
    <row r="2669" spans="1:35" ht="31.2">
      <c r="A2669" s="8">
        <v>-73.954864850000007</v>
      </c>
      <c r="B2669" s="8">
        <v>40.794673090000003</v>
      </c>
      <c r="C2669" s="8" t="s">
        <v>6585</v>
      </c>
      <c r="D2669" s="8" t="s">
        <v>378</v>
      </c>
      <c r="E2669" s="8" t="b">
        <f t="shared" si="41"/>
        <v>0</v>
      </c>
      <c r="F2669" s="8" t="str" cm="1">
        <f t="array" ref="F2669">_xlfn._xlws.FILTER(E2669:E5867, C2669:C5867= "6D-PM-1020-01", "No Squirrels Found")</f>
        <v>No Squirrels Found</v>
      </c>
      <c r="G2669" s="8" t="s">
        <v>34</v>
      </c>
      <c r="H2669" s="10">
        <v>10132018</v>
      </c>
      <c r="I2669" s="10">
        <v>3</v>
      </c>
      <c r="J2669" s="8" t="s">
        <v>54</v>
      </c>
      <c r="K2669" s="8" t="s">
        <v>40</v>
      </c>
      <c r="L2669" s="8" t="s">
        <v>41</v>
      </c>
      <c r="M2669" s="8" t="s">
        <v>42</v>
      </c>
      <c r="O2669" s="8" t="s">
        <v>43</v>
      </c>
      <c r="P2669" s="8" t="b">
        <v>0</v>
      </c>
      <c r="R2669" s="8" t="b">
        <v>0</v>
      </c>
      <c r="S2669" s="8" t="b">
        <v>0</v>
      </c>
      <c r="T2669" s="8" t="b">
        <v>0</v>
      </c>
      <c r="U2669" s="8" t="b">
        <v>0</v>
      </c>
      <c r="V2669" s="8" t="b">
        <v>1</v>
      </c>
      <c r="X2669" s="8" t="b">
        <v>0</v>
      </c>
      <c r="Y2669" s="8" t="b">
        <v>0</v>
      </c>
      <c r="Z2669" s="8" t="b">
        <v>0</v>
      </c>
      <c r="AA2669" s="8" t="b">
        <v>0</v>
      </c>
      <c r="AB2669" s="8" t="b">
        <v>0</v>
      </c>
      <c r="AC2669" s="8" t="b">
        <v>0</v>
      </c>
      <c r="AD2669" s="8" t="b">
        <v>0</v>
      </c>
      <c r="AE2669" s="8" t="b">
        <v>0</v>
      </c>
      <c r="AG2669" s="11" t="b" cm="1">
        <f t="array" ref="AG2669">IF(OR(Y2669:AA2669="TRUE", AE2669="true"), "Threatened")</f>
        <v>0</v>
      </c>
      <c r="AH2669" s="11" t="s">
        <v>6586</v>
      </c>
      <c r="AI2669" s="8" t="b">
        <v>1</v>
      </c>
    </row>
    <row r="2670" spans="1:35" ht="31.2">
      <c r="A2670" s="8">
        <v>-73.961590079999993</v>
      </c>
      <c r="B2670" s="8">
        <v>40.794543130000001</v>
      </c>
      <c r="C2670" s="8" t="s">
        <v>6587</v>
      </c>
      <c r="D2670" s="8" t="s">
        <v>301</v>
      </c>
      <c r="E2670" s="8" t="b">
        <f t="shared" si="41"/>
        <v>0</v>
      </c>
      <c r="F2670" s="8" t="str" cm="1">
        <f t="array" ref="F2670">_xlfn._xlws.FILTER(E2670:E5868, C2670:C5868= "6D-PM-1020-01", "No Squirrels Found")</f>
        <v>No Squirrels Found</v>
      </c>
      <c r="G2670" s="8" t="s">
        <v>34</v>
      </c>
      <c r="H2670" s="10">
        <v>10132018</v>
      </c>
      <c r="I2670" s="10">
        <v>7</v>
      </c>
      <c r="J2670" s="8" t="s">
        <v>39</v>
      </c>
      <c r="K2670" s="8" t="s">
        <v>40</v>
      </c>
      <c r="L2670" s="8" t="s">
        <v>84</v>
      </c>
      <c r="M2670" s="8" t="s">
        <v>103</v>
      </c>
      <c r="O2670" s="8" t="s">
        <v>43</v>
      </c>
      <c r="P2670" s="8" t="b">
        <v>0</v>
      </c>
      <c r="R2670" s="8" t="b">
        <v>0</v>
      </c>
      <c r="S2670" s="8" t="b">
        <v>0</v>
      </c>
      <c r="T2670" s="8" t="b">
        <v>0</v>
      </c>
      <c r="U2670" s="8" t="b">
        <v>0</v>
      </c>
      <c r="V2670" s="8" t="b">
        <v>1</v>
      </c>
      <c r="X2670" s="8" t="b">
        <v>0</v>
      </c>
      <c r="Y2670" s="8" t="b">
        <v>0</v>
      </c>
      <c r="Z2670" s="8" t="b">
        <v>0</v>
      </c>
      <c r="AA2670" s="8" t="b">
        <v>0</v>
      </c>
      <c r="AB2670" s="8" t="b">
        <v>0</v>
      </c>
      <c r="AC2670" s="8" t="b">
        <v>0</v>
      </c>
      <c r="AD2670" s="8" t="b">
        <v>0</v>
      </c>
      <c r="AE2670" s="8" t="b">
        <v>0</v>
      </c>
      <c r="AG2670" s="11" t="b" cm="1">
        <f t="array" ref="AG2670">IF(OR(Y2670:AA2670="TRUE", AE2670="true"), "Threatened")</f>
        <v>0</v>
      </c>
      <c r="AH2670" s="11" t="s">
        <v>6588</v>
      </c>
      <c r="AI2670" s="8" t="b">
        <v>1</v>
      </c>
    </row>
    <row r="2671" spans="1:35" ht="31.2">
      <c r="A2671" s="8">
        <v>-73.953104190000005</v>
      </c>
      <c r="B2671" s="8">
        <v>40.791991680000002</v>
      </c>
      <c r="C2671" s="8" t="s">
        <v>6589</v>
      </c>
      <c r="D2671" s="8" t="s">
        <v>106</v>
      </c>
      <c r="E2671" s="8" t="b">
        <f t="shared" si="41"/>
        <v>0</v>
      </c>
      <c r="F2671" s="8" t="str" cm="1">
        <f t="array" ref="F2671">_xlfn._xlws.FILTER(E2671:E5869, C2671:C5869= "6D-PM-1020-01", "No Squirrels Found")</f>
        <v>No Squirrels Found</v>
      </c>
      <c r="G2671" s="8" t="s">
        <v>34</v>
      </c>
      <c r="H2671" s="10">
        <v>10072018</v>
      </c>
      <c r="I2671" s="10">
        <v>2</v>
      </c>
      <c r="J2671" s="8" t="s">
        <v>39</v>
      </c>
      <c r="K2671" s="8" t="s">
        <v>40</v>
      </c>
      <c r="M2671" s="8" t="s">
        <v>55</v>
      </c>
      <c r="O2671" s="8" t="s">
        <v>43</v>
      </c>
      <c r="P2671" s="8" t="b">
        <v>0</v>
      </c>
      <c r="R2671" s="8" t="b">
        <v>1</v>
      </c>
      <c r="S2671" s="8" t="b">
        <v>1</v>
      </c>
      <c r="T2671" s="8" t="b">
        <v>0</v>
      </c>
      <c r="U2671" s="8" t="b">
        <v>0</v>
      </c>
      <c r="V2671" s="8" t="b">
        <v>1</v>
      </c>
      <c r="X2671" s="8" t="b">
        <v>0</v>
      </c>
      <c r="Y2671" s="8" t="b">
        <v>0</v>
      </c>
      <c r="Z2671" s="8" t="b">
        <v>0</v>
      </c>
      <c r="AA2671" s="8" t="b">
        <v>0</v>
      </c>
      <c r="AB2671" s="8" t="b">
        <v>1</v>
      </c>
      <c r="AC2671" s="8" t="b">
        <v>1</v>
      </c>
      <c r="AD2671" s="8" t="b">
        <v>1</v>
      </c>
      <c r="AE2671" s="8" t="b">
        <v>0</v>
      </c>
      <c r="AF2671" s="11" t="s">
        <v>6590</v>
      </c>
      <c r="AG2671" s="11" t="b" cm="1">
        <f t="array" ref="AG2671">IF(OR(Y2671:AA2671="TRUE", AE2671="true"), "Threatened")</f>
        <v>0</v>
      </c>
      <c r="AH2671" s="11" t="s">
        <v>6591</v>
      </c>
      <c r="AI2671" s="8" t="b">
        <v>1</v>
      </c>
    </row>
    <row r="2672" spans="1:35" ht="31.2">
      <c r="A2672" s="8">
        <v>-73.974336910000005</v>
      </c>
      <c r="B2672" s="8">
        <v>40.767572700000002</v>
      </c>
      <c r="C2672" s="8" t="s">
        <v>6592</v>
      </c>
      <c r="D2672" s="8" t="s">
        <v>1706</v>
      </c>
      <c r="E2672" s="8" t="b">
        <f t="shared" si="41"/>
        <v>0</v>
      </c>
      <c r="F2672" s="8" t="str" cm="1">
        <f t="array" ref="F2672">_xlfn._xlws.FILTER(E2672:E5870, C2672:C5870= "6D-PM-1020-01", "No Squirrels Found")</f>
        <v>No Squirrels Found</v>
      </c>
      <c r="G2672" s="8" t="s">
        <v>48</v>
      </c>
      <c r="H2672" s="10">
        <v>10062018</v>
      </c>
      <c r="I2672" s="10">
        <v>11</v>
      </c>
      <c r="J2672" s="8" t="s">
        <v>54</v>
      </c>
      <c r="K2672" s="8" t="s">
        <v>41</v>
      </c>
      <c r="L2672" s="8" t="s">
        <v>40</v>
      </c>
      <c r="M2672" s="8" t="s">
        <v>110</v>
      </c>
      <c r="O2672" s="8" t="s">
        <v>43</v>
      </c>
      <c r="P2672" s="8" t="b">
        <v>0</v>
      </c>
      <c r="R2672" s="8" t="b">
        <v>0</v>
      </c>
      <c r="S2672" s="8" t="b">
        <v>0</v>
      </c>
      <c r="T2672" s="8" t="b">
        <v>0</v>
      </c>
      <c r="U2672" s="8" t="b">
        <v>1</v>
      </c>
      <c r="V2672" s="8" t="b">
        <v>0</v>
      </c>
      <c r="X2672" s="8" t="b">
        <v>0</v>
      </c>
      <c r="Y2672" s="8" t="b">
        <v>0</v>
      </c>
      <c r="Z2672" s="8" t="b">
        <v>0</v>
      </c>
      <c r="AA2672" s="8" t="b">
        <v>0</v>
      </c>
      <c r="AB2672" s="8" t="b">
        <v>0</v>
      </c>
      <c r="AC2672" s="8" t="b">
        <v>0</v>
      </c>
      <c r="AD2672" s="8" t="b">
        <v>0</v>
      </c>
      <c r="AE2672" s="8" t="b">
        <v>1</v>
      </c>
      <c r="AG2672" s="11" t="b" cm="1">
        <f t="array" ref="AG2672">IF(OR(Y2672:AA2672="TRUE", AE2672="true"), "Threatened")</f>
        <v>0</v>
      </c>
      <c r="AH2672" s="11" t="s">
        <v>6593</v>
      </c>
      <c r="AI2672" s="8" t="b">
        <v>1</v>
      </c>
    </row>
    <row r="2673" spans="1:35" ht="31.2">
      <c r="A2673" s="8">
        <v>-73.961459899999994</v>
      </c>
      <c r="B2673" s="8">
        <v>40.79451813</v>
      </c>
      <c r="C2673" s="8" t="s">
        <v>6594</v>
      </c>
      <c r="D2673" s="8" t="s">
        <v>301</v>
      </c>
      <c r="E2673" s="8" t="b">
        <f t="shared" si="41"/>
        <v>0</v>
      </c>
      <c r="F2673" s="8" t="str" cm="1">
        <f t="array" ref="F2673">_xlfn._xlws.FILTER(E2673:E5871, C2673:C5871= "6D-PM-1020-01", "No Squirrels Found")</f>
        <v>No Squirrels Found</v>
      </c>
      <c r="G2673" s="8" t="s">
        <v>34</v>
      </c>
      <c r="H2673" s="10">
        <v>10132018</v>
      </c>
      <c r="I2673" s="10">
        <v>11</v>
      </c>
      <c r="J2673" s="8" t="s">
        <v>54</v>
      </c>
      <c r="K2673" s="8" t="s">
        <v>41</v>
      </c>
      <c r="M2673" s="8" t="s">
        <v>49</v>
      </c>
      <c r="O2673" s="8" t="s">
        <v>43</v>
      </c>
      <c r="P2673" s="8" t="b">
        <v>0</v>
      </c>
      <c r="R2673" s="8" t="b">
        <v>1</v>
      </c>
      <c r="S2673" s="8" t="b">
        <v>0</v>
      </c>
      <c r="T2673" s="8" t="b">
        <v>0</v>
      </c>
      <c r="U2673" s="8" t="b">
        <v>0</v>
      </c>
      <c r="V2673" s="8" t="b">
        <v>0</v>
      </c>
      <c r="X2673" s="8" t="b">
        <v>0</v>
      </c>
      <c r="Y2673" s="8" t="b">
        <v>0</v>
      </c>
      <c r="Z2673" s="8" t="b">
        <v>0</v>
      </c>
      <c r="AA2673" s="8" t="b">
        <v>1</v>
      </c>
      <c r="AB2673" s="8" t="b">
        <v>0</v>
      </c>
      <c r="AC2673" s="8" t="b">
        <v>0</v>
      </c>
      <c r="AD2673" s="8" t="b">
        <v>0</v>
      </c>
      <c r="AE2673" s="8" t="b">
        <v>1</v>
      </c>
      <c r="AG2673" s="11" t="b" cm="1">
        <f t="array" ref="AG2673">IF(OR(Y2673:AA2673="TRUE", AE2673="true"), "Threatened")</f>
        <v>0</v>
      </c>
      <c r="AH2673" s="11" t="s">
        <v>6595</v>
      </c>
      <c r="AI2673" s="8" t="b">
        <v>1</v>
      </c>
    </row>
    <row r="2674" spans="1:35" ht="31.2">
      <c r="A2674" s="8">
        <v>-73.976886800000003</v>
      </c>
      <c r="B2674" s="8">
        <v>40.773480399999997</v>
      </c>
      <c r="C2674" s="8" t="s">
        <v>6596</v>
      </c>
      <c r="D2674" s="8" t="s">
        <v>249</v>
      </c>
      <c r="E2674" s="8" t="b">
        <f t="shared" si="41"/>
        <v>0</v>
      </c>
      <c r="F2674" s="8" t="str" cm="1">
        <f t="array" ref="F2674">_xlfn._xlws.FILTER(E2674:E5872, C2674:C5872= "6D-PM-1020-01", "No Squirrels Found")</f>
        <v>No Squirrels Found</v>
      </c>
      <c r="G2674" s="8" t="s">
        <v>34</v>
      </c>
      <c r="H2674" s="10">
        <v>10122018</v>
      </c>
      <c r="I2674" s="10">
        <v>1</v>
      </c>
      <c r="J2674" s="8" t="s">
        <v>39</v>
      </c>
      <c r="K2674" s="8" t="s">
        <v>40</v>
      </c>
      <c r="L2674" s="8" t="s">
        <v>117</v>
      </c>
      <c r="M2674" s="8" t="s">
        <v>118</v>
      </c>
      <c r="O2674" s="8" t="s">
        <v>43</v>
      </c>
      <c r="P2674" s="8" t="b">
        <v>0</v>
      </c>
      <c r="R2674" s="8" t="b">
        <v>1</v>
      </c>
      <c r="S2674" s="8" t="b">
        <v>0</v>
      </c>
      <c r="T2674" s="8" t="b">
        <v>0</v>
      </c>
      <c r="U2674" s="8" t="b">
        <v>0</v>
      </c>
      <c r="V2674" s="8" t="b">
        <v>1</v>
      </c>
      <c r="X2674" s="8" t="b">
        <v>0</v>
      </c>
      <c r="Y2674" s="8" t="b">
        <v>0</v>
      </c>
      <c r="Z2674" s="8" t="b">
        <v>0</v>
      </c>
      <c r="AA2674" s="8" t="b">
        <v>0</v>
      </c>
      <c r="AB2674" s="8" t="b">
        <v>0</v>
      </c>
      <c r="AC2674" s="8" t="b">
        <v>0</v>
      </c>
      <c r="AD2674" s="8" t="b">
        <v>0</v>
      </c>
      <c r="AE2674" s="8" t="b">
        <v>1</v>
      </c>
      <c r="AG2674" s="11" t="b" cm="1">
        <f t="array" ref="AG2674">IF(OR(Y2674:AA2674="TRUE", AE2674="true"), "Threatened")</f>
        <v>0</v>
      </c>
      <c r="AH2674" s="11" t="s">
        <v>6597</v>
      </c>
      <c r="AI2674" s="8" t="b">
        <v>1</v>
      </c>
    </row>
    <row r="2675" spans="1:35" ht="31.2">
      <c r="A2675" s="8">
        <v>-73.977100899999996</v>
      </c>
      <c r="B2675" s="8">
        <v>40.768879329999997</v>
      </c>
      <c r="C2675" s="8" t="s">
        <v>6598</v>
      </c>
      <c r="D2675" s="8" t="s">
        <v>512</v>
      </c>
      <c r="E2675" s="8" t="b">
        <f t="shared" si="41"/>
        <v>0</v>
      </c>
      <c r="F2675" s="8" t="str" cm="1">
        <f t="array" ref="F2675">_xlfn._xlws.FILTER(E2675:E5873, C2675:C5873= "6D-PM-1020-01", "No Squirrels Found")</f>
        <v>No Squirrels Found</v>
      </c>
      <c r="G2675" s="8" t="s">
        <v>34</v>
      </c>
      <c r="H2675" s="10">
        <v>10102018</v>
      </c>
      <c r="I2675" s="10">
        <v>6</v>
      </c>
      <c r="J2675" s="8" t="s">
        <v>39</v>
      </c>
      <c r="K2675" s="8" t="s">
        <v>41</v>
      </c>
      <c r="L2675" s="8" t="s">
        <v>84</v>
      </c>
      <c r="M2675" s="8" t="s">
        <v>85</v>
      </c>
      <c r="O2675" s="8" t="s">
        <v>43</v>
      </c>
      <c r="P2675" s="8" t="b">
        <v>0</v>
      </c>
      <c r="R2675" s="8" t="b">
        <v>0</v>
      </c>
      <c r="S2675" s="8" t="b">
        <v>0</v>
      </c>
      <c r="T2675" s="8" t="b">
        <v>0</v>
      </c>
      <c r="U2675" s="8" t="b">
        <v>0</v>
      </c>
      <c r="V2675" s="8" t="b">
        <v>1</v>
      </c>
      <c r="X2675" s="8" t="b">
        <v>0</v>
      </c>
      <c r="Y2675" s="8" t="b">
        <v>0</v>
      </c>
      <c r="Z2675" s="8" t="b">
        <v>0</v>
      </c>
      <c r="AA2675" s="8" t="b">
        <v>0</v>
      </c>
      <c r="AB2675" s="8" t="b">
        <v>0</v>
      </c>
      <c r="AC2675" s="8" t="b">
        <v>0</v>
      </c>
      <c r="AD2675" s="8" t="b">
        <v>0</v>
      </c>
      <c r="AE2675" s="8" t="b">
        <v>0</v>
      </c>
      <c r="AG2675" s="11" t="b" cm="1">
        <f t="array" ref="AG2675">IF(OR(Y2675:AA2675="TRUE", AE2675="true"), "Threatened")</f>
        <v>0</v>
      </c>
      <c r="AH2675" s="11" t="s">
        <v>6599</v>
      </c>
      <c r="AI2675" s="8" t="b">
        <v>1</v>
      </c>
    </row>
    <row r="2676" spans="1:35" ht="31.2">
      <c r="A2676" s="8">
        <v>-73.976222730000003</v>
      </c>
      <c r="B2676" s="8">
        <v>40.768453600000001</v>
      </c>
      <c r="C2676" s="8" t="s">
        <v>6600</v>
      </c>
      <c r="D2676" s="8" t="s">
        <v>230</v>
      </c>
      <c r="E2676" s="8" t="b">
        <f t="shared" si="41"/>
        <v>0</v>
      </c>
      <c r="F2676" s="8" t="str" cm="1">
        <f t="array" ref="F2676">_xlfn._xlws.FILTER(E2676:E5874, C2676:C5874= "6D-PM-1020-01", "No Squirrels Found")</f>
        <v>No Squirrels Found</v>
      </c>
      <c r="G2676" s="8" t="s">
        <v>34</v>
      </c>
      <c r="H2676" s="10">
        <v>10082018</v>
      </c>
      <c r="I2676" s="10">
        <v>2</v>
      </c>
      <c r="J2676" s="8" t="s">
        <v>39</v>
      </c>
      <c r="K2676" s="8" t="s">
        <v>40</v>
      </c>
      <c r="L2676" s="8" t="s">
        <v>41</v>
      </c>
      <c r="M2676" s="8" t="s">
        <v>42</v>
      </c>
      <c r="O2676" s="8" t="s">
        <v>43</v>
      </c>
      <c r="P2676" s="8" t="b">
        <v>0</v>
      </c>
      <c r="R2676" s="8" t="b">
        <v>0</v>
      </c>
      <c r="S2676" s="8" t="b">
        <v>0</v>
      </c>
      <c r="T2676" s="8" t="b">
        <v>0</v>
      </c>
      <c r="U2676" s="8" t="b">
        <v>0</v>
      </c>
      <c r="V2676" s="8" t="b">
        <v>1</v>
      </c>
      <c r="X2676" s="8" t="b">
        <v>0</v>
      </c>
      <c r="Y2676" s="8" t="b">
        <v>0</v>
      </c>
      <c r="Z2676" s="8" t="b">
        <v>0</v>
      </c>
      <c r="AA2676" s="8" t="b">
        <v>0</v>
      </c>
      <c r="AB2676" s="8" t="b">
        <v>0</v>
      </c>
      <c r="AC2676" s="8" t="b">
        <v>0</v>
      </c>
      <c r="AD2676" s="8" t="b">
        <v>1</v>
      </c>
      <c r="AE2676" s="8" t="b">
        <v>0</v>
      </c>
      <c r="AG2676" s="11" t="b" cm="1">
        <f t="array" ref="AG2676">IF(OR(Y2676:AA2676="TRUE", AE2676="true"), "Threatened")</f>
        <v>0</v>
      </c>
      <c r="AH2676" s="11" t="s">
        <v>6601</v>
      </c>
      <c r="AI2676" s="8" t="b">
        <v>1</v>
      </c>
    </row>
    <row r="2677" spans="1:35" ht="31.2">
      <c r="A2677" s="8">
        <v>-73.969284909999999</v>
      </c>
      <c r="B2677" s="8">
        <v>40.770875510000003</v>
      </c>
      <c r="C2677" s="8" t="s">
        <v>6602</v>
      </c>
      <c r="D2677" s="8" t="s">
        <v>2059</v>
      </c>
      <c r="E2677" s="8" t="b">
        <f t="shared" si="41"/>
        <v>0</v>
      </c>
      <c r="F2677" s="8" t="str" cm="1">
        <f t="array" ref="F2677">_xlfn._xlws.FILTER(E2677:E5875, C2677:C5875= "6D-PM-1020-01", "No Squirrels Found")</f>
        <v>No Squirrels Found</v>
      </c>
      <c r="G2677" s="8" t="s">
        <v>34</v>
      </c>
      <c r="H2677" s="10">
        <v>10182018</v>
      </c>
      <c r="I2677" s="10">
        <v>6</v>
      </c>
      <c r="J2677" s="8" t="s">
        <v>39</v>
      </c>
      <c r="K2677" s="8" t="s">
        <v>40</v>
      </c>
      <c r="M2677" s="8" t="s">
        <v>55</v>
      </c>
      <c r="O2677" s="8" t="s">
        <v>43</v>
      </c>
      <c r="P2677" s="8" t="b">
        <v>0</v>
      </c>
      <c r="R2677" s="8" t="b">
        <v>1</v>
      </c>
      <c r="S2677" s="8" t="b">
        <v>1</v>
      </c>
      <c r="T2677" s="8" t="b">
        <v>0</v>
      </c>
      <c r="U2677" s="8" t="b">
        <v>0</v>
      </c>
      <c r="V2677" s="8" t="b">
        <v>0</v>
      </c>
      <c r="X2677" s="8" t="b">
        <v>0</v>
      </c>
      <c r="Y2677" s="8" t="b">
        <v>0</v>
      </c>
      <c r="Z2677" s="8" t="b">
        <v>0</v>
      </c>
      <c r="AA2677" s="8" t="b">
        <v>0</v>
      </c>
      <c r="AB2677" s="8" t="b">
        <v>0</v>
      </c>
      <c r="AC2677" s="8" t="b">
        <v>0</v>
      </c>
      <c r="AD2677" s="8" t="b">
        <v>0</v>
      </c>
      <c r="AE2677" s="8" t="b">
        <v>0</v>
      </c>
      <c r="AG2677" s="11" t="b" cm="1">
        <f t="array" ref="AG2677">IF(OR(Y2677:AA2677="TRUE", AE2677="true"), "Threatened")</f>
        <v>0</v>
      </c>
      <c r="AH2677" s="11" t="s">
        <v>6603</v>
      </c>
      <c r="AI2677" s="8" t="b">
        <v>1</v>
      </c>
    </row>
    <row r="2678" spans="1:35" ht="31.2">
      <c r="A2678" s="8">
        <v>-73.973482759999996</v>
      </c>
      <c r="B2678" s="8">
        <v>40.76561718</v>
      </c>
      <c r="C2678" s="8" t="s">
        <v>6604</v>
      </c>
      <c r="D2678" s="8" t="s">
        <v>779</v>
      </c>
      <c r="E2678" s="8" t="b">
        <f t="shared" si="41"/>
        <v>0</v>
      </c>
      <c r="F2678" s="8" t="str" cm="1">
        <f t="array" ref="F2678">_xlfn._xlws.FILTER(E2678:E5876, C2678:C5876= "6D-PM-1020-01", "No Squirrels Found")</f>
        <v>No Squirrels Found</v>
      </c>
      <c r="G2678" s="8" t="s">
        <v>34</v>
      </c>
      <c r="H2678" s="10">
        <v>10062018</v>
      </c>
      <c r="I2678" s="10">
        <v>2</v>
      </c>
      <c r="J2678" s="8" t="s">
        <v>39</v>
      </c>
      <c r="K2678" s="8" t="s">
        <v>40</v>
      </c>
      <c r="M2678" s="8" t="s">
        <v>55</v>
      </c>
      <c r="O2678" s="8" t="s">
        <v>43</v>
      </c>
      <c r="P2678" s="8" t="b">
        <v>0</v>
      </c>
      <c r="R2678" s="8" t="b">
        <v>0</v>
      </c>
      <c r="S2678" s="8" t="b">
        <v>0</v>
      </c>
      <c r="T2678" s="8" t="b">
        <v>0</v>
      </c>
      <c r="U2678" s="8" t="b">
        <v>1</v>
      </c>
      <c r="V2678" s="8" t="b">
        <v>0</v>
      </c>
      <c r="X2678" s="8" t="b">
        <v>0</v>
      </c>
      <c r="Y2678" s="8" t="b">
        <v>0</v>
      </c>
      <c r="Z2678" s="8" t="b">
        <v>0</v>
      </c>
      <c r="AA2678" s="8" t="b">
        <v>0</v>
      </c>
      <c r="AB2678" s="8" t="b">
        <v>0</v>
      </c>
      <c r="AC2678" s="8" t="b">
        <v>0</v>
      </c>
      <c r="AD2678" s="8" t="b">
        <v>1</v>
      </c>
      <c r="AE2678" s="8" t="b">
        <v>0</v>
      </c>
      <c r="AG2678" s="11" t="b" cm="1">
        <f t="array" ref="AG2678">IF(OR(Y2678:AA2678="TRUE", AE2678="true"), "Threatened")</f>
        <v>0</v>
      </c>
      <c r="AH2678" s="11" t="s">
        <v>6605</v>
      </c>
      <c r="AI2678" s="8" t="b">
        <v>1</v>
      </c>
    </row>
    <row r="2679" spans="1:35" ht="31.2">
      <c r="A2679" s="8">
        <v>-73.956294689999993</v>
      </c>
      <c r="B2679" s="8">
        <v>40.793859300000001</v>
      </c>
      <c r="C2679" s="8" t="s">
        <v>6606</v>
      </c>
      <c r="D2679" s="8" t="s">
        <v>702</v>
      </c>
      <c r="E2679" s="8" t="b">
        <f t="shared" si="41"/>
        <v>0</v>
      </c>
      <c r="F2679" s="8" t="str" cm="1">
        <f t="array" ref="F2679">_xlfn._xlws.FILTER(E2679:E5877, C2679:C5877= "6D-PM-1020-01", "No Squirrels Found")</f>
        <v>No Squirrels Found</v>
      </c>
      <c r="G2679" s="8" t="s">
        <v>48</v>
      </c>
      <c r="H2679" s="10">
        <v>10172018</v>
      </c>
      <c r="I2679" s="10">
        <v>1</v>
      </c>
      <c r="J2679" s="8" t="s">
        <v>39</v>
      </c>
      <c r="K2679" s="8" t="s">
        <v>40</v>
      </c>
      <c r="M2679" s="8" t="s">
        <v>55</v>
      </c>
      <c r="O2679" s="8" t="s">
        <v>43</v>
      </c>
      <c r="P2679" s="8" t="b">
        <v>0</v>
      </c>
      <c r="R2679" s="8" t="b">
        <v>1</v>
      </c>
      <c r="S2679" s="8" t="b">
        <v>0</v>
      </c>
      <c r="T2679" s="8" t="b">
        <v>0</v>
      </c>
      <c r="U2679" s="8" t="b">
        <v>0</v>
      </c>
      <c r="V2679" s="8" t="b">
        <v>0</v>
      </c>
      <c r="X2679" s="8" t="b">
        <v>0</v>
      </c>
      <c r="Y2679" s="8" t="b">
        <v>0</v>
      </c>
      <c r="Z2679" s="8" t="b">
        <v>0</v>
      </c>
      <c r="AA2679" s="8" t="b">
        <v>0</v>
      </c>
      <c r="AB2679" s="8" t="b">
        <v>0</v>
      </c>
      <c r="AC2679" s="8" t="b">
        <v>0</v>
      </c>
      <c r="AD2679" s="8" t="b">
        <v>0</v>
      </c>
      <c r="AE2679" s="8" t="b">
        <v>1</v>
      </c>
      <c r="AF2679" s="11" t="s">
        <v>1294</v>
      </c>
      <c r="AG2679" s="11" t="b" cm="1">
        <f t="array" ref="AG2679">IF(OR(Y2679:AA2679="TRUE", AE2679="true"), "Threatened")</f>
        <v>0</v>
      </c>
      <c r="AH2679" s="11" t="s">
        <v>6607</v>
      </c>
      <c r="AI2679" s="8" t="b">
        <v>1</v>
      </c>
    </row>
    <row r="2680" spans="1:35" ht="31.2">
      <c r="A2680" s="8">
        <v>-73.979448160000004</v>
      </c>
      <c r="B2680" s="8">
        <v>40.770638570000003</v>
      </c>
      <c r="C2680" s="8" t="s">
        <v>6608</v>
      </c>
      <c r="D2680" s="8" t="s">
        <v>1364</v>
      </c>
      <c r="E2680" s="8" t="b">
        <f t="shared" si="41"/>
        <v>0</v>
      </c>
      <c r="F2680" s="8" t="str" cm="1">
        <f t="array" ref="F2680">_xlfn._xlws.FILTER(E2680:E5878, C2680:C5878= "6D-PM-1020-01", "No Squirrels Found")</f>
        <v>No Squirrels Found</v>
      </c>
      <c r="G2680" s="8" t="s">
        <v>48</v>
      </c>
      <c r="H2680" s="10">
        <v>10072018</v>
      </c>
      <c r="I2680" s="10">
        <v>3</v>
      </c>
      <c r="J2680" s="8" t="s">
        <v>39</v>
      </c>
      <c r="K2680" s="8" t="s">
        <v>40</v>
      </c>
      <c r="L2680" s="8" t="s">
        <v>41</v>
      </c>
      <c r="M2680" s="8" t="s">
        <v>42</v>
      </c>
      <c r="O2680" s="8" t="s">
        <v>43</v>
      </c>
      <c r="P2680" s="8" t="b">
        <v>0</v>
      </c>
      <c r="R2680" s="8" t="b">
        <v>0</v>
      </c>
      <c r="S2680" s="8" t="b">
        <v>0</v>
      </c>
      <c r="T2680" s="8" t="b">
        <v>0</v>
      </c>
      <c r="U2680" s="8" t="b">
        <v>0</v>
      </c>
      <c r="V2680" s="8" t="b">
        <v>1</v>
      </c>
      <c r="X2680" s="8" t="b">
        <v>0</v>
      </c>
      <c r="Y2680" s="8" t="b">
        <v>0</v>
      </c>
      <c r="Z2680" s="8" t="b">
        <v>0</v>
      </c>
      <c r="AA2680" s="8" t="b">
        <v>0</v>
      </c>
      <c r="AB2680" s="8" t="b">
        <v>0</v>
      </c>
      <c r="AC2680" s="8" t="b">
        <v>0</v>
      </c>
      <c r="AD2680" s="8" t="b">
        <v>1</v>
      </c>
      <c r="AE2680" s="8" t="b">
        <v>0</v>
      </c>
      <c r="AG2680" s="11" t="b" cm="1">
        <f t="array" ref="AG2680">IF(OR(Y2680:AA2680="TRUE", AE2680="true"), "Threatened")</f>
        <v>0</v>
      </c>
      <c r="AH2680" s="11" t="s">
        <v>6609</v>
      </c>
      <c r="AI2680" s="8" t="b">
        <v>1</v>
      </c>
    </row>
    <row r="2681" spans="1:35" ht="31.2">
      <c r="A2681" s="8">
        <v>-73.97213481</v>
      </c>
      <c r="B2681" s="8">
        <v>40.766691999999999</v>
      </c>
      <c r="C2681" s="8" t="s">
        <v>6610</v>
      </c>
      <c r="D2681" s="8" t="s">
        <v>1902</v>
      </c>
      <c r="E2681" s="8" t="b">
        <f t="shared" si="41"/>
        <v>0</v>
      </c>
      <c r="F2681" s="8" t="str" cm="1">
        <f t="array" ref="F2681">_xlfn._xlws.FILTER(E2681:E5879, C2681:C5879= "6D-PM-1020-01", "No Squirrels Found")</f>
        <v>No Squirrels Found</v>
      </c>
      <c r="G2681" s="8" t="s">
        <v>48</v>
      </c>
      <c r="H2681" s="10">
        <v>10082018</v>
      </c>
      <c r="I2681" s="10">
        <v>1</v>
      </c>
      <c r="J2681" s="8" t="s">
        <v>39</v>
      </c>
      <c r="K2681" s="8" t="s">
        <v>40</v>
      </c>
      <c r="L2681" s="8" t="s">
        <v>41</v>
      </c>
      <c r="M2681" s="8" t="s">
        <v>42</v>
      </c>
      <c r="O2681" s="8" t="s">
        <v>50</v>
      </c>
      <c r="P2681" s="8">
        <v>8</v>
      </c>
      <c r="R2681" s="8" t="b">
        <v>0</v>
      </c>
      <c r="S2681" s="8" t="b">
        <v>0</v>
      </c>
      <c r="T2681" s="8" t="b">
        <v>0</v>
      </c>
      <c r="U2681" s="8" t="b">
        <v>0</v>
      </c>
      <c r="V2681" s="8" t="b">
        <v>0</v>
      </c>
      <c r="W2681" s="11" t="s">
        <v>6611</v>
      </c>
      <c r="X2681" s="8" t="b">
        <v>0</v>
      </c>
      <c r="Y2681" s="8" t="b">
        <v>0</v>
      </c>
      <c r="Z2681" s="8" t="b">
        <v>0</v>
      </c>
      <c r="AA2681" s="8" t="b">
        <v>0</v>
      </c>
      <c r="AB2681" s="8" t="b">
        <v>0</v>
      </c>
      <c r="AC2681" s="8" t="b">
        <v>0</v>
      </c>
      <c r="AD2681" s="8" t="b">
        <v>1</v>
      </c>
      <c r="AE2681" s="8" t="b">
        <v>0</v>
      </c>
      <c r="AF2681" s="11" t="s">
        <v>6612</v>
      </c>
      <c r="AG2681" s="11" t="b" cm="1">
        <f t="array" ref="AG2681">IF(OR(Y2681:AA2681="TRUE", AE2681="true"), "Threatened")</f>
        <v>0</v>
      </c>
      <c r="AH2681" s="11" t="s">
        <v>6613</v>
      </c>
      <c r="AI2681" s="8" t="b">
        <v>0</v>
      </c>
    </row>
    <row r="2682" spans="1:35" ht="31.2">
      <c r="A2682" s="8">
        <v>-73.968807159999997</v>
      </c>
      <c r="B2682" s="8">
        <v>40.78120182</v>
      </c>
      <c r="C2682" s="8" t="s">
        <v>6614</v>
      </c>
      <c r="D2682" s="8" t="s">
        <v>319</v>
      </c>
      <c r="E2682" s="8" t="b">
        <f t="shared" si="41"/>
        <v>0</v>
      </c>
      <c r="F2682" s="8" t="str" cm="1">
        <f t="array" ref="F2682">_xlfn._xlws.FILTER(E2682:E5880, C2682:C5880= "6D-PM-1020-01", "No Squirrels Found")</f>
        <v>No Squirrels Found</v>
      </c>
      <c r="G2682" s="8" t="s">
        <v>34</v>
      </c>
      <c r="H2682" s="10">
        <v>10182018</v>
      </c>
      <c r="I2682" s="10">
        <v>2</v>
      </c>
      <c r="J2682" s="8" t="s">
        <v>39</v>
      </c>
      <c r="K2682" s="8" t="s">
        <v>40</v>
      </c>
      <c r="L2682" s="8" t="s">
        <v>41</v>
      </c>
      <c r="M2682" s="8" t="s">
        <v>42</v>
      </c>
      <c r="O2682" s="8" t="s">
        <v>43</v>
      </c>
      <c r="P2682" s="8" t="b">
        <v>0</v>
      </c>
      <c r="R2682" s="8" t="b">
        <v>0</v>
      </c>
      <c r="S2682" s="8" t="b">
        <v>0</v>
      </c>
      <c r="T2682" s="8" t="b">
        <v>0</v>
      </c>
      <c r="U2682" s="8" t="b">
        <v>0</v>
      </c>
      <c r="V2682" s="8" t="b">
        <v>1</v>
      </c>
      <c r="X2682" s="8" t="b">
        <v>0</v>
      </c>
      <c r="Y2682" s="8" t="b">
        <v>0</v>
      </c>
      <c r="Z2682" s="8" t="b">
        <v>0</v>
      </c>
      <c r="AA2682" s="8" t="b">
        <v>0</v>
      </c>
      <c r="AB2682" s="8" t="b">
        <v>0</v>
      </c>
      <c r="AC2682" s="8" t="b">
        <v>0</v>
      </c>
      <c r="AD2682" s="8" t="b">
        <v>0</v>
      </c>
      <c r="AE2682" s="8" t="b">
        <v>0</v>
      </c>
      <c r="AG2682" s="11" t="b" cm="1">
        <f t="array" ref="AG2682">IF(OR(Y2682:AA2682="TRUE", AE2682="true"), "Threatened")</f>
        <v>0</v>
      </c>
      <c r="AH2682" s="11" t="s">
        <v>6615</v>
      </c>
      <c r="AI2682" s="8" t="b">
        <v>1</v>
      </c>
    </row>
    <row r="2683" spans="1:35" ht="31.2">
      <c r="A2683" s="8">
        <v>-73.971100129999996</v>
      </c>
      <c r="B2683" s="8">
        <v>40.778746609999999</v>
      </c>
      <c r="C2683" s="8" t="s">
        <v>6616</v>
      </c>
      <c r="D2683" s="8" t="s">
        <v>1631</v>
      </c>
      <c r="E2683" s="8" t="b">
        <f t="shared" si="41"/>
        <v>0</v>
      </c>
      <c r="F2683" s="8" t="str" cm="1">
        <f t="array" ref="F2683">_xlfn._xlws.FILTER(E2683:E5881, C2683:C5881= "6D-PM-1020-01", "No Squirrels Found")</f>
        <v>No Squirrels Found</v>
      </c>
      <c r="G2683" s="8" t="s">
        <v>34</v>
      </c>
      <c r="H2683" s="10">
        <v>10172018</v>
      </c>
      <c r="I2683" s="10">
        <v>1</v>
      </c>
      <c r="J2683" s="8" t="s">
        <v>39</v>
      </c>
      <c r="K2683" s="8" t="s">
        <v>40</v>
      </c>
      <c r="L2683" s="8" t="s">
        <v>41</v>
      </c>
      <c r="M2683" s="8" t="s">
        <v>42</v>
      </c>
      <c r="O2683" s="8" t="s">
        <v>43</v>
      </c>
      <c r="P2683" s="8" t="b">
        <v>0</v>
      </c>
      <c r="R2683" s="8" t="b">
        <v>1</v>
      </c>
      <c r="S2683" s="8" t="b">
        <v>0</v>
      </c>
      <c r="T2683" s="8" t="b">
        <v>0</v>
      </c>
      <c r="U2683" s="8" t="b">
        <v>1</v>
      </c>
      <c r="V2683" s="8" t="b">
        <v>1</v>
      </c>
      <c r="X2683" s="8" t="b">
        <v>0</v>
      </c>
      <c r="Y2683" s="8" t="b">
        <v>0</v>
      </c>
      <c r="Z2683" s="8" t="b">
        <v>0</v>
      </c>
      <c r="AA2683" s="8" t="b">
        <v>0</v>
      </c>
      <c r="AB2683" s="8" t="b">
        <v>0</v>
      </c>
      <c r="AC2683" s="8" t="b">
        <v>0</v>
      </c>
      <c r="AD2683" s="8" t="b">
        <v>0</v>
      </c>
      <c r="AE2683" s="8" t="b">
        <v>1</v>
      </c>
      <c r="AG2683" s="11" t="b" cm="1">
        <f t="array" ref="AG2683">IF(OR(Y2683:AA2683="TRUE", AE2683="true"), "Threatened")</f>
        <v>0</v>
      </c>
      <c r="AH2683" s="11" t="s">
        <v>6617</v>
      </c>
      <c r="AI2683" s="8" t="b">
        <v>1</v>
      </c>
    </row>
    <row r="2684" spans="1:35" ht="31.2">
      <c r="A2684" s="8">
        <v>-73.972179949999997</v>
      </c>
      <c r="B2684" s="8">
        <v>40.781004279999998</v>
      </c>
      <c r="C2684" s="8" t="s">
        <v>6618</v>
      </c>
      <c r="D2684" s="8" t="s">
        <v>1885</v>
      </c>
      <c r="E2684" s="8" t="b">
        <f t="shared" si="41"/>
        <v>0</v>
      </c>
      <c r="F2684" s="8" t="str" cm="1">
        <f t="array" ref="F2684">_xlfn._xlws.FILTER(E2684:E5882, C2684:C5882= "6D-PM-1020-01", "No Squirrels Found")</f>
        <v>No Squirrels Found</v>
      </c>
      <c r="G2684" s="8" t="s">
        <v>34</v>
      </c>
      <c r="H2684" s="10">
        <v>10132018</v>
      </c>
      <c r="I2684" s="10">
        <v>2</v>
      </c>
      <c r="J2684" s="8" t="s">
        <v>39</v>
      </c>
      <c r="K2684" s="8" t="s">
        <v>40</v>
      </c>
      <c r="L2684" s="8" t="s">
        <v>41</v>
      </c>
      <c r="M2684" s="8" t="s">
        <v>42</v>
      </c>
      <c r="O2684" s="8" t="s">
        <v>50</v>
      </c>
      <c r="P2684" s="8">
        <v>20</v>
      </c>
      <c r="Q2684" s="8" t="s">
        <v>6619</v>
      </c>
      <c r="R2684" s="8" t="b">
        <v>0</v>
      </c>
      <c r="S2684" s="8" t="b">
        <v>0</v>
      </c>
      <c r="T2684" s="8" t="b">
        <v>0</v>
      </c>
      <c r="U2684" s="8" t="b">
        <v>1</v>
      </c>
      <c r="V2684" s="8" t="b">
        <v>0</v>
      </c>
      <c r="X2684" s="8" t="b">
        <v>0</v>
      </c>
      <c r="Y2684" s="8" t="b">
        <v>0</v>
      </c>
      <c r="Z2684" s="8" t="b">
        <v>0</v>
      </c>
      <c r="AA2684" s="8" t="b">
        <v>0</v>
      </c>
      <c r="AB2684" s="8" t="b">
        <v>1</v>
      </c>
      <c r="AC2684" s="8" t="b">
        <v>0</v>
      </c>
      <c r="AD2684" s="8" t="b">
        <v>1</v>
      </c>
      <c r="AE2684" s="8" t="b">
        <v>0</v>
      </c>
      <c r="AG2684" s="11" t="b" cm="1">
        <f t="array" ref="AG2684">IF(OR(Y2684:AA2684="TRUE", AE2684="true"), "Threatened")</f>
        <v>0</v>
      </c>
      <c r="AH2684" s="11" t="s">
        <v>6620</v>
      </c>
      <c r="AI2684" s="8" t="b">
        <v>1</v>
      </c>
    </row>
    <row r="2685" spans="1:35" ht="31.2">
      <c r="A2685" s="8">
        <v>-73.980968869999998</v>
      </c>
      <c r="B2685" s="8">
        <v>40.7688536</v>
      </c>
      <c r="C2685" s="8" t="s">
        <v>6621</v>
      </c>
      <c r="D2685" s="8" t="s">
        <v>1909</v>
      </c>
      <c r="E2685" s="8" t="b">
        <f t="shared" si="41"/>
        <v>0</v>
      </c>
      <c r="F2685" s="8" t="str" cm="1">
        <f t="array" ref="F2685">_xlfn._xlws.FILTER(E2685:E5883, C2685:C5883= "6D-PM-1020-01", "No Squirrels Found")</f>
        <v>No Squirrels Found</v>
      </c>
      <c r="G2685" s="8" t="s">
        <v>34</v>
      </c>
      <c r="H2685" s="10">
        <v>10192018</v>
      </c>
      <c r="I2685" s="10">
        <v>6</v>
      </c>
      <c r="J2685" s="8" t="s">
        <v>39</v>
      </c>
      <c r="K2685" s="8" t="s">
        <v>40</v>
      </c>
      <c r="L2685" s="8" t="s">
        <v>84</v>
      </c>
      <c r="M2685" s="8" t="s">
        <v>103</v>
      </c>
      <c r="O2685" s="8" t="s">
        <v>43</v>
      </c>
      <c r="P2685" s="8" t="b">
        <v>0</v>
      </c>
      <c r="R2685" s="8" t="b">
        <v>0</v>
      </c>
      <c r="S2685" s="8" t="b">
        <v>0</v>
      </c>
      <c r="T2685" s="8" t="b">
        <v>0</v>
      </c>
      <c r="U2685" s="8" t="b">
        <v>0</v>
      </c>
      <c r="V2685" s="8" t="b">
        <v>1</v>
      </c>
      <c r="X2685" s="8" t="b">
        <v>0</v>
      </c>
      <c r="Y2685" s="8" t="b">
        <v>0</v>
      </c>
      <c r="Z2685" s="8" t="b">
        <v>0</v>
      </c>
      <c r="AA2685" s="8" t="b">
        <v>0</v>
      </c>
      <c r="AB2685" s="8" t="b">
        <v>0</v>
      </c>
      <c r="AC2685" s="8" t="b">
        <v>0</v>
      </c>
      <c r="AD2685" s="8" t="b">
        <v>1</v>
      </c>
      <c r="AE2685" s="8" t="b">
        <v>0</v>
      </c>
      <c r="AG2685" s="11" t="b" cm="1">
        <f t="array" ref="AG2685">IF(OR(Y2685:AA2685="TRUE", AE2685="true"), "Threatened")</f>
        <v>0</v>
      </c>
      <c r="AH2685" s="11" t="s">
        <v>6622</v>
      </c>
      <c r="AI2685" s="8" t="b">
        <v>1</v>
      </c>
    </row>
    <row r="2686" spans="1:35" ht="31.2">
      <c r="A2686" s="8">
        <v>-73.960185150000001</v>
      </c>
      <c r="B2686" s="8">
        <v>40.796869819999998</v>
      </c>
      <c r="C2686" s="8" t="s">
        <v>6623</v>
      </c>
      <c r="D2686" s="8" t="s">
        <v>689</v>
      </c>
      <c r="E2686" s="8" t="b">
        <f t="shared" si="41"/>
        <v>0</v>
      </c>
      <c r="F2686" s="8" t="str" cm="1">
        <f t="array" ref="F2686">_xlfn._xlws.FILTER(E2686:E5884, C2686:C5884= "6D-PM-1020-01", "No Squirrels Found")</f>
        <v>No Squirrels Found</v>
      </c>
      <c r="G2686" s="8" t="s">
        <v>48</v>
      </c>
      <c r="H2686" s="10">
        <v>10192018</v>
      </c>
      <c r="I2686" s="10">
        <v>5</v>
      </c>
      <c r="J2686" s="8" t="s">
        <v>39</v>
      </c>
      <c r="K2686" s="8" t="s">
        <v>40</v>
      </c>
      <c r="L2686" s="8" t="s">
        <v>117</v>
      </c>
      <c r="M2686" s="8" t="s">
        <v>118</v>
      </c>
      <c r="N2686" s="11" t="s">
        <v>6624</v>
      </c>
      <c r="O2686" s="8" t="s">
        <v>43</v>
      </c>
      <c r="P2686" s="8" t="b">
        <v>0</v>
      </c>
      <c r="R2686" s="8" t="b">
        <v>0</v>
      </c>
      <c r="S2686" s="8" t="b">
        <v>0</v>
      </c>
      <c r="T2686" s="8" t="b">
        <v>0</v>
      </c>
      <c r="U2686" s="8" t="b">
        <v>0</v>
      </c>
      <c r="V2686" s="8" t="b">
        <v>1</v>
      </c>
      <c r="W2686" s="11" t="s">
        <v>6625</v>
      </c>
      <c r="X2686" s="8" t="b">
        <v>0</v>
      </c>
      <c r="Y2686" s="8" t="b">
        <v>0</v>
      </c>
      <c r="Z2686" s="8" t="b">
        <v>0</v>
      </c>
      <c r="AA2686" s="8" t="b">
        <v>0</v>
      </c>
      <c r="AB2686" s="8" t="b">
        <v>0</v>
      </c>
      <c r="AC2686" s="8" t="b">
        <v>1</v>
      </c>
      <c r="AD2686" s="8" t="b">
        <v>1</v>
      </c>
      <c r="AE2686" s="8" t="b">
        <v>0</v>
      </c>
      <c r="AG2686" s="11" t="b" cm="1">
        <f t="array" ref="AG2686">IF(OR(Y2686:AA2686="TRUE", AE2686="true"), "Threatened")</f>
        <v>0</v>
      </c>
      <c r="AH2686" s="11" t="s">
        <v>6626</v>
      </c>
      <c r="AI2686" s="8" t="b">
        <v>0</v>
      </c>
    </row>
    <row r="2687" spans="1:35" ht="31.2">
      <c r="A2687" s="8">
        <v>-73.977557140000002</v>
      </c>
      <c r="B2687" s="8">
        <v>40.766531659999998</v>
      </c>
      <c r="C2687" s="8" t="s">
        <v>6627</v>
      </c>
      <c r="D2687" s="8" t="s">
        <v>2590</v>
      </c>
      <c r="E2687" s="8" t="b">
        <f t="shared" si="41"/>
        <v>0</v>
      </c>
      <c r="F2687" s="8" t="str" cm="1">
        <f t="array" ref="F2687">_xlfn._xlws.FILTER(E2687:E5885, C2687:C5885= "6D-PM-1020-01", "No Squirrels Found")</f>
        <v>No Squirrels Found</v>
      </c>
      <c r="G2687" s="8" t="s">
        <v>34</v>
      </c>
      <c r="H2687" s="10">
        <v>10072018</v>
      </c>
      <c r="I2687" s="10">
        <v>3</v>
      </c>
      <c r="J2687" s="8" t="s">
        <v>39</v>
      </c>
      <c r="K2687" s="8" t="s">
        <v>40</v>
      </c>
      <c r="M2687" s="8" t="s">
        <v>55</v>
      </c>
      <c r="O2687" s="8" t="s">
        <v>43</v>
      </c>
      <c r="P2687" s="8" t="b">
        <v>0</v>
      </c>
      <c r="R2687" s="8" t="b">
        <v>0</v>
      </c>
      <c r="S2687" s="8" t="b">
        <v>0</v>
      </c>
      <c r="T2687" s="8" t="b">
        <v>0</v>
      </c>
      <c r="U2687" s="8" t="b">
        <v>0</v>
      </c>
      <c r="V2687" s="8" t="b">
        <v>1</v>
      </c>
      <c r="X2687" s="8" t="b">
        <v>0</v>
      </c>
      <c r="Y2687" s="8" t="b">
        <v>0</v>
      </c>
      <c r="Z2687" s="8" t="b">
        <v>0</v>
      </c>
      <c r="AA2687" s="8" t="b">
        <v>0</v>
      </c>
      <c r="AB2687" s="8" t="b">
        <v>0</v>
      </c>
      <c r="AC2687" s="8" t="b">
        <v>0</v>
      </c>
      <c r="AD2687" s="8" t="b">
        <v>1</v>
      </c>
      <c r="AE2687" s="8" t="b">
        <v>0</v>
      </c>
      <c r="AG2687" s="11" t="b" cm="1">
        <f t="array" ref="AG2687">IF(OR(Y2687:AA2687="TRUE", AE2687="true"), "Threatened")</f>
        <v>0</v>
      </c>
      <c r="AH2687" s="11" t="s">
        <v>6628</v>
      </c>
      <c r="AI2687" s="8" t="b">
        <v>1</v>
      </c>
    </row>
    <row r="2688" spans="1:35" ht="31.2">
      <c r="A2688" s="8">
        <v>-73.955023560000001</v>
      </c>
      <c r="B2688" s="8">
        <v>40.795131240000003</v>
      </c>
      <c r="C2688" s="8" t="s">
        <v>6629</v>
      </c>
      <c r="D2688" s="8" t="s">
        <v>378</v>
      </c>
      <c r="E2688" s="8" t="b">
        <f t="shared" si="41"/>
        <v>0</v>
      </c>
      <c r="F2688" s="8" t="str" cm="1">
        <f t="array" ref="F2688">_xlfn._xlws.FILTER(E2688:E5886, C2688:C5886= "6D-PM-1020-01", "No Squirrels Found")</f>
        <v>No Squirrels Found</v>
      </c>
      <c r="G2688" s="8" t="s">
        <v>48</v>
      </c>
      <c r="H2688" s="10">
        <v>10182018</v>
      </c>
      <c r="I2688" s="10">
        <v>3</v>
      </c>
      <c r="J2688" s="8" t="s">
        <v>39</v>
      </c>
      <c r="K2688" s="8" t="s">
        <v>40</v>
      </c>
      <c r="L2688" s="8" t="s">
        <v>117</v>
      </c>
      <c r="M2688" s="8" t="s">
        <v>118</v>
      </c>
      <c r="O2688" s="8" t="s">
        <v>43</v>
      </c>
      <c r="P2688" s="8" t="b">
        <v>0</v>
      </c>
      <c r="R2688" s="8" t="b">
        <v>1</v>
      </c>
      <c r="S2688" s="8" t="b">
        <v>0</v>
      </c>
      <c r="T2688" s="8" t="b">
        <v>0</v>
      </c>
      <c r="U2688" s="8" t="b">
        <v>0</v>
      </c>
      <c r="V2688" s="8" t="b">
        <v>0</v>
      </c>
      <c r="X2688" s="8" t="b">
        <v>0</v>
      </c>
      <c r="Y2688" s="8" t="b">
        <v>0</v>
      </c>
      <c r="Z2688" s="8" t="b">
        <v>0</v>
      </c>
      <c r="AA2688" s="8" t="b">
        <v>0</v>
      </c>
      <c r="AB2688" s="8" t="b">
        <v>0</v>
      </c>
      <c r="AC2688" s="8" t="b">
        <v>0</v>
      </c>
      <c r="AD2688" s="8" t="b">
        <v>0</v>
      </c>
      <c r="AE2688" s="8" t="b">
        <v>1</v>
      </c>
      <c r="AG2688" s="11" t="b" cm="1">
        <f t="array" ref="AG2688">IF(OR(Y2688:AA2688="TRUE", AE2688="true"), "Threatened")</f>
        <v>0</v>
      </c>
      <c r="AH2688" s="11" t="s">
        <v>6630</v>
      </c>
      <c r="AI2688" s="8" t="b">
        <v>1</v>
      </c>
    </row>
    <row r="2689" spans="1:35" ht="31.2">
      <c r="A2689" s="8">
        <v>-73.979930300000007</v>
      </c>
      <c r="B2689" s="8">
        <v>40.76772072</v>
      </c>
      <c r="C2689" s="8" t="s">
        <v>6631</v>
      </c>
      <c r="D2689" s="8" t="s">
        <v>855</v>
      </c>
      <c r="E2689" s="8" t="b">
        <f t="shared" si="41"/>
        <v>0</v>
      </c>
      <c r="F2689" s="8" t="str" cm="1">
        <f t="array" ref="F2689">_xlfn._xlws.FILTER(E2689:E5887, C2689:C5887= "6D-PM-1020-01", "No Squirrels Found")</f>
        <v>No Squirrels Found</v>
      </c>
      <c r="G2689" s="8" t="s">
        <v>34</v>
      </c>
      <c r="H2689" s="10">
        <v>10192018</v>
      </c>
      <c r="I2689" s="10">
        <v>2</v>
      </c>
      <c r="J2689" s="8" t="s">
        <v>39</v>
      </c>
      <c r="K2689" s="8" t="s">
        <v>40</v>
      </c>
      <c r="L2689" s="8" t="s">
        <v>84</v>
      </c>
      <c r="M2689" s="8" t="s">
        <v>103</v>
      </c>
      <c r="O2689" s="8" t="s">
        <v>43</v>
      </c>
      <c r="P2689" s="8" t="b">
        <v>0</v>
      </c>
      <c r="R2689" s="8" t="b">
        <v>1</v>
      </c>
      <c r="S2689" s="8" t="b">
        <v>0</v>
      </c>
      <c r="T2689" s="8" t="b">
        <v>0</v>
      </c>
      <c r="U2689" s="8" t="b">
        <v>0</v>
      </c>
      <c r="V2689" s="8" t="b">
        <v>0</v>
      </c>
      <c r="X2689" s="8" t="b">
        <v>0</v>
      </c>
      <c r="Y2689" s="8" t="b">
        <v>0</v>
      </c>
      <c r="Z2689" s="8" t="b">
        <v>0</v>
      </c>
      <c r="AA2689" s="8" t="b">
        <v>0</v>
      </c>
      <c r="AB2689" s="8" t="b">
        <v>0</v>
      </c>
      <c r="AC2689" s="8" t="b">
        <v>0</v>
      </c>
      <c r="AD2689" s="8" t="b">
        <v>1</v>
      </c>
      <c r="AE2689" s="8" t="b">
        <v>0</v>
      </c>
      <c r="AG2689" s="11" t="b" cm="1">
        <f t="array" ref="AG2689">IF(OR(Y2689:AA2689="TRUE", AE2689="true"), "Threatened")</f>
        <v>0</v>
      </c>
      <c r="AH2689" s="11" t="s">
        <v>6632</v>
      </c>
      <c r="AI2689" s="8" t="b">
        <v>1</v>
      </c>
    </row>
    <row r="2690" spans="1:35" ht="31.2">
      <c r="A2690" s="8">
        <v>-73.970412199999998</v>
      </c>
      <c r="B2690" s="8">
        <v>40.782404020000001</v>
      </c>
      <c r="C2690" s="8" t="s">
        <v>6633</v>
      </c>
      <c r="D2690" s="8" t="s">
        <v>2662</v>
      </c>
      <c r="E2690" s="8" t="b">
        <f t="shared" si="41"/>
        <v>0</v>
      </c>
      <c r="F2690" s="8" t="str" cm="1">
        <f t="array" ref="F2690">_xlfn._xlws.FILTER(E2690:E5888, C2690:C5888= "6D-PM-1020-01", "No Squirrels Found")</f>
        <v>No Squirrels Found</v>
      </c>
      <c r="G2690" s="8" t="s">
        <v>34</v>
      </c>
      <c r="H2690" s="10">
        <v>10132018</v>
      </c>
      <c r="I2690" s="10">
        <v>2</v>
      </c>
      <c r="J2690" s="8" t="s">
        <v>39</v>
      </c>
      <c r="K2690" s="8" t="s">
        <v>40</v>
      </c>
      <c r="L2690" s="8" t="s">
        <v>84</v>
      </c>
      <c r="M2690" s="8" t="s">
        <v>103</v>
      </c>
      <c r="N2690" s="11" t="s">
        <v>6634</v>
      </c>
      <c r="O2690" s="8" t="s">
        <v>43</v>
      </c>
      <c r="P2690" s="8" t="b">
        <v>0</v>
      </c>
      <c r="R2690" s="8" t="b">
        <v>0</v>
      </c>
      <c r="S2690" s="8" t="b">
        <v>0</v>
      </c>
      <c r="T2690" s="8" t="b">
        <v>0</v>
      </c>
      <c r="U2690" s="8" t="b">
        <v>0</v>
      </c>
      <c r="V2690" s="8" t="b">
        <v>1</v>
      </c>
      <c r="X2690" s="8" t="b">
        <v>0</v>
      </c>
      <c r="Y2690" s="8" t="b">
        <v>0</v>
      </c>
      <c r="Z2690" s="8" t="b">
        <v>0</v>
      </c>
      <c r="AA2690" s="8" t="b">
        <v>0</v>
      </c>
      <c r="AB2690" s="8" t="b">
        <v>0</v>
      </c>
      <c r="AC2690" s="8" t="b">
        <v>0</v>
      </c>
      <c r="AD2690" s="8" t="b">
        <v>1</v>
      </c>
      <c r="AE2690" s="8" t="b">
        <v>0</v>
      </c>
      <c r="AG2690" s="11" t="b" cm="1">
        <f t="array" ref="AG2690">IF(OR(Y2690:AA2690="TRUE", AE2690="true"), "Threatened")</f>
        <v>0</v>
      </c>
      <c r="AH2690" s="11" t="s">
        <v>6635</v>
      </c>
      <c r="AI2690" s="8" t="b">
        <v>1</v>
      </c>
    </row>
    <row r="2691" spans="1:35" ht="31.2">
      <c r="A2691" s="8">
        <v>-73.957284049999998</v>
      </c>
      <c r="B2691" s="8">
        <v>40.788693340000002</v>
      </c>
      <c r="C2691" s="8" t="s">
        <v>6636</v>
      </c>
      <c r="D2691" s="8" t="s">
        <v>196</v>
      </c>
      <c r="E2691" s="8" t="b">
        <f t="shared" ref="E2691:E2754" si="42">OR(D2691 = "05D", D2691 = "07D", D2691 = "06C", D2691 = "06E")</f>
        <v>0</v>
      </c>
      <c r="F2691" s="8" t="str" cm="1">
        <f t="array" ref="F2691">_xlfn._xlws.FILTER(E2691:E5889, C2691:C5889= "6D-PM-1020-01", "No Squirrels Found")</f>
        <v>No Squirrels Found</v>
      </c>
      <c r="G2691" s="8" t="s">
        <v>34</v>
      </c>
      <c r="H2691" s="10">
        <v>10082018</v>
      </c>
      <c r="I2691" s="10">
        <v>4</v>
      </c>
      <c r="J2691" s="8" t="s">
        <v>39</v>
      </c>
      <c r="K2691" s="8" t="s">
        <v>40</v>
      </c>
      <c r="M2691" s="8" t="s">
        <v>55</v>
      </c>
      <c r="O2691" s="8" t="s">
        <v>50</v>
      </c>
      <c r="Q2691" s="8" t="s">
        <v>6637</v>
      </c>
      <c r="R2691" s="8" t="b">
        <v>0</v>
      </c>
      <c r="S2691" s="8" t="b">
        <v>0</v>
      </c>
      <c r="T2691" s="8" t="b">
        <v>1</v>
      </c>
      <c r="U2691" s="8" t="b">
        <v>0</v>
      </c>
      <c r="V2691" s="8" t="b">
        <v>1</v>
      </c>
      <c r="X2691" s="8" t="b">
        <v>0</v>
      </c>
      <c r="Y2691" s="8" t="b">
        <v>0</v>
      </c>
      <c r="Z2691" s="8" t="b">
        <v>0</v>
      </c>
      <c r="AA2691" s="8" t="b">
        <v>0</v>
      </c>
      <c r="AB2691" s="8" t="b">
        <v>0</v>
      </c>
      <c r="AC2691" s="8" t="b">
        <v>0</v>
      </c>
      <c r="AD2691" s="8" t="b">
        <v>0</v>
      </c>
      <c r="AE2691" s="8" t="b">
        <v>0</v>
      </c>
      <c r="AG2691" s="11" t="b" cm="1">
        <f t="array" ref="AG2691">IF(OR(Y2691:AA2691="TRUE", AE2691="true"), "Threatened")</f>
        <v>0</v>
      </c>
      <c r="AH2691" s="11" t="s">
        <v>6638</v>
      </c>
      <c r="AI2691" s="8" t="b">
        <v>1</v>
      </c>
    </row>
    <row r="2692" spans="1:35" ht="31.2">
      <c r="A2692" s="8">
        <v>-73.956459910000007</v>
      </c>
      <c r="B2692" s="8">
        <v>40.796518509999999</v>
      </c>
      <c r="C2692" s="8" t="s">
        <v>6639</v>
      </c>
      <c r="D2692" s="8" t="s">
        <v>1948</v>
      </c>
      <c r="E2692" s="8" t="b">
        <f t="shared" si="42"/>
        <v>0</v>
      </c>
      <c r="F2692" s="8" t="str" cm="1">
        <f t="array" ref="F2692">_xlfn._xlws.FILTER(E2692:E5890, C2692:C5890= "6D-PM-1020-01", "No Squirrels Found")</f>
        <v>No Squirrels Found</v>
      </c>
      <c r="G2692" s="8" t="s">
        <v>34</v>
      </c>
      <c r="H2692" s="10">
        <v>10122018</v>
      </c>
      <c r="I2692" s="10">
        <v>1</v>
      </c>
      <c r="J2692" s="8" t="s">
        <v>39</v>
      </c>
      <c r="K2692" s="8" t="s">
        <v>40</v>
      </c>
      <c r="L2692" s="8" t="s">
        <v>84</v>
      </c>
      <c r="M2692" s="8" t="s">
        <v>103</v>
      </c>
      <c r="O2692" s="8" t="s">
        <v>43</v>
      </c>
      <c r="P2692" s="8" t="b">
        <v>0</v>
      </c>
      <c r="R2692" s="8" t="b">
        <v>1</v>
      </c>
      <c r="S2692" s="8" t="b">
        <v>0</v>
      </c>
      <c r="T2692" s="8" t="b">
        <v>0</v>
      </c>
      <c r="U2692" s="8" t="b">
        <v>0</v>
      </c>
      <c r="V2692" s="8" t="b">
        <v>1</v>
      </c>
      <c r="X2692" s="8" t="b">
        <v>0</v>
      </c>
      <c r="Y2692" s="8" t="b">
        <v>0</v>
      </c>
      <c r="Z2692" s="8" t="b">
        <v>0</v>
      </c>
      <c r="AA2692" s="8" t="b">
        <v>0</v>
      </c>
      <c r="AB2692" s="8" t="b">
        <v>0</v>
      </c>
      <c r="AC2692" s="8" t="b">
        <v>0</v>
      </c>
      <c r="AD2692" s="8" t="b">
        <v>1</v>
      </c>
      <c r="AE2692" s="8" t="b">
        <v>0</v>
      </c>
      <c r="AG2692" s="11" t="b" cm="1">
        <f t="array" ref="AG2692">IF(OR(Y2692:AA2692="TRUE", AE2692="true"), "Threatened")</f>
        <v>0</v>
      </c>
      <c r="AH2692" s="11" t="s">
        <v>6640</v>
      </c>
      <c r="AI2692" s="8" t="b">
        <v>1</v>
      </c>
    </row>
    <row r="2693" spans="1:35" ht="46.8">
      <c r="A2693" s="8">
        <v>-73.980163640000001</v>
      </c>
      <c r="B2693" s="8">
        <v>40.769019210000003</v>
      </c>
      <c r="C2693" s="8" t="s">
        <v>6641</v>
      </c>
      <c r="D2693" s="8" t="s">
        <v>1909</v>
      </c>
      <c r="E2693" s="8" t="b">
        <f t="shared" si="42"/>
        <v>0</v>
      </c>
      <c r="F2693" s="8" t="str" cm="1">
        <f t="array" ref="F2693">_xlfn._xlws.FILTER(E2693:E5891, C2693:C5891= "6D-PM-1020-01", "No Squirrels Found")</f>
        <v>No Squirrels Found</v>
      </c>
      <c r="G2693" s="8" t="s">
        <v>48</v>
      </c>
      <c r="H2693" s="10">
        <v>10102018</v>
      </c>
      <c r="I2693" s="10">
        <v>9</v>
      </c>
      <c r="J2693" s="8" t="s">
        <v>39</v>
      </c>
      <c r="K2693" s="8" t="s">
        <v>40</v>
      </c>
      <c r="L2693" s="8" t="s">
        <v>84</v>
      </c>
      <c r="M2693" s="8" t="s">
        <v>103</v>
      </c>
      <c r="O2693" s="8" t="s">
        <v>50</v>
      </c>
      <c r="Q2693" s="8" t="s">
        <v>6642</v>
      </c>
      <c r="R2693" s="8" t="b">
        <v>0</v>
      </c>
      <c r="S2693" s="8" t="b">
        <v>0</v>
      </c>
      <c r="T2693" s="8" t="b">
        <v>1</v>
      </c>
      <c r="U2693" s="8" t="b">
        <v>0</v>
      </c>
      <c r="V2693" s="8" t="b">
        <v>0</v>
      </c>
      <c r="W2693" s="11" t="s">
        <v>6643</v>
      </c>
      <c r="X2693" s="8" t="b">
        <v>0</v>
      </c>
      <c r="Y2693" s="8" t="b">
        <v>0</v>
      </c>
      <c r="Z2693" s="8" t="b">
        <v>0</v>
      </c>
      <c r="AA2693" s="8" t="b">
        <v>0</v>
      </c>
      <c r="AB2693" s="8" t="b">
        <v>1</v>
      </c>
      <c r="AC2693" s="8" t="b">
        <v>0</v>
      </c>
      <c r="AD2693" s="8" t="b">
        <v>0</v>
      </c>
      <c r="AE2693" s="8" t="b">
        <v>0</v>
      </c>
      <c r="AF2693" s="11" t="s">
        <v>6644</v>
      </c>
      <c r="AG2693" s="11" t="b" cm="1">
        <f t="array" ref="AG2693">IF(OR(Y2693:AA2693="TRUE", AE2693="true"), "Threatened")</f>
        <v>0</v>
      </c>
      <c r="AH2693" s="11" t="s">
        <v>6645</v>
      </c>
      <c r="AI2693" s="8" t="b">
        <v>0</v>
      </c>
    </row>
    <row r="2694" spans="1:35" ht="31.2">
      <c r="A2694" s="8">
        <v>-73.956149859999996</v>
      </c>
      <c r="B2694" s="8">
        <v>40.794928859999999</v>
      </c>
      <c r="C2694" s="8" t="s">
        <v>6646</v>
      </c>
      <c r="D2694" s="8" t="s">
        <v>38</v>
      </c>
      <c r="E2694" s="8" t="b">
        <f t="shared" si="42"/>
        <v>0</v>
      </c>
      <c r="F2694" s="8" t="str" cm="1">
        <f t="array" ref="F2694">_xlfn._xlws.FILTER(E2694:E5892, C2694:C5892= "6D-PM-1020-01", "No Squirrels Found")</f>
        <v>No Squirrels Found</v>
      </c>
      <c r="G2694" s="8" t="s">
        <v>48</v>
      </c>
      <c r="H2694" s="10">
        <v>10132018</v>
      </c>
      <c r="I2694" s="10">
        <v>5</v>
      </c>
      <c r="J2694" s="8" t="s">
        <v>3843</v>
      </c>
      <c r="M2694" s="8" t="s">
        <v>35</v>
      </c>
      <c r="O2694" s="8" t="s">
        <v>50</v>
      </c>
      <c r="P2694" s="8">
        <v>10</v>
      </c>
      <c r="Q2694" s="8" t="s">
        <v>6647</v>
      </c>
      <c r="R2694" s="8" t="b">
        <v>0</v>
      </c>
      <c r="S2694" s="8" t="b">
        <v>0</v>
      </c>
      <c r="T2694" s="8" t="b">
        <v>0</v>
      </c>
      <c r="U2694" s="8" t="b">
        <v>0</v>
      </c>
      <c r="V2694" s="8" t="b">
        <v>0</v>
      </c>
      <c r="X2694" s="8" t="b">
        <v>1</v>
      </c>
      <c r="Y2694" s="8" t="b">
        <v>0</v>
      </c>
      <c r="Z2694" s="8" t="b">
        <v>0</v>
      </c>
      <c r="AA2694" s="8" t="b">
        <v>0</v>
      </c>
      <c r="AB2694" s="8" t="b">
        <v>0</v>
      </c>
      <c r="AC2694" s="8" t="b">
        <v>0</v>
      </c>
      <c r="AD2694" s="8" t="b">
        <v>0</v>
      </c>
      <c r="AE2694" s="8" t="b">
        <v>0</v>
      </c>
      <c r="AG2694" s="11" t="b" cm="1">
        <f t="array" ref="AG2694">IF(OR(Y2694:AA2694="TRUE", AE2694="true"), "Threatened")</f>
        <v>0</v>
      </c>
      <c r="AH2694" s="11" t="s">
        <v>6648</v>
      </c>
      <c r="AI2694" s="8" t="b">
        <v>1</v>
      </c>
    </row>
    <row r="2695" spans="1:35" ht="31.2">
      <c r="A2695" s="8">
        <v>-73.969628580000006</v>
      </c>
      <c r="B2695" s="8">
        <v>40.770406780000002</v>
      </c>
      <c r="C2695" s="8" t="s">
        <v>6649</v>
      </c>
      <c r="D2695" s="8" t="s">
        <v>199</v>
      </c>
      <c r="E2695" s="8" t="b">
        <f t="shared" si="42"/>
        <v>0</v>
      </c>
      <c r="F2695" s="8" t="str" cm="1">
        <f t="array" ref="F2695">_xlfn._xlws.FILTER(E2695:E5893, C2695:C5893= "6D-PM-1020-01", "No Squirrels Found")</f>
        <v>No Squirrels Found</v>
      </c>
      <c r="G2695" s="8" t="s">
        <v>48</v>
      </c>
      <c r="H2695" s="10">
        <v>10172018</v>
      </c>
      <c r="I2695" s="10">
        <v>3</v>
      </c>
      <c r="J2695" s="8" t="s">
        <v>39</v>
      </c>
      <c r="K2695" s="8" t="s">
        <v>40</v>
      </c>
      <c r="L2695" s="8" t="s">
        <v>41</v>
      </c>
      <c r="M2695" s="8" t="s">
        <v>42</v>
      </c>
      <c r="O2695" s="8" t="s">
        <v>50</v>
      </c>
      <c r="P2695" s="8">
        <v>2</v>
      </c>
      <c r="Q2695" s="8" t="s">
        <v>754</v>
      </c>
      <c r="R2695" s="8" t="b">
        <v>1</v>
      </c>
      <c r="S2695" s="8" t="b">
        <v>0</v>
      </c>
      <c r="T2695" s="8" t="b">
        <v>0</v>
      </c>
      <c r="U2695" s="8" t="b">
        <v>0</v>
      </c>
      <c r="V2695" s="8" t="b">
        <v>1</v>
      </c>
      <c r="X2695" s="8" t="b">
        <v>0</v>
      </c>
      <c r="Y2695" s="8" t="b">
        <v>0</v>
      </c>
      <c r="Z2695" s="8" t="b">
        <v>0</v>
      </c>
      <c r="AA2695" s="8" t="b">
        <v>0</v>
      </c>
      <c r="AB2695" s="8" t="b">
        <v>0</v>
      </c>
      <c r="AC2695" s="8" t="b">
        <v>0</v>
      </c>
      <c r="AD2695" s="8" t="b">
        <v>1</v>
      </c>
      <c r="AE2695" s="8" t="b">
        <v>0</v>
      </c>
      <c r="AG2695" s="11" t="b" cm="1">
        <f t="array" ref="AG2695">IF(OR(Y2695:AA2695="TRUE", AE2695="true"), "Threatened")</f>
        <v>0</v>
      </c>
      <c r="AH2695" s="11" t="s">
        <v>6650</v>
      </c>
      <c r="AI2695" s="8" t="b">
        <v>1</v>
      </c>
    </row>
    <row r="2696" spans="1:35" ht="31.2">
      <c r="A2696" s="8">
        <v>-73.962800450000003</v>
      </c>
      <c r="B2696" s="8">
        <v>40.791553260000001</v>
      </c>
      <c r="C2696" s="8" t="s">
        <v>6651</v>
      </c>
      <c r="D2696" s="8" t="s">
        <v>2508</v>
      </c>
      <c r="E2696" s="8" t="b">
        <f t="shared" si="42"/>
        <v>0</v>
      </c>
      <c r="F2696" s="8" t="str" cm="1">
        <f t="array" ref="F2696">_xlfn._xlws.FILTER(E2696:E5894, C2696:C5894= "6D-PM-1020-01", "No Squirrels Found")</f>
        <v>No Squirrels Found</v>
      </c>
      <c r="G2696" s="8" t="s">
        <v>34</v>
      </c>
      <c r="H2696" s="10">
        <v>10072018</v>
      </c>
      <c r="I2696" s="10">
        <v>3</v>
      </c>
      <c r="J2696" s="8" t="s">
        <v>54</v>
      </c>
      <c r="K2696" s="8" t="s">
        <v>40</v>
      </c>
      <c r="L2696" s="8" t="s">
        <v>41</v>
      </c>
      <c r="M2696" s="8" t="s">
        <v>42</v>
      </c>
      <c r="O2696" s="8" t="s">
        <v>43</v>
      </c>
      <c r="P2696" s="8" t="b">
        <v>0</v>
      </c>
      <c r="R2696" s="8" t="b">
        <v>0</v>
      </c>
      <c r="S2696" s="8" t="b">
        <v>0</v>
      </c>
      <c r="T2696" s="8" t="b">
        <v>0</v>
      </c>
      <c r="U2696" s="8" t="b">
        <v>0</v>
      </c>
      <c r="V2696" s="8" t="b">
        <v>1</v>
      </c>
      <c r="X2696" s="8" t="b">
        <v>0</v>
      </c>
      <c r="Y2696" s="8" t="b">
        <v>0</v>
      </c>
      <c r="Z2696" s="8" t="b">
        <v>0</v>
      </c>
      <c r="AA2696" s="8" t="b">
        <v>0</v>
      </c>
      <c r="AB2696" s="8" t="b">
        <v>0</v>
      </c>
      <c r="AC2696" s="8" t="b">
        <v>0</v>
      </c>
      <c r="AD2696" s="8" t="b">
        <v>1</v>
      </c>
      <c r="AE2696" s="8" t="b">
        <v>0</v>
      </c>
      <c r="AG2696" s="11" t="b" cm="1">
        <f t="array" ref="AG2696">IF(OR(Y2696:AA2696="TRUE", AE2696="true"), "Threatened")</f>
        <v>0</v>
      </c>
      <c r="AH2696" s="11" t="s">
        <v>6652</v>
      </c>
      <c r="AI2696" s="8" t="b">
        <v>1</v>
      </c>
    </row>
    <row r="2697" spans="1:35" ht="31.2">
      <c r="A2697" s="8">
        <v>-73.950145719999995</v>
      </c>
      <c r="B2697" s="8">
        <v>40.797094360000003</v>
      </c>
      <c r="C2697" s="8" t="s">
        <v>6653</v>
      </c>
      <c r="D2697" s="8" t="s">
        <v>1723</v>
      </c>
      <c r="E2697" s="8" t="b">
        <f t="shared" si="42"/>
        <v>0</v>
      </c>
      <c r="F2697" s="8" t="str" cm="1">
        <f t="array" ref="F2697">_xlfn._xlws.FILTER(E2697:E5895, C2697:C5895= "6D-PM-1020-01", "No Squirrels Found")</f>
        <v>No Squirrels Found</v>
      </c>
      <c r="G2697" s="8" t="s">
        <v>34</v>
      </c>
      <c r="H2697" s="10">
        <v>10142018</v>
      </c>
      <c r="I2697" s="10">
        <v>1</v>
      </c>
      <c r="J2697" s="8" t="s">
        <v>39</v>
      </c>
      <c r="K2697" s="8" t="s">
        <v>41</v>
      </c>
      <c r="L2697" s="8" t="s">
        <v>40</v>
      </c>
      <c r="M2697" s="8" t="s">
        <v>110</v>
      </c>
      <c r="O2697" s="8" t="s">
        <v>43</v>
      </c>
      <c r="P2697" s="8" t="b">
        <v>0</v>
      </c>
      <c r="R2697" s="8" t="b">
        <v>0</v>
      </c>
      <c r="S2697" s="8" t="b">
        <v>0</v>
      </c>
      <c r="T2697" s="8" t="b">
        <v>1</v>
      </c>
      <c r="U2697" s="8" t="b">
        <v>0</v>
      </c>
      <c r="V2697" s="8" t="b">
        <v>0</v>
      </c>
      <c r="X2697" s="8" t="b">
        <v>0</v>
      </c>
      <c r="Y2697" s="8" t="b">
        <v>0</v>
      </c>
      <c r="Z2697" s="8" t="b">
        <v>0</v>
      </c>
      <c r="AA2697" s="8" t="b">
        <v>0</v>
      </c>
      <c r="AB2697" s="8" t="b">
        <v>1</v>
      </c>
      <c r="AC2697" s="8" t="b">
        <v>0</v>
      </c>
      <c r="AD2697" s="8" t="b">
        <v>1</v>
      </c>
      <c r="AE2697" s="8" t="b">
        <v>0</v>
      </c>
      <c r="AG2697" s="11" t="b" cm="1">
        <f t="array" ref="AG2697">IF(OR(Y2697:AA2697="TRUE", AE2697="true"), "Threatened")</f>
        <v>0</v>
      </c>
      <c r="AH2697" s="11" t="s">
        <v>6654</v>
      </c>
      <c r="AI2697" s="8" t="b">
        <v>1</v>
      </c>
    </row>
    <row r="2698" spans="1:35" ht="46.8">
      <c r="A2698" s="8">
        <v>-73.971067489999996</v>
      </c>
      <c r="B2698" s="8">
        <v>40.77787575</v>
      </c>
      <c r="C2698" s="8" t="s">
        <v>6655</v>
      </c>
      <c r="D2698" s="8" t="s">
        <v>554</v>
      </c>
      <c r="E2698" s="8" t="b">
        <f t="shared" si="42"/>
        <v>0</v>
      </c>
      <c r="F2698" s="8" t="str" cm="1">
        <f t="array" ref="F2698">_xlfn._xlws.FILTER(E2698:E5896, C2698:C5896= "6D-PM-1020-01", "No Squirrels Found")</f>
        <v>No Squirrels Found</v>
      </c>
      <c r="G2698" s="8" t="s">
        <v>34</v>
      </c>
      <c r="H2698" s="10">
        <v>10172018</v>
      </c>
      <c r="I2698" s="10">
        <v>6</v>
      </c>
      <c r="J2698" s="8" t="s">
        <v>39</v>
      </c>
      <c r="K2698" s="8" t="s">
        <v>40</v>
      </c>
      <c r="L2698" s="8" t="s">
        <v>41</v>
      </c>
      <c r="M2698" s="8" t="s">
        <v>42</v>
      </c>
      <c r="O2698" s="8" t="s">
        <v>43</v>
      </c>
      <c r="P2698" s="8" t="b">
        <v>0</v>
      </c>
      <c r="R2698" s="8" t="b">
        <v>0</v>
      </c>
      <c r="S2698" s="8" t="b">
        <v>0</v>
      </c>
      <c r="T2698" s="8" t="b">
        <v>0</v>
      </c>
      <c r="U2698" s="8" t="b">
        <v>0</v>
      </c>
      <c r="V2698" s="8" t="b">
        <v>0</v>
      </c>
      <c r="W2698" s="11" t="s">
        <v>122</v>
      </c>
      <c r="X2698" s="8" t="b">
        <v>0</v>
      </c>
      <c r="Y2698" s="8" t="b">
        <v>0</v>
      </c>
      <c r="Z2698" s="8" t="b">
        <v>0</v>
      </c>
      <c r="AA2698" s="8" t="b">
        <v>0</v>
      </c>
      <c r="AB2698" s="8" t="b">
        <v>0</v>
      </c>
      <c r="AC2698" s="8" t="b">
        <v>0</v>
      </c>
      <c r="AD2698" s="8" t="b">
        <v>0</v>
      </c>
      <c r="AE2698" s="8" t="b">
        <v>0</v>
      </c>
      <c r="AF2698" s="11" t="s">
        <v>6656</v>
      </c>
      <c r="AG2698" s="11" t="b" cm="1">
        <f t="array" ref="AG2698">IF(OR(Y2698:AA2698="TRUE", AE2698="true"), "Threatened")</f>
        <v>0</v>
      </c>
      <c r="AH2698" s="11" t="s">
        <v>6657</v>
      </c>
      <c r="AI2698" s="8" t="b">
        <v>0</v>
      </c>
    </row>
    <row r="2699" spans="1:35" ht="31.2">
      <c r="A2699" s="8">
        <v>-73.974491740000005</v>
      </c>
      <c r="B2699" s="8">
        <v>40.777838869999997</v>
      </c>
      <c r="C2699" s="8" t="s">
        <v>6658</v>
      </c>
      <c r="D2699" s="8" t="s">
        <v>594</v>
      </c>
      <c r="E2699" s="8" t="b">
        <f t="shared" si="42"/>
        <v>0</v>
      </c>
      <c r="F2699" s="8" t="str" cm="1">
        <f t="array" ref="F2699">_xlfn._xlws.FILTER(E2699:E5897, C2699:C5897= "6D-PM-1020-01", "No Squirrels Found")</f>
        <v>No Squirrels Found</v>
      </c>
      <c r="G2699" s="8" t="s">
        <v>48</v>
      </c>
      <c r="H2699" s="10">
        <v>10172018</v>
      </c>
      <c r="I2699" s="10">
        <v>2</v>
      </c>
      <c r="J2699" s="8" t="s">
        <v>39</v>
      </c>
      <c r="K2699" s="8" t="s">
        <v>40</v>
      </c>
      <c r="M2699" s="8" t="s">
        <v>55</v>
      </c>
      <c r="O2699" s="8" t="s">
        <v>43</v>
      </c>
      <c r="P2699" s="8" t="b">
        <v>0</v>
      </c>
      <c r="R2699" s="8" t="b">
        <v>1</v>
      </c>
      <c r="S2699" s="8" t="b">
        <v>0</v>
      </c>
      <c r="T2699" s="8" t="b">
        <v>0</v>
      </c>
      <c r="U2699" s="8" t="b">
        <v>0</v>
      </c>
      <c r="V2699" s="8" t="b">
        <v>0</v>
      </c>
      <c r="X2699" s="8" t="b">
        <v>0</v>
      </c>
      <c r="Y2699" s="8" t="b">
        <v>0</v>
      </c>
      <c r="Z2699" s="8" t="b">
        <v>0</v>
      </c>
      <c r="AA2699" s="8" t="b">
        <v>0</v>
      </c>
      <c r="AB2699" s="8" t="b">
        <v>0</v>
      </c>
      <c r="AC2699" s="8" t="b">
        <v>0</v>
      </c>
      <c r="AD2699" s="8" t="b">
        <v>1</v>
      </c>
      <c r="AE2699" s="8" t="b">
        <v>0</v>
      </c>
      <c r="AG2699" s="11" t="b" cm="1">
        <f t="array" ref="AG2699">IF(OR(Y2699:AA2699="TRUE", AE2699="true"), "Threatened")</f>
        <v>0</v>
      </c>
      <c r="AH2699" s="11" t="s">
        <v>6659</v>
      </c>
      <c r="AI2699" s="8" t="b">
        <v>1</v>
      </c>
    </row>
    <row r="2700" spans="1:35" ht="31.2">
      <c r="A2700" s="8">
        <v>-73.974350939999994</v>
      </c>
      <c r="B2700" s="8">
        <v>40.769004369999998</v>
      </c>
      <c r="C2700" s="8" t="s">
        <v>6660</v>
      </c>
      <c r="D2700" s="8" t="s">
        <v>264</v>
      </c>
      <c r="E2700" s="8" t="b">
        <f t="shared" si="42"/>
        <v>0</v>
      </c>
      <c r="F2700" s="8" t="str" cm="1">
        <f t="array" ref="F2700">_xlfn._xlws.FILTER(E2700:E5898, C2700:C5898= "6D-PM-1020-01", "No Squirrels Found")</f>
        <v>No Squirrels Found</v>
      </c>
      <c r="G2700" s="8" t="s">
        <v>48</v>
      </c>
      <c r="H2700" s="10">
        <v>10072018</v>
      </c>
      <c r="I2700" s="10">
        <v>2</v>
      </c>
      <c r="J2700" s="8" t="s">
        <v>39</v>
      </c>
      <c r="K2700" s="8" t="s">
        <v>40</v>
      </c>
      <c r="L2700" s="8" t="s">
        <v>41</v>
      </c>
      <c r="M2700" s="8" t="s">
        <v>42</v>
      </c>
      <c r="O2700" s="8" t="s">
        <v>50</v>
      </c>
      <c r="Q2700" s="8" t="s">
        <v>206</v>
      </c>
      <c r="R2700" s="8" t="b">
        <v>1</v>
      </c>
      <c r="S2700" s="8" t="b">
        <v>1</v>
      </c>
      <c r="T2700" s="8" t="b">
        <v>0</v>
      </c>
      <c r="U2700" s="8" t="b">
        <v>0</v>
      </c>
      <c r="V2700" s="8" t="b">
        <v>1</v>
      </c>
      <c r="X2700" s="8" t="b">
        <v>0</v>
      </c>
      <c r="Y2700" s="8" t="b">
        <v>0</v>
      </c>
      <c r="Z2700" s="8" t="b">
        <v>0</v>
      </c>
      <c r="AA2700" s="8" t="b">
        <v>0</v>
      </c>
      <c r="AB2700" s="8" t="b">
        <v>0</v>
      </c>
      <c r="AC2700" s="8" t="b">
        <v>0</v>
      </c>
      <c r="AD2700" s="8" t="b">
        <v>0</v>
      </c>
      <c r="AE2700" s="8" t="b">
        <v>0</v>
      </c>
      <c r="AG2700" s="11" t="b" cm="1">
        <f t="array" ref="AG2700">IF(OR(Y2700:AA2700="TRUE", AE2700="true"), "Threatened")</f>
        <v>0</v>
      </c>
      <c r="AH2700" s="11" t="s">
        <v>6661</v>
      </c>
      <c r="AI2700" s="8" t="b">
        <v>1</v>
      </c>
    </row>
    <row r="2701" spans="1:35" ht="31.2">
      <c r="A2701" s="8">
        <v>-73.960198890000001</v>
      </c>
      <c r="B2701" s="8">
        <v>40.79434732</v>
      </c>
      <c r="C2701" s="8" t="s">
        <v>6662</v>
      </c>
      <c r="D2701" s="8" t="s">
        <v>69</v>
      </c>
      <c r="E2701" s="8" t="b">
        <f t="shared" si="42"/>
        <v>0</v>
      </c>
      <c r="F2701" s="8" t="str" cm="1">
        <f t="array" ref="F2701">_xlfn._xlws.FILTER(E2701:E5899, C2701:C5899= "6D-PM-1020-01", "No Squirrels Found")</f>
        <v>No Squirrels Found</v>
      </c>
      <c r="G2701" s="8" t="s">
        <v>34</v>
      </c>
      <c r="H2701" s="10">
        <v>10132018</v>
      </c>
      <c r="I2701" s="10">
        <v>1</v>
      </c>
      <c r="K2701" s="8" t="s">
        <v>40</v>
      </c>
      <c r="L2701" s="8" t="s">
        <v>41</v>
      </c>
      <c r="M2701" s="8" t="s">
        <v>42</v>
      </c>
      <c r="O2701" s="8" t="s">
        <v>50</v>
      </c>
      <c r="P2701" s="8">
        <v>20</v>
      </c>
      <c r="R2701" s="8" t="b">
        <v>0</v>
      </c>
      <c r="S2701" s="8" t="b">
        <v>0</v>
      </c>
      <c r="T2701" s="8" t="b">
        <v>1</v>
      </c>
      <c r="U2701" s="8" t="b">
        <v>0</v>
      </c>
      <c r="V2701" s="8" t="b">
        <v>1</v>
      </c>
      <c r="X2701" s="8" t="b">
        <v>1</v>
      </c>
      <c r="Y2701" s="8" t="b">
        <v>1</v>
      </c>
      <c r="Z2701" s="8" t="b">
        <v>0</v>
      </c>
      <c r="AA2701" s="8" t="b">
        <v>1</v>
      </c>
      <c r="AB2701" s="8" t="b">
        <v>1</v>
      </c>
      <c r="AC2701" s="8" t="b">
        <v>0</v>
      </c>
      <c r="AD2701" s="8" t="b">
        <v>1</v>
      </c>
      <c r="AE2701" s="8" t="b">
        <v>0</v>
      </c>
      <c r="AG2701" s="11" t="b" cm="1">
        <f t="array" ref="AG2701">IF(OR(Y2701:AA2701="TRUE", AE2701="true"), "Threatened")</f>
        <v>0</v>
      </c>
      <c r="AH2701" s="11" t="s">
        <v>6663</v>
      </c>
      <c r="AI2701" s="8" t="b">
        <v>1</v>
      </c>
    </row>
    <row r="2702" spans="1:35" ht="31.2">
      <c r="A2702" s="8">
        <v>-73.979121750000004</v>
      </c>
      <c r="B2702" s="8">
        <v>40.767658349999998</v>
      </c>
      <c r="C2702" s="8" t="s">
        <v>6664</v>
      </c>
      <c r="D2702" s="8" t="s">
        <v>1235</v>
      </c>
      <c r="E2702" s="8" t="b">
        <f t="shared" si="42"/>
        <v>0</v>
      </c>
      <c r="F2702" s="8" t="str" cm="1">
        <f t="array" ref="F2702">_xlfn._xlws.FILTER(E2702:E5900, C2702:C5900= "6D-PM-1020-01", "No Squirrels Found")</f>
        <v>No Squirrels Found</v>
      </c>
      <c r="G2702" s="8" t="s">
        <v>48</v>
      </c>
      <c r="H2702" s="10">
        <v>10102018</v>
      </c>
      <c r="I2702" s="10">
        <v>5</v>
      </c>
      <c r="J2702" s="8" t="s">
        <v>39</v>
      </c>
      <c r="K2702" s="8" t="s">
        <v>40</v>
      </c>
      <c r="L2702" s="8" t="s">
        <v>84</v>
      </c>
      <c r="M2702" s="8" t="s">
        <v>103</v>
      </c>
      <c r="O2702" s="8" t="s">
        <v>43</v>
      </c>
      <c r="P2702" s="8" t="b">
        <v>0</v>
      </c>
      <c r="Q2702" s="8" t="s">
        <v>6665</v>
      </c>
      <c r="R2702" s="8" t="b">
        <v>0</v>
      </c>
      <c r="S2702" s="8" t="b">
        <v>0</v>
      </c>
      <c r="T2702" s="8" t="b">
        <v>0</v>
      </c>
      <c r="U2702" s="8" t="b">
        <v>1</v>
      </c>
      <c r="V2702" s="8" t="b">
        <v>1</v>
      </c>
      <c r="X2702" s="8" t="b">
        <v>0</v>
      </c>
      <c r="Y2702" s="8" t="b">
        <v>0</v>
      </c>
      <c r="Z2702" s="8" t="b">
        <v>0</v>
      </c>
      <c r="AA2702" s="8" t="b">
        <v>0</v>
      </c>
      <c r="AB2702" s="8" t="b">
        <v>0</v>
      </c>
      <c r="AC2702" s="8" t="b">
        <v>0</v>
      </c>
      <c r="AD2702" s="8" t="b">
        <v>0</v>
      </c>
      <c r="AE2702" s="8" t="b">
        <v>0</v>
      </c>
      <c r="AG2702" s="11" t="b" cm="1">
        <f t="array" ref="AG2702">IF(OR(Y2702:AA2702="TRUE", AE2702="true"), "Threatened")</f>
        <v>0</v>
      </c>
      <c r="AH2702" s="11" t="s">
        <v>6666</v>
      </c>
      <c r="AI2702" s="8" t="b">
        <v>1</v>
      </c>
    </row>
    <row r="2703" spans="1:35" ht="31.2">
      <c r="A2703" s="8">
        <v>-73.958833990000002</v>
      </c>
      <c r="B2703" s="8">
        <v>40.784808490000003</v>
      </c>
      <c r="C2703" s="8" t="s">
        <v>6667</v>
      </c>
      <c r="D2703" s="8" t="s">
        <v>848</v>
      </c>
      <c r="E2703" s="8" t="b">
        <f t="shared" si="42"/>
        <v>0</v>
      </c>
      <c r="F2703" s="8" t="str" cm="1">
        <f t="array" ref="F2703">_xlfn._xlws.FILTER(E2703:E5901, C2703:C5901= "6D-PM-1020-01", "No Squirrels Found")</f>
        <v>No Squirrels Found</v>
      </c>
      <c r="G2703" s="8" t="s">
        <v>34</v>
      </c>
      <c r="H2703" s="10">
        <v>10102018</v>
      </c>
      <c r="I2703" s="10">
        <v>6</v>
      </c>
      <c r="J2703" s="8" t="s">
        <v>39</v>
      </c>
      <c r="K2703" s="8" t="s">
        <v>40</v>
      </c>
      <c r="L2703" s="8" t="s">
        <v>41</v>
      </c>
      <c r="M2703" s="8" t="s">
        <v>42</v>
      </c>
      <c r="O2703" s="8" t="s">
        <v>50</v>
      </c>
      <c r="P2703" s="8">
        <v>35</v>
      </c>
      <c r="Q2703" s="8" t="s">
        <v>206</v>
      </c>
      <c r="R2703" s="8" t="b">
        <v>0</v>
      </c>
      <c r="S2703" s="8" t="b">
        <v>0</v>
      </c>
      <c r="T2703" s="8" t="b">
        <v>1</v>
      </c>
      <c r="U2703" s="8" t="b">
        <v>0</v>
      </c>
      <c r="V2703" s="8" t="b">
        <v>1</v>
      </c>
      <c r="X2703" s="8" t="b">
        <v>0</v>
      </c>
      <c r="Y2703" s="8" t="b">
        <v>0</v>
      </c>
      <c r="Z2703" s="8" t="b">
        <v>0</v>
      </c>
      <c r="AA2703" s="8" t="b">
        <v>0</v>
      </c>
      <c r="AB2703" s="8" t="b">
        <v>1</v>
      </c>
      <c r="AC2703" s="8" t="b">
        <v>0</v>
      </c>
      <c r="AD2703" s="8" t="b">
        <v>1</v>
      </c>
      <c r="AE2703" s="8" t="b">
        <v>0</v>
      </c>
      <c r="AG2703" s="11" t="b" cm="1">
        <f t="array" ref="AG2703">IF(OR(Y2703:AA2703="TRUE", AE2703="true"), "Threatened")</f>
        <v>0</v>
      </c>
      <c r="AH2703" s="11" t="s">
        <v>6668</v>
      </c>
      <c r="AI2703" s="8" t="b">
        <v>1</v>
      </c>
    </row>
    <row r="2704" spans="1:35" ht="31.2">
      <c r="A2704" s="8">
        <v>-73.969017440000002</v>
      </c>
      <c r="B2704" s="8">
        <v>40.781761770000003</v>
      </c>
      <c r="C2704" s="8" t="s">
        <v>6669</v>
      </c>
      <c r="D2704" s="8" t="s">
        <v>319</v>
      </c>
      <c r="E2704" s="8" t="b">
        <f t="shared" si="42"/>
        <v>0</v>
      </c>
      <c r="F2704" s="8" t="str" cm="1">
        <f t="array" ref="F2704">_xlfn._xlws.FILTER(E2704:E5902, C2704:C5902= "6D-PM-1020-01", "No Squirrels Found")</f>
        <v>No Squirrels Found</v>
      </c>
      <c r="G2704" s="8" t="s">
        <v>34</v>
      </c>
      <c r="H2704" s="10">
        <v>10182018</v>
      </c>
      <c r="I2704" s="10">
        <v>5</v>
      </c>
      <c r="J2704" s="8" t="s">
        <v>39</v>
      </c>
      <c r="K2704" s="8" t="s">
        <v>40</v>
      </c>
      <c r="L2704" s="8" t="s">
        <v>41</v>
      </c>
      <c r="M2704" s="8" t="s">
        <v>42</v>
      </c>
      <c r="O2704" s="8" t="s">
        <v>43</v>
      </c>
      <c r="P2704" s="8" t="b">
        <v>0</v>
      </c>
      <c r="R2704" s="8" t="b">
        <v>1</v>
      </c>
      <c r="S2704" s="8" t="b">
        <v>0</v>
      </c>
      <c r="T2704" s="8" t="b">
        <v>0</v>
      </c>
      <c r="U2704" s="8" t="b">
        <v>0</v>
      </c>
      <c r="V2704" s="8" t="b">
        <v>0</v>
      </c>
      <c r="X2704" s="8" t="b">
        <v>0</v>
      </c>
      <c r="Y2704" s="8" t="b">
        <v>0</v>
      </c>
      <c r="Z2704" s="8" t="b">
        <v>0</v>
      </c>
      <c r="AA2704" s="8" t="b">
        <v>0</v>
      </c>
      <c r="AB2704" s="8" t="b">
        <v>0</v>
      </c>
      <c r="AC2704" s="8" t="b">
        <v>1</v>
      </c>
      <c r="AD2704" s="8" t="b">
        <v>0</v>
      </c>
      <c r="AE2704" s="8" t="b">
        <v>0</v>
      </c>
      <c r="AG2704" s="11" t="b" cm="1">
        <f t="array" ref="AG2704">IF(OR(Y2704:AA2704="TRUE", AE2704="true"), "Threatened")</f>
        <v>0</v>
      </c>
      <c r="AH2704" s="11" t="s">
        <v>6670</v>
      </c>
      <c r="AI2704" s="8" t="b">
        <v>1</v>
      </c>
    </row>
    <row r="2705" spans="1:35" ht="31.2">
      <c r="A2705" s="8">
        <v>-73.965776450000007</v>
      </c>
      <c r="B2705" s="8">
        <v>40.781192320000002</v>
      </c>
      <c r="C2705" s="8" t="s">
        <v>6671</v>
      </c>
      <c r="D2705" s="8" t="s">
        <v>574</v>
      </c>
      <c r="E2705" s="8" t="b">
        <f t="shared" si="42"/>
        <v>0</v>
      </c>
      <c r="F2705" s="8" t="str" cm="1">
        <f t="array" ref="F2705">_xlfn._xlws.FILTER(E2705:E5903, C2705:C5903= "6D-PM-1020-01", "No Squirrels Found")</f>
        <v>No Squirrels Found</v>
      </c>
      <c r="G2705" s="8" t="s">
        <v>34</v>
      </c>
      <c r="H2705" s="10">
        <v>10072018</v>
      </c>
      <c r="I2705" s="10">
        <v>10</v>
      </c>
      <c r="J2705" s="8" t="s">
        <v>39</v>
      </c>
      <c r="K2705" s="8" t="s">
        <v>40</v>
      </c>
      <c r="L2705" s="8" t="s">
        <v>84</v>
      </c>
      <c r="M2705" s="8" t="s">
        <v>103</v>
      </c>
      <c r="O2705" s="8" t="s">
        <v>43</v>
      </c>
      <c r="P2705" s="8" t="b">
        <v>0</v>
      </c>
      <c r="R2705" s="8" t="b">
        <v>0</v>
      </c>
      <c r="S2705" s="8" t="b">
        <v>0</v>
      </c>
      <c r="T2705" s="8" t="b">
        <v>0</v>
      </c>
      <c r="U2705" s="8" t="b">
        <v>0</v>
      </c>
      <c r="V2705" s="8" t="b">
        <v>1</v>
      </c>
      <c r="X2705" s="8" t="b">
        <v>0</v>
      </c>
      <c r="Y2705" s="8" t="b">
        <v>0</v>
      </c>
      <c r="Z2705" s="8" t="b">
        <v>0</v>
      </c>
      <c r="AA2705" s="8" t="b">
        <v>0</v>
      </c>
      <c r="AB2705" s="8" t="b">
        <v>0</v>
      </c>
      <c r="AC2705" s="8" t="b">
        <v>0</v>
      </c>
      <c r="AD2705" s="8" t="b">
        <v>1</v>
      </c>
      <c r="AE2705" s="8" t="b">
        <v>0</v>
      </c>
      <c r="AG2705" s="11" t="b" cm="1">
        <f t="array" ref="AG2705">IF(OR(Y2705:AA2705="TRUE", AE2705="true"), "Threatened")</f>
        <v>0</v>
      </c>
      <c r="AH2705" s="11" t="s">
        <v>6672</v>
      </c>
      <c r="AI2705" s="8" t="b">
        <v>1</v>
      </c>
    </row>
    <row r="2706" spans="1:35" ht="31.2">
      <c r="A2706" s="8">
        <v>-73.974896270000002</v>
      </c>
      <c r="B2706" s="8">
        <v>40.767877830000003</v>
      </c>
      <c r="C2706" s="8" t="s">
        <v>6673</v>
      </c>
      <c r="D2706" s="8" t="s">
        <v>914</v>
      </c>
      <c r="E2706" s="8" t="b">
        <f t="shared" si="42"/>
        <v>0</v>
      </c>
      <c r="F2706" s="8" t="str" cm="1">
        <f t="array" ref="F2706">_xlfn._xlws.FILTER(E2706:E5904, C2706:C5904= "6D-PM-1020-01", "No Squirrels Found")</f>
        <v>No Squirrels Found</v>
      </c>
      <c r="G2706" s="8" t="s">
        <v>34</v>
      </c>
      <c r="H2706" s="10">
        <v>10132018</v>
      </c>
      <c r="I2706" s="10">
        <v>2</v>
      </c>
      <c r="J2706" s="8" t="s">
        <v>39</v>
      </c>
      <c r="K2706" s="8" t="s">
        <v>40</v>
      </c>
      <c r="L2706" s="8" t="s">
        <v>1924</v>
      </c>
      <c r="M2706" s="8" t="s">
        <v>1925</v>
      </c>
      <c r="O2706" s="8" t="s">
        <v>43</v>
      </c>
      <c r="P2706" s="8" t="b">
        <v>0</v>
      </c>
      <c r="R2706" s="8" t="b">
        <v>1</v>
      </c>
      <c r="S2706" s="8" t="b">
        <v>0</v>
      </c>
      <c r="T2706" s="8" t="b">
        <v>0</v>
      </c>
      <c r="U2706" s="8" t="b">
        <v>0</v>
      </c>
      <c r="V2706" s="8" t="b">
        <v>0</v>
      </c>
      <c r="X2706" s="8" t="b">
        <v>0</v>
      </c>
      <c r="Y2706" s="8" t="b">
        <v>0</v>
      </c>
      <c r="Z2706" s="8" t="b">
        <v>0</v>
      </c>
      <c r="AA2706" s="8" t="b">
        <v>1</v>
      </c>
      <c r="AB2706" s="8" t="b">
        <v>0</v>
      </c>
      <c r="AC2706" s="8" t="b">
        <v>0</v>
      </c>
      <c r="AD2706" s="8" t="b">
        <v>1</v>
      </c>
      <c r="AE2706" s="8" t="b">
        <v>0</v>
      </c>
      <c r="AG2706" s="11" t="b" cm="1">
        <f t="array" ref="AG2706">IF(OR(Y2706:AA2706="TRUE", AE2706="true"), "Threatened")</f>
        <v>0</v>
      </c>
      <c r="AH2706" s="11" t="s">
        <v>6674</v>
      </c>
      <c r="AI2706" s="8" t="b">
        <v>1</v>
      </c>
    </row>
    <row r="2707" spans="1:35" ht="31.2">
      <c r="A2707" s="8">
        <v>-73.974514119999995</v>
      </c>
      <c r="B2707" s="8">
        <v>40.76914798</v>
      </c>
      <c r="C2707" s="8" t="s">
        <v>6675</v>
      </c>
      <c r="D2707" s="8" t="s">
        <v>259</v>
      </c>
      <c r="E2707" s="8" t="b">
        <f t="shared" si="42"/>
        <v>0</v>
      </c>
      <c r="F2707" s="8" t="str" cm="1">
        <f t="array" ref="F2707">_xlfn._xlws.FILTER(E2707:E5905, C2707:C5905= "6D-PM-1020-01", "No Squirrels Found")</f>
        <v>No Squirrels Found</v>
      </c>
      <c r="G2707" s="8" t="s">
        <v>48</v>
      </c>
      <c r="H2707" s="10">
        <v>10082018</v>
      </c>
      <c r="I2707" s="10">
        <v>1</v>
      </c>
      <c r="J2707" s="8" t="s">
        <v>39</v>
      </c>
      <c r="K2707" s="8" t="s">
        <v>40</v>
      </c>
      <c r="L2707" s="8" t="s">
        <v>84</v>
      </c>
      <c r="M2707" s="8" t="s">
        <v>103</v>
      </c>
      <c r="O2707" s="8" t="s">
        <v>50</v>
      </c>
      <c r="P2707" s="8">
        <v>2</v>
      </c>
      <c r="Q2707" s="8" t="s">
        <v>6676</v>
      </c>
      <c r="R2707" s="8" t="b">
        <v>0</v>
      </c>
      <c r="S2707" s="8" t="b">
        <v>0</v>
      </c>
      <c r="T2707" s="8" t="b">
        <v>0</v>
      </c>
      <c r="U2707" s="8" t="b">
        <v>1</v>
      </c>
      <c r="V2707" s="8" t="b">
        <v>0</v>
      </c>
      <c r="X2707" s="8" t="b">
        <v>0</v>
      </c>
      <c r="Y2707" s="8" t="b">
        <v>0</v>
      </c>
      <c r="Z2707" s="8" t="b">
        <v>0</v>
      </c>
      <c r="AA2707" s="8" t="b">
        <v>0</v>
      </c>
      <c r="AB2707" s="8" t="b">
        <v>0</v>
      </c>
      <c r="AC2707" s="8" t="b">
        <v>0</v>
      </c>
      <c r="AD2707" s="8" t="b">
        <v>1</v>
      </c>
      <c r="AE2707" s="8" t="b">
        <v>0</v>
      </c>
      <c r="AG2707" s="11" t="b" cm="1">
        <f t="array" ref="AG2707">IF(OR(Y2707:AA2707="TRUE", AE2707="true"), "Threatened")</f>
        <v>0</v>
      </c>
      <c r="AH2707" s="11" t="s">
        <v>6677</v>
      </c>
      <c r="AI2707" s="8" t="b">
        <v>1</v>
      </c>
    </row>
    <row r="2708" spans="1:35" ht="31.2">
      <c r="A2708" s="8">
        <v>-73.974316529999996</v>
      </c>
      <c r="B2708" s="8">
        <v>40.775467470000002</v>
      </c>
      <c r="C2708" s="8" t="s">
        <v>6678</v>
      </c>
      <c r="D2708" s="8" t="s">
        <v>268</v>
      </c>
      <c r="E2708" s="8" t="b">
        <f t="shared" si="42"/>
        <v>0</v>
      </c>
      <c r="F2708" s="8" t="str" cm="1">
        <f t="array" ref="F2708">_xlfn._xlws.FILTER(E2708:E5906, C2708:C5906= "6D-PM-1020-01", "No Squirrels Found")</f>
        <v>No Squirrels Found</v>
      </c>
      <c r="G2708" s="8" t="s">
        <v>34</v>
      </c>
      <c r="H2708" s="10">
        <v>10142018</v>
      </c>
      <c r="I2708" s="10">
        <v>7</v>
      </c>
      <c r="K2708" s="8" t="s">
        <v>40</v>
      </c>
      <c r="M2708" s="8" t="s">
        <v>55</v>
      </c>
      <c r="O2708" s="8" t="s">
        <v>50</v>
      </c>
      <c r="P2708" s="8">
        <v>10</v>
      </c>
      <c r="R2708" s="8" t="b">
        <v>1</v>
      </c>
      <c r="S2708" s="8" t="b">
        <v>0</v>
      </c>
      <c r="T2708" s="8" t="b">
        <v>0</v>
      </c>
      <c r="U2708" s="8" t="b">
        <v>1</v>
      </c>
      <c r="V2708" s="8" t="b">
        <v>1</v>
      </c>
      <c r="X2708" s="8" t="b">
        <v>0</v>
      </c>
      <c r="Y2708" s="8" t="b">
        <v>0</v>
      </c>
      <c r="Z2708" s="8" t="b">
        <v>0</v>
      </c>
      <c r="AA2708" s="8" t="b">
        <v>0</v>
      </c>
      <c r="AB2708" s="8" t="b">
        <v>0</v>
      </c>
      <c r="AC2708" s="8" t="b">
        <v>0</v>
      </c>
      <c r="AD2708" s="8" t="b">
        <v>0</v>
      </c>
      <c r="AE2708" s="8" t="b">
        <v>0</v>
      </c>
      <c r="AG2708" s="11" t="b" cm="1">
        <f t="array" ref="AG2708">IF(OR(Y2708:AA2708="TRUE", AE2708="true"), "Threatened")</f>
        <v>0</v>
      </c>
      <c r="AH2708" s="11" t="s">
        <v>6679</v>
      </c>
      <c r="AI2708" s="8" t="b">
        <v>1</v>
      </c>
    </row>
    <row r="2709" spans="1:35" ht="31.2">
      <c r="A2709" s="8">
        <v>-73.952842919999995</v>
      </c>
      <c r="B2709" s="8">
        <v>40.792265180000001</v>
      </c>
      <c r="C2709" s="8" t="s">
        <v>6680</v>
      </c>
      <c r="D2709" s="8" t="s">
        <v>106</v>
      </c>
      <c r="E2709" s="8" t="b">
        <f t="shared" si="42"/>
        <v>0</v>
      </c>
      <c r="F2709" s="8" t="str" cm="1">
        <f t="array" ref="F2709">_xlfn._xlws.FILTER(E2709:E5907, C2709:C5907= "6D-PM-1020-01", "No Squirrels Found")</f>
        <v>No Squirrels Found</v>
      </c>
      <c r="G2709" s="8" t="s">
        <v>34</v>
      </c>
      <c r="H2709" s="10">
        <v>10072018</v>
      </c>
      <c r="I2709" s="10">
        <v>9</v>
      </c>
      <c r="J2709" s="8" t="s">
        <v>54</v>
      </c>
      <c r="K2709" s="8" t="s">
        <v>40</v>
      </c>
      <c r="M2709" s="8" t="s">
        <v>55</v>
      </c>
      <c r="O2709" s="8" t="s">
        <v>50</v>
      </c>
      <c r="P2709" s="8">
        <v>5</v>
      </c>
      <c r="R2709" s="8" t="b">
        <v>1</v>
      </c>
      <c r="S2709" s="8" t="b">
        <v>1</v>
      </c>
      <c r="T2709" s="8" t="b">
        <v>0</v>
      </c>
      <c r="U2709" s="8" t="b">
        <v>0</v>
      </c>
      <c r="V2709" s="8" t="b">
        <v>0</v>
      </c>
      <c r="W2709" s="11" t="s">
        <v>443</v>
      </c>
      <c r="X2709" s="8" t="b">
        <v>0</v>
      </c>
      <c r="Y2709" s="8" t="b">
        <v>0</v>
      </c>
      <c r="Z2709" s="8" t="b">
        <v>0</v>
      </c>
      <c r="AA2709" s="8" t="b">
        <v>0</v>
      </c>
      <c r="AB2709" s="8" t="b">
        <v>1</v>
      </c>
      <c r="AC2709" s="8" t="b">
        <v>0</v>
      </c>
      <c r="AD2709" s="8" t="b">
        <v>0</v>
      </c>
      <c r="AE2709" s="8" t="b">
        <v>0</v>
      </c>
      <c r="AG2709" s="11" t="b" cm="1">
        <f t="array" ref="AG2709">IF(OR(Y2709:AA2709="TRUE", AE2709="true"), "Threatened")</f>
        <v>0</v>
      </c>
      <c r="AH2709" s="11" t="s">
        <v>6681</v>
      </c>
      <c r="AI2709" s="8" t="b">
        <v>0</v>
      </c>
    </row>
    <row r="2710" spans="1:35" ht="31.2">
      <c r="A2710" s="8">
        <v>-73.977506890000001</v>
      </c>
      <c r="B2710" s="8">
        <v>40.766442439999999</v>
      </c>
      <c r="C2710" s="8" t="s">
        <v>6682</v>
      </c>
      <c r="D2710" s="8" t="s">
        <v>2590</v>
      </c>
      <c r="E2710" s="8" t="b">
        <f t="shared" si="42"/>
        <v>0</v>
      </c>
      <c r="F2710" s="8" t="str" cm="1">
        <f t="array" ref="F2710">_xlfn._xlws.FILTER(E2710:E5908, C2710:C5908= "6D-PM-1020-01", "No Squirrels Found")</f>
        <v>No Squirrels Found</v>
      </c>
      <c r="G2710" s="8" t="s">
        <v>48</v>
      </c>
      <c r="H2710" s="10">
        <v>10062018</v>
      </c>
      <c r="I2710" s="10">
        <v>1</v>
      </c>
      <c r="J2710" s="8" t="s">
        <v>39</v>
      </c>
      <c r="K2710" s="8" t="s">
        <v>40</v>
      </c>
      <c r="L2710" s="8" t="s">
        <v>41</v>
      </c>
      <c r="M2710" s="8" t="s">
        <v>42</v>
      </c>
      <c r="O2710" s="8" t="s">
        <v>43</v>
      </c>
      <c r="P2710" s="8" t="b">
        <v>0</v>
      </c>
      <c r="R2710" s="8" t="b">
        <v>0</v>
      </c>
      <c r="S2710" s="8" t="b">
        <v>0</v>
      </c>
      <c r="T2710" s="8" t="b">
        <v>0</v>
      </c>
      <c r="U2710" s="8" t="b">
        <v>0</v>
      </c>
      <c r="V2710" s="8" t="b">
        <v>1</v>
      </c>
      <c r="X2710" s="8" t="b">
        <v>0</v>
      </c>
      <c r="Y2710" s="8" t="b">
        <v>0</v>
      </c>
      <c r="Z2710" s="8" t="b">
        <v>0</v>
      </c>
      <c r="AA2710" s="8" t="b">
        <v>0</v>
      </c>
      <c r="AB2710" s="8" t="b">
        <v>0</v>
      </c>
      <c r="AC2710" s="8" t="b">
        <v>0</v>
      </c>
      <c r="AD2710" s="8" t="b">
        <v>1</v>
      </c>
      <c r="AE2710" s="8" t="b">
        <v>0</v>
      </c>
      <c r="AG2710" s="11" t="b" cm="1">
        <f t="array" ref="AG2710">IF(OR(Y2710:AA2710="TRUE", AE2710="true"), "Threatened")</f>
        <v>0</v>
      </c>
      <c r="AH2710" s="11" t="s">
        <v>6683</v>
      </c>
      <c r="AI2710" s="8" t="b">
        <v>1</v>
      </c>
    </row>
    <row r="2711" spans="1:35" ht="31.2">
      <c r="A2711" s="8">
        <v>-73.957791940000007</v>
      </c>
      <c r="B2711" s="8">
        <v>40.796085329999997</v>
      </c>
      <c r="C2711" s="8" t="s">
        <v>6684</v>
      </c>
      <c r="D2711" s="8" t="s">
        <v>191</v>
      </c>
      <c r="E2711" s="8" t="b">
        <f t="shared" si="42"/>
        <v>0</v>
      </c>
      <c r="F2711" s="8" t="str" cm="1">
        <f t="array" ref="F2711">_xlfn._xlws.FILTER(E2711:E5909, C2711:C5909= "6D-PM-1020-01", "No Squirrels Found")</f>
        <v>No Squirrels Found</v>
      </c>
      <c r="G2711" s="8" t="s">
        <v>34</v>
      </c>
      <c r="H2711" s="10">
        <v>10142018</v>
      </c>
      <c r="I2711" s="10">
        <v>8</v>
      </c>
      <c r="J2711" s="8" t="s">
        <v>39</v>
      </c>
      <c r="K2711" s="8" t="s">
        <v>40</v>
      </c>
      <c r="L2711" s="8" t="s">
        <v>41</v>
      </c>
      <c r="M2711" s="8" t="s">
        <v>42</v>
      </c>
      <c r="O2711" s="8" t="s">
        <v>43</v>
      </c>
      <c r="P2711" s="8" t="b">
        <v>0</v>
      </c>
      <c r="R2711" s="8" t="b">
        <v>1</v>
      </c>
      <c r="S2711" s="8" t="b">
        <v>0</v>
      </c>
      <c r="T2711" s="8" t="b">
        <v>0</v>
      </c>
      <c r="U2711" s="8" t="b">
        <v>0</v>
      </c>
      <c r="V2711" s="8" t="b">
        <v>1</v>
      </c>
      <c r="X2711" s="8" t="b">
        <v>1</v>
      </c>
      <c r="Y2711" s="8" t="b">
        <v>0</v>
      </c>
      <c r="Z2711" s="8" t="b">
        <v>0</v>
      </c>
      <c r="AA2711" s="8" t="b">
        <v>0</v>
      </c>
      <c r="AB2711" s="8" t="b">
        <v>0</v>
      </c>
      <c r="AC2711" s="8" t="b">
        <v>0</v>
      </c>
      <c r="AD2711" s="8" t="b">
        <v>0</v>
      </c>
      <c r="AE2711" s="8" t="b">
        <v>1</v>
      </c>
      <c r="AG2711" s="11" t="b" cm="1">
        <f t="array" ref="AG2711">IF(OR(Y2711:AA2711="TRUE", AE2711="true"), "Threatened")</f>
        <v>0</v>
      </c>
      <c r="AH2711" s="11" t="s">
        <v>6685</v>
      </c>
      <c r="AI2711" s="8" t="b">
        <v>1</v>
      </c>
    </row>
    <row r="2712" spans="1:35" ht="31.2">
      <c r="A2712" s="8">
        <v>-73.962884299999999</v>
      </c>
      <c r="B2712" s="8">
        <v>40.793804860000002</v>
      </c>
      <c r="C2712" s="8" t="s">
        <v>6686</v>
      </c>
      <c r="D2712" s="8" t="s">
        <v>2657</v>
      </c>
      <c r="E2712" s="8" t="b">
        <f t="shared" si="42"/>
        <v>0</v>
      </c>
      <c r="F2712" s="8" t="str" cm="1">
        <f t="array" ref="F2712">_xlfn._xlws.FILTER(E2712:E5910, C2712:C5910= "6D-PM-1020-01", "No Squirrels Found")</f>
        <v>No Squirrels Found</v>
      </c>
      <c r="G2712" s="8" t="s">
        <v>34</v>
      </c>
      <c r="H2712" s="10">
        <v>10132018</v>
      </c>
      <c r="I2712" s="10">
        <v>1</v>
      </c>
      <c r="J2712" s="8" t="s">
        <v>39</v>
      </c>
      <c r="K2712" s="8" t="s">
        <v>40</v>
      </c>
      <c r="L2712" s="8" t="s">
        <v>41</v>
      </c>
      <c r="M2712" s="8" t="s">
        <v>42</v>
      </c>
      <c r="O2712" s="8" t="s">
        <v>43</v>
      </c>
      <c r="P2712" s="8" t="b">
        <v>0</v>
      </c>
      <c r="R2712" s="8" t="b">
        <v>0</v>
      </c>
      <c r="S2712" s="8" t="b">
        <v>0</v>
      </c>
      <c r="T2712" s="8" t="b">
        <v>0</v>
      </c>
      <c r="U2712" s="8" t="b">
        <v>1</v>
      </c>
      <c r="V2712" s="8" t="b">
        <v>1</v>
      </c>
      <c r="W2712" s="11" t="s">
        <v>6687</v>
      </c>
      <c r="X2712" s="8" t="b">
        <v>0</v>
      </c>
      <c r="Y2712" s="8" t="b">
        <v>0</v>
      </c>
      <c r="Z2712" s="8" t="b">
        <v>0</v>
      </c>
      <c r="AA2712" s="8" t="b">
        <v>0</v>
      </c>
      <c r="AB2712" s="8" t="b">
        <v>0</v>
      </c>
      <c r="AC2712" s="8" t="b">
        <v>0</v>
      </c>
      <c r="AD2712" s="8" t="b">
        <v>0</v>
      </c>
      <c r="AE2712" s="8" t="b">
        <v>0</v>
      </c>
      <c r="AG2712" s="11" t="b" cm="1">
        <f t="array" ref="AG2712">IF(OR(Y2712:AA2712="TRUE", AE2712="true"), "Threatened")</f>
        <v>0</v>
      </c>
      <c r="AH2712" s="11" t="s">
        <v>6688</v>
      </c>
      <c r="AI2712" s="8" t="b">
        <v>0</v>
      </c>
    </row>
    <row r="2713" spans="1:35" ht="31.2">
      <c r="A2713" s="8">
        <v>-73.968276090000003</v>
      </c>
      <c r="B2713" s="8">
        <v>40.778072760000001</v>
      </c>
      <c r="C2713" s="8" t="s">
        <v>6689</v>
      </c>
      <c r="D2713" s="8" t="s">
        <v>271</v>
      </c>
      <c r="E2713" s="8" t="b">
        <f t="shared" si="42"/>
        <v>0</v>
      </c>
      <c r="F2713" s="8" t="str" cm="1">
        <f t="array" ref="F2713">_xlfn._xlws.FILTER(E2713:E5911, C2713:C5911= "6D-PM-1020-01", "No Squirrels Found")</f>
        <v>No Squirrels Found</v>
      </c>
      <c r="G2713" s="8" t="s">
        <v>34</v>
      </c>
      <c r="H2713" s="10">
        <v>10182018</v>
      </c>
      <c r="I2713" s="10">
        <v>4</v>
      </c>
      <c r="J2713" s="8" t="s">
        <v>39</v>
      </c>
      <c r="K2713" s="8" t="s">
        <v>40</v>
      </c>
      <c r="M2713" s="8" t="s">
        <v>55</v>
      </c>
      <c r="O2713" s="8" t="s">
        <v>43</v>
      </c>
      <c r="P2713" s="8" t="b">
        <v>0</v>
      </c>
      <c r="R2713" s="8" t="b">
        <v>0</v>
      </c>
      <c r="S2713" s="8" t="b">
        <v>0</v>
      </c>
      <c r="T2713" s="8" t="b">
        <v>0</v>
      </c>
      <c r="U2713" s="8" t="b">
        <v>0</v>
      </c>
      <c r="V2713" s="8" t="b">
        <v>1</v>
      </c>
      <c r="X2713" s="8" t="b">
        <v>1</v>
      </c>
      <c r="Y2713" s="8" t="b">
        <v>0</v>
      </c>
      <c r="Z2713" s="8" t="b">
        <v>0</v>
      </c>
      <c r="AA2713" s="8" t="b">
        <v>0</v>
      </c>
      <c r="AB2713" s="8" t="b">
        <v>0</v>
      </c>
      <c r="AC2713" s="8" t="b">
        <v>0</v>
      </c>
      <c r="AD2713" s="8" t="b">
        <v>1</v>
      </c>
      <c r="AE2713" s="8" t="b">
        <v>0</v>
      </c>
      <c r="AG2713" s="11" t="b" cm="1">
        <f t="array" ref="AG2713">IF(OR(Y2713:AA2713="TRUE", AE2713="true"), "Threatened")</f>
        <v>0</v>
      </c>
      <c r="AH2713" s="11" t="s">
        <v>6690</v>
      </c>
      <c r="AI2713" s="8" t="b">
        <v>1</v>
      </c>
    </row>
    <row r="2714" spans="1:35" ht="31.2">
      <c r="A2714" s="8">
        <v>-73.968721470000006</v>
      </c>
      <c r="B2714" s="8">
        <v>40.779284169999997</v>
      </c>
      <c r="C2714" s="8" t="s">
        <v>6691</v>
      </c>
      <c r="D2714" s="8" t="s">
        <v>1996</v>
      </c>
      <c r="E2714" s="8" t="b">
        <f t="shared" si="42"/>
        <v>0</v>
      </c>
      <c r="F2714" s="8" t="str" cm="1">
        <f t="array" ref="F2714">_xlfn._xlws.FILTER(E2714:E5912, C2714:C5912= "6D-PM-1020-01", "No Squirrels Found")</f>
        <v>No Squirrels Found</v>
      </c>
      <c r="G2714" s="8" t="s">
        <v>48</v>
      </c>
      <c r="H2714" s="10">
        <v>10082018</v>
      </c>
      <c r="I2714" s="10">
        <v>7</v>
      </c>
      <c r="J2714" s="8" t="s">
        <v>39</v>
      </c>
      <c r="K2714" s="8" t="s">
        <v>40</v>
      </c>
      <c r="L2714" s="8" t="s">
        <v>84</v>
      </c>
      <c r="M2714" s="8" t="s">
        <v>103</v>
      </c>
      <c r="O2714" s="8" t="s">
        <v>43</v>
      </c>
      <c r="P2714" s="8" t="b">
        <v>0</v>
      </c>
      <c r="R2714" s="8" t="b">
        <v>1</v>
      </c>
      <c r="S2714" s="8" t="b">
        <v>0</v>
      </c>
      <c r="T2714" s="8" t="b">
        <v>0</v>
      </c>
      <c r="U2714" s="8" t="b">
        <v>0</v>
      </c>
      <c r="V2714" s="8" t="b">
        <v>0</v>
      </c>
      <c r="X2714" s="8" t="b">
        <v>0</v>
      </c>
      <c r="Y2714" s="8" t="b">
        <v>0</v>
      </c>
      <c r="Z2714" s="8" t="b">
        <v>0</v>
      </c>
      <c r="AA2714" s="8" t="b">
        <v>0</v>
      </c>
      <c r="AB2714" s="8" t="b">
        <v>0</v>
      </c>
      <c r="AC2714" s="8" t="b">
        <v>0</v>
      </c>
      <c r="AD2714" s="8" t="b">
        <v>1</v>
      </c>
      <c r="AE2714" s="8" t="b">
        <v>0</v>
      </c>
      <c r="AG2714" s="11" t="b" cm="1">
        <f t="array" ref="AG2714">IF(OR(Y2714:AA2714="TRUE", AE2714="true"), "Threatened")</f>
        <v>0</v>
      </c>
      <c r="AH2714" s="11" t="s">
        <v>6692</v>
      </c>
      <c r="AI2714" s="8" t="b">
        <v>1</v>
      </c>
    </row>
    <row r="2715" spans="1:35" ht="31.2">
      <c r="A2715" s="8">
        <v>-73.960073899999998</v>
      </c>
      <c r="B2715" s="8">
        <v>40.793832879999997</v>
      </c>
      <c r="C2715" s="8" t="s">
        <v>6693</v>
      </c>
      <c r="D2715" s="8" t="s">
        <v>69</v>
      </c>
      <c r="E2715" s="8" t="b">
        <f t="shared" si="42"/>
        <v>0</v>
      </c>
      <c r="F2715" s="8" t="str" cm="1">
        <f t="array" ref="F2715">_xlfn._xlws.FILTER(E2715:E5913, C2715:C5913= "6D-PM-1020-01", "No Squirrels Found")</f>
        <v>No Squirrels Found</v>
      </c>
      <c r="G2715" s="8" t="s">
        <v>34</v>
      </c>
      <c r="H2715" s="10">
        <v>10132018</v>
      </c>
      <c r="I2715" s="10">
        <v>8</v>
      </c>
      <c r="M2715" s="8" t="s">
        <v>35</v>
      </c>
      <c r="R2715" s="8" t="b">
        <v>0</v>
      </c>
      <c r="S2715" s="8" t="b">
        <v>0</v>
      </c>
      <c r="T2715" s="8" t="b">
        <v>0</v>
      </c>
      <c r="U2715" s="8" t="b">
        <v>0</v>
      </c>
      <c r="V2715" s="8" t="b">
        <v>0</v>
      </c>
      <c r="X2715" s="8" t="b">
        <v>1</v>
      </c>
      <c r="Y2715" s="8" t="b">
        <v>0</v>
      </c>
      <c r="Z2715" s="8" t="b">
        <v>0</v>
      </c>
      <c r="AA2715" s="8" t="b">
        <v>0</v>
      </c>
      <c r="AB2715" s="8" t="b">
        <v>0</v>
      </c>
      <c r="AC2715" s="8" t="b">
        <v>0</v>
      </c>
      <c r="AD2715" s="8" t="b">
        <v>0</v>
      </c>
      <c r="AE2715" s="8" t="b">
        <v>0</v>
      </c>
      <c r="AF2715" s="11" t="s">
        <v>6694</v>
      </c>
      <c r="AG2715" s="11" t="b" cm="1">
        <f t="array" ref="AG2715">IF(OR(Y2715:AA2715="TRUE", AE2715="true"), "Threatened")</f>
        <v>0</v>
      </c>
      <c r="AH2715" s="11" t="s">
        <v>6695</v>
      </c>
      <c r="AI2715" s="8" t="b">
        <v>1</v>
      </c>
    </row>
    <row r="2716" spans="1:35" ht="31.2">
      <c r="A2716" s="8">
        <v>-73.971027309999997</v>
      </c>
      <c r="B2716" s="8">
        <v>40.776652120000001</v>
      </c>
      <c r="C2716" s="8" t="s">
        <v>6696</v>
      </c>
      <c r="D2716" s="8" t="s">
        <v>741</v>
      </c>
      <c r="E2716" s="8" t="b">
        <f t="shared" si="42"/>
        <v>0</v>
      </c>
      <c r="F2716" s="8" t="str" cm="1">
        <f t="array" ref="F2716">_xlfn._xlws.FILTER(E2716:E5914, C2716:C5914= "6D-PM-1020-01", "No Squirrels Found")</f>
        <v>No Squirrels Found</v>
      </c>
      <c r="G2716" s="8" t="s">
        <v>34</v>
      </c>
      <c r="H2716" s="10">
        <v>10192018</v>
      </c>
      <c r="I2716" s="10">
        <v>16</v>
      </c>
      <c r="J2716" s="8" t="s">
        <v>39</v>
      </c>
      <c r="K2716" s="8" t="s">
        <v>40</v>
      </c>
      <c r="L2716" s="8" t="s">
        <v>41</v>
      </c>
      <c r="M2716" s="8" t="s">
        <v>42</v>
      </c>
      <c r="O2716" s="8" t="s">
        <v>43</v>
      </c>
      <c r="P2716" s="8" t="b">
        <v>0</v>
      </c>
      <c r="R2716" s="8" t="b">
        <v>1</v>
      </c>
      <c r="S2716" s="8" t="b">
        <v>0</v>
      </c>
      <c r="T2716" s="8" t="b">
        <v>0</v>
      </c>
      <c r="U2716" s="8" t="b">
        <v>0</v>
      </c>
      <c r="V2716" s="8" t="b">
        <v>0</v>
      </c>
      <c r="X2716" s="8" t="b">
        <v>0</v>
      </c>
      <c r="Y2716" s="8" t="b">
        <v>0</v>
      </c>
      <c r="Z2716" s="8" t="b">
        <v>0</v>
      </c>
      <c r="AA2716" s="8" t="b">
        <v>0</v>
      </c>
      <c r="AB2716" s="8" t="b">
        <v>0</v>
      </c>
      <c r="AC2716" s="8" t="b">
        <v>0</v>
      </c>
      <c r="AD2716" s="8" t="b">
        <v>0</v>
      </c>
      <c r="AE2716" s="8" t="b">
        <v>0</v>
      </c>
      <c r="AG2716" s="11" t="b" cm="1">
        <f t="array" ref="AG2716">IF(OR(Y2716:AA2716="TRUE", AE2716="true"), "Threatened")</f>
        <v>0</v>
      </c>
      <c r="AH2716" s="11" t="s">
        <v>6697</v>
      </c>
      <c r="AI2716" s="8" t="b">
        <v>1</v>
      </c>
    </row>
    <row r="2717" spans="1:35" ht="31.2">
      <c r="A2717" s="8">
        <v>-73.961809410000001</v>
      </c>
      <c r="B2717" s="8">
        <v>40.794409739999999</v>
      </c>
      <c r="C2717" s="8" t="s">
        <v>6698</v>
      </c>
      <c r="D2717" s="8" t="s">
        <v>301</v>
      </c>
      <c r="E2717" s="8" t="b">
        <f t="shared" si="42"/>
        <v>0</v>
      </c>
      <c r="F2717" s="8" t="str" cm="1">
        <f t="array" ref="F2717">_xlfn._xlws.FILTER(E2717:E5915, C2717:C5915= "6D-PM-1020-01", "No Squirrels Found")</f>
        <v>No Squirrels Found</v>
      </c>
      <c r="G2717" s="8" t="s">
        <v>34</v>
      </c>
      <c r="H2717" s="10">
        <v>10132018</v>
      </c>
      <c r="I2717" s="10">
        <v>3</v>
      </c>
      <c r="J2717" s="8" t="s">
        <v>39</v>
      </c>
      <c r="K2717" s="8" t="s">
        <v>40</v>
      </c>
      <c r="L2717" s="8" t="s">
        <v>84</v>
      </c>
      <c r="M2717" s="8" t="s">
        <v>103</v>
      </c>
      <c r="O2717" s="8" t="s">
        <v>43</v>
      </c>
      <c r="P2717" s="8" t="b">
        <v>0</v>
      </c>
      <c r="R2717" s="8" t="b">
        <v>1</v>
      </c>
      <c r="S2717" s="8" t="b">
        <v>0</v>
      </c>
      <c r="T2717" s="8" t="b">
        <v>0</v>
      </c>
      <c r="U2717" s="8" t="b">
        <v>1</v>
      </c>
      <c r="V2717" s="8" t="b">
        <v>1</v>
      </c>
      <c r="X2717" s="8" t="b">
        <v>0</v>
      </c>
      <c r="Y2717" s="8" t="b">
        <v>0</v>
      </c>
      <c r="Z2717" s="8" t="b">
        <v>0</v>
      </c>
      <c r="AA2717" s="8" t="b">
        <v>0</v>
      </c>
      <c r="AB2717" s="8" t="b">
        <v>0</v>
      </c>
      <c r="AC2717" s="8" t="b">
        <v>0</v>
      </c>
      <c r="AD2717" s="8" t="b">
        <v>0</v>
      </c>
      <c r="AE2717" s="8" t="b">
        <v>1</v>
      </c>
      <c r="AG2717" s="11" t="b" cm="1">
        <f t="array" ref="AG2717">IF(OR(Y2717:AA2717="TRUE", AE2717="true"), "Threatened")</f>
        <v>0</v>
      </c>
      <c r="AH2717" s="11" t="s">
        <v>6699</v>
      </c>
      <c r="AI2717" s="8" t="b">
        <v>1</v>
      </c>
    </row>
    <row r="2718" spans="1:35" ht="31.2">
      <c r="A2718" s="8">
        <v>-73.963223850000006</v>
      </c>
      <c r="B2718" s="8">
        <v>40.792032900000002</v>
      </c>
      <c r="C2718" s="8" t="s">
        <v>6700</v>
      </c>
      <c r="D2718" s="8" t="s">
        <v>785</v>
      </c>
      <c r="E2718" s="8" t="b">
        <f t="shared" si="42"/>
        <v>0</v>
      </c>
      <c r="F2718" s="8" t="str" cm="1">
        <f t="array" ref="F2718">_xlfn._xlws.FILTER(E2718:E5916, C2718:C5916= "6D-PM-1020-01", "No Squirrels Found")</f>
        <v>No Squirrels Found</v>
      </c>
      <c r="G2718" s="8" t="s">
        <v>34</v>
      </c>
      <c r="H2718" s="10">
        <v>10102018</v>
      </c>
      <c r="I2718" s="10">
        <v>2</v>
      </c>
      <c r="J2718" s="8" t="s">
        <v>39</v>
      </c>
      <c r="K2718" s="8" t="s">
        <v>40</v>
      </c>
      <c r="M2718" s="8" t="s">
        <v>55</v>
      </c>
      <c r="O2718" s="8" t="s">
        <v>43</v>
      </c>
      <c r="P2718" s="8" t="b">
        <v>0</v>
      </c>
      <c r="R2718" s="8" t="b">
        <v>0</v>
      </c>
      <c r="S2718" s="8" t="b">
        <v>0</v>
      </c>
      <c r="T2718" s="8" t="b">
        <v>0</v>
      </c>
      <c r="U2718" s="8" t="b">
        <v>0</v>
      </c>
      <c r="V2718" s="8" t="b">
        <v>1</v>
      </c>
      <c r="X2718" s="8" t="b">
        <v>0</v>
      </c>
      <c r="Y2718" s="8" t="b">
        <v>0</v>
      </c>
      <c r="Z2718" s="8" t="b">
        <v>0</v>
      </c>
      <c r="AA2718" s="8" t="b">
        <v>0</v>
      </c>
      <c r="AB2718" s="8" t="b">
        <v>0</v>
      </c>
      <c r="AC2718" s="8" t="b">
        <v>0</v>
      </c>
      <c r="AD2718" s="8" t="b">
        <v>1</v>
      </c>
      <c r="AE2718" s="8" t="b">
        <v>0</v>
      </c>
      <c r="AG2718" s="11" t="b" cm="1">
        <f t="array" ref="AG2718">IF(OR(Y2718:AA2718="TRUE", AE2718="true"), "Threatened")</f>
        <v>0</v>
      </c>
      <c r="AH2718" s="11" t="s">
        <v>6701</v>
      </c>
      <c r="AI2718" s="8" t="b">
        <v>1</v>
      </c>
    </row>
    <row r="2719" spans="1:35" ht="31.2">
      <c r="A2719" s="8">
        <v>-73.953058780000006</v>
      </c>
      <c r="B2719" s="8">
        <v>40.791908730000003</v>
      </c>
      <c r="C2719" s="8" t="s">
        <v>6702</v>
      </c>
      <c r="D2719" s="8" t="s">
        <v>106</v>
      </c>
      <c r="E2719" s="8" t="b">
        <f t="shared" si="42"/>
        <v>0</v>
      </c>
      <c r="F2719" s="8" t="str" cm="1">
        <f t="array" ref="F2719">_xlfn._xlws.FILTER(E2719:E5917, C2719:C5917= "6D-PM-1020-01", "No Squirrels Found")</f>
        <v>No Squirrels Found</v>
      </c>
      <c r="G2719" s="8" t="s">
        <v>34</v>
      </c>
      <c r="H2719" s="10">
        <v>10072018</v>
      </c>
      <c r="I2719" s="10">
        <v>3</v>
      </c>
      <c r="J2719" s="8" t="s">
        <v>39</v>
      </c>
      <c r="K2719" s="8" t="s">
        <v>40</v>
      </c>
      <c r="M2719" s="8" t="s">
        <v>55</v>
      </c>
      <c r="O2719" s="8" t="s">
        <v>43</v>
      </c>
      <c r="P2719" s="8" t="b">
        <v>0</v>
      </c>
      <c r="R2719" s="8" t="b">
        <v>0</v>
      </c>
      <c r="S2719" s="8" t="b">
        <v>0</v>
      </c>
      <c r="T2719" s="8" t="b">
        <v>0</v>
      </c>
      <c r="U2719" s="8" t="b">
        <v>0</v>
      </c>
      <c r="V2719" s="8" t="b">
        <v>1</v>
      </c>
      <c r="X2719" s="8" t="b">
        <v>0</v>
      </c>
      <c r="Y2719" s="8" t="b">
        <v>0</v>
      </c>
      <c r="Z2719" s="8" t="b">
        <v>0</v>
      </c>
      <c r="AA2719" s="8" t="b">
        <v>0</v>
      </c>
      <c r="AB2719" s="8" t="b">
        <v>0</v>
      </c>
      <c r="AC2719" s="8" t="b">
        <v>0</v>
      </c>
      <c r="AD2719" s="8" t="b">
        <v>0</v>
      </c>
      <c r="AE2719" s="8" t="b">
        <v>0</v>
      </c>
      <c r="AG2719" s="11" t="b" cm="1">
        <f t="array" ref="AG2719">IF(OR(Y2719:AA2719="TRUE", AE2719="true"), "Threatened")</f>
        <v>0</v>
      </c>
      <c r="AH2719" s="11" t="s">
        <v>6703</v>
      </c>
      <c r="AI2719" s="8" t="b">
        <v>1</v>
      </c>
    </row>
    <row r="2720" spans="1:35" ht="31.2">
      <c r="A2720" s="8">
        <v>-73.973425930000005</v>
      </c>
      <c r="B2720" s="8">
        <v>40.778192990000001</v>
      </c>
      <c r="C2720" s="8" t="s">
        <v>6704</v>
      </c>
      <c r="D2720" s="8" t="s">
        <v>1764</v>
      </c>
      <c r="E2720" s="8" t="b">
        <f t="shared" si="42"/>
        <v>0</v>
      </c>
      <c r="F2720" s="8" t="str" cm="1">
        <f t="array" ref="F2720">_xlfn._xlws.FILTER(E2720:E5918, C2720:C5918= "6D-PM-1020-01", "No Squirrels Found")</f>
        <v>No Squirrels Found</v>
      </c>
      <c r="G2720" s="8" t="s">
        <v>48</v>
      </c>
      <c r="H2720" s="10">
        <v>10072018</v>
      </c>
      <c r="I2720" s="10">
        <v>3</v>
      </c>
      <c r="J2720" s="8" t="s">
        <v>39</v>
      </c>
      <c r="K2720" s="8" t="s">
        <v>40</v>
      </c>
      <c r="M2720" s="8" t="s">
        <v>55</v>
      </c>
      <c r="R2720" s="8" t="b">
        <v>0</v>
      </c>
      <c r="S2720" s="8" t="b">
        <v>0</v>
      </c>
      <c r="T2720" s="8" t="b">
        <v>0</v>
      </c>
      <c r="U2720" s="8" t="b">
        <v>0</v>
      </c>
      <c r="V2720" s="8" t="b">
        <v>0</v>
      </c>
      <c r="X2720" s="8" t="b">
        <v>0</v>
      </c>
      <c r="Y2720" s="8" t="b">
        <v>0</v>
      </c>
      <c r="Z2720" s="8" t="b">
        <v>0</v>
      </c>
      <c r="AA2720" s="8" t="b">
        <v>0</v>
      </c>
      <c r="AB2720" s="8" t="b">
        <v>0</v>
      </c>
      <c r="AC2720" s="8" t="b">
        <v>0</v>
      </c>
      <c r="AD2720" s="8" t="b">
        <v>0</v>
      </c>
      <c r="AE2720" s="8" t="b">
        <v>0</v>
      </c>
      <c r="AG2720" s="11" t="b" cm="1">
        <f t="array" ref="AG2720">IF(OR(Y2720:AA2720="TRUE", AE2720="true"), "Threatened")</f>
        <v>0</v>
      </c>
      <c r="AH2720" s="11" t="s">
        <v>6705</v>
      </c>
      <c r="AI2720" s="8" t="b">
        <v>1</v>
      </c>
    </row>
    <row r="2721" spans="1:35" ht="31.2">
      <c r="A2721" s="8">
        <v>-73.956630079999996</v>
      </c>
      <c r="B2721" s="8">
        <v>40.799369210000002</v>
      </c>
      <c r="C2721" s="8" t="s">
        <v>6706</v>
      </c>
      <c r="D2721" s="8" t="s">
        <v>350</v>
      </c>
      <c r="E2721" s="8" t="b">
        <f t="shared" si="42"/>
        <v>0</v>
      </c>
      <c r="F2721" s="8" t="str" cm="1">
        <f t="array" ref="F2721">_xlfn._xlws.FILTER(E2721:E5919, C2721:C5919= "6D-PM-1020-01", "No Squirrels Found")</f>
        <v>No Squirrels Found</v>
      </c>
      <c r="G2721" s="8" t="s">
        <v>34</v>
      </c>
      <c r="H2721" s="10">
        <v>10132018</v>
      </c>
      <c r="I2721" s="10">
        <v>6</v>
      </c>
      <c r="J2721" s="8" t="s">
        <v>39</v>
      </c>
      <c r="K2721" s="8" t="s">
        <v>40</v>
      </c>
      <c r="L2721" s="8" t="s">
        <v>41</v>
      </c>
      <c r="M2721" s="8" t="s">
        <v>42</v>
      </c>
      <c r="O2721" s="8" t="s">
        <v>43</v>
      </c>
      <c r="P2721" s="8" t="b">
        <v>0</v>
      </c>
      <c r="Q2721" s="8" t="s">
        <v>6707</v>
      </c>
      <c r="R2721" s="8" t="b">
        <v>0</v>
      </c>
      <c r="S2721" s="8" t="b">
        <v>0</v>
      </c>
      <c r="T2721" s="8" t="b">
        <v>1</v>
      </c>
      <c r="U2721" s="8" t="b">
        <v>1</v>
      </c>
      <c r="V2721" s="8" t="b">
        <v>0</v>
      </c>
      <c r="X2721" s="8" t="b">
        <v>0</v>
      </c>
      <c r="Y2721" s="8" t="b">
        <v>0</v>
      </c>
      <c r="Z2721" s="8" t="b">
        <v>0</v>
      </c>
      <c r="AA2721" s="8" t="b">
        <v>0</v>
      </c>
      <c r="AB2721" s="8" t="b">
        <v>0</v>
      </c>
      <c r="AC2721" s="8" t="b">
        <v>0</v>
      </c>
      <c r="AD2721" s="8" t="b">
        <v>1</v>
      </c>
      <c r="AE2721" s="8" t="b">
        <v>1</v>
      </c>
      <c r="AG2721" s="11" t="b" cm="1">
        <f t="array" ref="AG2721">IF(OR(Y2721:AA2721="TRUE", AE2721="true"), "Threatened")</f>
        <v>0</v>
      </c>
      <c r="AH2721" s="11" t="s">
        <v>6708</v>
      </c>
      <c r="AI2721" s="8" t="b">
        <v>1</v>
      </c>
    </row>
    <row r="2722" spans="1:35" ht="31.2">
      <c r="A2722" s="8">
        <v>-73.955192339999996</v>
      </c>
      <c r="B2722" s="8">
        <v>40.796830270000001</v>
      </c>
      <c r="C2722" s="8" t="s">
        <v>6709</v>
      </c>
      <c r="D2722" s="8" t="s">
        <v>636</v>
      </c>
      <c r="E2722" s="8" t="b">
        <f t="shared" si="42"/>
        <v>0</v>
      </c>
      <c r="F2722" s="8" t="str" cm="1">
        <f t="array" ref="F2722">_xlfn._xlws.FILTER(E2722:E5920, C2722:C5920= "6D-PM-1020-01", "No Squirrels Found")</f>
        <v>No Squirrels Found</v>
      </c>
      <c r="G2722" s="8" t="s">
        <v>34</v>
      </c>
      <c r="H2722" s="10">
        <v>10172018</v>
      </c>
      <c r="I2722" s="10">
        <v>1</v>
      </c>
      <c r="J2722" s="8" t="s">
        <v>39</v>
      </c>
      <c r="K2722" s="8" t="s">
        <v>40</v>
      </c>
      <c r="L2722" s="8" t="s">
        <v>41</v>
      </c>
      <c r="M2722" s="8" t="s">
        <v>42</v>
      </c>
      <c r="O2722" s="8" t="s">
        <v>43</v>
      </c>
      <c r="P2722" s="8" t="b">
        <v>0</v>
      </c>
      <c r="R2722" s="8" t="b">
        <v>0</v>
      </c>
      <c r="S2722" s="8" t="b">
        <v>0</v>
      </c>
      <c r="T2722" s="8" t="b">
        <v>0</v>
      </c>
      <c r="U2722" s="8" t="b">
        <v>0</v>
      </c>
      <c r="V2722" s="8" t="b">
        <v>1</v>
      </c>
      <c r="X2722" s="8" t="b">
        <v>0</v>
      </c>
      <c r="Y2722" s="8" t="b">
        <v>0</v>
      </c>
      <c r="Z2722" s="8" t="b">
        <v>0</v>
      </c>
      <c r="AA2722" s="8" t="b">
        <v>0</v>
      </c>
      <c r="AB2722" s="8" t="b">
        <v>0</v>
      </c>
      <c r="AC2722" s="8" t="b">
        <v>0</v>
      </c>
      <c r="AD2722" s="8" t="b">
        <v>1</v>
      </c>
      <c r="AE2722" s="8" t="b">
        <v>0</v>
      </c>
      <c r="AG2722" s="11" t="b" cm="1">
        <f t="array" ref="AG2722">IF(OR(Y2722:AA2722="TRUE", AE2722="true"), "Threatened")</f>
        <v>0</v>
      </c>
      <c r="AH2722" s="11" t="s">
        <v>6710</v>
      </c>
      <c r="AI2722" s="8" t="b">
        <v>1</v>
      </c>
    </row>
    <row r="2723" spans="1:35" ht="31.2">
      <c r="A2723" s="8">
        <v>-73.969227110000006</v>
      </c>
      <c r="B2723" s="8">
        <v>40.777528510000003</v>
      </c>
      <c r="C2723" s="8" t="s">
        <v>6711</v>
      </c>
      <c r="D2723" s="8" t="s">
        <v>150</v>
      </c>
      <c r="E2723" s="8" t="b">
        <f t="shared" si="42"/>
        <v>0</v>
      </c>
      <c r="F2723" s="8" t="str" cm="1">
        <f t="array" ref="F2723">_xlfn._xlws.FILTER(E2723:E5921, C2723:C5921= "6D-PM-1020-01", "No Squirrels Found")</f>
        <v>No Squirrels Found</v>
      </c>
      <c r="G2723" s="8" t="s">
        <v>34</v>
      </c>
      <c r="H2723" s="10">
        <v>10082018</v>
      </c>
      <c r="I2723" s="10">
        <v>4</v>
      </c>
      <c r="J2723" s="8" t="s">
        <v>39</v>
      </c>
      <c r="K2723" s="8" t="s">
        <v>40</v>
      </c>
      <c r="M2723" s="8" t="s">
        <v>55</v>
      </c>
      <c r="O2723" s="8" t="s">
        <v>50</v>
      </c>
      <c r="P2723" s="8">
        <v>10</v>
      </c>
      <c r="R2723" s="8" t="b">
        <v>0</v>
      </c>
      <c r="S2723" s="8" t="b">
        <v>0</v>
      </c>
      <c r="T2723" s="8" t="b">
        <v>1</v>
      </c>
      <c r="U2723" s="8" t="b">
        <v>0</v>
      </c>
      <c r="V2723" s="8" t="b">
        <v>0</v>
      </c>
      <c r="X2723" s="8" t="b">
        <v>0</v>
      </c>
      <c r="Y2723" s="8" t="b">
        <v>0</v>
      </c>
      <c r="Z2723" s="8" t="b">
        <v>0</v>
      </c>
      <c r="AA2723" s="8" t="b">
        <v>0</v>
      </c>
      <c r="AB2723" s="8" t="b">
        <v>0</v>
      </c>
      <c r="AC2723" s="8" t="b">
        <v>0</v>
      </c>
      <c r="AD2723" s="8" t="b">
        <v>1</v>
      </c>
      <c r="AE2723" s="8" t="b">
        <v>0</v>
      </c>
      <c r="AG2723" s="11" t="b" cm="1">
        <f t="array" ref="AG2723">IF(OR(Y2723:AA2723="TRUE", AE2723="true"), "Threatened")</f>
        <v>0</v>
      </c>
      <c r="AH2723" s="11" t="s">
        <v>6712</v>
      </c>
      <c r="AI2723" s="8" t="b">
        <v>1</v>
      </c>
    </row>
    <row r="2724" spans="1:35" ht="31.2">
      <c r="A2724" s="8">
        <v>-73.9606426</v>
      </c>
      <c r="B2724" s="8">
        <v>40.791726539999999</v>
      </c>
      <c r="C2724" s="8" t="s">
        <v>6713</v>
      </c>
      <c r="D2724" s="8" t="s">
        <v>309</v>
      </c>
      <c r="E2724" s="8" t="b">
        <f t="shared" si="42"/>
        <v>0</v>
      </c>
      <c r="F2724" s="8" t="str" cm="1">
        <f t="array" ref="F2724">_xlfn._xlws.FILTER(E2724:E5922, C2724:C5922= "6D-PM-1020-01", "No Squirrels Found")</f>
        <v>No Squirrels Found</v>
      </c>
      <c r="G2724" s="8" t="s">
        <v>34</v>
      </c>
      <c r="H2724" s="10">
        <v>10062018</v>
      </c>
      <c r="I2724" s="10">
        <v>8</v>
      </c>
      <c r="J2724" s="8" t="s">
        <v>54</v>
      </c>
      <c r="K2724" s="8" t="s">
        <v>40</v>
      </c>
      <c r="L2724" s="8" t="s">
        <v>168</v>
      </c>
      <c r="M2724" s="8" t="s">
        <v>169</v>
      </c>
      <c r="O2724" s="8" t="s">
        <v>43</v>
      </c>
      <c r="P2724" s="8" t="b">
        <v>0</v>
      </c>
      <c r="R2724" s="8" t="b">
        <v>0</v>
      </c>
      <c r="S2724" s="8" t="b">
        <v>0</v>
      </c>
      <c r="T2724" s="8" t="b">
        <v>0</v>
      </c>
      <c r="U2724" s="8" t="b">
        <v>1</v>
      </c>
      <c r="V2724" s="8" t="b">
        <v>0</v>
      </c>
      <c r="X2724" s="8" t="b">
        <v>0</v>
      </c>
      <c r="Y2724" s="8" t="b">
        <v>0</v>
      </c>
      <c r="Z2724" s="8" t="b">
        <v>0</v>
      </c>
      <c r="AA2724" s="8" t="b">
        <v>0</v>
      </c>
      <c r="AB2724" s="8" t="b">
        <v>1</v>
      </c>
      <c r="AC2724" s="8" t="b">
        <v>0</v>
      </c>
      <c r="AD2724" s="8" t="b">
        <v>0</v>
      </c>
      <c r="AE2724" s="8" t="b">
        <v>0</v>
      </c>
      <c r="AF2724" s="11" t="s">
        <v>6714</v>
      </c>
      <c r="AG2724" s="11" t="b" cm="1">
        <f t="array" ref="AG2724">IF(OR(Y2724:AA2724="TRUE", AE2724="true"), "Threatened")</f>
        <v>0</v>
      </c>
      <c r="AH2724" s="11" t="s">
        <v>6715</v>
      </c>
      <c r="AI2724" s="8" t="b">
        <v>1</v>
      </c>
    </row>
    <row r="2725" spans="1:35" ht="31.2">
      <c r="A2725" s="8">
        <v>-73.961143410000005</v>
      </c>
      <c r="B2725" s="8">
        <v>40.789367179999999</v>
      </c>
      <c r="C2725" s="8" t="s">
        <v>6716</v>
      </c>
      <c r="D2725" s="8" t="s">
        <v>1102</v>
      </c>
      <c r="E2725" s="8" t="b">
        <f t="shared" si="42"/>
        <v>0</v>
      </c>
      <c r="F2725" s="8" t="str" cm="1">
        <f t="array" ref="F2725">_xlfn._xlws.FILTER(E2725:E5923, C2725:C5923= "6D-PM-1020-01", "No Squirrels Found")</f>
        <v>No Squirrels Found</v>
      </c>
      <c r="G2725" s="8" t="s">
        <v>34</v>
      </c>
      <c r="H2725" s="10">
        <v>10082018</v>
      </c>
      <c r="I2725" s="10">
        <v>1</v>
      </c>
      <c r="J2725" s="8" t="s">
        <v>39</v>
      </c>
      <c r="K2725" s="8" t="s">
        <v>40</v>
      </c>
      <c r="L2725" s="8" t="s">
        <v>41</v>
      </c>
      <c r="M2725" s="8" t="s">
        <v>42</v>
      </c>
      <c r="O2725" s="8" t="s">
        <v>50</v>
      </c>
      <c r="P2725" s="8">
        <v>40</v>
      </c>
      <c r="R2725" s="8" t="b">
        <v>0</v>
      </c>
      <c r="S2725" s="8" t="b">
        <v>0</v>
      </c>
      <c r="T2725" s="8" t="b">
        <v>1</v>
      </c>
      <c r="U2725" s="8" t="b">
        <v>0</v>
      </c>
      <c r="V2725" s="8" t="b">
        <v>0</v>
      </c>
      <c r="X2725" s="8" t="b">
        <v>0</v>
      </c>
      <c r="Y2725" s="8" t="b">
        <v>1</v>
      </c>
      <c r="Z2725" s="8" t="b">
        <v>0</v>
      </c>
      <c r="AA2725" s="8" t="b">
        <v>0</v>
      </c>
      <c r="AB2725" s="8" t="b">
        <v>0</v>
      </c>
      <c r="AC2725" s="8" t="b">
        <v>0</v>
      </c>
      <c r="AD2725" s="8" t="b">
        <v>0</v>
      </c>
      <c r="AE2725" s="8" t="b">
        <v>0</v>
      </c>
      <c r="AG2725" s="11" t="b" cm="1">
        <f t="array" ref="AG2725">IF(OR(Y2725:AA2725="TRUE", AE2725="true"), "Threatened")</f>
        <v>0</v>
      </c>
      <c r="AH2725" s="11" t="s">
        <v>6717</v>
      </c>
      <c r="AI2725" s="8" t="b">
        <v>1</v>
      </c>
    </row>
    <row r="2726" spans="1:35" ht="31.2">
      <c r="A2726" s="8">
        <v>-73.965886769999997</v>
      </c>
      <c r="B2726" s="8">
        <v>40.775652360000002</v>
      </c>
      <c r="C2726" s="8" t="s">
        <v>6718</v>
      </c>
      <c r="D2726" s="8" t="s">
        <v>672</v>
      </c>
      <c r="E2726" s="8" t="b">
        <f t="shared" si="42"/>
        <v>0</v>
      </c>
      <c r="F2726" s="8" t="str" cm="1">
        <f t="array" ref="F2726">_xlfn._xlws.FILTER(E2726:E5924, C2726:C5924= "6D-PM-1020-01", "No Squirrels Found")</f>
        <v>No Squirrels Found</v>
      </c>
      <c r="G2726" s="8" t="s">
        <v>34</v>
      </c>
      <c r="H2726" s="10">
        <v>10082018</v>
      </c>
      <c r="I2726" s="10">
        <v>6</v>
      </c>
      <c r="J2726" s="8" t="s">
        <v>54</v>
      </c>
      <c r="K2726" s="8" t="s">
        <v>41</v>
      </c>
      <c r="L2726" s="8" t="s">
        <v>40</v>
      </c>
      <c r="M2726" s="8" t="s">
        <v>110</v>
      </c>
      <c r="O2726" s="8" t="s">
        <v>43</v>
      </c>
      <c r="P2726" s="8" t="b">
        <v>0</v>
      </c>
      <c r="Q2726" s="8" t="s">
        <v>6719</v>
      </c>
      <c r="R2726" s="8" t="b">
        <v>0</v>
      </c>
      <c r="S2726" s="8" t="b">
        <v>0</v>
      </c>
      <c r="T2726" s="8" t="b">
        <v>0</v>
      </c>
      <c r="U2726" s="8" t="b">
        <v>1</v>
      </c>
      <c r="V2726" s="8" t="b">
        <v>0</v>
      </c>
      <c r="X2726" s="8" t="b">
        <v>0</v>
      </c>
      <c r="Y2726" s="8" t="b">
        <v>0</v>
      </c>
      <c r="Z2726" s="8" t="b">
        <v>0</v>
      </c>
      <c r="AA2726" s="8" t="b">
        <v>0</v>
      </c>
      <c r="AB2726" s="8" t="b">
        <v>0</v>
      </c>
      <c r="AC2726" s="8" t="b">
        <v>0</v>
      </c>
      <c r="AD2726" s="8" t="b">
        <v>1</v>
      </c>
      <c r="AE2726" s="8" t="b">
        <v>0</v>
      </c>
      <c r="AG2726" s="11" t="b" cm="1">
        <f t="array" ref="AG2726">IF(OR(Y2726:AA2726="TRUE", AE2726="true"), "Threatened")</f>
        <v>0</v>
      </c>
      <c r="AH2726" s="11" t="s">
        <v>6720</v>
      </c>
      <c r="AI2726" s="8" t="b">
        <v>1</v>
      </c>
    </row>
    <row r="2727" spans="1:35" ht="31.2">
      <c r="A2727" s="8">
        <v>-73.973420640000001</v>
      </c>
      <c r="B2727" s="8">
        <v>40.765785469999997</v>
      </c>
      <c r="C2727" s="8" t="s">
        <v>6721</v>
      </c>
      <c r="D2727" s="8" t="s">
        <v>779</v>
      </c>
      <c r="E2727" s="8" t="b">
        <f t="shared" si="42"/>
        <v>0</v>
      </c>
      <c r="F2727" s="8" t="str" cm="1">
        <f t="array" ref="F2727">_xlfn._xlws.FILTER(E2727:E5925, C2727:C5925= "6D-PM-1020-01", "No Squirrels Found")</f>
        <v>No Squirrels Found</v>
      </c>
      <c r="G2727" s="8" t="s">
        <v>34</v>
      </c>
      <c r="H2727" s="10">
        <v>10062018</v>
      </c>
      <c r="I2727" s="10">
        <v>1</v>
      </c>
      <c r="J2727" s="8" t="s">
        <v>39</v>
      </c>
      <c r="K2727" s="8" t="s">
        <v>40</v>
      </c>
      <c r="M2727" s="8" t="s">
        <v>55</v>
      </c>
      <c r="O2727" s="8" t="s">
        <v>43</v>
      </c>
      <c r="P2727" s="8" t="b">
        <v>0</v>
      </c>
      <c r="R2727" s="8" t="b">
        <v>0</v>
      </c>
      <c r="S2727" s="8" t="b">
        <v>0</v>
      </c>
      <c r="T2727" s="8" t="b">
        <v>0</v>
      </c>
      <c r="U2727" s="8" t="b">
        <v>1</v>
      </c>
      <c r="V2727" s="8" t="b">
        <v>0</v>
      </c>
      <c r="X2727" s="8" t="b">
        <v>0</v>
      </c>
      <c r="Y2727" s="8" t="b">
        <v>0</v>
      </c>
      <c r="Z2727" s="8" t="b">
        <v>0</v>
      </c>
      <c r="AA2727" s="8" t="b">
        <v>0</v>
      </c>
      <c r="AB2727" s="8" t="b">
        <v>0</v>
      </c>
      <c r="AC2727" s="8" t="b">
        <v>0</v>
      </c>
      <c r="AD2727" s="8" t="b">
        <v>1</v>
      </c>
      <c r="AE2727" s="8" t="b">
        <v>0</v>
      </c>
      <c r="AG2727" s="11" t="b" cm="1">
        <f t="array" ref="AG2727">IF(OR(Y2727:AA2727="TRUE", AE2727="true"), "Threatened")</f>
        <v>0</v>
      </c>
      <c r="AH2727" s="11" t="s">
        <v>6722</v>
      </c>
      <c r="AI2727" s="8" t="b">
        <v>1</v>
      </c>
    </row>
    <row r="2728" spans="1:35" ht="31.2">
      <c r="A2728" s="8">
        <v>-73.974596899999995</v>
      </c>
      <c r="B2728" s="8">
        <v>40.77654982</v>
      </c>
      <c r="C2728" s="8" t="s">
        <v>6723</v>
      </c>
      <c r="D2728" s="8" t="s">
        <v>1031</v>
      </c>
      <c r="E2728" s="8" t="b">
        <f t="shared" si="42"/>
        <v>0</v>
      </c>
      <c r="F2728" s="8" t="str" cm="1">
        <f t="array" ref="F2728">_xlfn._xlws.FILTER(E2728:E5926, C2728:C5926= "6D-PM-1020-01", "No Squirrels Found")</f>
        <v>No Squirrels Found</v>
      </c>
      <c r="G2728" s="8" t="s">
        <v>34</v>
      </c>
      <c r="H2728" s="10">
        <v>10132018</v>
      </c>
      <c r="I2728" s="10">
        <v>2</v>
      </c>
      <c r="J2728" s="8" t="s">
        <v>39</v>
      </c>
      <c r="K2728" s="8" t="s">
        <v>41</v>
      </c>
      <c r="L2728" s="8" t="s">
        <v>40</v>
      </c>
      <c r="M2728" s="8" t="s">
        <v>110</v>
      </c>
      <c r="O2728" s="8" t="s">
        <v>43</v>
      </c>
      <c r="P2728" s="8" t="b">
        <v>0</v>
      </c>
      <c r="R2728" s="8" t="b">
        <v>1</v>
      </c>
      <c r="S2728" s="8" t="b">
        <v>0</v>
      </c>
      <c r="T2728" s="8" t="b">
        <v>1</v>
      </c>
      <c r="U2728" s="8" t="b">
        <v>0</v>
      </c>
      <c r="V2728" s="8" t="b">
        <v>1</v>
      </c>
      <c r="X2728" s="8" t="b">
        <v>0</v>
      </c>
      <c r="Y2728" s="8" t="b">
        <v>0</v>
      </c>
      <c r="Z2728" s="8" t="b">
        <v>0</v>
      </c>
      <c r="AA2728" s="8" t="b">
        <v>0</v>
      </c>
      <c r="AB2728" s="8" t="b">
        <v>1</v>
      </c>
      <c r="AC2728" s="8" t="b">
        <v>0</v>
      </c>
      <c r="AD2728" s="8" t="b">
        <v>0</v>
      </c>
      <c r="AE2728" s="8" t="b">
        <v>1</v>
      </c>
      <c r="AG2728" s="11" t="b" cm="1">
        <f t="array" ref="AG2728">IF(OR(Y2728:AA2728="TRUE", AE2728="true"), "Threatened")</f>
        <v>0</v>
      </c>
      <c r="AH2728" s="11" t="s">
        <v>6724</v>
      </c>
      <c r="AI2728" s="8" t="b">
        <v>1</v>
      </c>
    </row>
    <row r="2729" spans="1:35" ht="31.2">
      <c r="A2729" s="8">
        <v>-73.950714000000005</v>
      </c>
      <c r="B2729" s="8">
        <v>40.795770099999999</v>
      </c>
      <c r="C2729" s="8" t="s">
        <v>6725</v>
      </c>
      <c r="D2729" s="8" t="s">
        <v>1379</v>
      </c>
      <c r="E2729" s="8" t="b">
        <f t="shared" si="42"/>
        <v>0</v>
      </c>
      <c r="F2729" s="8" t="str" cm="1">
        <f t="array" ref="F2729">_xlfn._xlws.FILTER(E2729:E5927, C2729:C5927= "6D-PM-1020-01", "No Squirrels Found")</f>
        <v>No Squirrels Found</v>
      </c>
      <c r="G2729" s="8" t="s">
        <v>34</v>
      </c>
      <c r="H2729" s="10">
        <v>10172018</v>
      </c>
      <c r="I2729" s="10">
        <v>1</v>
      </c>
      <c r="J2729" s="8" t="s">
        <v>39</v>
      </c>
      <c r="K2729" s="8" t="s">
        <v>40</v>
      </c>
      <c r="L2729" s="8" t="s">
        <v>41</v>
      </c>
      <c r="M2729" s="8" t="s">
        <v>42</v>
      </c>
      <c r="N2729" s="11" t="s">
        <v>6726</v>
      </c>
      <c r="O2729" s="8" t="s">
        <v>43</v>
      </c>
      <c r="P2729" s="8" t="b">
        <v>0</v>
      </c>
      <c r="R2729" s="8" t="b">
        <v>0</v>
      </c>
      <c r="S2729" s="8" t="b">
        <v>0</v>
      </c>
      <c r="T2729" s="8" t="b">
        <v>0</v>
      </c>
      <c r="U2729" s="8" t="b">
        <v>0</v>
      </c>
      <c r="V2729" s="8" t="b">
        <v>1</v>
      </c>
      <c r="X2729" s="8" t="b">
        <v>0</v>
      </c>
      <c r="Y2729" s="8" t="b">
        <v>0</v>
      </c>
      <c r="Z2729" s="8" t="b">
        <v>0</v>
      </c>
      <c r="AA2729" s="8" t="b">
        <v>0</v>
      </c>
      <c r="AB2729" s="8" t="b">
        <v>0</v>
      </c>
      <c r="AC2729" s="8" t="b">
        <v>0</v>
      </c>
      <c r="AD2729" s="8" t="b">
        <v>1</v>
      </c>
      <c r="AE2729" s="8" t="b">
        <v>0</v>
      </c>
      <c r="AG2729" s="11" t="b" cm="1">
        <f t="array" ref="AG2729">IF(OR(Y2729:AA2729="TRUE", AE2729="true"), "Threatened")</f>
        <v>0</v>
      </c>
      <c r="AH2729" s="11" t="s">
        <v>6727</v>
      </c>
      <c r="AI2729" s="8" t="b">
        <v>1</v>
      </c>
    </row>
    <row r="2730" spans="1:35" ht="31.2">
      <c r="A2730" s="8">
        <v>-73.961542919999999</v>
      </c>
      <c r="B2730" s="8">
        <v>40.790741760000003</v>
      </c>
      <c r="C2730" s="8" t="s">
        <v>6728</v>
      </c>
      <c r="D2730" s="8" t="s">
        <v>621</v>
      </c>
      <c r="E2730" s="8" t="b">
        <f t="shared" si="42"/>
        <v>0</v>
      </c>
      <c r="F2730" s="8" t="str" cm="1">
        <f t="array" ref="F2730">_xlfn._xlws.FILTER(E2730:E5928, C2730:C5928= "6D-PM-1020-01", "No Squirrels Found")</f>
        <v>No Squirrels Found</v>
      </c>
      <c r="G2730" s="8" t="s">
        <v>48</v>
      </c>
      <c r="H2730" s="10">
        <v>10142018</v>
      </c>
      <c r="I2730" s="10">
        <v>1</v>
      </c>
      <c r="K2730" s="8" t="s">
        <v>40</v>
      </c>
      <c r="L2730" s="8" t="s">
        <v>41</v>
      </c>
      <c r="M2730" s="8" t="s">
        <v>42</v>
      </c>
      <c r="O2730" s="8" t="s">
        <v>50</v>
      </c>
      <c r="P2730" s="8">
        <v>20</v>
      </c>
      <c r="Q2730" s="8" t="s">
        <v>6729</v>
      </c>
      <c r="R2730" s="8" t="b">
        <v>0</v>
      </c>
      <c r="S2730" s="8" t="b">
        <v>0</v>
      </c>
      <c r="T2730" s="8" t="b">
        <v>1</v>
      </c>
      <c r="U2730" s="8" t="b">
        <v>0</v>
      </c>
      <c r="V2730" s="8" t="b">
        <v>0</v>
      </c>
      <c r="W2730" s="11" t="s">
        <v>6730</v>
      </c>
      <c r="X2730" s="8" t="b">
        <v>0</v>
      </c>
      <c r="Y2730" s="8" t="b">
        <v>0</v>
      </c>
      <c r="Z2730" s="8" t="b">
        <v>1</v>
      </c>
      <c r="AA2730" s="8" t="b">
        <v>0</v>
      </c>
      <c r="AB2730" s="8" t="b">
        <v>0</v>
      </c>
      <c r="AC2730" s="8" t="b">
        <v>0</v>
      </c>
      <c r="AD2730" s="8" t="b">
        <v>0</v>
      </c>
      <c r="AE2730" s="8" t="b">
        <v>1</v>
      </c>
      <c r="AF2730" s="11" t="s">
        <v>6731</v>
      </c>
      <c r="AG2730" s="11" t="b" cm="1">
        <f t="array" ref="AG2730">IF(OR(Y2730:AA2730="TRUE", AE2730="true"), "Threatened")</f>
        <v>0</v>
      </c>
      <c r="AH2730" s="11" t="s">
        <v>6732</v>
      </c>
      <c r="AI2730" s="8" t="b">
        <v>0</v>
      </c>
    </row>
    <row r="2731" spans="1:35" ht="31.2">
      <c r="A2731" s="8">
        <v>-73.965357580000003</v>
      </c>
      <c r="B2731" s="8">
        <v>40.780534000000003</v>
      </c>
      <c r="C2731" s="8" t="s">
        <v>6733</v>
      </c>
      <c r="D2731" s="8" t="s">
        <v>574</v>
      </c>
      <c r="E2731" s="8" t="b">
        <f t="shared" si="42"/>
        <v>0</v>
      </c>
      <c r="F2731" s="8" t="str" cm="1">
        <f t="array" ref="F2731">_xlfn._xlws.FILTER(E2731:E5929, C2731:C5929= "6D-PM-1020-01", "No Squirrels Found")</f>
        <v>No Squirrels Found</v>
      </c>
      <c r="G2731" s="8" t="s">
        <v>34</v>
      </c>
      <c r="H2731" s="10">
        <v>10072018</v>
      </c>
      <c r="I2731" s="10">
        <v>12</v>
      </c>
      <c r="J2731" s="8" t="s">
        <v>39</v>
      </c>
      <c r="K2731" s="8" t="s">
        <v>40</v>
      </c>
      <c r="L2731" s="8" t="s">
        <v>84</v>
      </c>
      <c r="M2731" s="8" t="s">
        <v>103</v>
      </c>
      <c r="O2731" s="8" t="s">
        <v>50</v>
      </c>
      <c r="P2731" s="8">
        <v>20</v>
      </c>
      <c r="Q2731" s="8" t="s">
        <v>466</v>
      </c>
      <c r="R2731" s="8" t="b">
        <v>0</v>
      </c>
      <c r="S2731" s="8" t="b">
        <v>0</v>
      </c>
      <c r="T2731" s="8" t="b">
        <v>1</v>
      </c>
      <c r="U2731" s="8" t="b">
        <v>1</v>
      </c>
      <c r="V2731" s="8" t="b">
        <v>0</v>
      </c>
      <c r="X2731" s="8" t="b">
        <v>0</v>
      </c>
      <c r="Y2731" s="8" t="b">
        <v>0</v>
      </c>
      <c r="Z2731" s="8" t="b">
        <v>0</v>
      </c>
      <c r="AA2731" s="8" t="b">
        <v>0</v>
      </c>
      <c r="AB2731" s="8" t="b">
        <v>0</v>
      </c>
      <c r="AC2731" s="8" t="b">
        <v>0</v>
      </c>
      <c r="AD2731" s="8" t="b">
        <v>0</v>
      </c>
      <c r="AE2731" s="8" t="b">
        <v>0</v>
      </c>
      <c r="AG2731" s="11" t="b" cm="1">
        <f t="array" ref="AG2731">IF(OR(Y2731:AA2731="TRUE", AE2731="true"), "Threatened")</f>
        <v>0</v>
      </c>
      <c r="AH2731" s="11" t="s">
        <v>6734</v>
      </c>
      <c r="AI2731" s="8" t="b">
        <v>1</v>
      </c>
    </row>
    <row r="2732" spans="1:35" ht="31.2">
      <c r="A2732" s="8">
        <v>-73.959588609999997</v>
      </c>
      <c r="B2732" s="8">
        <v>40.791840520000001</v>
      </c>
      <c r="C2732" s="8" t="s">
        <v>6735</v>
      </c>
      <c r="D2732" s="8" t="s">
        <v>1205</v>
      </c>
      <c r="E2732" s="8" t="b">
        <f t="shared" si="42"/>
        <v>0</v>
      </c>
      <c r="F2732" s="8" t="str" cm="1">
        <f t="array" ref="F2732">_xlfn._xlws.FILTER(E2732:E5930, C2732:C5930= "6D-PM-1020-01", "No Squirrels Found")</f>
        <v>No Squirrels Found</v>
      </c>
      <c r="G2732" s="8" t="s">
        <v>48</v>
      </c>
      <c r="H2732" s="10">
        <v>10172018</v>
      </c>
      <c r="I2732" s="10">
        <v>9</v>
      </c>
      <c r="J2732" s="8" t="s">
        <v>39</v>
      </c>
      <c r="K2732" s="8" t="s">
        <v>192</v>
      </c>
      <c r="L2732" s="8" t="s">
        <v>41</v>
      </c>
      <c r="M2732" s="8" t="s">
        <v>717</v>
      </c>
      <c r="O2732" s="8" t="s">
        <v>50</v>
      </c>
      <c r="P2732" s="8">
        <v>7</v>
      </c>
      <c r="R2732" s="8" t="b">
        <v>0</v>
      </c>
      <c r="S2732" s="8" t="b">
        <v>0</v>
      </c>
      <c r="T2732" s="8" t="b">
        <v>1</v>
      </c>
      <c r="U2732" s="8" t="b">
        <v>0</v>
      </c>
      <c r="V2732" s="8" t="b">
        <v>0</v>
      </c>
      <c r="X2732" s="8" t="b">
        <v>1</v>
      </c>
      <c r="Y2732" s="8" t="b">
        <v>1</v>
      </c>
      <c r="Z2732" s="8" t="b">
        <v>0</v>
      </c>
      <c r="AA2732" s="8" t="b">
        <v>0</v>
      </c>
      <c r="AB2732" s="8" t="b">
        <v>0</v>
      </c>
      <c r="AC2732" s="8" t="b">
        <v>0</v>
      </c>
      <c r="AD2732" s="8" t="b">
        <v>1</v>
      </c>
      <c r="AE2732" s="8" t="b">
        <v>1</v>
      </c>
      <c r="AG2732" s="11" t="b" cm="1">
        <f t="array" ref="AG2732">IF(OR(Y2732:AA2732="TRUE", AE2732="true"), "Threatened")</f>
        <v>0</v>
      </c>
      <c r="AH2732" s="11" t="s">
        <v>6736</v>
      </c>
      <c r="AI2732" s="8" t="b">
        <v>1</v>
      </c>
    </row>
    <row r="2733" spans="1:35" ht="31.2">
      <c r="A2733" s="8">
        <v>-73.969418579999996</v>
      </c>
      <c r="B2733" s="8">
        <v>40.778719000000002</v>
      </c>
      <c r="C2733" s="8" t="s">
        <v>6737</v>
      </c>
      <c r="D2733" s="8" t="s">
        <v>721</v>
      </c>
      <c r="E2733" s="8" t="b">
        <f t="shared" si="42"/>
        <v>0</v>
      </c>
      <c r="F2733" s="8" t="str" cm="1">
        <f t="array" ref="F2733">_xlfn._xlws.FILTER(E2733:E5931, C2733:C5931= "6D-PM-1020-01", "No Squirrels Found")</f>
        <v>No Squirrels Found</v>
      </c>
      <c r="G2733" s="8" t="s">
        <v>48</v>
      </c>
      <c r="H2733" s="10">
        <v>10072018</v>
      </c>
      <c r="I2733" s="10">
        <v>6</v>
      </c>
      <c r="J2733" s="8" t="s">
        <v>39</v>
      </c>
      <c r="K2733" s="8" t="s">
        <v>41</v>
      </c>
      <c r="L2733" s="8" t="s">
        <v>84</v>
      </c>
      <c r="M2733" s="8" t="s">
        <v>85</v>
      </c>
      <c r="N2733" s="11" t="s">
        <v>6738</v>
      </c>
      <c r="O2733" s="8" t="s">
        <v>43</v>
      </c>
      <c r="P2733" s="8" t="b">
        <v>0</v>
      </c>
      <c r="R2733" s="8" t="b">
        <v>1</v>
      </c>
      <c r="S2733" s="8" t="b">
        <v>0</v>
      </c>
      <c r="T2733" s="8" t="b">
        <v>0</v>
      </c>
      <c r="U2733" s="8" t="b">
        <v>0</v>
      </c>
      <c r="V2733" s="8" t="b">
        <v>1</v>
      </c>
      <c r="X2733" s="8" t="b">
        <v>0</v>
      </c>
      <c r="Y2733" s="8" t="b">
        <v>0</v>
      </c>
      <c r="Z2733" s="8" t="b">
        <v>0</v>
      </c>
      <c r="AA2733" s="8" t="b">
        <v>0</v>
      </c>
      <c r="AB2733" s="8" t="b">
        <v>0</v>
      </c>
      <c r="AC2733" s="8" t="b">
        <v>0</v>
      </c>
      <c r="AD2733" s="8" t="b">
        <v>1</v>
      </c>
      <c r="AE2733" s="8" t="b">
        <v>0</v>
      </c>
      <c r="AG2733" s="11" t="b" cm="1">
        <f t="array" ref="AG2733">IF(OR(Y2733:AA2733="TRUE", AE2733="true"), "Threatened")</f>
        <v>0</v>
      </c>
      <c r="AH2733" s="11" t="s">
        <v>6739</v>
      </c>
      <c r="AI2733" s="8" t="b">
        <v>1</v>
      </c>
    </row>
    <row r="2734" spans="1:35" ht="31.2">
      <c r="A2734" s="8">
        <v>-73.96900823</v>
      </c>
      <c r="B2734" s="8">
        <v>40.773899389999997</v>
      </c>
      <c r="C2734" s="8" t="s">
        <v>6740</v>
      </c>
      <c r="D2734" s="8" t="s">
        <v>991</v>
      </c>
      <c r="E2734" s="8" t="b">
        <f t="shared" si="42"/>
        <v>0</v>
      </c>
      <c r="F2734" s="8" t="str" cm="1">
        <f t="array" ref="F2734">_xlfn._xlws.FILTER(E2734:E5932, C2734:C5932= "6D-PM-1020-01", "No Squirrels Found")</f>
        <v>No Squirrels Found</v>
      </c>
      <c r="G2734" s="8" t="s">
        <v>48</v>
      </c>
      <c r="H2734" s="10">
        <v>10122018</v>
      </c>
      <c r="I2734" s="10">
        <v>5</v>
      </c>
      <c r="J2734" s="8" t="s">
        <v>39</v>
      </c>
      <c r="K2734" s="8" t="s">
        <v>40</v>
      </c>
      <c r="L2734" s="8" t="s">
        <v>117</v>
      </c>
      <c r="M2734" s="8" t="s">
        <v>118</v>
      </c>
      <c r="O2734" s="8" t="s">
        <v>43</v>
      </c>
      <c r="P2734" s="8" t="b">
        <v>0</v>
      </c>
      <c r="R2734" s="8" t="b">
        <v>0</v>
      </c>
      <c r="S2734" s="8" t="b">
        <v>1</v>
      </c>
      <c r="T2734" s="8" t="b">
        <v>0</v>
      </c>
      <c r="U2734" s="8" t="b">
        <v>0</v>
      </c>
      <c r="V2734" s="8" t="b">
        <v>0</v>
      </c>
      <c r="X2734" s="8" t="b">
        <v>1</v>
      </c>
      <c r="Y2734" s="8" t="b">
        <v>0</v>
      </c>
      <c r="Z2734" s="8" t="b">
        <v>0</v>
      </c>
      <c r="AA2734" s="8" t="b">
        <v>0</v>
      </c>
      <c r="AB2734" s="8" t="b">
        <v>0</v>
      </c>
      <c r="AC2734" s="8" t="b">
        <v>0</v>
      </c>
      <c r="AD2734" s="8" t="b">
        <v>0</v>
      </c>
      <c r="AE2734" s="8" t="b">
        <v>1</v>
      </c>
      <c r="AG2734" s="11" t="b" cm="1">
        <f t="array" ref="AG2734">IF(OR(Y2734:AA2734="TRUE", AE2734="true"), "Threatened")</f>
        <v>0</v>
      </c>
      <c r="AH2734" s="11" t="s">
        <v>6741</v>
      </c>
      <c r="AI2734" s="8" t="b">
        <v>1</v>
      </c>
    </row>
    <row r="2735" spans="1:35" ht="31.2">
      <c r="A2735" s="8">
        <v>-73.976362949999995</v>
      </c>
      <c r="B2735" s="8">
        <v>40.768232189999999</v>
      </c>
      <c r="C2735" s="8" t="s">
        <v>6742</v>
      </c>
      <c r="D2735" s="8" t="s">
        <v>230</v>
      </c>
      <c r="E2735" s="8" t="b">
        <f t="shared" si="42"/>
        <v>0</v>
      </c>
      <c r="F2735" s="8" t="str" cm="1">
        <f t="array" ref="F2735">_xlfn._xlws.FILTER(E2735:E5933, C2735:C5933= "6D-PM-1020-01", "No Squirrels Found")</f>
        <v>No Squirrels Found</v>
      </c>
      <c r="G2735" s="8" t="s">
        <v>34</v>
      </c>
      <c r="H2735" s="10">
        <v>10082018</v>
      </c>
      <c r="I2735" s="10">
        <v>4</v>
      </c>
      <c r="J2735" s="8" t="s">
        <v>39</v>
      </c>
      <c r="K2735" s="8" t="s">
        <v>40</v>
      </c>
      <c r="M2735" s="8" t="s">
        <v>55</v>
      </c>
      <c r="O2735" s="8" t="s">
        <v>50</v>
      </c>
      <c r="P2735" s="8">
        <v>6</v>
      </c>
      <c r="R2735" s="8" t="b">
        <v>1</v>
      </c>
      <c r="S2735" s="8" t="b">
        <v>0</v>
      </c>
      <c r="T2735" s="8" t="b">
        <v>1</v>
      </c>
      <c r="U2735" s="8" t="b">
        <v>0</v>
      </c>
      <c r="V2735" s="8" t="b">
        <v>0</v>
      </c>
      <c r="X2735" s="8" t="b">
        <v>0</v>
      </c>
      <c r="Y2735" s="8" t="b">
        <v>0</v>
      </c>
      <c r="Z2735" s="8" t="b">
        <v>0</v>
      </c>
      <c r="AA2735" s="8" t="b">
        <v>0</v>
      </c>
      <c r="AB2735" s="8" t="b">
        <v>0</v>
      </c>
      <c r="AC2735" s="8" t="b">
        <v>0</v>
      </c>
      <c r="AD2735" s="8" t="b">
        <v>0</v>
      </c>
      <c r="AE2735" s="8" t="b">
        <v>1</v>
      </c>
      <c r="AG2735" s="11" t="b" cm="1">
        <f t="array" ref="AG2735">IF(OR(Y2735:AA2735="TRUE", AE2735="true"), "Threatened")</f>
        <v>0</v>
      </c>
      <c r="AH2735" s="11" t="s">
        <v>6743</v>
      </c>
      <c r="AI2735" s="8" t="b">
        <v>1</v>
      </c>
    </row>
    <row r="2736" spans="1:35" ht="31.2">
      <c r="A2736" s="8">
        <v>-73.976809700000004</v>
      </c>
      <c r="B2736" s="8">
        <v>40.770818519999999</v>
      </c>
      <c r="C2736" s="8" t="s">
        <v>6744</v>
      </c>
      <c r="D2736" s="8" t="s">
        <v>109</v>
      </c>
      <c r="E2736" s="8" t="b">
        <f t="shared" si="42"/>
        <v>0</v>
      </c>
      <c r="F2736" s="8" t="str" cm="1">
        <f t="array" ref="F2736">_xlfn._xlws.FILTER(E2736:E5934, C2736:C5934= "6D-PM-1020-01", "No Squirrels Found")</f>
        <v>No Squirrels Found</v>
      </c>
      <c r="G2736" s="8" t="s">
        <v>34</v>
      </c>
      <c r="H2736" s="10">
        <v>10102018</v>
      </c>
      <c r="I2736" s="10">
        <v>8</v>
      </c>
      <c r="J2736" s="8" t="s">
        <v>39</v>
      </c>
      <c r="K2736" s="8" t="s">
        <v>41</v>
      </c>
      <c r="L2736" s="8" t="s">
        <v>135</v>
      </c>
      <c r="M2736" s="8" t="s">
        <v>136</v>
      </c>
      <c r="O2736" s="8" t="s">
        <v>43</v>
      </c>
      <c r="P2736" s="8" t="b">
        <v>0</v>
      </c>
      <c r="R2736" s="8" t="b">
        <v>1</v>
      </c>
      <c r="S2736" s="8" t="b">
        <v>0</v>
      </c>
      <c r="T2736" s="8" t="b">
        <v>0</v>
      </c>
      <c r="U2736" s="8" t="b">
        <v>0</v>
      </c>
      <c r="V2736" s="8" t="b">
        <v>0</v>
      </c>
      <c r="X2736" s="8" t="b">
        <v>0</v>
      </c>
      <c r="Y2736" s="8" t="b">
        <v>0</v>
      </c>
      <c r="Z2736" s="8" t="b">
        <v>0</v>
      </c>
      <c r="AA2736" s="8" t="b">
        <v>0</v>
      </c>
      <c r="AB2736" s="8" t="b">
        <v>0</v>
      </c>
      <c r="AC2736" s="8" t="b">
        <v>0</v>
      </c>
      <c r="AD2736" s="8" t="b">
        <v>0</v>
      </c>
      <c r="AE2736" s="8" t="b">
        <v>0</v>
      </c>
      <c r="AG2736" s="11" t="b" cm="1">
        <f t="array" ref="AG2736">IF(OR(Y2736:AA2736="TRUE", AE2736="true"), "Threatened")</f>
        <v>0</v>
      </c>
      <c r="AH2736" s="11" t="s">
        <v>6745</v>
      </c>
      <c r="AI2736" s="8" t="b">
        <v>1</v>
      </c>
    </row>
    <row r="2737" spans="1:35" ht="31.2">
      <c r="A2737" s="8">
        <v>-73.959389529999996</v>
      </c>
      <c r="B2737" s="8">
        <v>40.797308579999999</v>
      </c>
      <c r="C2737" s="8" t="s">
        <v>6746</v>
      </c>
      <c r="D2737" s="8" t="s">
        <v>442</v>
      </c>
      <c r="E2737" s="8" t="b">
        <f t="shared" si="42"/>
        <v>0</v>
      </c>
      <c r="F2737" s="8" t="str" cm="1">
        <f t="array" ref="F2737">_xlfn._xlws.FILTER(E2737:E5935, C2737:C5935= "6D-PM-1020-01", "No Squirrels Found")</f>
        <v>No Squirrels Found</v>
      </c>
      <c r="G2737" s="8" t="s">
        <v>48</v>
      </c>
      <c r="H2737" s="10">
        <v>10192018</v>
      </c>
      <c r="I2737" s="10">
        <v>3</v>
      </c>
      <c r="J2737" s="8" t="s">
        <v>54</v>
      </c>
      <c r="K2737" s="8" t="s">
        <v>40</v>
      </c>
      <c r="M2737" s="8" t="s">
        <v>55</v>
      </c>
      <c r="O2737" s="8" t="s">
        <v>43</v>
      </c>
      <c r="P2737" s="8" t="b">
        <v>0</v>
      </c>
      <c r="R2737" s="8" t="b">
        <v>0</v>
      </c>
      <c r="S2737" s="8" t="b">
        <v>0</v>
      </c>
      <c r="T2737" s="8" t="b">
        <v>0</v>
      </c>
      <c r="U2737" s="8" t="b">
        <v>1</v>
      </c>
      <c r="V2737" s="8" t="b">
        <v>1</v>
      </c>
      <c r="X2737" s="8" t="b">
        <v>0</v>
      </c>
      <c r="Y2737" s="8" t="b">
        <v>0</v>
      </c>
      <c r="Z2737" s="8" t="b">
        <v>0</v>
      </c>
      <c r="AA2737" s="8" t="b">
        <v>0</v>
      </c>
      <c r="AB2737" s="8" t="b">
        <v>1</v>
      </c>
      <c r="AC2737" s="8" t="b">
        <v>0</v>
      </c>
      <c r="AD2737" s="8" t="b">
        <v>1</v>
      </c>
      <c r="AE2737" s="8" t="b">
        <v>0</v>
      </c>
      <c r="AG2737" s="11" t="b" cm="1">
        <f t="array" ref="AG2737">IF(OR(Y2737:AA2737="TRUE", AE2737="true"), "Threatened")</f>
        <v>0</v>
      </c>
      <c r="AH2737" s="11" t="s">
        <v>6747</v>
      </c>
      <c r="AI2737" s="8" t="b">
        <v>1</v>
      </c>
    </row>
    <row r="2738" spans="1:35" ht="31.2">
      <c r="A2738" s="8">
        <v>-73.970368350000001</v>
      </c>
      <c r="B2738" s="8">
        <v>40.774397540000002</v>
      </c>
      <c r="C2738" s="8" t="s">
        <v>6748</v>
      </c>
      <c r="D2738" s="8" t="s">
        <v>655</v>
      </c>
      <c r="E2738" s="8" t="b">
        <f t="shared" si="42"/>
        <v>0</v>
      </c>
      <c r="F2738" s="8" t="str" cm="1">
        <f t="array" ref="F2738">_xlfn._xlws.FILTER(E2738:E5936, C2738:C5936= "6D-PM-1020-01", "No Squirrels Found")</f>
        <v>No Squirrels Found</v>
      </c>
      <c r="G2738" s="8" t="s">
        <v>34</v>
      </c>
      <c r="H2738" s="10">
        <v>10072018</v>
      </c>
      <c r="I2738" s="10">
        <v>10</v>
      </c>
      <c r="J2738" s="8" t="s">
        <v>39</v>
      </c>
      <c r="K2738" s="8" t="s">
        <v>40</v>
      </c>
      <c r="L2738" s="8" t="s">
        <v>41</v>
      </c>
      <c r="M2738" s="8" t="s">
        <v>42</v>
      </c>
      <c r="R2738" s="8" t="b">
        <v>0</v>
      </c>
      <c r="S2738" s="8" t="b">
        <v>0</v>
      </c>
      <c r="T2738" s="8" t="b">
        <v>0</v>
      </c>
      <c r="U2738" s="8" t="b">
        <v>0</v>
      </c>
      <c r="V2738" s="8" t="b">
        <v>1</v>
      </c>
      <c r="X2738" s="8" t="b">
        <v>0</v>
      </c>
      <c r="Y2738" s="8" t="b">
        <v>0</v>
      </c>
      <c r="Z2738" s="8" t="b">
        <v>0</v>
      </c>
      <c r="AA2738" s="8" t="b">
        <v>0</v>
      </c>
      <c r="AB2738" s="8" t="b">
        <v>0</v>
      </c>
      <c r="AC2738" s="8" t="b">
        <v>0</v>
      </c>
      <c r="AD2738" s="8" t="b">
        <v>1</v>
      </c>
      <c r="AE2738" s="8" t="b">
        <v>0</v>
      </c>
      <c r="AG2738" s="11" t="b" cm="1">
        <f t="array" ref="AG2738">IF(OR(Y2738:AA2738="TRUE", AE2738="true"), "Threatened")</f>
        <v>0</v>
      </c>
      <c r="AH2738" s="11" t="s">
        <v>6749</v>
      </c>
      <c r="AI2738" s="8" t="b">
        <v>1</v>
      </c>
    </row>
    <row r="2739" spans="1:35" ht="31.2">
      <c r="A2739" s="8">
        <v>-73.969180179999995</v>
      </c>
      <c r="B2739" s="8">
        <v>40.770927239999999</v>
      </c>
      <c r="C2739" s="8" t="s">
        <v>6750</v>
      </c>
      <c r="D2739" s="8" t="s">
        <v>1785</v>
      </c>
      <c r="E2739" s="8" t="b">
        <f t="shared" si="42"/>
        <v>0</v>
      </c>
      <c r="F2739" s="8" t="str" cm="1">
        <f t="array" ref="F2739">_xlfn._xlws.FILTER(E2739:E5937, C2739:C5937= "6D-PM-1020-01", "No Squirrels Found")</f>
        <v>No Squirrels Found</v>
      </c>
      <c r="G2739" s="8" t="s">
        <v>48</v>
      </c>
      <c r="H2739" s="10">
        <v>10142018</v>
      </c>
      <c r="I2739" s="10">
        <v>4</v>
      </c>
      <c r="J2739" s="8" t="s">
        <v>39</v>
      </c>
      <c r="K2739" s="8" t="s">
        <v>40</v>
      </c>
      <c r="L2739" s="8" t="s">
        <v>41</v>
      </c>
      <c r="M2739" s="8" t="s">
        <v>42</v>
      </c>
      <c r="O2739" s="8" t="s">
        <v>43</v>
      </c>
      <c r="P2739" s="8" t="b">
        <v>0</v>
      </c>
      <c r="R2739" s="8" t="b">
        <v>0</v>
      </c>
      <c r="S2739" s="8" t="b">
        <v>0</v>
      </c>
      <c r="T2739" s="8" t="b">
        <v>0</v>
      </c>
      <c r="U2739" s="8" t="b">
        <v>0</v>
      </c>
      <c r="V2739" s="8" t="b">
        <v>1</v>
      </c>
      <c r="X2739" s="8" t="b">
        <v>0</v>
      </c>
      <c r="Y2739" s="8" t="b">
        <v>0</v>
      </c>
      <c r="Z2739" s="8" t="b">
        <v>0</v>
      </c>
      <c r="AA2739" s="8" t="b">
        <v>0</v>
      </c>
      <c r="AB2739" s="8" t="b">
        <v>0</v>
      </c>
      <c r="AC2739" s="8" t="b">
        <v>0</v>
      </c>
      <c r="AD2739" s="8" t="b">
        <v>0</v>
      </c>
      <c r="AE2739" s="8" t="b">
        <v>0</v>
      </c>
      <c r="AG2739" s="11" t="b" cm="1">
        <f t="array" ref="AG2739">IF(OR(Y2739:AA2739="TRUE", AE2739="true"), "Threatened")</f>
        <v>0</v>
      </c>
      <c r="AH2739" s="11" t="s">
        <v>6751</v>
      </c>
      <c r="AI2739" s="8" t="b">
        <v>1</v>
      </c>
    </row>
    <row r="2740" spans="1:35" ht="31.2">
      <c r="A2740" s="8">
        <v>-73.96819601</v>
      </c>
      <c r="B2740" s="8">
        <v>40.772686739999997</v>
      </c>
      <c r="C2740" s="8" t="s">
        <v>6752</v>
      </c>
      <c r="D2740" s="8" t="s">
        <v>83</v>
      </c>
      <c r="E2740" s="8" t="b">
        <f t="shared" si="42"/>
        <v>0</v>
      </c>
      <c r="F2740" s="8" t="str" cm="1">
        <f t="array" ref="F2740">_xlfn._xlws.FILTER(E2740:E5938, C2740:C5938= "6D-PM-1020-01", "No Squirrels Found")</f>
        <v>No Squirrels Found</v>
      </c>
      <c r="G2740" s="8" t="s">
        <v>48</v>
      </c>
      <c r="H2740" s="10">
        <v>10102018</v>
      </c>
      <c r="I2740" s="10">
        <v>2</v>
      </c>
      <c r="K2740" s="8" t="s">
        <v>41</v>
      </c>
      <c r="L2740" s="8" t="s">
        <v>40</v>
      </c>
      <c r="M2740" s="8" t="s">
        <v>110</v>
      </c>
      <c r="R2740" s="8" t="b">
        <v>0</v>
      </c>
      <c r="S2740" s="8" t="b">
        <v>0</v>
      </c>
      <c r="T2740" s="8" t="b">
        <v>0</v>
      </c>
      <c r="U2740" s="8" t="b">
        <v>1</v>
      </c>
      <c r="V2740" s="8" t="b">
        <v>0</v>
      </c>
      <c r="X2740" s="8" t="b">
        <v>0</v>
      </c>
      <c r="Y2740" s="8" t="b">
        <v>0</v>
      </c>
      <c r="Z2740" s="8" t="b">
        <v>0</v>
      </c>
      <c r="AA2740" s="8" t="b">
        <v>0</v>
      </c>
      <c r="AB2740" s="8" t="b">
        <v>1</v>
      </c>
      <c r="AC2740" s="8" t="b">
        <v>0</v>
      </c>
      <c r="AD2740" s="8" t="b">
        <v>1</v>
      </c>
      <c r="AE2740" s="8" t="b">
        <v>0</v>
      </c>
      <c r="AG2740" s="11" t="b" cm="1">
        <f t="array" ref="AG2740">IF(OR(Y2740:AA2740="TRUE", AE2740="true"), "Threatened")</f>
        <v>0</v>
      </c>
      <c r="AH2740" s="11" t="s">
        <v>6753</v>
      </c>
      <c r="AI2740" s="8" t="b">
        <v>1</v>
      </c>
    </row>
    <row r="2741" spans="1:35" ht="31.2">
      <c r="A2741" s="8">
        <v>-73.961265870000005</v>
      </c>
      <c r="B2741" s="8">
        <v>40.791211990000001</v>
      </c>
      <c r="C2741" s="8" t="s">
        <v>6754</v>
      </c>
      <c r="D2741" s="8" t="s">
        <v>616</v>
      </c>
      <c r="E2741" s="8" t="b">
        <f t="shared" si="42"/>
        <v>0</v>
      </c>
      <c r="F2741" s="8" t="str" cm="1">
        <f t="array" ref="F2741">_xlfn._xlws.FILTER(E2741:E5939, C2741:C5939= "6D-PM-1020-01", "No Squirrels Found")</f>
        <v>No Squirrels Found</v>
      </c>
      <c r="G2741" s="8" t="s">
        <v>48</v>
      </c>
      <c r="H2741" s="10">
        <v>10142018</v>
      </c>
      <c r="I2741" s="10">
        <v>4</v>
      </c>
      <c r="J2741" s="8" t="s">
        <v>39</v>
      </c>
      <c r="K2741" s="8" t="s">
        <v>40</v>
      </c>
      <c r="M2741" s="8" t="s">
        <v>55</v>
      </c>
      <c r="O2741" s="8" t="s">
        <v>50</v>
      </c>
      <c r="P2741" s="8">
        <v>8</v>
      </c>
      <c r="R2741" s="8" t="b">
        <v>0</v>
      </c>
      <c r="S2741" s="8" t="b">
        <v>0</v>
      </c>
      <c r="T2741" s="8" t="b">
        <v>0</v>
      </c>
      <c r="U2741" s="8" t="b">
        <v>1</v>
      </c>
      <c r="V2741" s="8" t="b">
        <v>0</v>
      </c>
      <c r="X2741" s="8" t="b">
        <v>0</v>
      </c>
      <c r="Y2741" s="8" t="b">
        <v>0</v>
      </c>
      <c r="Z2741" s="8" t="b">
        <v>0</v>
      </c>
      <c r="AA2741" s="8" t="b">
        <v>0</v>
      </c>
      <c r="AB2741" s="8" t="b">
        <v>0</v>
      </c>
      <c r="AC2741" s="8" t="b">
        <v>0</v>
      </c>
      <c r="AD2741" s="8" t="b">
        <v>0</v>
      </c>
      <c r="AE2741" s="8" t="b">
        <v>0</v>
      </c>
      <c r="AG2741" s="11" t="b" cm="1">
        <f t="array" ref="AG2741">IF(OR(Y2741:AA2741="TRUE", AE2741="true"), "Threatened")</f>
        <v>0</v>
      </c>
      <c r="AH2741" s="11" t="s">
        <v>6755</v>
      </c>
      <c r="AI2741" s="8" t="b">
        <v>1</v>
      </c>
    </row>
    <row r="2742" spans="1:35" ht="31.2">
      <c r="A2742" s="8">
        <v>-73.954587770000003</v>
      </c>
      <c r="B2742" s="8">
        <v>40.790000120000002</v>
      </c>
      <c r="C2742" s="8" t="s">
        <v>6756</v>
      </c>
      <c r="D2742" s="8" t="s">
        <v>924</v>
      </c>
      <c r="E2742" s="8" t="b">
        <f t="shared" si="42"/>
        <v>0</v>
      </c>
      <c r="F2742" s="8" t="str" cm="1">
        <f t="array" ref="F2742">_xlfn._xlws.FILTER(E2742:E5940, C2742:C5940= "6D-PM-1020-01", "No Squirrels Found")</f>
        <v>No Squirrels Found</v>
      </c>
      <c r="G2742" s="8" t="s">
        <v>34</v>
      </c>
      <c r="H2742" s="10">
        <v>10062018</v>
      </c>
      <c r="I2742" s="10">
        <v>1</v>
      </c>
      <c r="J2742" s="8" t="s">
        <v>39</v>
      </c>
      <c r="K2742" s="8" t="s">
        <v>40</v>
      </c>
      <c r="M2742" s="8" t="s">
        <v>55</v>
      </c>
      <c r="O2742" s="8" t="s">
        <v>43</v>
      </c>
      <c r="P2742" s="8" t="b">
        <v>0</v>
      </c>
      <c r="R2742" s="8" t="b">
        <v>0</v>
      </c>
      <c r="S2742" s="8" t="b">
        <v>0</v>
      </c>
      <c r="T2742" s="8" t="b">
        <v>0</v>
      </c>
      <c r="U2742" s="8" t="b">
        <v>0</v>
      </c>
      <c r="V2742" s="8" t="b">
        <v>1</v>
      </c>
      <c r="X2742" s="8" t="b">
        <v>0</v>
      </c>
      <c r="Y2742" s="8" t="b">
        <v>0</v>
      </c>
      <c r="Z2742" s="8" t="b">
        <v>0</v>
      </c>
      <c r="AA2742" s="8" t="b">
        <v>0</v>
      </c>
      <c r="AB2742" s="8" t="b">
        <v>0</v>
      </c>
      <c r="AC2742" s="8" t="b">
        <v>0</v>
      </c>
      <c r="AD2742" s="8" t="b">
        <v>0</v>
      </c>
      <c r="AE2742" s="8" t="b">
        <v>0</v>
      </c>
      <c r="AG2742" s="11" t="b" cm="1">
        <f t="array" ref="AG2742">IF(OR(Y2742:AA2742="TRUE", AE2742="true"), "Threatened")</f>
        <v>0</v>
      </c>
      <c r="AH2742" s="11" t="s">
        <v>6757</v>
      </c>
      <c r="AI2742" s="8" t="b">
        <v>1</v>
      </c>
    </row>
    <row r="2743" spans="1:35" ht="31.2">
      <c r="A2743" s="8">
        <v>-73.962804160000005</v>
      </c>
      <c r="B2743" s="8">
        <v>40.788418020000002</v>
      </c>
      <c r="C2743" s="8" t="s">
        <v>6758</v>
      </c>
      <c r="D2743" s="8" t="s">
        <v>1052</v>
      </c>
      <c r="E2743" s="8" t="b">
        <f t="shared" si="42"/>
        <v>0</v>
      </c>
      <c r="F2743" s="8" t="str" cm="1">
        <f t="array" ref="F2743">_xlfn._xlws.FILTER(E2743:E5941, C2743:C5941= "6D-PM-1020-01", "No Squirrels Found")</f>
        <v>No Squirrels Found</v>
      </c>
      <c r="G2743" s="8" t="s">
        <v>48</v>
      </c>
      <c r="H2743" s="10">
        <v>10122018</v>
      </c>
      <c r="I2743" s="10">
        <v>6</v>
      </c>
      <c r="J2743" s="8" t="s">
        <v>54</v>
      </c>
      <c r="K2743" s="8" t="s">
        <v>41</v>
      </c>
      <c r="L2743" s="8" t="s">
        <v>84</v>
      </c>
      <c r="M2743" s="8" t="s">
        <v>85</v>
      </c>
      <c r="O2743" s="8" t="s">
        <v>50</v>
      </c>
      <c r="P2743" s="8">
        <v>5</v>
      </c>
      <c r="R2743" s="8" t="b">
        <v>0</v>
      </c>
      <c r="S2743" s="8" t="b">
        <v>0</v>
      </c>
      <c r="T2743" s="8" t="b">
        <v>0</v>
      </c>
      <c r="U2743" s="8" t="b">
        <v>1</v>
      </c>
      <c r="V2743" s="8" t="b">
        <v>0</v>
      </c>
      <c r="X2743" s="8" t="b">
        <v>0</v>
      </c>
      <c r="Y2743" s="8" t="b">
        <v>0</v>
      </c>
      <c r="Z2743" s="8" t="b">
        <v>0</v>
      </c>
      <c r="AA2743" s="8" t="b">
        <v>0</v>
      </c>
      <c r="AB2743" s="8" t="b">
        <v>0</v>
      </c>
      <c r="AC2743" s="8" t="b">
        <v>0</v>
      </c>
      <c r="AD2743" s="8" t="b">
        <v>0</v>
      </c>
      <c r="AE2743" s="8" t="b">
        <v>1</v>
      </c>
      <c r="AG2743" s="11" t="b" cm="1">
        <f t="array" ref="AG2743">IF(OR(Y2743:AA2743="TRUE", AE2743="true"), "Threatened")</f>
        <v>0</v>
      </c>
      <c r="AH2743" s="11" t="s">
        <v>6759</v>
      </c>
      <c r="AI2743" s="8" t="b">
        <v>1</v>
      </c>
    </row>
    <row r="2744" spans="1:35" ht="31.2">
      <c r="A2744" s="8">
        <v>-73.958717960000001</v>
      </c>
      <c r="B2744" s="8">
        <v>40.799211960000001</v>
      </c>
      <c r="C2744" s="8" t="s">
        <v>6760</v>
      </c>
      <c r="D2744" s="8" t="s">
        <v>478</v>
      </c>
      <c r="E2744" s="8" t="b">
        <f t="shared" si="42"/>
        <v>0</v>
      </c>
      <c r="F2744" s="8" t="str" cm="1">
        <f t="array" ref="F2744">_xlfn._xlws.FILTER(E2744:E5942, C2744:C5942= "6D-PM-1020-01", "No Squirrels Found")</f>
        <v>No Squirrels Found</v>
      </c>
      <c r="G2744" s="8" t="s">
        <v>34</v>
      </c>
      <c r="H2744" s="10">
        <v>10072018</v>
      </c>
      <c r="I2744" s="10">
        <v>1</v>
      </c>
      <c r="J2744" s="8" t="s">
        <v>39</v>
      </c>
      <c r="K2744" s="8" t="s">
        <v>40</v>
      </c>
      <c r="L2744" s="8" t="s">
        <v>84</v>
      </c>
      <c r="M2744" s="8" t="s">
        <v>103</v>
      </c>
      <c r="O2744" s="8" t="s">
        <v>43</v>
      </c>
      <c r="P2744" s="8" t="b">
        <v>0</v>
      </c>
      <c r="R2744" s="8" t="b">
        <v>1</v>
      </c>
      <c r="S2744" s="8" t="b">
        <v>0</v>
      </c>
      <c r="T2744" s="8" t="b">
        <v>0</v>
      </c>
      <c r="U2744" s="8" t="b">
        <v>0</v>
      </c>
      <c r="V2744" s="8" t="b">
        <v>0</v>
      </c>
      <c r="X2744" s="8" t="b">
        <v>0</v>
      </c>
      <c r="Y2744" s="8" t="b">
        <v>0</v>
      </c>
      <c r="Z2744" s="8" t="b">
        <v>0</v>
      </c>
      <c r="AA2744" s="8" t="b">
        <v>0</v>
      </c>
      <c r="AB2744" s="8" t="b">
        <v>0</v>
      </c>
      <c r="AC2744" s="8" t="b">
        <v>0</v>
      </c>
      <c r="AD2744" s="8" t="b">
        <v>0</v>
      </c>
      <c r="AE2744" s="8" t="b">
        <v>0</v>
      </c>
      <c r="AG2744" s="11" t="b" cm="1">
        <f t="array" ref="AG2744">IF(OR(Y2744:AA2744="TRUE", AE2744="true"), "Threatened")</f>
        <v>0</v>
      </c>
      <c r="AH2744" s="11" t="s">
        <v>6761</v>
      </c>
      <c r="AI2744" s="8" t="b">
        <v>1</v>
      </c>
    </row>
    <row r="2745" spans="1:35" ht="31.2">
      <c r="A2745" s="8">
        <v>-73.975291560000002</v>
      </c>
      <c r="B2745" s="8">
        <v>40.773932960000003</v>
      </c>
      <c r="C2745" s="8" t="s">
        <v>6762</v>
      </c>
      <c r="D2745" s="8" t="s">
        <v>802</v>
      </c>
      <c r="E2745" s="8" t="b">
        <f t="shared" si="42"/>
        <v>0</v>
      </c>
      <c r="F2745" s="8" t="str" cm="1">
        <f t="array" ref="F2745">_xlfn._xlws.FILTER(E2745:E5943, C2745:C5943= "6D-PM-1020-01", "No Squirrels Found")</f>
        <v>No Squirrels Found</v>
      </c>
      <c r="G2745" s="8" t="s">
        <v>48</v>
      </c>
      <c r="H2745" s="10">
        <v>10102018</v>
      </c>
      <c r="I2745" s="10">
        <v>4</v>
      </c>
      <c r="M2745" s="8" t="s">
        <v>35</v>
      </c>
      <c r="O2745" s="8" t="s">
        <v>50</v>
      </c>
      <c r="P2745" s="8">
        <v>10</v>
      </c>
      <c r="R2745" s="8" t="b">
        <v>1</v>
      </c>
      <c r="S2745" s="8" t="b">
        <v>0</v>
      </c>
      <c r="T2745" s="8" t="b">
        <v>1</v>
      </c>
      <c r="U2745" s="8" t="b">
        <v>0</v>
      </c>
      <c r="V2745" s="8" t="b">
        <v>0</v>
      </c>
      <c r="X2745" s="8" t="b">
        <v>0</v>
      </c>
      <c r="Y2745" s="8" t="b">
        <v>0</v>
      </c>
      <c r="Z2745" s="8" t="b">
        <v>0</v>
      </c>
      <c r="AA2745" s="8" t="b">
        <v>0</v>
      </c>
      <c r="AB2745" s="8" t="b">
        <v>0</v>
      </c>
      <c r="AC2745" s="8" t="b">
        <v>0</v>
      </c>
      <c r="AD2745" s="8" t="b">
        <v>0</v>
      </c>
      <c r="AE2745" s="8" t="b">
        <v>0</v>
      </c>
      <c r="AG2745" s="11" t="b" cm="1">
        <f t="array" ref="AG2745">IF(OR(Y2745:AA2745="TRUE", AE2745="true"), "Threatened")</f>
        <v>0</v>
      </c>
      <c r="AH2745" s="11" t="s">
        <v>6763</v>
      </c>
      <c r="AI2745" s="8" t="b">
        <v>1</v>
      </c>
    </row>
    <row r="2746" spans="1:35" ht="31.2">
      <c r="A2746" s="8">
        <v>-73.972962589999995</v>
      </c>
      <c r="B2746" s="8">
        <v>40.765260189999999</v>
      </c>
      <c r="C2746" s="8" t="s">
        <v>6764</v>
      </c>
      <c r="D2746" s="8" t="s">
        <v>4235</v>
      </c>
      <c r="E2746" s="8" t="b">
        <f t="shared" si="42"/>
        <v>0</v>
      </c>
      <c r="F2746" s="8" t="str" cm="1">
        <f t="array" ref="F2746">_xlfn._xlws.FILTER(E2746:E5944, C2746:C5944= "6D-PM-1020-01", "No Squirrels Found")</f>
        <v>No Squirrels Found</v>
      </c>
      <c r="G2746" s="8" t="s">
        <v>34</v>
      </c>
      <c r="H2746" s="10">
        <v>10122018</v>
      </c>
      <c r="I2746" s="10">
        <v>4</v>
      </c>
      <c r="J2746" s="8" t="s">
        <v>54</v>
      </c>
      <c r="K2746" s="8" t="s">
        <v>41</v>
      </c>
      <c r="L2746" s="8" t="s">
        <v>84</v>
      </c>
      <c r="M2746" s="8" t="s">
        <v>85</v>
      </c>
      <c r="N2746" s="11" t="s">
        <v>6765</v>
      </c>
      <c r="O2746" s="8" t="s">
        <v>50</v>
      </c>
      <c r="P2746" s="8">
        <v>2</v>
      </c>
      <c r="Q2746" s="8" t="s">
        <v>6766</v>
      </c>
      <c r="R2746" s="8" t="b">
        <v>0</v>
      </c>
      <c r="S2746" s="8" t="b">
        <v>0</v>
      </c>
      <c r="T2746" s="8" t="b">
        <v>1</v>
      </c>
      <c r="U2746" s="8" t="b">
        <v>0</v>
      </c>
      <c r="V2746" s="8" t="b">
        <v>0</v>
      </c>
      <c r="X2746" s="8" t="b">
        <v>0</v>
      </c>
      <c r="Y2746" s="8" t="b">
        <v>0</v>
      </c>
      <c r="Z2746" s="8" t="b">
        <v>0</v>
      </c>
      <c r="AA2746" s="8" t="b">
        <v>0</v>
      </c>
      <c r="AB2746" s="8" t="b">
        <v>1</v>
      </c>
      <c r="AC2746" s="8" t="b">
        <v>0</v>
      </c>
      <c r="AD2746" s="8" t="b">
        <v>0</v>
      </c>
      <c r="AE2746" s="8" t="b">
        <v>1</v>
      </c>
      <c r="AG2746" s="11" t="b" cm="1">
        <f t="array" ref="AG2746">IF(OR(Y2746:AA2746="TRUE", AE2746="true"), "Threatened")</f>
        <v>0</v>
      </c>
      <c r="AH2746" s="11" t="s">
        <v>6767</v>
      </c>
      <c r="AI2746" s="8" t="b">
        <v>1</v>
      </c>
    </row>
    <row r="2747" spans="1:35" ht="31.2">
      <c r="A2747" s="8">
        <v>-73.956143280000006</v>
      </c>
      <c r="B2747" s="8">
        <v>40.798266529999999</v>
      </c>
      <c r="C2747" s="8" t="s">
        <v>6768</v>
      </c>
      <c r="D2747" s="8" t="s">
        <v>1133</v>
      </c>
      <c r="E2747" s="8" t="b">
        <f t="shared" si="42"/>
        <v>0</v>
      </c>
      <c r="F2747" s="8" t="str" cm="1">
        <f t="array" ref="F2747">_xlfn._xlws.FILTER(E2747:E5945, C2747:C5945= "6D-PM-1020-01", "No Squirrels Found")</f>
        <v>No Squirrels Found</v>
      </c>
      <c r="G2747" s="8" t="s">
        <v>48</v>
      </c>
      <c r="H2747" s="10">
        <v>10172018</v>
      </c>
      <c r="I2747" s="10">
        <v>7</v>
      </c>
      <c r="J2747" s="8" t="s">
        <v>39</v>
      </c>
      <c r="K2747" s="8" t="s">
        <v>41</v>
      </c>
      <c r="L2747" s="8" t="s">
        <v>40</v>
      </c>
      <c r="M2747" s="8" t="s">
        <v>110</v>
      </c>
      <c r="O2747" s="8" t="s">
        <v>43</v>
      </c>
      <c r="P2747" s="8" t="b">
        <v>0</v>
      </c>
      <c r="R2747" s="8" t="b">
        <v>0</v>
      </c>
      <c r="S2747" s="8" t="b">
        <v>0</v>
      </c>
      <c r="T2747" s="8" t="b">
        <v>0</v>
      </c>
      <c r="U2747" s="8" t="b">
        <v>0</v>
      </c>
      <c r="V2747" s="8" t="b">
        <v>1</v>
      </c>
      <c r="X2747" s="8" t="b">
        <v>0</v>
      </c>
      <c r="Y2747" s="8" t="b">
        <v>0</v>
      </c>
      <c r="Z2747" s="8" t="b">
        <v>0</v>
      </c>
      <c r="AA2747" s="8" t="b">
        <v>0</v>
      </c>
      <c r="AB2747" s="8" t="b">
        <v>1</v>
      </c>
      <c r="AC2747" s="8" t="b">
        <v>0</v>
      </c>
      <c r="AD2747" s="8" t="b">
        <v>1</v>
      </c>
      <c r="AE2747" s="8" t="b">
        <v>0</v>
      </c>
      <c r="AG2747" s="11" t="b" cm="1">
        <f t="array" ref="AG2747">IF(OR(Y2747:AA2747="TRUE", AE2747="true"), "Threatened")</f>
        <v>0</v>
      </c>
      <c r="AH2747" s="11" t="s">
        <v>6769</v>
      </c>
      <c r="AI2747" s="8" t="b">
        <v>1</v>
      </c>
    </row>
    <row r="2748" spans="1:35" ht="31.2">
      <c r="A2748" s="8">
        <v>-73.971314840000005</v>
      </c>
      <c r="B2748" s="8">
        <v>40.774951289999997</v>
      </c>
      <c r="C2748" s="8" t="s">
        <v>6770</v>
      </c>
      <c r="D2748" s="8" t="s">
        <v>738</v>
      </c>
      <c r="E2748" s="8" t="b">
        <f t="shared" si="42"/>
        <v>0</v>
      </c>
      <c r="F2748" s="8" t="str" cm="1">
        <f t="array" ref="F2748">_xlfn._xlws.FILTER(E2748:E5946, C2748:C5946= "6D-PM-1020-01", "No Squirrels Found")</f>
        <v>No Squirrels Found</v>
      </c>
      <c r="G2748" s="8" t="s">
        <v>48</v>
      </c>
      <c r="H2748" s="10">
        <v>10172018</v>
      </c>
      <c r="I2748" s="10">
        <v>3</v>
      </c>
      <c r="J2748" s="8" t="s">
        <v>39</v>
      </c>
      <c r="K2748" s="8" t="s">
        <v>40</v>
      </c>
      <c r="L2748" s="8" t="s">
        <v>41</v>
      </c>
      <c r="M2748" s="8" t="s">
        <v>42</v>
      </c>
      <c r="O2748" s="8" t="s">
        <v>50</v>
      </c>
      <c r="P2748" s="8">
        <v>8</v>
      </c>
      <c r="R2748" s="8" t="b">
        <v>0</v>
      </c>
      <c r="S2748" s="8" t="b">
        <v>0</v>
      </c>
      <c r="T2748" s="8" t="b">
        <v>1</v>
      </c>
      <c r="U2748" s="8" t="b">
        <v>0</v>
      </c>
      <c r="V2748" s="8" t="b">
        <v>1</v>
      </c>
      <c r="X2748" s="8" t="b">
        <v>0</v>
      </c>
      <c r="Y2748" s="8" t="b">
        <v>0</v>
      </c>
      <c r="Z2748" s="8" t="b">
        <v>0</v>
      </c>
      <c r="AA2748" s="8" t="b">
        <v>0</v>
      </c>
      <c r="AB2748" s="8" t="b">
        <v>0</v>
      </c>
      <c r="AC2748" s="8" t="b">
        <v>0</v>
      </c>
      <c r="AD2748" s="8" t="b">
        <v>1</v>
      </c>
      <c r="AE2748" s="8" t="b">
        <v>0</v>
      </c>
      <c r="AG2748" s="11" t="b" cm="1">
        <f t="array" ref="AG2748">IF(OR(Y2748:AA2748="TRUE", AE2748="true"), "Threatened")</f>
        <v>0</v>
      </c>
      <c r="AH2748" s="11" t="s">
        <v>6771</v>
      </c>
      <c r="AI2748" s="8" t="b">
        <v>1</v>
      </c>
    </row>
    <row r="2749" spans="1:35" ht="31.2">
      <c r="A2749" s="8">
        <v>-73.960094710000007</v>
      </c>
      <c r="B2749" s="8">
        <v>40.791606610000002</v>
      </c>
      <c r="C2749" s="8" t="s">
        <v>6772</v>
      </c>
      <c r="D2749" s="8" t="s">
        <v>1205</v>
      </c>
      <c r="E2749" s="8" t="b">
        <f t="shared" si="42"/>
        <v>0</v>
      </c>
      <c r="F2749" s="8" t="str" cm="1">
        <f t="array" ref="F2749">_xlfn._xlws.FILTER(E2749:E5947, C2749:C5947= "6D-PM-1020-01", "No Squirrels Found")</f>
        <v>No Squirrels Found</v>
      </c>
      <c r="G2749" s="8" t="s">
        <v>48</v>
      </c>
      <c r="H2749" s="10">
        <v>10172018</v>
      </c>
      <c r="I2749" s="10">
        <v>1</v>
      </c>
      <c r="J2749" s="8" t="s">
        <v>39</v>
      </c>
      <c r="K2749" s="8" t="s">
        <v>40</v>
      </c>
      <c r="L2749" s="8" t="s">
        <v>41</v>
      </c>
      <c r="M2749" s="8" t="s">
        <v>42</v>
      </c>
      <c r="O2749" s="8" t="s">
        <v>50</v>
      </c>
      <c r="P2749" s="8">
        <v>5</v>
      </c>
      <c r="R2749" s="8" t="b">
        <v>0</v>
      </c>
      <c r="S2749" s="8" t="b">
        <v>0</v>
      </c>
      <c r="T2749" s="8" t="b">
        <v>1</v>
      </c>
      <c r="U2749" s="8" t="b">
        <v>0</v>
      </c>
      <c r="V2749" s="8" t="b">
        <v>0</v>
      </c>
      <c r="X2749" s="8" t="b">
        <v>0</v>
      </c>
      <c r="Y2749" s="8" t="b">
        <v>0</v>
      </c>
      <c r="Z2749" s="8" t="b">
        <v>0</v>
      </c>
      <c r="AA2749" s="8" t="b">
        <v>0</v>
      </c>
      <c r="AB2749" s="8" t="b">
        <v>0</v>
      </c>
      <c r="AC2749" s="8" t="b">
        <v>0</v>
      </c>
      <c r="AD2749" s="8" t="b">
        <v>1</v>
      </c>
      <c r="AE2749" s="8" t="b">
        <v>0</v>
      </c>
      <c r="AG2749" s="11" t="b" cm="1">
        <f t="array" ref="AG2749">IF(OR(Y2749:AA2749="TRUE", AE2749="true"), "Threatened")</f>
        <v>0</v>
      </c>
      <c r="AH2749" s="11" t="s">
        <v>6773</v>
      </c>
      <c r="AI2749" s="8" t="b">
        <v>1</v>
      </c>
    </row>
    <row r="2750" spans="1:35" ht="31.2">
      <c r="A2750" s="8">
        <v>-73.972966999999997</v>
      </c>
      <c r="B2750" s="8">
        <v>40.771184839999997</v>
      </c>
      <c r="C2750" s="8" t="s">
        <v>6774</v>
      </c>
      <c r="D2750" s="8" t="s">
        <v>368</v>
      </c>
      <c r="E2750" s="8" t="b">
        <f t="shared" si="42"/>
        <v>0</v>
      </c>
      <c r="F2750" s="8" t="str" cm="1">
        <f t="array" ref="F2750">_xlfn._xlws.FILTER(E2750:E5948, C2750:C5948= "6D-PM-1020-01", "No Squirrels Found")</f>
        <v>No Squirrels Found</v>
      </c>
      <c r="G2750" s="8" t="s">
        <v>48</v>
      </c>
      <c r="H2750" s="10">
        <v>10082018</v>
      </c>
      <c r="I2750" s="10">
        <v>17</v>
      </c>
      <c r="J2750" s="8" t="s">
        <v>39</v>
      </c>
      <c r="K2750" s="8" t="s">
        <v>40</v>
      </c>
      <c r="M2750" s="8" t="s">
        <v>55</v>
      </c>
      <c r="O2750" s="8" t="s">
        <v>43</v>
      </c>
      <c r="P2750" s="8" t="b">
        <v>0</v>
      </c>
      <c r="R2750" s="8" t="b">
        <v>0</v>
      </c>
      <c r="S2750" s="8" t="b">
        <v>0</v>
      </c>
      <c r="T2750" s="8" t="b">
        <v>0</v>
      </c>
      <c r="U2750" s="8" t="b">
        <v>0</v>
      </c>
      <c r="V2750" s="8" t="b">
        <v>1</v>
      </c>
      <c r="W2750" s="11" t="s">
        <v>5111</v>
      </c>
      <c r="X2750" s="8" t="b">
        <v>0</v>
      </c>
      <c r="Y2750" s="8" t="b">
        <v>0</v>
      </c>
      <c r="Z2750" s="8" t="b">
        <v>0</v>
      </c>
      <c r="AA2750" s="8" t="b">
        <v>0</v>
      </c>
      <c r="AB2750" s="8" t="b">
        <v>0</v>
      </c>
      <c r="AC2750" s="8" t="b">
        <v>0</v>
      </c>
      <c r="AD2750" s="8" t="b">
        <v>0</v>
      </c>
      <c r="AE2750" s="8" t="b">
        <v>1</v>
      </c>
      <c r="AG2750" s="11" t="b" cm="1">
        <f t="array" ref="AG2750">IF(OR(Y2750:AA2750="TRUE", AE2750="true"), "Threatened")</f>
        <v>0</v>
      </c>
      <c r="AH2750" s="11" t="s">
        <v>6775</v>
      </c>
      <c r="AI2750" s="8" t="b">
        <v>0</v>
      </c>
    </row>
    <row r="2751" spans="1:35" ht="31.2">
      <c r="A2751" s="8">
        <v>-73.957775999999996</v>
      </c>
      <c r="B2751" s="8">
        <v>40.793288089999997</v>
      </c>
      <c r="C2751" s="8" t="s">
        <v>6776</v>
      </c>
      <c r="D2751" s="8" t="s">
        <v>493</v>
      </c>
      <c r="E2751" s="8" t="b">
        <f t="shared" si="42"/>
        <v>0</v>
      </c>
      <c r="F2751" s="8" t="str" cm="1">
        <f t="array" ref="F2751">_xlfn._xlws.FILTER(E2751:E5949, C2751:C5949= "6D-PM-1020-01", "No Squirrels Found")</f>
        <v>No Squirrels Found</v>
      </c>
      <c r="G2751" s="8" t="s">
        <v>34</v>
      </c>
      <c r="H2751" s="10">
        <v>10062018</v>
      </c>
      <c r="I2751" s="10">
        <v>5</v>
      </c>
      <c r="J2751" s="8" t="s">
        <v>39</v>
      </c>
      <c r="K2751" s="8" t="s">
        <v>40</v>
      </c>
      <c r="M2751" s="8" t="s">
        <v>55</v>
      </c>
      <c r="O2751" s="8" t="s">
        <v>43</v>
      </c>
      <c r="P2751" s="8" t="b">
        <v>0</v>
      </c>
      <c r="R2751" s="8" t="b">
        <v>0</v>
      </c>
      <c r="S2751" s="8" t="b">
        <v>0</v>
      </c>
      <c r="T2751" s="8" t="b">
        <v>0</v>
      </c>
      <c r="U2751" s="8" t="b">
        <v>1</v>
      </c>
      <c r="V2751" s="8" t="b">
        <v>1</v>
      </c>
      <c r="X2751" s="8" t="b">
        <v>0</v>
      </c>
      <c r="Y2751" s="8" t="b">
        <v>0</v>
      </c>
      <c r="Z2751" s="8" t="b">
        <v>0</v>
      </c>
      <c r="AA2751" s="8" t="b">
        <v>0</v>
      </c>
      <c r="AB2751" s="8" t="b">
        <v>0</v>
      </c>
      <c r="AC2751" s="8" t="b">
        <v>1</v>
      </c>
      <c r="AD2751" s="8" t="b">
        <v>0</v>
      </c>
      <c r="AE2751" s="8" t="b">
        <v>0</v>
      </c>
      <c r="AG2751" s="11" t="b" cm="1">
        <f t="array" ref="AG2751">IF(OR(Y2751:AA2751="TRUE", AE2751="true"), "Threatened")</f>
        <v>0</v>
      </c>
      <c r="AH2751" s="11" t="s">
        <v>6777</v>
      </c>
      <c r="AI2751" s="8" t="b">
        <v>1</v>
      </c>
    </row>
    <row r="2752" spans="1:35" ht="31.2">
      <c r="A2752" s="8">
        <v>-73.956289119999994</v>
      </c>
      <c r="B2752" s="8">
        <v>40.795339400000003</v>
      </c>
      <c r="C2752" s="8" t="s">
        <v>6778</v>
      </c>
      <c r="D2752" s="8" t="s">
        <v>530</v>
      </c>
      <c r="E2752" s="8" t="b">
        <f t="shared" si="42"/>
        <v>0</v>
      </c>
      <c r="F2752" s="8" t="str" cm="1">
        <f t="array" ref="F2752">_xlfn._xlws.FILTER(E2752:E5950, C2752:C5950= "6D-PM-1020-01", "No Squirrels Found")</f>
        <v>No Squirrels Found</v>
      </c>
      <c r="G2752" s="8" t="s">
        <v>48</v>
      </c>
      <c r="H2752" s="10">
        <v>10102018</v>
      </c>
      <c r="I2752" s="10">
        <v>11</v>
      </c>
      <c r="J2752" s="8" t="s">
        <v>39</v>
      </c>
      <c r="K2752" s="8" t="s">
        <v>40</v>
      </c>
      <c r="L2752" s="8" t="s">
        <v>41</v>
      </c>
      <c r="M2752" s="8" t="s">
        <v>42</v>
      </c>
      <c r="O2752" s="8" t="s">
        <v>43</v>
      </c>
      <c r="P2752" s="8" t="b">
        <v>0</v>
      </c>
      <c r="Q2752" s="8" t="s">
        <v>6779</v>
      </c>
      <c r="R2752" s="8" t="b">
        <v>0</v>
      </c>
      <c r="S2752" s="8" t="b">
        <v>0</v>
      </c>
      <c r="T2752" s="8" t="b">
        <v>0</v>
      </c>
      <c r="U2752" s="8" t="b">
        <v>0</v>
      </c>
      <c r="V2752" s="8" t="b">
        <v>1</v>
      </c>
      <c r="X2752" s="8" t="b">
        <v>0</v>
      </c>
      <c r="Y2752" s="8" t="b">
        <v>0</v>
      </c>
      <c r="Z2752" s="8" t="b">
        <v>0</v>
      </c>
      <c r="AA2752" s="8" t="b">
        <v>1</v>
      </c>
      <c r="AB2752" s="8" t="b">
        <v>0</v>
      </c>
      <c r="AC2752" s="8" t="b">
        <v>0</v>
      </c>
      <c r="AD2752" s="8" t="b">
        <v>1</v>
      </c>
      <c r="AE2752" s="8" t="b">
        <v>0</v>
      </c>
      <c r="AG2752" s="11" t="b" cm="1">
        <f t="array" ref="AG2752">IF(OR(Y2752:AA2752="TRUE", AE2752="true"), "Threatened")</f>
        <v>0</v>
      </c>
      <c r="AH2752" s="11" t="s">
        <v>6780</v>
      </c>
      <c r="AI2752" s="8" t="b">
        <v>1</v>
      </c>
    </row>
    <row r="2753" spans="1:35" ht="31.2">
      <c r="A2753" s="8">
        <v>-73.972069939999997</v>
      </c>
      <c r="B2753" s="8">
        <v>40.765940260000001</v>
      </c>
      <c r="C2753" s="8" t="s">
        <v>6781</v>
      </c>
      <c r="D2753" s="8" t="s">
        <v>988</v>
      </c>
      <c r="E2753" s="8" t="b">
        <f t="shared" si="42"/>
        <v>0</v>
      </c>
      <c r="F2753" s="8" t="str" cm="1">
        <f t="array" ref="F2753">_xlfn._xlws.FILTER(E2753:E5951, C2753:C5951= "6D-PM-1020-01", "No Squirrels Found")</f>
        <v>No Squirrels Found</v>
      </c>
      <c r="G2753" s="8" t="s">
        <v>34</v>
      </c>
      <c r="H2753" s="10">
        <v>10132018</v>
      </c>
      <c r="I2753" s="10">
        <v>4</v>
      </c>
      <c r="J2753" s="8" t="s">
        <v>39</v>
      </c>
      <c r="K2753" s="8" t="s">
        <v>41</v>
      </c>
      <c r="L2753" s="8" t="s">
        <v>40</v>
      </c>
      <c r="M2753" s="8" t="s">
        <v>110</v>
      </c>
      <c r="O2753" s="8" t="s">
        <v>43</v>
      </c>
      <c r="P2753" s="8" t="b">
        <v>0</v>
      </c>
      <c r="R2753" s="8" t="b">
        <v>0</v>
      </c>
      <c r="S2753" s="8" t="b">
        <v>0</v>
      </c>
      <c r="T2753" s="8" t="b">
        <v>0</v>
      </c>
      <c r="U2753" s="8" t="b">
        <v>0</v>
      </c>
      <c r="V2753" s="8" t="b">
        <v>1</v>
      </c>
      <c r="X2753" s="8" t="b">
        <v>0</v>
      </c>
      <c r="Y2753" s="8" t="b">
        <v>0</v>
      </c>
      <c r="Z2753" s="8" t="b">
        <v>0</v>
      </c>
      <c r="AA2753" s="8" t="b">
        <v>0</v>
      </c>
      <c r="AB2753" s="8" t="b">
        <v>0</v>
      </c>
      <c r="AC2753" s="8" t="b">
        <v>0</v>
      </c>
      <c r="AD2753" s="8" t="b">
        <v>1</v>
      </c>
      <c r="AE2753" s="8" t="b">
        <v>0</v>
      </c>
      <c r="AG2753" s="11" t="b" cm="1">
        <f t="array" ref="AG2753">IF(OR(Y2753:AA2753="TRUE", AE2753="true"), "Threatened")</f>
        <v>0</v>
      </c>
      <c r="AH2753" s="11" t="s">
        <v>6782</v>
      </c>
      <c r="AI2753" s="8" t="b">
        <v>1</v>
      </c>
    </row>
    <row r="2754" spans="1:35" ht="31.2">
      <c r="A2754" s="8">
        <v>-73.968109080000005</v>
      </c>
      <c r="B2754" s="8">
        <v>40.783827580000001</v>
      </c>
      <c r="C2754" s="8" t="s">
        <v>6783</v>
      </c>
      <c r="D2754" s="8" t="s">
        <v>335</v>
      </c>
      <c r="E2754" s="8" t="b">
        <f t="shared" si="42"/>
        <v>0</v>
      </c>
      <c r="F2754" s="8" t="str" cm="1">
        <f t="array" ref="F2754">_xlfn._xlws.FILTER(E2754:E5952, C2754:C5952= "6D-PM-1020-01", "No Squirrels Found")</f>
        <v>No Squirrels Found</v>
      </c>
      <c r="G2754" s="8" t="s">
        <v>34</v>
      </c>
      <c r="H2754" s="10">
        <v>10142018</v>
      </c>
      <c r="I2754" s="10">
        <v>4</v>
      </c>
      <c r="J2754" s="8" t="s">
        <v>39</v>
      </c>
      <c r="K2754" s="8" t="s">
        <v>41</v>
      </c>
      <c r="M2754" s="8" t="s">
        <v>49</v>
      </c>
      <c r="O2754" s="8" t="s">
        <v>43</v>
      </c>
      <c r="P2754" s="8" t="b">
        <v>0</v>
      </c>
      <c r="R2754" s="8" t="b">
        <v>0</v>
      </c>
      <c r="S2754" s="8" t="b">
        <v>0</v>
      </c>
      <c r="T2754" s="8" t="b">
        <v>0</v>
      </c>
      <c r="U2754" s="8" t="b">
        <v>0</v>
      </c>
      <c r="V2754" s="8" t="b">
        <v>1</v>
      </c>
      <c r="X2754" s="8" t="b">
        <v>0</v>
      </c>
      <c r="Y2754" s="8" t="b">
        <v>0</v>
      </c>
      <c r="Z2754" s="8" t="b">
        <v>0</v>
      </c>
      <c r="AA2754" s="8" t="b">
        <v>0</v>
      </c>
      <c r="AB2754" s="8" t="b">
        <v>0</v>
      </c>
      <c r="AC2754" s="8" t="b">
        <v>0</v>
      </c>
      <c r="AD2754" s="8" t="b">
        <v>1</v>
      </c>
      <c r="AE2754" s="8" t="b">
        <v>0</v>
      </c>
      <c r="AG2754" s="11" t="b" cm="1">
        <f t="array" ref="AG2754">IF(OR(Y2754:AA2754="TRUE", AE2754="true"), "Threatened")</f>
        <v>0</v>
      </c>
      <c r="AH2754" s="11" t="s">
        <v>6784</v>
      </c>
      <c r="AI2754" s="8" t="b">
        <v>1</v>
      </c>
    </row>
    <row r="2755" spans="1:35" ht="31.2">
      <c r="A2755" s="8">
        <v>-73.968702590000007</v>
      </c>
      <c r="B2755" s="8">
        <v>40.771931979999998</v>
      </c>
      <c r="C2755" s="8" t="s">
        <v>6785</v>
      </c>
      <c r="D2755" s="8" t="s">
        <v>1254</v>
      </c>
      <c r="E2755" s="8" t="b">
        <f t="shared" ref="E2755:E2818" si="43">OR(D2755 = "05D", D2755 = "07D", D2755 = "06C", D2755 = "06E")</f>
        <v>0</v>
      </c>
      <c r="F2755" s="8" t="str" cm="1">
        <f t="array" ref="F2755">_xlfn._xlws.FILTER(E2755:E5953, C2755:C5953= "6D-PM-1020-01", "No Squirrels Found")</f>
        <v>No Squirrels Found</v>
      </c>
      <c r="G2755" s="8" t="s">
        <v>48</v>
      </c>
      <c r="H2755" s="10">
        <v>10142018</v>
      </c>
      <c r="I2755" s="10">
        <v>4</v>
      </c>
      <c r="J2755" s="8" t="s">
        <v>54</v>
      </c>
      <c r="M2755" s="8" t="s">
        <v>35</v>
      </c>
      <c r="O2755" s="8" t="s">
        <v>50</v>
      </c>
      <c r="P2755" s="8">
        <v>20</v>
      </c>
      <c r="R2755" s="8" t="b">
        <v>0</v>
      </c>
      <c r="S2755" s="8" t="b">
        <v>0</v>
      </c>
      <c r="T2755" s="8" t="b">
        <v>1</v>
      </c>
      <c r="U2755" s="8" t="b">
        <v>0</v>
      </c>
      <c r="V2755" s="8" t="b">
        <v>0</v>
      </c>
      <c r="X2755" s="8" t="b">
        <v>0</v>
      </c>
      <c r="Y2755" s="8" t="b">
        <v>0</v>
      </c>
      <c r="Z2755" s="8" t="b">
        <v>0</v>
      </c>
      <c r="AA2755" s="8" t="b">
        <v>0</v>
      </c>
      <c r="AB2755" s="8" t="b">
        <v>0</v>
      </c>
      <c r="AC2755" s="8" t="b">
        <v>0</v>
      </c>
      <c r="AD2755" s="8" t="b">
        <v>0</v>
      </c>
      <c r="AE2755" s="8" t="b">
        <v>0</v>
      </c>
      <c r="AG2755" s="11" t="b" cm="1">
        <f t="array" ref="AG2755">IF(OR(Y2755:AA2755="TRUE", AE2755="true"), "Threatened")</f>
        <v>0</v>
      </c>
      <c r="AH2755" s="11" t="s">
        <v>6786</v>
      </c>
      <c r="AI2755" s="8" t="b">
        <v>1</v>
      </c>
    </row>
    <row r="2756" spans="1:35" ht="31.2">
      <c r="A2756" s="8">
        <v>-73.971202210000001</v>
      </c>
      <c r="B2756" s="8">
        <v>40.767250439999998</v>
      </c>
      <c r="C2756" s="8" t="s">
        <v>6787</v>
      </c>
      <c r="D2756" s="8" t="s">
        <v>1243</v>
      </c>
      <c r="E2756" s="8" t="b">
        <f t="shared" si="43"/>
        <v>0</v>
      </c>
      <c r="F2756" s="8" t="str" cm="1">
        <f t="array" ref="F2756">_xlfn._xlws.FILTER(E2756:E5954, C2756:C5954= "6D-PM-1020-01", "No Squirrels Found")</f>
        <v>No Squirrels Found</v>
      </c>
      <c r="G2756" s="8" t="s">
        <v>48</v>
      </c>
      <c r="H2756" s="10">
        <v>10062018</v>
      </c>
      <c r="I2756" s="10">
        <v>1</v>
      </c>
      <c r="J2756" s="8" t="s">
        <v>39</v>
      </c>
      <c r="K2756" s="8" t="s">
        <v>192</v>
      </c>
      <c r="M2756" s="8" t="s">
        <v>193</v>
      </c>
      <c r="O2756" s="8" t="s">
        <v>50</v>
      </c>
      <c r="P2756" s="8">
        <v>3</v>
      </c>
      <c r="Q2756" s="8" t="s">
        <v>6788</v>
      </c>
      <c r="R2756" s="8" t="b">
        <v>1</v>
      </c>
      <c r="S2756" s="8" t="b">
        <v>0</v>
      </c>
      <c r="T2756" s="8" t="b">
        <v>0</v>
      </c>
      <c r="U2756" s="8" t="b">
        <v>0</v>
      </c>
      <c r="V2756" s="8" t="b">
        <v>0</v>
      </c>
      <c r="X2756" s="8" t="b">
        <v>0</v>
      </c>
      <c r="Y2756" s="8" t="b">
        <v>0</v>
      </c>
      <c r="Z2756" s="8" t="b">
        <v>0</v>
      </c>
      <c r="AA2756" s="8" t="b">
        <v>0</v>
      </c>
      <c r="AB2756" s="8" t="b">
        <v>0</v>
      </c>
      <c r="AC2756" s="8" t="b">
        <v>0</v>
      </c>
      <c r="AD2756" s="8" t="b">
        <v>1</v>
      </c>
      <c r="AE2756" s="8" t="b">
        <v>0</v>
      </c>
      <c r="AG2756" s="11" t="b" cm="1">
        <f t="array" ref="AG2756">IF(OR(Y2756:AA2756="TRUE", AE2756="true"), "Threatened")</f>
        <v>0</v>
      </c>
      <c r="AH2756" s="11" t="s">
        <v>6789</v>
      </c>
      <c r="AI2756" s="8" t="b">
        <v>1</v>
      </c>
    </row>
    <row r="2757" spans="1:35" ht="31.2">
      <c r="A2757" s="8">
        <v>-73.978731199999999</v>
      </c>
      <c r="B2757" s="8">
        <v>40.77010714</v>
      </c>
      <c r="C2757" s="8" t="s">
        <v>6790</v>
      </c>
      <c r="D2757" s="8" t="s">
        <v>889</v>
      </c>
      <c r="E2757" s="8" t="b">
        <f t="shared" si="43"/>
        <v>0</v>
      </c>
      <c r="F2757" s="8" t="str" cm="1">
        <f t="array" ref="F2757">_xlfn._xlws.FILTER(E2757:E5955, C2757:C5955= "6D-PM-1020-01", "No Squirrels Found")</f>
        <v>No Squirrels Found</v>
      </c>
      <c r="G2757" s="8" t="s">
        <v>34</v>
      </c>
      <c r="H2757" s="10">
        <v>10182018</v>
      </c>
      <c r="I2757" s="10">
        <v>4</v>
      </c>
      <c r="J2757" s="8" t="s">
        <v>39</v>
      </c>
      <c r="K2757" s="8" t="s">
        <v>40</v>
      </c>
      <c r="M2757" s="8" t="s">
        <v>55</v>
      </c>
      <c r="O2757" s="8" t="s">
        <v>43</v>
      </c>
      <c r="P2757" s="8" t="b">
        <v>0</v>
      </c>
      <c r="R2757" s="8" t="b">
        <v>0</v>
      </c>
      <c r="S2757" s="8" t="b">
        <v>0</v>
      </c>
      <c r="T2757" s="8" t="b">
        <v>0</v>
      </c>
      <c r="U2757" s="8" t="b">
        <v>1</v>
      </c>
      <c r="V2757" s="8" t="b">
        <v>0</v>
      </c>
      <c r="X2757" s="8" t="b">
        <v>0</v>
      </c>
      <c r="Y2757" s="8" t="b">
        <v>0</v>
      </c>
      <c r="Z2757" s="8" t="b">
        <v>0</v>
      </c>
      <c r="AA2757" s="8" t="b">
        <v>0</v>
      </c>
      <c r="AB2757" s="8" t="b">
        <v>0</v>
      </c>
      <c r="AC2757" s="8" t="b">
        <v>0</v>
      </c>
      <c r="AD2757" s="8" t="b">
        <v>0</v>
      </c>
      <c r="AE2757" s="8" t="b">
        <v>0</v>
      </c>
      <c r="AG2757" s="11" t="b" cm="1">
        <f t="array" ref="AG2757">IF(OR(Y2757:AA2757="TRUE", AE2757="true"), "Threatened")</f>
        <v>0</v>
      </c>
      <c r="AH2757" s="11" t="s">
        <v>6791</v>
      </c>
      <c r="AI2757" s="8" t="b">
        <v>1</v>
      </c>
    </row>
    <row r="2758" spans="1:35" ht="31.2">
      <c r="A2758" s="8">
        <v>-73.967141909999995</v>
      </c>
      <c r="B2758" s="8">
        <v>40.775860250000001</v>
      </c>
      <c r="C2758" s="8" t="s">
        <v>6792</v>
      </c>
      <c r="D2758" s="8" t="s">
        <v>677</v>
      </c>
      <c r="E2758" s="8" t="b">
        <f t="shared" si="43"/>
        <v>0</v>
      </c>
      <c r="F2758" s="8" t="str" cm="1">
        <f t="array" ref="F2758">_xlfn._xlws.FILTER(E2758:E5956, C2758:C5956= "6D-PM-1020-01", "No Squirrels Found")</f>
        <v>No Squirrels Found</v>
      </c>
      <c r="G2758" s="8" t="s">
        <v>48</v>
      </c>
      <c r="H2758" s="10">
        <v>10122018</v>
      </c>
      <c r="I2758" s="10">
        <v>1</v>
      </c>
      <c r="J2758" s="8" t="s">
        <v>39</v>
      </c>
      <c r="K2758" s="8" t="s">
        <v>41</v>
      </c>
      <c r="L2758" s="8" t="s">
        <v>192</v>
      </c>
      <c r="M2758" s="8" t="s">
        <v>1145</v>
      </c>
      <c r="O2758" s="8" t="s">
        <v>43</v>
      </c>
      <c r="P2758" s="8" t="b">
        <v>0</v>
      </c>
      <c r="R2758" s="8" t="b">
        <v>0</v>
      </c>
      <c r="S2758" s="8" t="b">
        <v>0</v>
      </c>
      <c r="T2758" s="8" t="b">
        <v>0</v>
      </c>
      <c r="U2758" s="8" t="b">
        <v>0</v>
      </c>
      <c r="V2758" s="8" t="b">
        <v>1</v>
      </c>
      <c r="X2758" s="8" t="b">
        <v>0</v>
      </c>
      <c r="Y2758" s="8" t="b">
        <v>0</v>
      </c>
      <c r="Z2758" s="8" t="b">
        <v>0</v>
      </c>
      <c r="AA2758" s="8" t="b">
        <v>0</v>
      </c>
      <c r="AB2758" s="8" t="b">
        <v>1</v>
      </c>
      <c r="AC2758" s="8" t="b">
        <v>0</v>
      </c>
      <c r="AD2758" s="8" t="b">
        <v>0</v>
      </c>
      <c r="AE2758" s="8" t="b">
        <v>1</v>
      </c>
      <c r="AG2758" s="11" t="b" cm="1">
        <f t="array" ref="AG2758">IF(OR(Y2758:AA2758="TRUE", AE2758="true"), "Threatened")</f>
        <v>0</v>
      </c>
      <c r="AH2758" s="11" t="s">
        <v>6793</v>
      </c>
      <c r="AI2758" s="8" t="b">
        <v>1</v>
      </c>
    </row>
    <row r="2759" spans="1:35" ht="31.2">
      <c r="A2759" s="8">
        <v>-73.954207479999994</v>
      </c>
      <c r="B2759" s="8">
        <v>40.795432220000002</v>
      </c>
      <c r="C2759" s="8" t="s">
        <v>6794</v>
      </c>
      <c r="D2759" s="8" t="s">
        <v>1066</v>
      </c>
      <c r="E2759" s="8" t="b">
        <f t="shared" si="43"/>
        <v>0</v>
      </c>
      <c r="F2759" s="8" t="str" cm="1">
        <f t="array" ref="F2759">_xlfn._xlws.FILTER(E2759:E5957, C2759:C5957= "6D-PM-1020-01", "No Squirrels Found")</f>
        <v>No Squirrels Found</v>
      </c>
      <c r="G2759" s="8" t="s">
        <v>48</v>
      </c>
      <c r="H2759" s="10">
        <v>10142018</v>
      </c>
      <c r="I2759" s="10">
        <v>1</v>
      </c>
      <c r="J2759" s="8" t="s">
        <v>39</v>
      </c>
      <c r="K2759" s="8" t="s">
        <v>40</v>
      </c>
      <c r="L2759" s="8" t="s">
        <v>41</v>
      </c>
      <c r="M2759" s="8" t="s">
        <v>42</v>
      </c>
      <c r="O2759" s="8" t="s">
        <v>43</v>
      </c>
      <c r="P2759" s="8" t="b">
        <v>0</v>
      </c>
      <c r="R2759" s="8" t="b">
        <v>1</v>
      </c>
      <c r="S2759" s="8" t="b">
        <v>0</v>
      </c>
      <c r="T2759" s="8" t="b">
        <v>0</v>
      </c>
      <c r="U2759" s="8" t="b">
        <v>0</v>
      </c>
      <c r="V2759" s="8" t="b">
        <v>1</v>
      </c>
      <c r="X2759" s="8" t="b">
        <v>0</v>
      </c>
      <c r="Y2759" s="8" t="b">
        <v>0</v>
      </c>
      <c r="Z2759" s="8" t="b">
        <v>0</v>
      </c>
      <c r="AA2759" s="8" t="b">
        <v>0</v>
      </c>
      <c r="AB2759" s="8" t="b">
        <v>0</v>
      </c>
      <c r="AC2759" s="8" t="b">
        <v>0</v>
      </c>
      <c r="AD2759" s="8" t="b">
        <v>0</v>
      </c>
      <c r="AE2759" s="8" t="b">
        <v>0</v>
      </c>
      <c r="AG2759" s="11" t="b" cm="1">
        <f t="array" ref="AG2759">IF(OR(Y2759:AA2759="TRUE", AE2759="true"), "Threatened")</f>
        <v>0</v>
      </c>
      <c r="AH2759" s="11" t="s">
        <v>6795</v>
      </c>
      <c r="AI2759" s="8" t="b">
        <v>1</v>
      </c>
    </row>
    <row r="2760" spans="1:35" ht="31.2">
      <c r="A2760" s="8">
        <v>-73.954337370000005</v>
      </c>
      <c r="B2760" s="8">
        <v>40.794388910000002</v>
      </c>
      <c r="C2760" s="8" t="s">
        <v>6796</v>
      </c>
      <c r="D2760" s="8" t="s">
        <v>293</v>
      </c>
      <c r="E2760" s="8" t="b">
        <f t="shared" si="43"/>
        <v>0</v>
      </c>
      <c r="F2760" s="8" t="str" cm="1">
        <f t="array" ref="F2760">_xlfn._xlws.FILTER(E2760:E5958, C2760:C5958= "6D-PM-1020-01", "No Squirrels Found")</f>
        <v>No Squirrels Found</v>
      </c>
      <c r="G2760" s="8" t="s">
        <v>34</v>
      </c>
      <c r="H2760" s="10">
        <v>10202018</v>
      </c>
      <c r="I2760" s="10">
        <v>7</v>
      </c>
      <c r="J2760" s="8" t="s">
        <v>39</v>
      </c>
      <c r="K2760" s="8" t="s">
        <v>40</v>
      </c>
      <c r="L2760" s="8" t="s">
        <v>41</v>
      </c>
      <c r="M2760" s="8" t="s">
        <v>42</v>
      </c>
      <c r="O2760" s="8" t="s">
        <v>43</v>
      </c>
      <c r="P2760" s="8" t="b">
        <v>0</v>
      </c>
      <c r="R2760" s="8" t="b">
        <v>0</v>
      </c>
      <c r="S2760" s="8" t="b">
        <v>1</v>
      </c>
      <c r="T2760" s="8" t="b">
        <v>0</v>
      </c>
      <c r="U2760" s="8" t="b">
        <v>0</v>
      </c>
      <c r="V2760" s="8" t="b">
        <v>1</v>
      </c>
      <c r="X2760" s="8" t="b">
        <v>0</v>
      </c>
      <c r="Y2760" s="8" t="b">
        <v>1</v>
      </c>
      <c r="Z2760" s="8" t="b">
        <v>0</v>
      </c>
      <c r="AA2760" s="8" t="b">
        <v>1</v>
      </c>
      <c r="AB2760" s="8" t="b">
        <v>0</v>
      </c>
      <c r="AC2760" s="8" t="b">
        <v>0</v>
      </c>
      <c r="AD2760" s="8" t="b">
        <v>1</v>
      </c>
      <c r="AE2760" s="8" t="b">
        <v>0</v>
      </c>
      <c r="AG2760" s="11" t="b" cm="1">
        <f t="array" ref="AG2760">IF(OR(Y2760:AA2760="TRUE", AE2760="true"), "Threatened")</f>
        <v>0</v>
      </c>
      <c r="AH2760" s="11" t="s">
        <v>6797</v>
      </c>
      <c r="AI2760" s="8" t="b">
        <v>1</v>
      </c>
    </row>
    <row r="2761" spans="1:35" ht="31.2">
      <c r="A2761" s="8">
        <v>-73.970180810000002</v>
      </c>
      <c r="B2761" s="8">
        <v>40.774463269999998</v>
      </c>
      <c r="C2761" s="8" t="s">
        <v>6798</v>
      </c>
      <c r="D2761" s="8" t="s">
        <v>655</v>
      </c>
      <c r="E2761" s="8" t="b">
        <f t="shared" si="43"/>
        <v>0</v>
      </c>
      <c r="F2761" s="8" t="str" cm="1">
        <f t="array" ref="F2761">_xlfn._xlws.FILTER(E2761:E5959, C2761:C5959= "6D-PM-1020-01", "No Squirrels Found")</f>
        <v>No Squirrels Found</v>
      </c>
      <c r="G2761" s="8" t="s">
        <v>34</v>
      </c>
      <c r="H2761" s="10">
        <v>10072018</v>
      </c>
      <c r="I2761" s="10">
        <v>11</v>
      </c>
      <c r="J2761" s="8" t="s">
        <v>39</v>
      </c>
      <c r="K2761" s="8" t="s">
        <v>40</v>
      </c>
      <c r="L2761" s="8" t="s">
        <v>117</v>
      </c>
      <c r="M2761" s="8" t="s">
        <v>118</v>
      </c>
      <c r="O2761" s="8" t="s">
        <v>43</v>
      </c>
      <c r="P2761" s="8" t="b">
        <v>0</v>
      </c>
      <c r="R2761" s="8" t="b">
        <v>0</v>
      </c>
      <c r="S2761" s="8" t="b">
        <v>0</v>
      </c>
      <c r="T2761" s="8" t="b">
        <v>0</v>
      </c>
      <c r="U2761" s="8" t="b">
        <v>0</v>
      </c>
      <c r="V2761" s="8" t="b">
        <v>1</v>
      </c>
      <c r="X2761" s="8" t="b">
        <v>0</v>
      </c>
      <c r="Y2761" s="8" t="b">
        <v>0</v>
      </c>
      <c r="Z2761" s="8" t="b">
        <v>0</v>
      </c>
      <c r="AA2761" s="8" t="b">
        <v>0</v>
      </c>
      <c r="AB2761" s="8" t="b">
        <v>0</v>
      </c>
      <c r="AC2761" s="8" t="b">
        <v>0</v>
      </c>
      <c r="AD2761" s="8" t="b">
        <v>1</v>
      </c>
      <c r="AE2761" s="8" t="b">
        <v>0</v>
      </c>
      <c r="AG2761" s="11" t="b" cm="1">
        <f t="array" ref="AG2761">IF(OR(Y2761:AA2761="TRUE", AE2761="true"), "Threatened")</f>
        <v>0</v>
      </c>
      <c r="AH2761" s="11" t="s">
        <v>6799</v>
      </c>
      <c r="AI2761" s="8" t="b">
        <v>1</v>
      </c>
    </row>
    <row r="2762" spans="1:35" ht="31.2">
      <c r="A2762" s="8">
        <v>-73.968920429999997</v>
      </c>
      <c r="B2762" s="8">
        <v>40.771254059999997</v>
      </c>
      <c r="C2762" s="8" t="s">
        <v>6800</v>
      </c>
      <c r="D2762" s="8" t="s">
        <v>1785</v>
      </c>
      <c r="E2762" s="8" t="b">
        <f t="shared" si="43"/>
        <v>0</v>
      </c>
      <c r="F2762" s="8" t="str" cm="1">
        <f t="array" ref="F2762">_xlfn._xlws.FILTER(E2762:E5960, C2762:C5960= "6D-PM-1020-01", "No Squirrels Found")</f>
        <v>No Squirrels Found</v>
      </c>
      <c r="G2762" s="8" t="s">
        <v>48</v>
      </c>
      <c r="H2762" s="10">
        <v>10142018</v>
      </c>
      <c r="I2762" s="10">
        <v>1</v>
      </c>
      <c r="J2762" s="8" t="s">
        <v>39</v>
      </c>
      <c r="K2762" s="8" t="s">
        <v>41</v>
      </c>
      <c r="L2762" s="8" t="s">
        <v>749</v>
      </c>
      <c r="M2762" s="8" t="s">
        <v>3229</v>
      </c>
      <c r="N2762" s="11" t="s">
        <v>6801</v>
      </c>
      <c r="O2762" s="8" t="s">
        <v>43</v>
      </c>
      <c r="P2762" s="8" t="b">
        <v>0</v>
      </c>
      <c r="R2762" s="8" t="b">
        <v>0</v>
      </c>
      <c r="S2762" s="8" t="b">
        <v>0</v>
      </c>
      <c r="T2762" s="8" t="b">
        <v>0</v>
      </c>
      <c r="U2762" s="8" t="b">
        <v>0</v>
      </c>
      <c r="V2762" s="8" t="b">
        <v>1</v>
      </c>
      <c r="W2762" s="11" t="s">
        <v>6802</v>
      </c>
      <c r="X2762" s="8" t="b">
        <v>0</v>
      </c>
      <c r="Y2762" s="8" t="b">
        <v>0</v>
      </c>
      <c r="Z2762" s="8" t="b">
        <v>0</v>
      </c>
      <c r="AA2762" s="8" t="b">
        <v>0</v>
      </c>
      <c r="AB2762" s="8" t="b">
        <v>0</v>
      </c>
      <c r="AC2762" s="8" t="b">
        <v>0</v>
      </c>
      <c r="AD2762" s="8" t="b">
        <v>1</v>
      </c>
      <c r="AE2762" s="8" t="b">
        <v>0</v>
      </c>
      <c r="AG2762" s="11" t="b" cm="1">
        <f t="array" ref="AG2762">IF(OR(Y2762:AA2762="TRUE", AE2762="true"), "Threatened")</f>
        <v>0</v>
      </c>
      <c r="AH2762" s="11" t="s">
        <v>6803</v>
      </c>
      <c r="AI2762" s="8" t="b">
        <v>0</v>
      </c>
    </row>
    <row r="2763" spans="1:35" ht="31.2">
      <c r="A2763" s="8">
        <v>-73.965632450000001</v>
      </c>
      <c r="B2763" s="8">
        <v>40.783403479999997</v>
      </c>
      <c r="C2763" s="8" t="s">
        <v>6804</v>
      </c>
      <c r="D2763" s="8" t="s">
        <v>3399</v>
      </c>
      <c r="E2763" s="8" t="b">
        <f t="shared" si="43"/>
        <v>0</v>
      </c>
      <c r="F2763" s="8" t="str" cm="1">
        <f t="array" ref="F2763">_xlfn._xlws.FILTER(E2763:E5961, C2763:C5961= "6D-PM-1020-01", "No Squirrels Found")</f>
        <v>No Squirrels Found</v>
      </c>
      <c r="G2763" s="8" t="s">
        <v>34</v>
      </c>
      <c r="H2763" s="10">
        <v>10142018</v>
      </c>
      <c r="I2763" s="10">
        <v>2</v>
      </c>
      <c r="J2763" s="8" t="s">
        <v>39</v>
      </c>
      <c r="K2763" s="8" t="s">
        <v>40</v>
      </c>
      <c r="M2763" s="8" t="s">
        <v>55</v>
      </c>
      <c r="O2763" s="8" t="s">
        <v>50</v>
      </c>
      <c r="P2763" s="8">
        <v>6</v>
      </c>
      <c r="R2763" s="8" t="b">
        <v>0</v>
      </c>
      <c r="S2763" s="8" t="b">
        <v>0</v>
      </c>
      <c r="T2763" s="8" t="b">
        <v>1</v>
      </c>
      <c r="U2763" s="8" t="b">
        <v>0</v>
      </c>
      <c r="V2763" s="8" t="b">
        <v>0</v>
      </c>
      <c r="X2763" s="8" t="b">
        <v>0</v>
      </c>
      <c r="Y2763" s="8" t="b">
        <v>0</v>
      </c>
      <c r="Z2763" s="8" t="b">
        <v>0</v>
      </c>
      <c r="AA2763" s="8" t="b">
        <v>0</v>
      </c>
      <c r="AB2763" s="8" t="b">
        <v>0</v>
      </c>
      <c r="AC2763" s="8" t="b">
        <v>1</v>
      </c>
      <c r="AD2763" s="8" t="b">
        <v>0</v>
      </c>
      <c r="AE2763" s="8" t="b">
        <v>0</v>
      </c>
      <c r="AG2763" s="11" t="b" cm="1">
        <f t="array" ref="AG2763">IF(OR(Y2763:AA2763="TRUE", AE2763="true"), "Threatened")</f>
        <v>0</v>
      </c>
      <c r="AH2763" s="11" t="s">
        <v>6805</v>
      </c>
      <c r="AI2763" s="8" t="b">
        <v>1</v>
      </c>
    </row>
    <row r="2764" spans="1:35" ht="31.2">
      <c r="A2764" s="8">
        <v>-73.962606570000005</v>
      </c>
      <c r="B2764" s="8">
        <v>40.788722649999997</v>
      </c>
      <c r="C2764" s="8" t="s">
        <v>6806</v>
      </c>
      <c r="D2764" s="8" t="s">
        <v>1425</v>
      </c>
      <c r="E2764" s="8" t="b">
        <f t="shared" si="43"/>
        <v>0</v>
      </c>
      <c r="F2764" s="8" t="str" cm="1">
        <f t="array" ref="F2764">_xlfn._xlws.FILTER(E2764:E5962, C2764:C5962= "6D-PM-1020-01", "No Squirrels Found")</f>
        <v>No Squirrels Found</v>
      </c>
      <c r="G2764" s="8" t="s">
        <v>48</v>
      </c>
      <c r="H2764" s="10">
        <v>10142018</v>
      </c>
      <c r="I2764" s="10">
        <v>3</v>
      </c>
      <c r="J2764" s="8" t="s">
        <v>54</v>
      </c>
      <c r="K2764" s="8" t="s">
        <v>40</v>
      </c>
      <c r="M2764" s="8" t="s">
        <v>55</v>
      </c>
      <c r="O2764" s="8" t="s">
        <v>50</v>
      </c>
      <c r="P2764" s="8">
        <v>35</v>
      </c>
      <c r="Q2764" s="8" t="s">
        <v>6807</v>
      </c>
      <c r="R2764" s="8" t="b">
        <v>0</v>
      </c>
      <c r="S2764" s="8" t="b">
        <v>0</v>
      </c>
      <c r="T2764" s="8" t="b">
        <v>0</v>
      </c>
      <c r="U2764" s="8" t="b">
        <v>0</v>
      </c>
      <c r="V2764" s="8" t="b">
        <v>1</v>
      </c>
      <c r="X2764" s="8" t="b">
        <v>0</v>
      </c>
      <c r="Y2764" s="8" t="b">
        <v>0</v>
      </c>
      <c r="Z2764" s="8" t="b">
        <v>0</v>
      </c>
      <c r="AA2764" s="8" t="b">
        <v>0</v>
      </c>
      <c r="AB2764" s="8" t="b">
        <v>0</v>
      </c>
      <c r="AC2764" s="8" t="b">
        <v>0</v>
      </c>
      <c r="AD2764" s="8" t="b">
        <v>1</v>
      </c>
      <c r="AE2764" s="8" t="b">
        <v>0</v>
      </c>
      <c r="AG2764" s="11" t="b" cm="1">
        <f t="array" ref="AG2764">IF(OR(Y2764:AA2764="TRUE", AE2764="true"), "Threatened")</f>
        <v>0</v>
      </c>
      <c r="AH2764" s="11" t="s">
        <v>6808</v>
      </c>
      <c r="AI2764" s="8" t="b">
        <v>1</v>
      </c>
    </row>
    <row r="2765" spans="1:35" ht="31.2">
      <c r="A2765" s="8">
        <v>-73.969266099999999</v>
      </c>
      <c r="B2765" s="8">
        <v>40.78305323</v>
      </c>
      <c r="C2765" s="8" t="s">
        <v>6809</v>
      </c>
      <c r="D2765" s="8" t="s">
        <v>1415</v>
      </c>
      <c r="E2765" s="8" t="b">
        <f t="shared" si="43"/>
        <v>0</v>
      </c>
      <c r="F2765" s="8" t="str" cm="1">
        <f t="array" ref="F2765">_xlfn._xlws.FILTER(E2765:E5963, C2765:C5963= "6D-PM-1020-01", "No Squirrels Found")</f>
        <v>No Squirrels Found</v>
      </c>
      <c r="G2765" s="8" t="s">
        <v>34</v>
      </c>
      <c r="H2765" s="10">
        <v>10172018</v>
      </c>
      <c r="I2765" s="10">
        <v>1</v>
      </c>
      <c r="J2765" s="8" t="s">
        <v>54</v>
      </c>
      <c r="K2765" s="8" t="s">
        <v>41</v>
      </c>
      <c r="L2765" s="8" t="s">
        <v>84</v>
      </c>
      <c r="M2765" s="8" t="s">
        <v>85</v>
      </c>
      <c r="O2765" s="8" t="s">
        <v>43</v>
      </c>
      <c r="P2765" s="8" t="b">
        <v>0</v>
      </c>
      <c r="R2765" s="8" t="b">
        <v>0</v>
      </c>
      <c r="S2765" s="8" t="b">
        <v>0</v>
      </c>
      <c r="T2765" s="8" t="b">
        <v>0</v>
      </c>
      <c r="U2765" s="8" t="b">
        <v>1</v>
      </c>
      <c r="V2765" s="8" t="b">
        <v>0</v>
      </c>
      <c r="X2765" s="8" t="b">
        <v>0</v>
      </c>
      <c r="Y2765" s="8" t="b">
        <v>0</v>
      </c>
      <c r="Z2765" s="8" t="b">
        <v>0</v>
      </c>
      <c r="AA2765" s="8" t="b">
        <v>0</v>
      </c>
      <c r="AB2765" s="8" t="b">
        <v>0</v>
      </c>
      <c r="AC2765" s="8" t="b">
        <v>0</v>
      </c>
      <c r="AD2765" s="8" t="b">
        <v>0</v>
      </c>
      <c r="AE2765" s="8" t="b">
        <v>0</v>
      </c>
      <c r="AF2765" s="11" t="s">
        <v>6810</v>
      </c>
      <c r="AG2765" s="11" t="b" cm="1">
        <f t="array" ref="AG2765">IF(OR(Y2765:AA2765="TRUE", AE2765="true"), "Threatened")</f>
        <v>0</v>
      </c>
      <c r="AH2765" s="11" t="s">
        <v>6811</v>
      </c>
      <c r="AI2765" s="8" t="b">
        <v>1</v>
      </c>
    </row>
    <row r="2766" spans="1:35" ht="31.2">
      <c r="A2766" s="8">
        <v>-73.971525119999995</v>
      </c>
      <c r="B2766" s="8">
        <v>40.77036854</v>
      </c>
      <c r="C2766" s="8" t="s">
        <v>6812</v>
      </c>
      <c r="D2766" s="8" t="s">
        <v>413</v>
      </c>
      <c r="E2766" s="8" t="b">
        <f t="shared" si="43"/>
        <v>0</v>
      </c>
      <c r="F2766" s="8" t="str" cm="1">
        <f t="array" ref="F2766">_xlfn._xlws.FILTER(E2766:E5964, C2766:C5964= "6D-PM-1020-01", "No Squirrels Found")</f>
        <v>No Squirrels Found</v>
      </c>
      <c r="G2766" s="8" t="s">
        <v>34</v>
      </c>
      <c r="H2766" s="10">
        <v>10182018</v>
      </c>
      <c r="I2766" s="10">
        <v>6</v>
      </c>
      <c r="J2766" s="8" t="s">
        <v>39</v>
      </c>
      <c r="K2766" s="8" t="s">
        <v>40</v>
      </c>
      <c r="L2766" s="8" t="s">
        <v>41</v>
      </c>
      <c r="M2766" s="8" t="s">
        <v>42</v>
      </c>
      <c r="O2766" s="8" t="s">
        <v>43</v>
      </c>
      <c r="P2766" s="8" t="b">
        <v>0</v>
      </c>
      <c r="R2766" s="8" t="b">
        <v>0</v>
      </c>
      <c r="S2766" s="8" t="b">
        <v>0</v>
      </c>
      <c r="T2766" s="8" t="b">
        <v>0</v>
      </c>
      <c r="U2766" s="8" t="b">
        <v>0</v>
      </c>
      <c r="V2766" s="8" t="b">
        <v>1</v>
      </c>
      <c r="W2766" s="11" t="s">
        <v>99</v>
      </c>
      <c r="X2766" s="8" t="b">
        <v>0</v>
      </c>
      <c r="Y2766" s="8" t="b">
        <v>0</v>
      </c>
      <c r="Z2766" s="8" t="b">
        <v>0</v>
      </c>
      <c r="AA2766" s="8" t="b">
        <v>0</v>
      </c>
      <c r="AB2766" s="8" t="b">
        <v>0</v>
      </c>
      <c r="AC2766" s="8" t="b">
        <v>0</v>
      </c>
      <c r="AD2766" s="8" t="b">
        <v>0</v>
      </c>
      <c r="AE2766" s="8" t="b">
        <v>0</v>
      </c>
      <c r="AG2766" s="11" t="b" cm="1">
        <f t="array" ref="AG2766">IF(OR(Y2766:AA2766="TRUE", AE2766="true"), "Threatened")</f>
        <v>0</v>
      </c>
      <c r="AH2766" s="11" t="s">
        <v>6813</v>
      </c>
      <c r="AI2766" s="8" t="b">
        <v>0</v>
      </c>
    </row>
    <row r="2767" spans="1:35" ht="31.2">
      <c r="A2767" s="8">
        <v>-73.955163979999995</v>
      </c>
      <c r="B2767" s="8">
        <v>40.790858200000002</v>
      </c>
      <c r="C2767" s="8" t="s">
        <v>6814</v>
      </c>
      <c r="D2767" s="8" t="s">
        <v>1354</v>
      </c>
      <c r="E2767" s="8" t="b">
        <f t="shared" si="43"/>
        <v>0</v>
      </c>
      <c r="F2767" s="8" t="str" cm="1">
        <f t="array" ref="F2767">_xlfn._xlws.FILTER(E2767:E5965, C2767:C5965= "6D-PM-1020-01", "No Squirrels Found")</f>
        <v>No Squirrels Found</v>
      </c>
      <c r="G2767" s="8" t="s">
        <v>34</v>
      </c>
      <c r="H2767" s="10">
        <v>10062018</v>
      </c>
      <c r="I2767" s="10">
        <v>3</v>
      </c>
      <c r="K2767" s="8" t="s">
        <v>40</v>
      </c>
      <c r="L2767" s="8" t="s">
        <v>84</v>
      </c>
      <c r="M2767" s="8" t="s">
        <v>103</v>
      </c>
      <c r="N2767" s="11" t="s">
        <v>2632</v>
      </c>
      <c r="O2767" s="8" t="s">
        <v>43</v>
      </c>
      <c r="P2767" s="8" t="b">
        <v>0</v>
      </c>
      <c r="Q2767" s="8" t="s">
        <v>6815</v>
      </c>
      <c r="R2767" s="8" t="b">
        <v>0</v>
      </c>
      <c r="S2767" s="8" t="b">
        <v>0</v>
      </c>
      <c r="T2767" s="8" t="b">
        <v>0</v>
      </c>
      <c r="U2767" s="8" t="b">
        <v>1</v>
      </c>
      <c r="V2767" s="8" t="b">
        <v>0</v>
      </c>
      <c r="X2767" s="8" t="b">
        <v>0</v>
      </c>
      <c r="Y2767" s="8" t="b">
        <v>0</v>
      </c>
      <c r="Z2767" s="8" t="b">
        <v>0</v>
      </c>
      <c r="AA2767" s="8" t="b">
        <v>0</v>
      </c>
      <c r="AB2767" s="8" t="b">
        <v>1</v>
      </c>
      <c r="AC2767" s="8" t="b">
        <v>0</v>
      </c>
      <c r="AD2767" s="8" t="b">
        <v>0</v>
      </c>
      <c r="AE2767" s="8" t="b">
        <v>0</v>
      </c>
      <c r="AG2767" s="11" t="b" cm="1">
        <f t="array" ref="AG2767">IF(OR(Y2767:AA2767="TRUE", AE2767="true"), "Threatened")</f>
        <v>0</v>
      </c>
      <c r="AH2767" s="11" t="s">
        <v>6816</v>
      </c>
      <c r="AI2767" s="8" t="b">
        <v>1</v>
      </c>
    </row>
    <row r="2768" spans="1:35" ht="31.2">
      <c r="A2768" s="8">
        <v>-73.97518067</v>
      </c>
      <c r="B2768" s="8">
        <v>40.767194029999999</v>
      </c>
      <c r="C2768" s="8" t="s">
        <v>6817</v>
      </c>
      <c r="D2768" s="8" t="s">
        <v>1706</v>
      </c>
      <c r="E2768" s="8" t="b">
        <f t="shared" si="43"/>
        <v>0</v>
      </c>
      <c r="F2768" s="8" t="str" cm="1">
        <f t="array" ref="F2768">_xlfn._xlws.FILTER(E2768:E5966, C2768:C5966= "6D-PM-1020-01", "No Squirrels Found")</f>
        <v>No Squirrels Found</v>
      </c>
      <c r="G2768" s="8" t="s">
        <v>34</v>
      </c>
      <c r="H2768" s="10">
        <v>10132018</v>
      </c>
      <c r="I2768" s="10">
        <v>5</v>
      </c>
      <c r="J2768" s="8" t="s">
        <v>39</v>
      </c>
      <c r="K2768" s="8" t="s">
        <v>40</v>
      </c>
      <c r="L2768" s="8" t="s">
        <v>84</v>
      </c>
      <c r="M2768" s="8" t="s">
        <v>103</v>
      </c>
      <c r="O2768" s="8" t="s">
        <v>50</v>
      </c>
      <c r="P2768" s="8">
        <v>13</v>
      </c>
      <c r="R2768" s="8" t="b">
        <v>1</v>
      </c>
      <c r="S2768" s="8" t="b">
        <v>0</v>
      </c>
      <c r="T2768" s="8" t="b">
        <v>0</v>
      </c>
      <c r="U2768" s="8" t="b">
        <v>0</v>
      </c>
      <c r="V2768" s="8" t="b">
        <v>0</v>
      </c>
      <c r="X2768" s="8" t="b">
        <v>0</v>
      </c>
      <c r="Y2768" s="8" t="b">
        <v>0</v>
      </c>
      <c r="Z2768" s="8" t="b">
        <v>0</v>
      </c>
      <c r="AA2768" s="8" t="b">
        <v>0</v>
      </c>
      <c r="AB2768" s="8" t="b">
        <v>0</v>
      </c>
      <c r="AC2768" s="8" t="b">
        <v>0</v>
      </c>
      <c r="AD2768" s="8" t="b">
        <v>0</v>
      </c>
      <c r="AE2768" s="8" t="b">
        <v>1</v>
      </c>
      <c r="AG2768" s="11" t="b" cm="1">
        <f t="array" ref="AG2768">IF(OR(Y2768:AA2768="TRUE", AE2768="true"), "Threatened")</f>
        <v>0</v>
      </c>
      <c r="AH2768" s="11" t="s">
        <v>6818</v>
      </c>
      <c r="AI2768" s="8" t="b">
        <v>1</v>
      </c>
    </row>
    <row r="2769" spans="1:35" ht="31.2">
      <c r="A2769" s="8">
        <v>-73.964108820000007</v>
      </c>
      <c r="B2769" s="8">
        <v>40.788655519999999</v>
      </c>
      <c r="C2769" s="8" t="s">
        <v>6819</v>
      </c>
      <c r="D2769" s="8" t="s">
        <v>304</v>
      </c>
      <c r="E2769" s="8" t="b">
        <f t="shared" si="43"/>
        <v>0</v>
      </c>
      <c r="F2769" s="8" t="str" cm="1">
        <f t="array" ref="F2769">_xlfn._xlws.FILTER(E2769:E5967, C2769:C5967= "6D-PM-1020-01", "No Squirrels Found")</f>
        <v>No Squirrels Found</v>
      </c>
      <c r="G2769" s="8" t="s">
        <v>48</v>
      </c>
      <c r="H2769" s="10">
        <v>10142018</v>
      </c>
      <c r="I2769" s="10">
        <v>1</v>
      </c>
      <c r="J2769" s="8" t="s">
        <v>39</v>
      </c>
      <c r="K2769" s="8" t="s">
        <v>192</v>
      </c>
      <c r="M2769" s="8" t="s">
        <v>193</v>
      </c>
      <c r="O2769" s="8" t="s">
        <v>43</v>
      </c>
      <c r="P2769" s="8" t="b">
        <v>0</v>
      </c>
      <c r="R2769" s="8" t="b">
        <v>1</v>
      </c>
      <c r="S2769" s="8" t="b">
        <v>0</v>
      </c>
      <c r="T2769" s="8" t="b">
        <v>0</v>
      </c>
      <c r="U2769" s="8" t="b">
        <v>0</v>
      </c>
      <c r="V2769" s="8" t="b">
        <v>0</v>
      </c>
      <c r="X2769" s="8" t="b">
        <v>0</v>
      </c>
      <c r="Y2769" s="8" t="b">
        <v>0</v>
      </c>
      <c r="Z2769" s="8" t="b">
        <v>0</v>
      </c>
      <c r="AA2769" s="8" t="b">
        <v>0</v>
      </c>
      <c r="AB2769" s="8" t="b">
        <v>0</v>
      </c>
      <c r="AC2769" s="8" t="b">
        <v>0</v>
      </c>
      <c r="AD2769" s="8" t="b">
        <v>1</v>
      </c>
      <c r="AE2769" s="8" t="b">
        <v>0</v>
      </c>
      <c r="AG2769" s="11" t="b" cm="1">
        <f t="array" ref="AG2769">IF(OR(Y2769:AA2769="TRUE", AE2769="true"), "Threatened")</f>
        <v>0</v>
      </c>
      <c r="AH2769" s="11" t="s">
        <v>6820</v>
      </c>
      <c r="AI2769" s="8" t="b">
        <v>1</v>
      </c>
    </row>
    <row r="2770" spans="1:35" ht="31.2">
      <c r="A2770" s="8">
        <v>-73.976988520000006</v>
      </c>
      <c r="B2770" s="8">
        <v>40.770893620000002</v>
      </c>
      <c r="C2770" s="8" t="s">
        <v>6821</v>
      </c>
      <c r="D2770" s="8" t="s">
        <v>109</v>
      </c>
      <c r="E2770" s="8" t="b">
        <f t="shared" si="43"/>
        <v>0</v>
      </c>
      <c r="F2770" s="8" t="str" cm="1">
        <f t="array" ref="F2770">_xlfn._xlws.FILTER(E2770:E5968, C2770:C5968= "6D-PM-1020-01", "No Squirrels Found")</f>
        <v>No Squirrels Found</v>
      </c>
      <c r="G2770" s="8" t="s">
        <v>34</v>
      </c>
      <c r="H2770" s="10">
        <v>10102018</v>
      </c>
      <c r="I2770" s="10">
        <v>6</v>
      </c>
      <c r="J2770" s="8" t="s">
        <v>39</v>
      </c>
      <c r="K2770" s="8" t="s">
        <v>40</v>
      </c>
      <c r="L2770" s="8" t="s">
        <v>41</v>
      </c>
      <c r="M2770" s="8" t="s">
        <v>42</v>
      </c>
      <c r="O2770" s="8" t="s">
        <v>43</v>
      </c>
      <c r="P2770" s="8" t="b">
        <v>0</v>
      </c>
      <c r="R2770" s="8" t="b">
        <v>0</v>
      </c>
      <c r="S2770" s="8" t="b">
        <v>0</v>
      </c>
      <c r="T2770" s="8" t="b">
        <v>0</v>
      </c>
      <c r="U2770" s="8" t="b">
        <v>1</v>
      </c>
      <c r="V2770" s="8" t="b">
        <v>1</v>
      </c>
      <c r="X2770" s="8" t="b">
        <v>0</v>
      </c>
      <c r="Y2770" s="8" t="b">
        <v>0</v>
      </c>
      <c r="Z2770" s="8" t="b">
        <v>0</v>
      </c>
      <c r="AA2770" s="8" t="b">
        <v>0</v>
      </c>
      <c r="AB2770" s="8" t="b">
        <v>0</v>
      </c>
      <c r="AC2770" s="8" t="b">
        <v>0</v>
      </c>
      <c r="AD2770" s="8" t="b">
        <v>0</v>
      </c>
      <c r="AE2770" s="8" t="b">
        <v>0</v>
      </c>
      <c r="AG2770" s="11" t="b" cm="1">
        <f t="array" ref="AG2770">IF(OR(Y2770:AA2770="TRUE", AE2770="true"), "Threatened")</f>
        <v>0</v>
      </c>
      <c r="AH2770" s="11" t="s">
        <v>6822</v>
      </c>
      <c r="AI2770" s="8" t="b">
        <v>1</v>
      </c>
    </row>
    <row r="2771" spans="1:35" ht="31.2">
      <c r="A2771" s="8">
        <v>-73.963798350000005</v>
      </c>
      <c r="B2771" s="8">
        <v>40.782871249999999</v>
      </c>
      <c r="C2771" s="8" t="s">
        <v>6823</v>
      </c>
      <c r="D2771" s="8" t="s">
        <v>588</v>
      </c>
      <c r="E2771" s="8" t="b">
        <f t="shared" si="43"/>
        <v>0</v>
      </c>
      <c r="F2771" s="8" t="str" cm="1">
        <f t="array" ref="F2771">_xlfn._xlws.FILTER(E2771:E5969, C2771:C5969= "6D-PM-1020-01", "No Squirrels Found")</f>
        <v>No Squirrels Found</v>
      </c>
      <c r="G2771" s="8" t="s">
        <v>34</v>
      </c>
      <c r="H2771" s="10">
        <v>10132018</v>
      </c>
      <c r="I2771" s="10">
        <v>4</v>
      </c>
      <c r="J2771" s="8" t="s">
        <v>39</v>
      </c>
      <c r="K2771" s="8" t="s">
        <v>40</v>
      </c>
      <c r="L2771" s="8" t="s">
        <v>117</v>
      </c>
      <c r="M2771" s="8" t="s">
        <v>118</v>
      </c>
      <c r="N2771" s="11" t="s">
        <v>6824</v>
      </c>
      <c r="O2771" s="8" t="s">
        <v>43</v>
      </c>
      <c r="P2771" s="8" t="b">
        <v>0</v>
      </c>
      <c r="R2771" s="8" t="b">
        <v>0</v>
      </c>
      <c r="S2771" s="8" t="b">
        <v>0</v>
      </c>
      <c r="T2771" s="8" t="b">
        <v>0</v>
      </c>
      <c r="U2771" s="8" t="b">
        <v>0</v>
      </c>
      <c r="V2771" s="8" t="b">
        <v>1</v>
      </c>
      <c r="X2771" s="8" t="b">
        <v>0</v>
      </c>
      <c r="Y2771" s="8" t="b">
        <v>0</v>
      </c>
      <c r="Z2771" s="8" t="b">
        <v>0</v>
      </c>
      <c r="AA2771" s="8" t="b">
        <v>0</v>
      </c>
      <c r="AB2771" s="8" t="b">
        <v>1</v>
      </c>
      <c r="AC2771" s="8" t="b">
        <v>0</v>
      </c>
      <c r="AD2771" s="8" t="b">
        <v>1</v>
      </c>
      <c r="AE2771" s="8" t="b">
        <v>0</v>
      </c>
      <c r="AF2771" s="11" t="s">
        <v>6825</v>
      </c>
      <c r="AG2771" s="11" t="b" cm="1">
        <f t="array" ref="AG2771">IF(OR(Y2771:AA2771="TRUE", AE2771="true"), "Threatened")</f>
        <v>0</v>
      </c>
      <c r="AH2771" s="11" t="s">
        <v>6826</v>
      </c>
      <c r="AI2771" s="8" t="b">
        <v>1</v>
      </c>
    </row>
    <row r="2772" spans="1:35" ht="31.2">
      <c r="A2772" s="8">
        <v>-73.973538360000006</v>
      </c>
      <c r="B2772" s="8">
        <v>40.772312470000003</v>
      </c>
      <c r="C2772" s="8" t="s">
        <v>6827</v>
      </c>
      <c r="D2772" s="8" t="s">
        <v>2088</v>
      </c>
      <c r="E2772" s="8" t="b">
        <f t="shared" si="43"/>
        <v>0</v>
      </c>
      <c r="F2772" s="8" t="str" cm="1">
        <f t="array" ref="F2772">_xlfn._xlws.FILTER(E2772:E5970, C2772:C5970= "6D-PM-1020-01", "No Squirrels Found")</f>
        <v>No Squirrels Found</v>
      </c>
      <c r="G2772" s="8" t="s">
        <v>48</v>
      </c>
      <c r="H2772" s="10">
        <v>10072018</v>
      </c>
      <c r="I2772" s="10">
        <v>1</v>
      </c>
      <c r="J2772" s="8" t="s">
        <v>39</v>
      </c>
      <c r="K2772" s="8" t="s">
        <v>40</v>
      </c>
      <c r="L2772" s="8" t="s">
        <v>41</v>
      </c>
      <c r="M2772" s="8" t="s">
        <v>42</v>
      </c>
      <c r="O2772" s="8" t="s">
        <v>43</v>
      </c>
      <c r="P2772" s="8" t="b">
        <v>0</v>
      </c>
      <c r="R2772" s="8" t="b">
        <v>0</v>
      </c>
      <c r="S2772" s="8" t="b">
        <v>0</v>
      </c>
      <c r="T2772" s="8" t="b">
        <v>0</v>
      </c>
      <c r="U2772" s="8" t="b">
        <v>0</v>
      </c>
      <c r="V2772" s="8" t="b">
        <v>1</v>
      </c>
      <c r="X2772" s="8" t="b">
        <v>0</v>
      </c>
      <c r="Y2772" s="8" t="b">
        <v>0</v>
      </c>
      <c r="Z2772" s="8" t="b">
        <v>0</v>
      </c>
      <c r="AA2772" s="8" t="b">
        <v>0</v>
      </c>
      <c r="AB2772" s="8" t="b">
        <v>0</v>
      </c>
      <c r="AC2772" s="8" t="b">
        <v>0</v>
      </c>
      <c r="AD2772" s="8" t="b">
        <v>1</v>
      </c>
      <c r="AE2772" s="8" t="b">
        <v>0</v>
      </c>
      <c r="AF2772" s="11" t="s">
        <v>6828</v>
      </c>
      <c r="AG2772" s="11" t="b" cm="1">
        <f t="array" ref="AG2772">IF(OR(Y2772:AA2772="TRUE", AE2772="true"), "Threatened")</f>
        <v>0</v>
      </c>
      <c r="AH2772" s="11" t="s">
        <v>6829</v>
      </c>
      <c r="AI2772" s="8" t="b">
        <v>1</v>
      </c>
    </row>
    <row r="2773" spans="1:35" ht="31.2">
      <c r="A2773" s="8">
        <v>-73.967736860000002</v>
      </c>
      <c r="B2773" s="8">
        <v>40.782155099999997</v>
      </c>
      <c r="C2773" s="8" t="s">
        <v>6830</v>
      </c>
      <c r="D2773" s="8" t="s">
        <v>1038</v>
      </c>
      <c r="E2773" s="8" t="b">
        <f t="shared" si="43"/>
        <v>0</v>
      </c>
      <c r="F2773" s="8" t="str" cm="1">
        <f t="array" ref="F2773">_xlfn._xlws.FILTER(E2773:E5971, C2773:C5971= "6D-PM-1020-01", "No Squirrels Found")</f>
        <v>No Squirrels Found</v>
      </c>
      <c r="G2773" s="8" t="s">
        <v>34</v>
      </c>
      <c r="H2773" s="10">
        <v>10182018</v>
      </c>
      <c r="I2773" s="10">
        <v>6</v>
      </c>
      <c r="J2773" s="8" t="s">
        <v>54</v>
      </c>
      <c r="K2773" s="8" t="s">
        <v>40</v>
      </c>
      <c r="M2773" s="8" t="s">
        <v>55</v>
      </c>
      <c r="O2773" s="8" t="s">
        <v>43</v>
      </c>
      <c r="P2773" s="8" t="b">
        <v>0</v>
      </c>
      <c r="R2773" s="8" t="b">
        <v>1</v>
      </c>
      <c r="S2773" s="8" t="b">
        <v>0</v>
      </c>
      <c r="T2773" s="8" t="b">
        <v>0</v>
      </c>
      <c r="U2773" s="8" t="b">
        <v>0</v>
      </c>
      <c r="V2773" s="8" t="b">
        <v>0</v>
      </c>
      <c r="X2773" s="8" t="b">
        <v>0</v>
      </c>
      <c r="Y2773" s="8" t="b">
        <v>0</v>
      </c>
      <c r="Z2773" s="8" t="b">
        <v>0</v>
      </c>
      <c r="AA2773" s="8" t="b">
        <v>0</v>
      </c>
      <c r="AB2773" s="8" t="b">
        <v>0</v>
      </c>
      <c r="AC2773" s="8" t="b">
        <v>1</v>
      </c>
      <c r="AD2773" s="8" t="b">
        <v>0</v>
      </c>
      <c r="AE2773" s="8" t="b">
        <v>0</v>
      </c>
      <c r="AG2773" s="11" t="b" cm="1">
        <f t="array" ref="AG2773">IF(OR(Y2773:AA2773="TRUE", AE2773="true"), "Threatened")</f>
        <v>0</v>
      </c>
      <c r="AH2773" s="11" t="s">
        <v>6831</v>
      </c>
      <c r="AI2773" s="8" t="b">
        <v>1</v>
      </c>
    </row>
    <row r="2774" spans="1:35" ht="31.2">
      <c r="A2774" s="8">
        <v>-73.962593269999999</v>
      </c>
      <c r="B2774" s="8">
        <v>40.788537949999998</v>
      </c>
      <c r="C2774" s="8" t="s">
        <v>6832</v>
      </c>
      <c r="D2774" s="8" t="s">
        <v>1425</v>
      </c>
      <c r="E2774" s="8" t="b">
        <f t="shared" si="43"/>
        <v>0</v>
      </c>
      <c r="F2774" s="8" t="str" cm="1">
        <f t="array" ref="F2774">_xlfn._xlws.FILTER(E2774:E5972, C2774:C5972= "6D-PM-1020-01", "No Squirrels Found")</f>
        <v>No Squirrels Found</v>
      </c>
      <c r="G2774" s="8" t="s">
        <v>48</v>
      </c>
      <c r="H2774" s="10">
        <v>10142018</v>
      </c>
      <c r="I2774" s="10">
        <v>1</v>
      </c>
      <c r="J2774" s="8" t="s">
        <v>39</v>
      </c>
      <c r="K2774" s="8" t="s">
        <v>192</v>
      </c>
      <c r="M2774" s="8" t="s">
        <v>193</v>
      </c>
      <c r="O2774" s="8" t="s">
        <v>43</v>
      </c>
      <c r="P2774" s="8" t="b">
        <v>0</v>
      </c>
      <c r="R2774" s="8" t="b">
        <v>0</v>
      </c>
      <c r="S2774" s="8" t="b">
        <v>0</v>
      </c>
      <c r="T2774" s="8" t="b">
        <v>0</v>
      </c>
      <c r="U2774" s="8" t="b">
        <v>0</v>
      </c>
      <c r="V2774" s="8" t="b">
        <v>1</v>
      </c>
      <c r="X2774" s="8" t="b">
        <v>0</v>
      </c>
      <c r="Y2774" s="8" t="b">
        <v>0</v>
      </c>
      <c r="Z2774" s="8" t="b">
        <v>0</v>
      </c>
      <c r="AA2774" s="8" t="b">
        <v>0</v>
      </c>
      <c r="AB2774" s="8" t="b">
        <v>0</v>
      </c>
      <c r="AC2774" s="8" t="b">
        <v>0</v>
      </c>
      <c r="AD2774" s="8" t="b">
        <v>1</v>
      </c>
      <c r="AE2774" s="8" t="b">
        <v>0</v>
      </c>
      <c r="AG2774" s="11" t="b" cm="1">
        <f t="array" ref="AG2774">IF(OR(Y2774:AA2774="TRUE", AE2774="true"), "Threatened")</f>
        <v>0</v>
      </c>
      <c r="AH2774" s="11" t="s">
        <v>6833</v>
      </c>
      <c r="AI2774" s="8" t="b">
        <v>1</v>
      </c>
    </row>
    <row r="2775" spans="1:35" ht="31.2">
      <c r="A2775" s="8">
        <v>-73.970540940000006</v>
      </c>
      <c r="B2775" s="8">
        <v>40.776460810000003</v>
      </c>
      <c r="C2775" s="8" t="s">
        <v>6834</v>
      </c>
      <c r="D2775" s="8" t="s">
        <v>121</v>
      </c>
      <c r="E2775" s="8" t="b">
        <f t="shared" si="43"/>
        <v>0</v>
      </c>
      <c r="F2775" s="8" t="str" cm="1">
        <f t="array" ref="F2775">_xlfn._xlws.FILTER(E2775:E5973, C2775:C5973= "6D-PM-1020-01", "No Squirrels Found")</f>
        <v>No Squirrels Found</v>
      </c>
      <c r="G2775" s="8" t="s">
        <v>34</v>
      </c>
      <c r="H2775" s="10">
        <v>10172018</v>
      </c>
      <c r="I2775" s="10">
        <v>3</v>
      </c>
      <c r="J2775" s="8" t="s">
        <v>39</v>
      </c>
      <c r="K2775" s="8" t="s">
        <v>40</v>
      </c>
      <c r="L2775" s="8" t="s">
        <v>84</v>
      </c>
      <c r="M2775" s="8" t="s">
        <v>103</v>
      </c>
      <c r="O2775" s="8" t="s">
        <v>43</v>
      </c>
      <c r="P2775" s="8" t="b">
        <v>0</v>
      </c>
      <c r="R2775" s="8" t="b">
        <v>0</v>
      </c>
      <c r="S2775" s="8" t="b">
        <v>0</v>
      </c>
      <c r="T2775" s="8" t="b">
        <v>0</v>
      </c>
      <c r="U2775" s="8" t="b">
        <v>1</v>
      </c>
      <c r="V2775" s="8" t="b">
        <v>0</v>
      </c>
      <c r="X2775" s="8" t="b">
        <v>0</v>
      </c>
      <c r="Y2775" s="8" t="b">
        <v>0</v>
      </c>
      <c r="Z2775" s="8" t="b">
        <v>0</v>
      </c>
      <c r="AA2775" s="8" t="b">
        <v>0</v>
      </c>
      <c r="AB2775" s="8" t="b">
        <v>0</v>
      </c>
      <c r="AC2775" s="8" t="b">
        <v>0</v>
      </c>
      <c r="AD2775" s="8" t="b">
        <v>0</v>
      </c>
      <c r="AE2775" s="8" t="b">
        <v>0</v>
      </c>
      <c r="AG2775" s="11" t="b" cm="1">
        <f t="array" ref="AG2775">IF(OR(Y2775:AA2775="TRUE", AE2775="true"), "Threatened")</f>
        <v>0</v>
      </c>
      <c r="AH2775" s="11" t="s">
        <v>6835</v>
      </c>
      <c r="AI2775" s="8" t="b">
        <v>1</v>
      </c>
    </row>
    <row r="2776" spans="1:35" ht="31.2">
      <c r="A2776" s="8">
        <v>-73.969710939999999</v>
      </c>
      <c r="B2776" s="8">
        <v>40.777621830000001</v>
      </c>
      <c r="C2776" s="8" t="s">
        <v>6836</v>
      </c>
      <c r="D2776" s="8" t="s">
        <v>150</v>
      </c>
      <c r="E2776" s="8" t="b">
        <f t="shared" si="43"/>
        <v>0</v>
      </c>
      <c r="F2776" s="8" t="str" cm="1">
        <f t="array" ref="F2776">_xlfn._xlws.FILTER(E2776:E5974, C2776:C5974= "6D-PM-1020-01", "No Squirrels Found")</f>
        <v>No Squirrels Found</v>
      </c>
      <c r="G2776" s="8" t="s">
        <v>34</v>
      </c>
      <c r="H2776" s="10">
        <v>10082018</v>
      </c>
      <c r="I2776" s="10">
        <v>6</v>
      </c>
      <c r="J2776" s="8" t="s">
        <v>39</v>
      </c>
      <c r="K2776" s="8" t="s">
        <v>40</v>
      </c>
      <c r="M2776" s="8" t="s">
        <v>55</v>
      </c>
      <c r="O2776" s="8" t="s">
        <v>43</v>
      </c>
      <c r="P2776" s="8" t="b">
        <v>0</v>
      </c>
      <c r="R2776" s="8" t="b">
        <v>0</v>
      </c>
      <c r="S2776" s="8" t="b">
        <v>0</v>
      </c>
      <c r="T2776" s="8" t="b">
        <v>0</v>
      </c>
      <c r="U2776" s="8" t="b">
        <v>1</v>
      </c>
      <c r="V2776" s="8" t="b">
        <v>1</v>
      </c>
      <c r="W2776" s="11" t="s">
        <v>521</v>
      </c>
      <c r="X2776" s="8" t="b">
        <v>0</v>
      </c>
      <c r="Y2776" s="8" t="b">
        <v>0</v>
      </c>
      <c r="Z2776" s="8" t="b">
        <v>0</v>
      </c>
      <c r="AA2776" s="8" t="b">
        <v>0</v>
      </c>
      <c r="AB2776" s="8" t="b">
        <v>0</v>
      </c>
      <c r="AC2776" s="8" t="b">
        <v>0</v>
      </c>
      <c r="AD2776" s="8" t="b">
        <v>1</v>
      </c>
      <c r="AE2776" s="8" t="b">
        <v>0</v>
      </c>
      <c r="AG2776" s="11" t="b" cm="1">
        <f t="array" ref="AG2776">IF(OR(Y2776:AA2776="TRUE", AE2776="true"), "Threatened")</f>
        <v>0</v>
      </c>
      <c r="AH2776" s="11" t="s">
        <v>6837</v>
      </c>
      <c r="AI2776" s="8" t="b">
        <v>0</v>
      </c>
    </row>
    <row r="2777" spans="1:35" ht="31.2">
      <c r="A2777" s="8">
        <v>-73.978968789999996</v>
      </c>
      <c r="B2777" s="8">
        <v>40.769269309999999</v>
      </c>
      <c r="C2777" s="8" t="s">
        <v>6838</v>
      </c>
      <c r="D2777" s="8" t="s">
        <v>465</v>
      </c>
      <c r="E2777" s="8" t="b">
        <f t="shared" si="43"/>
        <v>0</v>
      </c>
      <c r="F2777" s="8" t="str" cm="1">
        <f t="array" ref="F2777">_xlfn._xlws.FILTER(E2777:E5975, C2777:C5975= "6D-PM-1020-01", "No Squirrels Found")</f>
        <v>No Squirrels Found</v>
      </c>
      <c r="G2777" s="8" t="s">
        <v>34</v>
      </c>
      <c r="H2777" s="10">
        <v>10072018</v>
      </c>
      <c r="I2777" s="10">
        <v>4</v>
      </c>
      <c r="J2777" s="8" t="s">
        <v>54</v>
      </c>
      <c r="K2777" s="8" t="s">
        <v>40</v>
      </c>
      <c r="L2777" s="8" t="s">
        <v>117</v>
      </c>
      <c r="M2777" s="8" t="s">
        <v>118</v>
      </c>
      <c r="O2777" s="8" t="s">
        <v>50</v>
      </c>
      <c r="P2777" s="8">
        <v>4</v>
      </c>
      <c r="Q2777" s="8" t="s">
        <v>6839</v>
      </c>
      <c r="R2777" s="8" t="b">
        <v>1</v>
      </c>
      <c r="S2777" s="8" t="b">
        <v>0</v>
      </c>
      <c r="T2777" s="8" t="b">
        <v>1</v>
      </c>
      <c r="U2777" s="8" t="b">
        <v>1</v>
      </c>
      <c r="V2777" s="8" t="b">
        <v>0</v>
      </c>
      <c r="X2777" s="8" t="b">
        <v>0</v>
      </c>
      <c r="Y2777" s="8" t="b">
        <v>0</v>
      </c>
      <c r="Z2777" s="8" t="b">
        <v>0</v>
      </c>
      <c r="AA2777" s="8" t="b">
        <v>0</v>
      </c>
      <c r="AB2777" s="8" t="b">
        <v>1</v>
      </c>
      <c r="AC2777" s="8" t="b">
        <v>0</v>
      </c>
      <c r="AD2777" s="8" t="b">
        <v>1</v>
      </c>
      <c r="AE2777" s="8" t="b">
        <v>1</v>
      </c>
      <c r="AG2777" s="11" t="b" cm="1">
        <f t="array" ref="AG2777">IF(OR(Y2777:AA2777="TRUE", AE2777="true"), "Threatened")</f>
        <v>0</v>
      </c>
      <c r="AH2777" s="11" t="s">
        <v>6840</v>
      </c>
      <c r="AI2777" s="8" t="b">
        <v>1</v>
      </c>
    </row>
    <row r="2778" spans="1:35" ht="31.2">
      <c r="A2778" s="8">
        <v>-73.981084359999997</v>
      </c>
      <c r="B2778" s="8">
        <v>40.768790549999999</v>
      </c>
      <c r="C2778" s="8" t="s">
        <v>6841</v>
      </c>
      <c r="D2778" s="8" t="s">
        <v>1909</v>
      </c>
      <c r="E2778" s="8" t="b">
        <f t="shared" si="43"/>
        <v>0</v>
      </c>
      <c r="F2778" s="8" t="str" cm="1">
        <f t="array" ref="F2778">_xlfn._xlws.FILTER(E2778:E5976, C2778:C5976= "6D-PM-1020-01", "No Squirrels Found")</f>
        <v>No Squirrels Found</v>
      </c>
      <c r="G2778" s="8" t="s">
        <v>34</v>
      </c>
      <c r="H2778" s="10">
        <v>10192018</v>
      </c>
      <c r="I2778" s="10">
        <v>5</v>
      </c>
      <c r="J2778" s="8" t="s">
        <v>3843</v>
      </c>
      <c r="K2778" s="8" t="s">
        <v>40</v>
      </c>
      <c r="M2778" s="8" t="s">
        <v>55</v>
      </c>
      <c r="O2778" s="8" t="s">
        <v>50</v>
      </c>
      <c r="P2778" s="8">
        <v>50</v>
      </c>
      <c r="Q2778" s="8" t="s">
        <v>6842</v>
      </c>
      <c r="R2778" s="8" t="b">
        <v>1</v>
      </c>
      <c r="S2778" s="8" t="b">
        <v>0</v>
      </c>
      <c r="T2778" s="8" t="b">
        <v>0</v>
      </c>
      <c r="U2778" s="8" t="b">
        <v>0</v>
      </c>
      <c r="V2778" s="8" t="b">
        <v>0</v>
      </c>
      <c r="X2778" s="8" t="b">
        <v>0</v>
      </c>
      <c r="Y2778" s="8" t="b">
        <v>0</v>
      </c>
      <c r="Z2778" s="8" t="b">
        <v>0</v>
      </c>
      <c r="AA2778" s="8" t="b">
        <v>0</v>
      </c>
      <c r="AB2778" s="8" t="b">
        <v>0</v>
      </c>
      <c r="AC2778" s="8" t="b">
        <v>0</v>
      </c>
      <c r="AD2778" s="8" t="b">
        <v>0</v>
      </c>
      <c r="AE2778" s="8" t="b">
        <v>0</v>
      </c>
      <c r="AG2778" s="11" t="b" cm="1">
        <f t="array" ref="AG2778">IF(OR(Y2778:AA2778="TRUE", AE2778="true"), "Threatened")</f>
        <v>0</v>
      </c>
      <c r="AH2778" s="11" t="s">
        <v>6843</v>
      </c>
      <c r="AI2778" s="8" t="b">
        <v>1</v>
      </c>
    </row>
    <row r="2779" spans="1:35" ht="31.2">
      <c r="A2779" s="8">
        <v>-73.976179970000004</v>
      </c>
      <c r="B2779" s="8">
        <v>40.774213410000002</v>
      </c>
      <c r="C2779" s="8" t="s">
        <v>6844</v>
      </c>
      <c r="D2779" s="8" t="s">
        <v>802</v>
      </c>
      <c r="E2779" s="8" t="b">
        <f t="shared" si="43"/>
        <v>0</v>
      </c>
      <c r="F2779" s="8" t="str" cm="1">
        <f t="array" ref="F2779">_xlfn._xlws.FILTER(E2779:E5977, C2779:C5977= "6D-PM-1020-01", "No Squirrels Found")</f>
        <v>No Squirrels Found</v>
      </c>
      <c r="G2779" s="8" t="s">
        <v>48</v>
      </c>
      <c r="H2779" s="10">
        <v>10102018</v>
      </c>
      <c r="I2779" s="10">
        <v>7</v>
      </c>
      <c r="J2779" s="8" t="s">
        <v>39</v>
      </c>
      <c r="K2779" s="8" t="s">
        <v>40</v>
      </c>
      <c r="L2779" s="8" t="s">
        <v>84</v>
      </c>
      <c r="M2779" s="8" t="s">
        <v>103</v>
      </c>
      <c r="O2779" s="8" t="s">
        <v>43</v>
      </c>
      <c r="P2779" s="8" t="b">
        <v>0</v>
      </c>
      <c r="R2779" s="8" t="b">
        <v>0</v>
      </c>
      <c r="S2779" s="8" t="b">
        <v>0</v>
      </c>
      <c r="T2779" s="8" t="b">
        <v>0</v>
      </c>
      <c r="U2779" s="8" t="b">
        <v>0</v>
      </c>
      <c r="V2779" s="8" t="b">
        <v>1</v>
      </c>
      <c r="X2779" s="8" t="b">
        <v>0</v>
      </c>
      <c r="Y2779" s="8" t="b">
        <v>0</v>
      </c>
      <c r="Z2779" s="8" t="b">
        <v>0</v>
      </c>
      <c r="AA2779" s="8" t="b">
        <v>0</v>
      </c>
      <c r="AB2779" s="8" t="b">
        <v>0</v>
      </c>
      <c r="AC2779" s="8" t="b">
        <v>0</v>
      </c>
      <c r="AD2779" s="8" t="b">
        <v>1</v>
      </c>
      <c r="AE2779" s="8" t="b">
        <v>0</v>
      </c>
      <c r="AG2779" s="11" t="b" cm="1">
        <f t="array" ref="AG2779">IF(OR(Y2779:AA2779="TRUE", AE2779="true"), "Threatened")</f>
        <v>0</v>
      </c>
      <c r="AH2779" s="11" t="s">
        <v>6845</v>
      </c>
      <c r="AI2779" s="8" t="b">
        <v>1</v>
      </c>
    </row>
    <row r="2780" spans="1:35" ht="31.2">
      <c r="A2780" s="8">
        <v>-73.976783519999998</v>
      </c>
      <c r="B2780" s="8">
        <v>40.767403029999997</v>
      </c>
      <c r="C2780" s="8" t="s">
        <v>6846</v>
      </c>
      <c r="D2780" s="8" t="s">
        <v>47</v>
      </c>
      <c r="E2780" s="8" t="b">
        <f t="shared" si="43"/>
        <v>0</v>
      </c>
      <c r="F2780" s="8" t="str" cm="1">
        <f t="array" ref="F2780">_xlfn._xlws.FILTER(E2780:E5978, C2780:C5978= "6D-PM-1020-01", "No Squirrels Found")</f>
        <v>No Squirrels Found</v>
      </c>
      <c r="G2780" s="8" t="s">
        <v>34</v>
      </c>
      <c r="H2780" s="10">
        <v>10142018</v>
      </c>
      <c r="I2780" s="10">
        <v>4</v>
      </c>
      <c r="J2780" s="8" t="s">
        <v>39</v>
      </c>
      <c r="K2780" s="8" t="s">
        <v>41</v>
      </c>
      <c r="L2780" s="8" t="s">
        <v>84</v>
      </c>
      <c r="M2780" s="8" t="s">
        <v>85</v>
      </c>
      <c r="O2780" s="8" t="s">
        <v>50</v>
      </c>
      <c r="P2780" s="8">
        <v>15</v>
      </c>
      <c r="R2780" s="8" t="b">
        <v>0</v>
      </c>
      <c r="S2780" s="8" t="b">
        <v>0</v>
      </c>
      <c r="T2780" s="8" t="b">
        <v>1</v>
      </c>
      <c r="U2780" s="8" t="b">
        <v>0</v>
      </c>
      <c r="V2780" s="8" t="b">
        <v>0</v>
      </c>
      <c r="X2780" s="8" t="b">
        <v>0</v>
      </c>
      <c r="Y2780" s="8" t="b">
        <v>0</v>
      </c>
      <c r="Z2780" s="8" t="b">
        <v>0</v>
      </c>
      <c r="AA2780" s="8" t="b">
        <v>0</v>
      </c>
      <c r="AB2780" s="8" t="b">
        <v>0</v>
      </c>
      <c r="AC2780" s="8" t="b">
        <v>0</v>
      </c>
      <c r="AD2780" s="8" t="b">
        <v>0</v>
      </c>
      <c r="AE2780" s="8" t="b">
        <v>1</v>
      </c>
      <c r="AG2780" s="11" t="b" cm="1">
        <f t="array" ref="AG2780">IF(OR(Y2780:AA2780="TRUE", AE2780="true"), "Threatened")</f>
        <v>0</v>
      </c>
      <c r="AH2780" s="11" t="s">
        <v>6847</v>
      </c>
      <c r="AI2780" s="8" t="b">
        <v>1</v>
      </c>
    </row>
    <row r="2781" spans="1:35" ht="31.2">
      <c r="A2781" s="8">
        <v>-73.970063429999996</v>
      </c>
      <c r="B2781" s="8">
        <v>40.778422370000001</v>
      </c>
      <c r="C2781" s="8" t="s">
        <v>6848</v>
      </c>
      <c r="D2781" s="8" t="s">
        <v>721</v>
      </c>
      <c r="E2781" s="8" t="b">
        <f t="shared" si="43"/>
        <v>0</v>
      </c>
      <c r="F2781" s="8" t="str" cm="1">
        <f t="array" ref="F2781">_xlfn._xlws.FILTER(E2781:E5979, C2781:C5979= "6D-PM-1020-01", "No Squirrels Found")</f>
        <v>No Squirrels Found</v>
      </c>
      <c r="G2781" s="8" t="s">
        <v>34</v>
      </c>
      <c r="H2781" s="10">
        <v>10102018</v>
      </c>
      <c r="I2781" s="10">
        <v>7</v>
      </c>
      <c r="J2781" s="8" t="s">
        <v>39</v>
      </c>
      <c r="K2781" s="8" t="s">
        <v>40</v>
      </c>
      <c r="M2781" s="8" t="s">
        <v>55</v>
      </c>
      <c r="O2781" s="8" t="s">
        <v>43</v>
      </c>
      <c r="P2781" s="8" t="b">
        <v>0</v>
      </c>
      <c r="R2781" s="8" t="b">
        <v>0</v>
      </c>
      <c r="S2781" s="8" t="b">
        <v>1</v>
      </c>
      <c r="T2781" s="8" t="b">
        <v>0</v>
      </c>
      <c r="U2781" s="8" t="b">
        <v>0</v>
      </c>
      <c r="V2781" s="8" t="b">
        <v>0</v>
      </c>
      <c r="X2781" s="8" t="b">
        <v>0</v>
      </c>
      <c r="Y2781" s="8" t="b">
        <v>0</v>
      </c>
      <c r="Z2781" s="8" t="b">
        <v>0</v>
      </c>
      <c r="AA2781" s="8" t="b">
        <v>0</v>
      </c>
      <c r="AB2781" s="8" t="b">
        <v>0</v>
      </c>
      <c r="AC2781" s="8" t="b">
        <v>0</v>
      </c>
      <c r="AD2781" s="8" t="b">
        <v>1</v>
      </c>
      <c r="AE2781" s="8" t="b">
        <v>0</v>
      </c>
      <c r="AG2781" s="11" t="b" cm="1">
        <f t="array" ref="AG2781">IF(OR(Y2781:AA2781="TRUE", AE2781="true"), "Threatened")</f>
        <v>0</v>
      </c>
      <c r="AH2781" s="11" t="s">
        <v>6849</v>
      </c>
      <c r="AI2781" s="8" t="b">
        <v>1</v>
      </c>
    </row>
    <row r="2782" spans="1:35" ht="31.2">
      <c r="A2782" s="8">
        <v>-73.975267389999999</v>
      </c>
      <c r="B2782" s="8">
        <v>40.766264239999998</v>
      </c>
      <c r="C2782" s="8" t="s">
        <v>6850</v>
      </c>
      <c r="D2782" s="8" t="s">
        <v>2892</v>
      </c>
      <c r="E2782" s="8" t="b">
        <f t="shared" si="43"/>
        <v>0</v>
      </c>
      <c r="F2782" s="8" t="str" cm="1">
        <f t="array" ref="F2782">_xlfn._xlws.FILTER(E2782:E5980, C2782:C5980= "6D-PM-1020-01", "No Squirrels Found")</f>
        <v>No Squirrels Found</v>
      </c>
      <c r="G2782" s="8" t="s">
        <v>48</v>
      </c>
      <c r="H2782" s="10">
        <v>10102018</v>
      </c>
      <c r="I2782" s="10">
        <v>4</v>
      </c>
      <c r="J2782" s="8" t="s">
        <v>39</v>
      </c>
      <c r="K2782" s="8" t="s">
        <v>40</v>
      </c>
      <c r="M2782" s="8" t="s">
        <v>55</v>
      </c>
      <c r="O2782" s="8" t="s">
        <v>43</v>
      </c>
      <c r="P2782" s="8" t="b">
        <v>0</v>
      </c>
      <c r="R2782" s="8" t="b">
        <v>0</v>
      </c>
      <c r="S2782" s="8" t="b">
        <v>0</v>
      </c>
      <c r="T2782" s="8" t="b">
        <v>0</v>
      </c>
      <c r="U2782" s="8" t="b">
        <v>1</v>
      </c>
      <c r="V2782" s="8" t="b">
        <v>0</v>
      </c>
      <c r="X2782" s="8" t="b">
        <v>0</v>
      </c>
      <c r="Y2782" s="8" t="b">
        <v>0</v>
      </c>
      <c r="Z2782" s="8" t="b">
        <v>0</v>
      </c>
      <c r="AA2782" s="8" t="b">
        <v>0</v>
      </c>
      <c r="AB2782" s="8" t="b">
        <v>0</v>
      </c>
      <c r="AC2782" s="8" t="b">
        <v>0</v>
      </c>
      <c r="AD2782" s="8" t="b">
        <v>1</v>
      </c>
      <c r="AE2782" s="8" t="b">
        <v>0</v>
      </c>
      <c r="AG2782" s="11" t="b" cm="1">
        <f t="array" ref="AG2782">IF(OR(Y2782:AA2782="TRUE", AE2782="true"), "Threatened")</f>
        <v>0</v>
      </c>
      <c r="AH2782" s="11" t="s">
        <v>6851</v>
      </c>
      <c r="AI2782" s="8" t="b">
        <v>1</v>
      </c>
    </row>
    <row r="2783" spans="1:35" ht="31.2">
      <c r="A2783" s="8">
        <v>-73.95634733</v>
      </c>
      <c r="B2783" s="8">
        <v>40.789371240000001</v>
      </c>
      <c r="C2783" s="8" t="s">
        <v>6852</v>
      </c>
      <c r="D2783" s="8" t="s">
        <v>346</v>
      </c>
      <c r="E2783" s="8" t="b">
        <f t="shared" si="43"/>
        <v>0</v>
      </c>
      <c r="F2783" s="8" t="str" cm="1">
        <f t="array" ref="F2783">_xlfn._xlws.FILTER(E2783:E5981, C2783:C5981= "6D-PM-1020-01", "No Squirrels Found")</f>
        <v>No Squirrels Found</v>
      </c>
      <c r="G2783" s="8" t="s">
        <v>34</v>
      </c>
      <c r="H2783" s="10">
        <v>10062018</v>
      </c>
      <c r="I2783" s="10">
        <v>3</v>
      </c>
      <c r="J2783" s="8" t="s">
        <v>39</v>
      </c>
      <c r="K2783" s="8" t="s">
        <v>40</v>
      </c>
      <c r="L2783" s="8" t="s">
        <v>84</v>
      </c>
      <c r="M2783" s="8" t="s">
        <v>103</v>
      </c>
      <c r="O2783" s="8" t="s">
        <v>43</v>
      </c>
      <c r="P2783" s="8" t="b">
        <v>0</v>
      </c>
      <c r="R2783" s="8" t="b">
        <v>1</v>
      </c>
      <c r="S2783" s="8" t="b">
        <v>0</v>
      </c>
      <c r="T2783" s="8" t="b">
        <v>0</v>
      </c>
      <c r="U2783" s="8" t="b">
        <v>0</v>
      </c>
      <c r="V2783" s="8" t="b">
        <v>1</v>
      </c>
      <c r="X2783" s="8" t="b">
        <v>0</v>
      </c>
      <c r="Y2783" s="8" t="b">
        <v>0</v>
      </c>
      <c r="Z2783" s="8" t="b">
        <v>0</v>
      </c>
      <c r="AA2783" s="8" t="b">
        <v>0</v>
      </c>
      <c r="AB2783" s="8" t="b">
        <v>1</v>
      </c>
      <c r="AC2783" s="8" t="b">
        <v>1</v>
      </c>
      <c r="AD2783" s="8" t="b">
        <v>0</v>
      </c>
      <c r="AE2783" s="8" t="b">
        <v>1</v>
      </c>
      <c r="AG2783" s="11" t="b" cm="1">
        <f t="array" ref="AG2783">IF(OR(Y2783:AA2783="TRUE", AE2783="true"), "Threatened")</f>
        <v>0</v>
      </c>
      <c r="AH2783" s="11" t="s">
        <v>6853</v>
      </c>
      <c r="AI2783" s="8" t="b">
        <v>1</v>
      </c>
    </row>
    <row r="2784" spans="1:35" ht="31.2">
      <c r="A2784" s="8">
        <v>-73.979176719999998</v>
      </c>
      <c r="B2784" s="8">
        <v>40.771444529999997</v>
      </c>
      <c r="C2784" s="8" t="s">
        <v>6854</v>
      </c>
      <c r="D2784" s="8" t="s">
        <v>342</v>
      </c>
      <c r="E2784" s="8" t="b">
        <f t="shared" si="43"/>
        <v>0</v>
      </c>
      <c r="F2784" s="8" t="str" cm="1">
        <f t="array" ref="F2784">_xlfn._xlws.FILTER(E2784:E5982, C2784:C5982= "6D-PM-1020-01", "No Squirrels Found")</f>
        <v>No Squirrels Found</v>
      </c>
      <c r="G2784" s="8" t="s">
        <v>48</v>
      </c>
      <c r="H2784" s="10">
        <v>10062018</v>
      </c>
      <c r="I2784" s="10">
        <v>2</v>
      </c>
      <c r="J2784" s="8" t="s">
        <v>54</v>
      </c>
      <c r="K2784" s="8" t="s">
        <v>40</v>
      </c>
      <c r="L2784" s="8" t="s">
        <v>41</v>
      </c>
      <c r="M2784" s="8" t="s">
        <v>42</v>
      </c>
      <c r="O2784" s="8" t="s">
        <v>50</v>
      </c>
      <c r="P2784" s="8">
        <v>12</v>
      </c>
      <c r="Q2784" s="8" t="s">
        <v>6855</v>
      </c>
      <c r="R2784" s="8" t="b">
        <v>0</v>
      </c>
      <c r="S2784" s="8" t="b">
        <v>0</v>
      </c>
      <c r="T2784" s="8" t="b">
        <v>1</v>
      </c>
      <c r="U2784" s="8" t="b">
        <v>1</v>
      </c>
      <c r="V2784" s="8" t="b">
        <v>0</v>
      </c>
      <c r="X2784" s="8" t="b">
        <v>0</v>
      </c>
      <c r="Y2784" s="8" t="b">
        <v>0</v>
      </c>
      <c r="Z2784" s="8" t="b">
        <v>0</v>
      </c>
      <c r="AA2784" s="8" t="b">
        <v>0</v>
      </c>
      <c r="AB2784" s="8" t="b">
        <v>0</v>
      </c>
      <c r="AC2784" s="8" t="b">
        <v>0</v>
      </c>
      <c r="AD2784" s="8" t="b">
        <v>1</v>
      </c>
      <c r="AE2784" s="8" t="b">
        <v>0</v>
      </c>
      <c r="AG2784" s="11" t="b" cm="1">
        <f t="array" ref="AG2784">IF(OR(Y2784:AA2784="TRUE", AE2784="true"), "Threatened")</f>
        <v>0</v>
      </c>
      <c r="AH2784" s="11" t="s">
        <v>6856</v>
      </c>
      <c r="AI2784" s="8" t="b">
        <v>1</v>
      </c>
    </row>
    <row r="2785" spans="1:35" ht="31.2">
      <c r="A2785" s="8">
        <v>-73.976372240000003</v>
      </c>
      <c r="B2785" s="8">
        <v>40.774412140000003</v>
      </c>
      <c r="C2785" s="8" t="s">
        <v>6857</v>
      </c>
      <c r="D2785" s="8" t="s">
        <v>859</v>
      </c>
      <c r="E2785" s="8" t="b">
        <f t="shared" si="43"/>
        <v>0</v>
      </c>
      <c r="F2785" s="8" t="str" cm="1">
        <f t="array" ref="F2785">_xlfn._xlws.FILTER(E2785:E5983, C2785:C5983= "6D-PM-1020-01", "No Squirrels Found")</f>
        <v>No Squirrels Found</v>
      </c>
      <c r="G2785" s="8" t="s">
        <v>48</v>
      </c>
      <c r="H2785" s="10">
        <v>10132018</v>
      </c>
      <c r="I2785" s="10">
        <v>7</v>
      </c>
      <c r="J2785" s="8" t="s">
        <v>39</v>
      </c>
      <c r="M2785" s="8" t="s">
        <v>35</v>
      </c>
      <c r="R2785" s="8" t="b">
        <v>0</v>
      </c>
      <c r="S2785" s="8" t="b">
        <v>0</v>
      </c>
      <c r="T2785" s="8" t="b">
        <v>0</v>
      </c>
      <c r="U2785" s="8" t="b">
        <v>0</v>
      </c>
      <c r="V2785" s="8" t="b">
        <v>0</v>
      </c>
      <c r="X2785" s="8" t="b">
        <v>0</v>
      </c>
      <c r="Y2785" s="8" t="b">
        <v>0</v>
      </c>
      <c r="Z2785" s="8" t="b">
        <v>0</v>
      </c>
      <c r="AA2785" s="8" t="b">
        <v>0</v>
      </c>
      <c r="AB2785" s="8" t="b">
        <v>0</v>
      </c>
      <c r="AC2785" s="8" t="b">
        <v>0</v>
      </c>
      <c r="AD2785" s="8" t="b">
        <v>0</v>
      </c>
      <c r="AE2785" s="8" t="b">
        <v>1</v>
      </c>
      <c r="AG2785" s="11" t="b" cm="1">
        <f t="array" ref="AG2785">IF(OR(Y2785:AA2785="TRUE", AE2785="true"), "Threatened")</f>
        <v>0</v>
      </c>
      <c r="AH2785" s="11" t="s">
        <v>6858</v>
      </c>
      <c r="AI2785" s="8" t="b">
        <v>1</v>
      </c>
    </row>
    <row r="2786" spans="1:35" ht="31.2">
      <c r="A2786" s="8">
        <v>-73.972910499999998</v>
      </c>
      <c r="B2786" s="8">
        <v>40.7672758</v>
      </c>
      <c r="C2786" s="8" t="s">
        <v>6859</v>
      </c>
      <c r="D2786" s="8" t="s">
        <v>2125</v>
      </c>
      <c r="E2786" s="8" t="b">
        <f t="shared" si="43"/>
        <v>0</v>
      </c>
      <c r="F2786" s="8" t="str" cm="1">
        <f t="array" ref="F2786">_xlfn._xlws.FILTER(E2786:E5984, C2786:C5984= "6D-PM-1020-01", "No Squirrels Found")</f>
        <v>No Squirrels Found</v>
      </c>
      <c r="G2786" s="8" t="s">
        <v>34</v>
      </c>
      <c r="H2786" s="10">
        <v>10062018</v>
      </c>
      <c r="I2786" s="10">
        <v>2</v>
      </c>
      <c r="J2786" s="8" t="s">
        <v>39</v>
      </c>
      <c r="K2786" s="8" t="s">
        <v>40</v>
      </c>
      <c r="L2786" s="8" t="s">
        <v>117</v>
      </c>
      <c r="M2786" s="8" t="s">
        <v>118</v>
      </c>
      <c r="O2786" s="8" t="s">
        <v>43</v>
      </c>
      <c r="P2786" s="8" t="b">
        <v>0</v>
      </c>
      <c r="R2786" s="8" t="b">
        <v>1</v>
      </c>
      <c r="S2786" s="8" t="b">
        <v>0</v>
      </c>
      <c r="T2786" s="8" t="b">
        <v>0</v>
      </c>
      <c r="U2786" s="8" t="b">
        <v>1</v>
      </c>
      <c r="V2786" s="8" t="b">
        <v>1</v>
      </c>
      <c r="X2786" s="8" t="b">
        <v>0</v>
      </c>
      <c r="Y2786" s="8" t="b">
        <v>0</v>
      </c>
      <c r="Z2786" s="8" t="b">
        <v>0</v>
      </c>
      <c r="AA2786" s="8" t="b">
        <v>0</v>
      </c>
      <c r="AB2786" s="8" t="b">
        <v>0</v>
      </c>
      <c r="AC2786" s="8" t="b">
        <v>0</v>
      </c>
      <c r="AD2786" s="8" t="b">
        <v>1</v>
      </c>
      <c r="AE2786" s="8" t="b">
        <v>0</v>
      </c>
      <c r="AG2786" s="11" t="b" cm="1">
        <f t="array" ref="AG2786">IF(OR(Y2786:AA2786="TRUE", AE2786="true"), "Threatened")</f>
        <v>0</v>
      </c>
      <c r="AH2786" s="11" t="s">
        <v>6860</v>
      </c>
      <c r="AI2786" s="8" t="b">
        <v>1</v>
      </c>
    </row>
    <row r="2787" spans="1:35" ht="31.2">
      <c r="A2787" s="8">
        <v>-73.968388379999993</v>
      </c>
      <c r="B2787" s="8">
        <v>40.775434439999998</v>
      </c>
      <c r="C2787" s="8" t="s">
        <v>6861</v>
      </c>
      <c r="D2787" s="8" t="s">
        <v>2019</v>
      </c>
      <c r="E2787" s="8" t="b">
        <f t="shared" si="43"/>
        <v>0</v>
      </c>
      <c r="F2787" s="8" t="str" cm="1">
        <f t="array" ref="F2787">_xlfn._xlws.FILTER(E2787:E5985, C2787:C5985= "6D-PM-1020-01", "No Squirrels Found")</f>
        <v>No Squirrels Found</v>
      </c>
      <c r="G2787" s="8" t="s">
        <v>34</v>
      </c>
      <c r="H2787" s="10">
        <v>10082018</v>
      </c>
      <c r="I2787" s="10">
        <v>1</v>
      </c>
      <c r="J2787" s="8" t="s">
        <v>54</v>
      </c>
      <c r="K2787" s="8" t="s">
        <v>40</v>
      </c>
      <c r="M2787" s="8" t="s">
        <v>55</v>
      </c>
      <c r="O2787" s="8" t="s">
        <v>50</v>
      </c>
      <c r="P2787" s="8">
        <v>20</v>
      </c>
      <c r="Q2787" s="8" t="s">
        <v>4875</v>
      </c>
      <c r="R2787" s="8" t="b">
        <v>0</v>
      </c>
      <c r="S2787" s="8" t="b">
        <v>0</v>
      </c>
      <c r="T2787" s="8" t="b">
        <v>0</v>
      </c>
      <c r="U2787" s="8" t="b">
        <v>0</v>
      </c>
      <c r="V2787" s="8" t="b">
        <v>1</v>
      </c>
      <c r="X2787" s="8" t="b">
        <v>0</v>
      </c>
      <c r="Y2787" s="8" t="b">
        <v>0</v>
      </c>
      <c r="Z2787" s="8" t="b">
        <v>0</v>
      </c>
      <c r="AA2787" s="8" t="b">
        <v>0</v>
      </c>
      <c r="AB2787" s="8" t="b">
        <v>0</v>
      </c>
      <c r="AC2787" s="8" t="b">
        <v>0</v>
      </c>
      <c r="AD2787" s="8" t="b">
        <v>1</v>
      </c>
      <c r="AE2787" s="8" t="b">
        <v>0</v>
      </c>
      <c r="AG2787" s="11" t="b" cm="1">
        <f t="array" ref="AG2787">IF(OR(Y2787:AA2787="TRUE", AE2787="true"), "Threatened")</f>
        <v>0</v>
      </c>
      <c r="AH2787" s="11" t="s">
        <v>6862</v>
      </c>
      <c r="AI2787" s="8" t="b">
        <v>1</v>
      </c>
    </row>
    <row r="2788" spans="1:35" ht="31.2">
      <c r="A2788" s="8">
        <v>-73.976530699999998</v>
      </c>
      <c r="B2788" s="8">
        <v>40.769495689999999</v>
      </c>
      <c r="C2788" s="8" t="s">
        <v>6863</v>
      </c>
      <c r="D2788" s="8" t="s">
        <v>544</v>
      </c>
      <c r="E2788" s="8" t="b">
        <f t="shared" si="43"/>
        <v>0</v>
      </c>
      <c r="F2788" s="8" t="str" cm="1">
        <f t="array" ref="F2788">_xlfn._xlws.FILTER(E2788:E5986, C2788:C5986= "6D-PM-1020-01", "No Squirrels Found")</f>
        <v>No Squirrels Found</v>
      </c>
      <c r="G2788" s="8" t="s">
        <v>34</v>
      </c>
      <c r="H2788" s="10">
        <v>10082018</v>
      </c>
      <c r="I2788" s="10">
        <v>9</v>
      </c>
      <c r="J2788" s="8" t="s">
        <v>39</v>
      </c>
      <c r="K2788" s="8" t="s">
        <v>41</v>
      </c>
      <c r="L2788" s="8" t="s">
        <v>135</v>
      </c>
      <c r="M2788" s="8" t="s">
        <v>136</v>
      </c>
      <c r="R2788" s="8" t="b">
        <v>0</v>
      </c>
      <c r="S2788" s="8" t="b">
        <v>0</v>
      </c>
      <c r="T2788" s="8" t="b">
        <v>0</v>
      </c>
      <c r="U2788" s="8" t="b">
        <v>0</v>
      </c>
      <c r="V2788" s="8" t="b">
        <v>1</v>
      </c>
      <c r="X2788" s="8" t="b">
        <v>0</v>
      </c>
      <c r="Y2788" s="8" t="b">
        <v>0</v>
      </c>
      <c r="Z2788" s="8" t="b">
        <v>0</v>
      </c>
      <c r="AA2788" s="8" t="b">
        <v>0</v>
      </c>
      <c r="AB2788" s="8" t="b">
        <v>0</v>
      </c>
      <c r="AC2788" s="8" t="b">
        <v>0</v>
      </c>
      <c r="AD2788" s="8" t="b">
        <v>1</v>
      </c>
      <c r="AE2788" s="8" t="b">
        <v>0</v>
      </c>
      <c r="AG2788" s="11" t="b" cm="1">
        <f t="array" ref="AG2788">IF(OR(Y2788:AA2788="TRUE", AE2788="true"), "Threatened")</f>
        <v>0</v>
      </c>
      <c r="AH2788" s="11" t="s">
        <v>6864</v>
      </c>
      <c r="AI2788" s="8" t="b">
        <v>1</v>
      </c>
    </row>
    <row r="2789" spans="1:35" ht="31.2">
      <c r="A2789" s="8">
        <v>-73.964784570000006</v>
      </c>
      <c r="B2789" s="8">
        <v>40.781657379999999</v>
      </c>
      <c r="C2789" s="8" t="s">
        <v>6865</v>
      </c>
      <c r="D2789" s="8" t="s">
        <v>1202</v>
      </c>
      <c r="E2789" s="8" t="b">
        <f t="shared" si="43"/>
        <v>0</v>
      </c>
      <c r="F2789" s="8" t="str" cm="1">
        <f t="array" ref="F2789">_xlfn._xlws.FILTER(E2789:E5987, C2789:C5987= "6D-PM-1020-01", "No Squirrels Found")</f>
        <v>No Squirrels Found</v>
      </c>
      <c r="G2789" s="8" t="s">
        <v>48</v>
      </c>
      <c r="H2789" s="10">
        <v>10182018</v>
      </c>
      <c r="I2789" s="10">
        <v>7</v>
      </c>
      <c r="J2789" s="8" t="s">
        <v>39</v>
      </c>
      <c r="K2789" s="8" t="s">
        <v>41</v>
      </c>
      <c r="L2789" s="8" t="s">
        <v>40</v>
      </c>
      <c r="M2789" s="8" t="s">
        <v>110</v>
      </c>
      <c r="O2789" s="8" t="s">
        <v>43</v>
      </c>
      <c r="P2789" s="8" t="b">
        <v>0</v>
      </c>
      <c r="R2789" s="8" t="b">
        <v>1</v>
      </c>
      <c r="S2789" s="8" t="b">
        <v>0</v>
      </c>
      <c r="T2789" s="8" t="b">
        <v>0</v>
      </c>
      <c r="U2789" s="8" t="b">
        <v>0</v>
      </c>
      <c r="V2789" s="8" t="b">
        <v>0</v>
      </c>
      <c r="X2789" s="8" t="b">
        <v>0</v>
      </c>
      <c r="Y2789" s="8" t="b">
        <v>0</v>
      </c>
      <c r="Z2789" s="8" t="b">
        <v>0</v>
      </c>
      <c r="AA2789" s="8" t="b">
        <v>0</v>
      </c>
      <c r="AB2789" s="8" t="b">
        <v>1</v>
      </c>
      <c r="AC2789" s="8" t="b">
        <v>0</v>
      </c>
      <c r="AD2789" s="8" t="b">
        <v>0</v>
      </c>
      <c r="AE2789" s="8" t="b">
        <v>1</v>
      </c>
      <c r="AG2789" s="11" t="b" cm="1">
        <f t="array" ref="AG2789">IF(OR(Y2789:AA2789="TRUE", AE2789="true"), "Threatened")</f>
        <v>0</v>
      </c>
      <c r="AH2789" s="11" t="s">
        <v>6866</v>
      </c>
      <c r="AI2789" s="8" t="b">
        <v>1</v>
      </c>
    </row>
    <row r="2790" spans="1:35" ht="31.2">
      <c r="A2790" s="8">
        <v>-73.968680079999999</v>
      </c>
      <c r="B2790" s="8">
        <v>40.776673899999999</v>
      </c>
      <c r="C2790" s="8" t="s">
        <v>6867</v>
      </c>
      <c r="D2790" s="8" t="s">
        <v>246</v>
      </c>
      <c r="E2790" s="8" t="b">
        <f t="shared" si="43"/>
        <v>0</v>
      </c>
      <c r="F2790" s="8" t="str" cm="1">
        <f t="array" ref="F2790">_xlfn._xlws.FILTER(E2790:E5988, C2790:C5988= "6D-PM-1020-01", "No Squirrels Found")</f>
        <v>No Squirrels Found</v>
      </c>
      <c r="G2790" s="8" t="s">
        <v>48</v>
      </c>
      <c r="H2790" s="10">
        <v>10072018</v>
      </c>
      <c r="I2790" s="10">
        <v>3</v>
      </c>
      <c r="J2790" s="8" t="s">
        <v>39</v>
      </c>
      <c r="K2790" s="8" t="s">
        <v>40</v>
      </c>
      <c r="L2790" s="8" t="s">
        <v>41</v>
      </c>
      <c r="M2790" s="8" t="s">
        <v>42</v>
      </c>
      <c r="N2790" s="11" t="s">
        <v>1671</v>
      </c>
      <c r="O2790" s="8" t="s">
        <v>43</v>
      </c>
      <c r="P2790" s="8" t="b">
        <v>0</v>
      </c>
      <c r="R2790" s="8" t="b">
        <v>0</v>
      </c>
      <c r="S2790" s="8" t="b">
        <v>0</v>
      </c>
      <c r="T2790" s="8" t="b">
        <v>0</v>
      </c>
      <c r="U2790" s="8" t="b">
        <v>0</v>
      </c>
      <c r="V2790" s="8" t="b">
        <v>1</v>
      </c>
      <c r="X2790" s="8" t="b">
        <v>0</v>
      </c>
      <c r="Y2790" s="8" t="b">
        <v>0</v>
      </c>
      <c r="Z2790" s="8" t="b">
        <v>0</v>
      </c>
      <c r="AA2790" s="8" t="b">
        <v>0</v>
      </c>
      <c r="AB2790" s="8" t="b">
        <v>0</v>
      </c>
      <c r="AC2790" s="8" t="b">
        <v>0</v>
      </c>
      <c r="AD2790" s="8" t="b">
        <v>1</v>
      </c>
      <c r="AE2790" s="8" t="b">
        <v>0</v>
      </c>
      <c r="AG2790" s="11" t="b" cm="1">
        <f t="array" ref="AG2790">IF(OR(Y2790:AA2790="TRUE", AE2790="true"), "Threatened")</f>
        <v>0</v>
      </c>
      <c r="AH2790" s="11" t="s">
        <v>6868</v>
      </c>
      <c r="AI2790" s="8" t="b">
        <v>1</v>
      </c>
    </row>
    <row r="2791" spans="1:35" ht="31.2">
      <c r="A2791" s="8">
        <v>-73.967355490000003</v>
      </c>
      <c r="B2791" s="8">
        <v>40.782752719999998</v>
      </c>
      <c r="C2791" s="8" t="s">
        <v>6869</v>
      </c>
      <c r="D2791" s="8" t="s">
        <v>95</v>
      </c>
      <c r="E2791" s="8" t="b">
        <f t="shared" si="43"/>
        <v>0</v>
      </c>
      <c r="F2791" s="8" t="str" cm="1">
        <f t="array" ref="F2791">_xlfn._xlws.FILTER(E2791:E5989, C2791:C5989= "6D-PM-1020-01", "No Squirrels Found")</f>
        <v>No Squirrels Found</v>
      </c>
      <c r="G2791" s="8" t="s">
        <v>48</v>
      </c>
      <c r="H2791" s="10">
        <v>10142018</v>
      </c>
      <c r="I2791" s="10">
        <v>4</v>
      </c>
      <c r="J2791" s="8" t="s">
        <v>39</v>
      </c>
      <c r="M2791" s="8" t="s">
        <v>35</v>
      </c>
      <c r="N2791" s="11" t="s">
        <v>6870</v>
      </c>
      <c r="O2791" s="8" t="s">
        <v>50</v>
      </c>
      <c r="P2791" s="8">
        <v>60</v>
      </c>
      <c r="R2791" s="8" t="b">
        <v>0</v>
      </c>
      <c r="S2791" s="8" t="b">
        <v>0</v>
      </c>
      <c r="T2791" s="8" t="b">
        <v>1</v>
      </c>
      <c r="U2791" s="8" t="b">
        <v>0</v>
      </c>
      <c r="V2791" s="8" t="b">
        <v>0</v>
      </c>
      <c r="X2791" s="8" t="b">
        <v>0</v>
      </c>
      <c r="Y2791" s="8" t="b">
        <v>0</v>
      </c>
      <c r="Z2791" s="8" t="b">
        <v>0</v>
      </c>
      <c r="AA2791" s="8" t="b">
        <v>1</v>
      </c>
      <c r="AB2791" s="8" t="b">
        <v>0</v>
      </c>
      <c r="AC2791" s="8" t="b">
        <v>0</v>
      </c>
      <c r="AD2791" s="8" t="b">
        <v>1</v>
      </c>
      <c r="AE2791" s="8" t="b">
        <v>0</v>
      </c>
      <c r="AG2791" s="11" t="b" cm="1">
        <f t="array" ref="AG2791">IF(OR(Y2791:AA2791="TRUE", AE2791="true"), "Threatened")</f>
        <v>0</v>
      </c>
      <c r="AH2791" s="11" t="s">
        <v>6871</v>
      </c>
      <c r="AI2791" s="8" t="b">
        <v>1</v>
      </c>
    </row>
    <row r="2792" spans="1:35" ht="31.2">
      <c r="A2792" s="8">
        <v>-73.959362429999999</v>
      </c>
      <c r="B2792" s="8">
        <v>40.790552239999997</v>
      </c>
      <c r="C2792" s="8" t="s">
        <v>6872</v>
      </c>
      <c r="D2792" s="8" t="s">
        <v>75</v>
      </c>
      <c r="E2792" s="8" t="b">
        <f t="shared" si="43"/>
        <v>0</v>
      </c>
      <c r="F2792" s="8" t="str" cm="1">
        <f t="array" ref="F2792">_xlfn._xlws.FILTER(E2792:E5990, C2792:C5990= "6D-PM-1020-01", "No Squirrels Found")</f>
        <v>No Squirrels Found</v>
      </c>
      <c r="G2792" s="8" t="s">
        <v>48</v>
      </c>
      <c r="H2792" s="10">
        <v>10072018</v>
      </c>
      <c r="I2792" s="10">
        <v>2</v>
      </c>
      <c r="J2792" s="8" t="s">
        <v>39</v>
      </c>
      <c r="K2792" s="8" t="s">
        <v>40</v>
      </c>
      <c r="M2792" s="8" t="s">
        <v>55</v>
      </c>
      <c r="O2792" s="8" t="s">
        <v>50</v>
      </c>
      <c r="P2792" s="8">
        <v>40</v>
      </c>
      <c r="R2792" s="8" t="b">
        <v>0</v>
      </c>
      <c r="S2792" s="8" t="b">
        <v>0</v>
      </c>
      <c r="T2792" s="8" t="b">
        <v>1</v>
      </c>
      <c r="U2792" s="8" t="b">
        <v>0</v>
      </c>
      <c r="V2792" s="8" t="b">
        <v>1</v>
      </c>
      <c r="X2792" s="8" t="b">
        <v>0</v>
      </c>
      <c r="Y2792" s="8" t="b">
        <v>0</v>
      </c>
      <c r="Z2792" s="8" t="b">
        <v>0</v>
      </c>
      <c r="AA2792" s="8" t="b">
        <v>0</v>
      </c>
      <c r="AB2792" s="8" t="b">
        <v>0</v>
      </c>
      <c r="AC2792" s="8" t="b">
        <v>0</v>
      </c>
      <c r="AD2792" s="8" t="b">
        <v>1</v>
      </c>
      <c r="AE2792" s="8" t="b">
        <v>0</v>
      </c>
      <c r="AG2792" s="11" t="b" cm="1">
        <f t="array" ref="AG2792">IF(OR(Y2792:AA2792="TRUE", AE2792="true"), "Threatened")</f>
        <v>0</v>
      </c>
      <c r="AH2792" s="11" t="s">
        <v>6873</v>
      </c>
      <c r="AI2792" s="8" t="b">
        <v>1</v>
      </c>
    </row>
    <row r="2793" spans="1:35" ht="31.2">
      <c r="A2793" s="8">
        <v>-73.972373649999994</v>
      </c>
      <c r="B2793" s="8">
        <v>40.766950129999998</v>
      </c>
      <c r="C2793" s="8" t="s">
        <v>6874</v>
      </c>
      <c r="D2793" s="8" t="s">
        <v>2125</v>
      </c>
      <c r="E2793" s="8" t="b">
        <f t="shared" si="43"/>
        <v>0</v>
      </c>
      <c r="F2793" s="8" t="str" cm="1">
        <f t="array" ref="F2793">_xlfn._xlws.FILTER(E2793:E5991, C2793:C5991= "6D-PM-1020-01", "No Squirrels Found")</f>
        <v>No Squirrels Found</v>
      </c>
      <c r="G2793" s="8" t="s">
        <v>48</v>
      </c>
      <c r="H2793" s="10">
        <v>10062018</v>
      </c>
      <c r="I2793" s="10">
        <v>1</v>
      </c>
      <c r="J2793" s="8" t="s">
        <v>39</v>
      </c>
      <c r="K2793" s="8" t="s">
        <v>40</v>
      </c>
      <c r="L2793" s="8" t="s">
        <v>41</v>
      </c>
      <c r="M2793" s="8" t="s">
        <v>42</v>
      </c>
      <c r="O2793" s="8" t="s">
        <v>43</v>
      </c>
      <c r="P2793" s="8" t="b">
        <v>0</v>
      </c>
      <c r="R2793" s="8" t="b">
        <v>0</v>
      </c>
      <c r="S2793" s="8" t="b">
        <v>0</v>
      </c>
      <c r="T2793" s="8" t="b">
        <v>0</v>
      </c>
      <c r="U2793" s="8" t="b">
        <v>0</v>
      </c>
      <c r="V2793" s="8" t="b">
        <v>1</v>
      </c>
      <c r="X2793" s="8" t="b">
        <v>0</v>
      </c>
      <c r="Y2793" s="8" t="b">
        <v>0</v>
      </c>
      <c r="Z2793" s="8" t="b">
        <v>0</v>
      </c>
      <c r="AA2793" s="8" t="b">
        <v>0</v>
      </c>
      <c r="AB2793" s="8" t="b">
        <v>0</v>
      </c>
      <c r="AC2793" s="8" t="b">
        <v>0</v>
      </c>
      <c r="AD2793" s="8" t="b">
        <v>1</v>
      </c>
      <c r="AE2793" s="8" t="b">
        <v>0</v>
      </c>
      <c r="AG2793" s="11" t="b" cm="1">
        <f t="array" ref="AG2793">IF(OR(Y2793:AA2793="TRUE", AE2793="true"), "Threatened")</f>
        <v>0</v>
      </c>
      <c r="AH2793" s="11" t="s">
        <v>6875</v>
      </c>
      <c r="AI2793" s="8" t="b">
        <v>1</v>
      </c>
    </row>
    <row r="2794" spans="1:35" ht="31.2">
      <c r="A2794" s="8">
        <v>-73.974284760000003</v>
      </c>
      <c r="B2794" s="8">
        <v>40.773174009999998</v>
      </c>
      <c r="C2794" s="8" t="s">
        <v>6876</v>
      </c>
      <c r="D2794" s="8" t="s">
        <v>1549</v>
      </c>
      <c r="E2794" s="8" t="b">
        <f t="shared" si="43"/>
        <v>0</v>
      </c>
      <c r="F2794" s="8" t="str" cm="1">
        <f t="array" ref="F2794">_xlfn._xlws.FILTER(E2794:E5992, C2794:C5992= "6D-PM-1020-01", "No Squirrels Found")</f>
        <v>No Squirrels Found</v>
      </c>
      <c r="G2794" s="8" t="s">
        <v>48</v>
      </c>
      <c r="H2794" s="10">
        <v>10082018</v>
      </c>
      <c r="I2794" s="10">
        <v>2</v>
      </c>
      <c r="J2794" s="8" t="s">
        <v>39</v>
      </c>
      <c r="K2794" s="8" t="s">
        <v>40</v>
      </c>
      <c r="M2794" s="8" t="s">
        <v>55</v>
      </c>
      <c r="O2794" s="8" t="s">
        <v>43</v>
      </c>
      <c r="P2794" s="8" t="b">
        <v>0</v>
      </c>
      <c r="R2794" s="8" t="b">
        <v>0</v>
      </c>
      <c r="S2794" s="8" t="b">
        <v>0</v>
      </c>
      <c r="T2794" s="8" t="b">
        <v>0</v>
      </c>
      <c r="U2794" s="8" t="b">
        <v>0</v>
      </c>
      <c r="V2794" s="8" t="b">
        <v>1</v>
      </c>
      <c r="X2794" s="8" t="b">
        <v>0</v>
      </c>
      <c r="Y2794" s="8" t="b">
        <v>0</v>
      </c>
      <c r="Z2794" s="8" t="b">
        <v>0</v>
      </c>
      <c r="AA2794" s="8" t="b">
        <v>0</v>
      </c>
      <c r="AB2794" s="8" t="b">
        <v>0</v>
      </c>
      <c r="AC2794" s="8" t="b">
        <v>0</v>
      </c>
      <c r="AD2794" s="8" t="b">
        <v>1</v>
      </c>
      <c r="AE2794" s="8" t="b">
        <v>0</v>
      </c>
      <c r="AG2794" s="11" t="b" cm="1">
        <f t="array" ref="AG2794">IF(OR(Y2794:AA2794="TRUE", AE2794="true"), "Threatened")</f>
        <v>0</v>
      </c>
      <c r="AH2794" s="11" t="s">
        <v>6877</v>
      </c>
      <c r="AI2794" s="8" t="b">
        <v>1</v>
      </c>
    </row>
    <row r="2795" spans="1:35" ht="31.2">
      <c r="A2795" s="8">
        <v>-73.971218789999995</v>
      </c>
      <c r="B2795" s="8">
        <v>40.775064020000002</v>
      </c>
      <c r="C2795" s="8" t="s">
        <v>6878</v>
      </c>
      <c r="D2795" s="8" t="s">
        <v>738</v>
      </c>
      <c r="E2795" s="8" t="b">
        <f t="shared" si="43"/>
        <v>0</v>
      </c>
      <c r="F2795" s="8" t="str" cm="1">
        <f t="array" ref="F2795">_xlfn._xlws.FILTER(E2795:E5993, C2795:C5993= "6D-PM-1020-01", "No Squirrels Found")</f>
        <v>No Squirrels Found</v>
      </c>
      <c r="G2795" s="8" t="s">
        <v>34</v>
      </c>
      <c r="H2795" s="10">
        <v>10182018</v>
      </c>
      <c r="I2795" s="10">
        <v>1</v>
      </c>
      <c r="J2795" s="8" t="s">
        <v>54</v>
      </c>
      <c r="K2795" s="8" t="s">
        <v>41</v>
      </c>
      <c r="L2795" s="8" t="s">
        <v>84</v>
      </c>
      <c r="M2795" s="8" t="s">
        <v>85</v>
      </c>
      <c r="O2795" s="8" t="s">
        <v>43</v>
      </c>
      <c r="P2795" s="8" t="b">
        <v>0</v>
      </c>
      <c r="R2795" s="8" t="b">
        <v>1</v>
      </c>
      <c r="S2795" s="8" t="b">
        <v>0</v>
      </c>
      <c r="T2795" s="8" t="b">
        <v>1</v>
      </c>
      <c r="U2795" s="8" t="b">
        <v>0</v>
      </c>
      <c r="V2795" s="8" t="b">
        <v>0</v>
      </c>
      <c r="X2795" s="8" t="b">
        <v>1</v>
      </c>
      <c r="Y2795" s="8" t="b">
        <v>0</v>
      </c>
      <c r="Z2795" s="8" t="b">
        <v>0</v>
      </c>
      <c r="AA2795" s="8" t="b">
        <v>1</v>
      </c>
      <c r="AB2795" s="8" t="b">
        <v>0</v>
      </c>
      <c r="AC2795" s="8" t="b">
        <v>0</v>
      </c>
      <c r="AD2795" s="8" t="b">
        <v>0</v>
      </c>
      <c r="AE2795" s="8" t="b">
        <v>1</v>
      </c>
      <c r="AG2795" s="11" t="b" cm="1">
        <f t="array" ref="AG2795">IF(OR(Y2795:AA2795="TRUE", AE2795="true"), "Threatened")</f>
        <v>0</v>
      </c>
      <c r="AH2795" s="11" t="s">
        <v>6879</v>
      </c>
      <c r="AI2795" s="8" t="b">
        <v>1</v>
      </c>
    </row>
    <row r="2796" spans="1:35" ht="31.2">
      <c r="A2796" s="8">
        <v>-73.954105609999999</v>
      </c>
      <c r="B2796" s="8">
        <v>40.793986390000001</v>
      </c>
      <c r="C2796" s="8" t="s">
        <v>6880</v>
      </c>
      <c r="D2796" s="8" t="s">
        <v>939</v>
      </c>
      <c r="E2796" s="8" t="b">
        <f t="shared" si="43"/>
        <v>0</v>
      </c>
      <c r="F2796" s="8" t="str" cm="1">
        <f t="array" ref="F2796">_xlfn._xlws.FILTER(E2796:E5994, C2796:C5994= "6D-PM-1020-01", "No Squirrels Found")</f>
        <v>No Squirrels Found</v>
      </c>
      <c r="G2796" s="8" t="s">
        <v>34</v>
      </c>
      <c r="H2796" s="10">
        <v>10072018</v>
      </c>
      <c r="I2796" s="10">
        <v>6</v>
      </c>
      <c r="J2796" s="8" t="s">
        <v>39</v>
      </c>
      <c r="K2796" s="8" t="s">
        <v>40</v>
      </c>
      <c r="M2796" s="8" t="s">
        <v>55</v>
      </c>
      <c r="O2796" s="8" t="s">
        <v>43</v>
      </c>
      <c r="P2796" s="8" t="b">
        <v>0</v>
      </c>
      <c r="R2796" s="8" t="b">
        <v>0</v>
      </c>
      <c r="S2796" s="8" t="b">
        <v>0</v>
      </c>
      <c r="T2796" s="8" t="b">
        <v>0</v>
      </c>
      <c r="U2796" s="8" t="b">
        <v>0</v>
      </c>
      <c r="V2796" s="8" t="b">
        <v>0</v>
      </c>
      <c r="X2796" s="8" t="b">
        <v>0</v>
      </c>
      <c r="Y2796" s="8" t="b">
        <v>0</v>
      </c>
      <c r="Z2796" s="8" t="b">
        <v>0</v>
      </c>
      <c r="AA2796" s="8" t="b">
        <v>0</v>
      </c>
      <c r="AB2796" s="8" t="b">
        <v>0</v>
      </c>
      <c r="AC2796" s="8" t="b">
        <v>0</v>
      </c>
      <c r="AD2796" s="8" t="b">
        <v>0</v>
      </c>
      <c r="AE2796" s="8" t="b">
        <v>0</v>
      </c>
      <c r="AG2796" s="11" t="b" cm="1">
        <f t="array" ref="AG2796">IF(OR(Y2796:AA2796="TRUE", AE2796="true"), "Threatened")</f>
        <v>0</v>
      </c>
      <c r="AH2796" s="11" t="s">
        <v>6881</v>
      </c>
      <c r="AI2796" s="8" t="b">
        <v>1</v>
      </c>
    </row>
    <row r="2797" spans="1:35" ht="31.2">
      <c r="A2797" s="8">
        <v>-73.963108899999995</v>
      </c>
      <c r="B2797" s="8">
        <v>40.789191950000003</v>
      </c>
      <c r="C2797" s="8" t="s">
        <v>6882</v>
      </c>
      <c r="D2797" s="8" t="s">
        <v>188</v>
      </c>
      <c r="E2797" s="8" t="b">
        <f t="shared" si="43"/>
        <v>0</v>
      </c>
      <c r="F2797" s="8" t="str" cm="1">
        <f t="array" ref="F2797">_xlfn._xlws.FILTER(E2797:E5995, C2797:C5995= "6D-PM-1020-01", "No Squirrels Found")</f>
        <v>No Squirrels Found</v>
      </c>
      <c r="G2797" s="8" t="s">
        <v>34</v>
      </c>
      <c r="H2797" s="10">
        <v>10062018</v>
      </c>
      <c r="I2797" s="10">
        <v>2</v>
      </c>
      <c r="J2797" s="8" t="s">
        <v>39</v>
      </c>
      <c r="K2797" s="8" t="s">
        <v>40</v>
      </c>
      <c r="L2797" s="8" t="s">
        <v>41</v>
      </c>
      <c r="M2797" s="8" t="s">
        <v>42</v>
      </c>
      <c r="O2797" s="8" t="s">
        <v>43</v>
      </c>
      <c r="P2797" s="8" t="b">
        <v>0</v>
      </c>
      <c r="R2797" s="8" t="b">
        <v>0</v>
      </c>
      <c r="S2797" s="8" t="b">
        <v>1</v>
      </c>
      <c r="T2797" s="8" t="b">
        <v>0</v>
      </c>
      <c r="U2797" s="8" t="b">
        <v>0</v>
      </c>
      <c r="V2797" s="8" t="b">
        <v>0</v>
      </c>
      <c r="X2797" s="8" t="b">
        <v>0</v>
      </c>
      <c r="Y2797" s="8" t="b">
        <v>0</v>
      </c>
      <c r="Z2797" s="8" t="b">
        <v>0</v>
      </c>
      <c r="AA2797" s="8" t="b">
        <v>0</v>
      </c>
      <c r="AB2797" s="8" t="b">
        <v>0</v>
      </c>
      <c r="AC2797" s="8" t="b">
        <v>0</v>
      </c>
      <c r="AD2797" s="8" t="b">
        <v>0</v>
      </c>
      <c r="AE2797" s="8" t="b">
        <v>0</v>
      </c>
      <c r="AG2797" s="11" t="b" cm="1">
        <f t="array" ref="AG2797">IF(OR(Y2797:AA2797="TRUE", AE2797="true"), "Threatened")</f>
        <v>0</v>
      </c>
      <c r="AH2797" s="11" t="s">
        <v>6883</v>
      </c>
      <c r="AI2797" s="8" t="b">
        <v>1</v>
      </c>
    </row>
    <row r="2798" spans="1:35" ht="31.2">
      <c r="A2798" s="8">
        <v>-73.957691350000005</v>
      </c>
      <c r="B2798" s="8">
        <v>40.799421610000003</v>
      </c>
      <c r="C2798" s="8" t="s">
        <v>6884</v>
      </c>
      <c r="D2798" s="8" t="s">
        <v>382</v>
      </c>
      <c r="E2798" s="8" t="b">
        <f t="shared" si="43"/>
        <v>0</v>
      </c>
      <c r="F2798" s="8" t="str" cm="1">
        <f t="array" ref="F2798">_xlfn._xlws.FILTER(E2798:E5996, C2798:C5996= "6D-PM-1020-01", "No Squirrels Found")</f>
        <v>No Squirrels Found</v>
      </c>
      <c r="G2798" s="8" t="s">
        <v>48</v>
      </c>
      <c r="H2798" s="10">
        <v>10102018</v>
      </c>
      <c r="I2798" s="10">
        <v>11</v>
      </c>
      <c r="J2798" s="8" t="s">
        <v>39</v>
      </c>
      <c r="K2798" s="8" t="s">
        <v>40</v>
      </c>
      <c r="L2798" s="8" t="s">
        <v>41</v>
      </c>
      <c r="M2798" s="8" t="s">
        <v>42</v>
      </c>
      <c r="R2798" s="8" t="b">
        <v>0</v>
      </c>
      <c r="S2798" s="8" t="b">
        <v>0</v>
      </c>
      <c r="T2798" s="8" t="b">
        <v>0</v>
      </c>
      <c r="U2798" s="8" t="b">
        <v>1</v>
      </c>
      <c r="V2798" s="8" t="b">
        <v>0</v>
      </c>
      <c r="W2798" s="11" t="s">
        <v>6885</v>
      </c>
      <c r="X2798" s="8" t="b">
        <v>0</v>
      </c>
      <c r="Y2798" s="8" t="b">
        <v>0</v>
      </c>
      <c r="Z2798" s="8" t="b">
        <v>0</v>
      </c>
      <c r="AA2798" s="8" t="b">
        <v>0</v>
      </c>
      <c r="AB2798" s="8" t="b">
        <v>0</v>
      </c>
      <c r="AC2798" s="8" t="b">
        <v>0</v>
      </c>
      <c r="AD2798" s="8" t="b">
        <v>1</v>
      </c>
      <c r="AE2798" s="8" t="b">
        <v>0</v>
      </c>
      <c r="AG2798" s="11" t="b" cm="1">
        <f t="array" ref="AG2798">IF(OR(Y2798:AA2798="TRUE", AE2798="true"), "Threatened")</f>
        <v>0</v>
      </c>
      <c r="AH2798" s="11" t="s">
        <v>6886</v>
      </c>
      <c r="AI2798" s="8" t="b">
        <v>0</v>
      </c>
    </row>
    <row r="2799" spans="1:35" ht="31.2">
      <c r="A2799" s="8">
        <v>-73.97538256</v>
      </c>
      <c r="B2799" s="8">
        <v>40.767166199999998</v>
      </c>
      <c r="C2799" s="8" t="s">
        <v>6887</v>
      </c>
      <c r="D2799" s="8" t="s">
        <v>1706</v>
      </c>
      <c r="E2799" s="8" t="b">
        <f t="shared" si="43"/>
        <v>0</v>
      </c>
      <c r="F2799" s="8" t="str" cm="1">
        <f t="array" ref="F2799">_xlfn._xlws.FILTER(E2799:E5997, C2799:C5997= "6D-PM-1020-01", "No Squirrels Found")</f>
        <v>No Squirrels Found</v>
      </c>
      <c r="G2799" s="8" t="s">
        <v>34</v>
      </c>
      <c r="H2799" s="10">
        <v>10132018</v>
      </c>
      <c r="I2799" s="10">
        <v>4</v>
      </c>
      <c r="J2799" s="8" t="s">
        <v>39</v>
      </c>
      <c r="K2799" s="8" t="s">
        <v>40</v>
      </c>
      <c r="L2799" s="8" t="s">
        <v>41</v>
      </c>
      <c r="M2799" s="8" t="s">
        <v>42</v>
      </c>
      <c r="O2799" s="8" t="s">
        <v>43</v>
      </c>
      <c r="P2799" s="8" t="b">
        <v>0</v>
      </c>
      <c r="R2799" s="8" t="b">
        <v>0</v>
      </c>
      <c r="S2799" s="8" t="b">
        <v>0</v>
      </c>
      <c r="T2799" s="8" t="b">
        <v>0</v>
      </c>
      <c r="U2799" s="8" t="b">
        <v>0</v>
      </c>
      <c r="V2799" s="8" t="b">
        <v>1</v>
      </c>
      <c r="X2799" s="8" t="b">
        <v>0</v>
      </c>
      <c r="Y2799" s="8" t="b">
        <v>0</v>
      </c>
      <c r="Z2799" s="8" t="b">
        <v>0</v>
      </c>
      <c r="AA2799" s="8" t="b">
        <v>0</v>
      </c>
      <c r="AB2799" s="8" t="b">
        <v>0</v>
      </c>
      <c r="AC2799" s="8" t="b">
        <v>0</v>
      </c>
      <c r="AD2799" s="8" t="b">
        <v>1</v>
      </c>
      <c r="AE2799" s="8" t="b">
        <v>0</v>
      </c>
      <c r="AG2799" s="11" t="b" cm="1">
        <f t="array" ref="AG2799">IF(OR(Y2799:AA2799="TRUE", AE2799="true"), "Threatened")</f>
        <v>0</v>
      </c>
      <c r="AH2799" s="11" t="s">
        <v>6888</v>
      </c>
      <c r="AI2799" s="8" t="b">
        <v>1</v>
      </c>
    </row>
    <row r="2800" spans="1:35" ht="31.2">
      <c r="A2800" s="8">
        <v>-73.96826274</v>
      </c>
      <c r="B2800" s="8">
        <v>40.773076670000002</v>
      </c>
      <c r="C2800" s="8" t="s">
        <v>6889</v>
      </c>
      <c r="D2800" s="8" t="s">
        <v>83</v>
      </c>
      <c r="E2800" s="8" t="b">
        <f t="shared" si="43"/>
        <v>0</v>
      </c>
      <c r="F2800" s="8" t="str" cm="1">
        <f t="array" ref="F2800">_xlfn._xlws.FILTER(E2800:E5998, C2800:C5998= "6D-PM-1020-01", "No Squirrels Found")</f>
        <v>No Squirrels Found</v>
      </c>
      <c r="G2800" s="8" t="s">
        <v>48</v>
      </c>
      <c r="H2800" s="10">
        <v>10102018</v>
      </c>
      <c r="I2800" s="10">
        <v>9</v>
      </c>
      <c r="J2800" s="8" t="s">
        <v>39</v>
      </c>
      <c r="K2800" s="8" t="s">
        <v>41</v>
      </c>
      <c r="L2800" s="8" t="s">
        <v>40</v>
      </c>
      <c r="M2800" s="8" t="s">
        <v>110</v>
      </c>
      <c r="O2800" s="8" t="s">
        <v>43</v>
      </c>
      <c r="P2800" s="8" t="b">
        <v>0</v>
      </c>
      <c r="R2800" s="8" t="b">
        <v>1</v>
      </c>
      <c r="S2800" s="8" t="b">
        <v>0</v>
      </c>
      <c r="T2800" s="8" t="b">
        <v>0</v>
      </c>
      <c r="U2800" s="8" t="b">
        <v>0</v>
      </c>
      <c r="V2800" s="8" t="b">
        <v>0</v>
      </c>
      <c r="X2800" s="8" t="b">
        <v>0</v>
      </c>
      <c r="Y2800" s="8" t="b">
        <v>0</v>
      </c>
      <c r="Z2800" s="8" t="b">
        <v>0</v>
      </c>
      <c r="AA2800" s="8" t="b">
        <v>0</v>
      </c>
      <c r="AB2800" s="8" t="b">
        <v>0</v>
      </c>
      <c r="AC2800" s="8" t="b">
        <v>0</v>
      </c>
      <c r="AD2800" s="8" t="b">
        <v>0</v>
      </c>
      <c r="AE2800" s="8" t="b">
        <v>0</v>
      </c>
      <c r="AG2800" s="11" t="b" cm="1">
        <f t="array" ref="AG2800">IF(OR(Y2800:AA2800="TRUE", AE2800="true"), "Threatened")</f>
        <v>0</v>
      </c>
      <c r="AH2800" s="11" t="s">
        <v>6890</v>
      </c>
      <c r="AI2800" s="8" t="b">
        <v>1</v>
      </c>
    </row>
    <row r="2801" spans="1:35" ht="31.2">
      <c r="A2801" s="8">
        <v>-73.980298309999995</v>
      </c>
      <c r="B2801" s="8">
        <v>40.76765408</v>
      </c>
      <c r="C2801" s="8" t="s">
        <v>6891</v>
      </c>
      <c r="D2801" s="8" t="s">
        <v>855</v>
      </c>
      <c r="E2801" s="8" t="b">
        <f t="shared" si="43"/>
        <v>0</v>
      </c>
      <c r="F2801" s="8" t="str" cm="1">
        <f t="array" ref="F2801">_xlfn._xlws.FILTER(E2801:E5999, C2801:C5999= "6D-PM-1020-01", "No Squirrels Found")</f>
        <v>No Squirrels Found</v>
      </c>
      <c r="G2801" s="8" t="s">
        <v>34</v>
      </c>
      <c r="H2801" s="10">
        <v>10192018</v>
      </c>
      <c r="I2801" s="10">
        <v>5</v>
      </c>
      <c r="J2801" s="8" t="s">
        <v>39</v>
      </c>
      <c r="K2801" s="8" t="s">
        <v>40</v>
      </c>
      <c r="L2801" s="8" t="s">
        <v>84</v>
      </c>
      <c r="M2801" s="8" t="s">
        <v>103</v>
      </c>
      <c r="O2801" s="8" t="s">
        <v>43</v>
      </c>
      <c r="P2801" s="8" t="b">
        <v>0</v>
      </c>
      <c r="R2801" s="8" t="b">
        <v>0</v>
      </c>
      <c r="S2801" s="8" t="b">
        <v>0</v>
      </c>
      <c r="T2801" s="8" t="b">
        <v>0</v>
      </c>
      <c r="U2801" s="8" t="b">
        <v>1</v>
      </c>
      <c r="V2801" s="8" t="b">
        <v>0</v>
      </c>
      <c r="X2801" s="8" t="b">
        <v>0</v>
      </c>
      <c r="Y2801" s="8" t="b">
        <v>0</v>
      </c>
      <c r="Z2801" s="8" t="b">
        <v>0</v>
      </c>
      <c r="AA2801" s="8" t="b">
        <v>0</v>
      </c>
      <c r="AB2801" s="8" t="b">
        <v>0</v>
      </c>
      <c r="AC2801" s="8" t="b">
        <v>0</v>
      </c>
      <c r="AD2801" s="8" t="b">
        <v>1</v>
      </c>
      <c r="AE2801" s="8" t="b">
        <v>0</v>
      </c>
      <c r="AG2801" s="11" t="b" cm="1">
        <f t="array" ref="AG2801">IF(OR(Y2801:AA2801="TRUE", AE2801="true"), "Threatened")</f>
        <v>0</v>
      </c>
      <c r="AH2801" s="11" t="s">
        <v>6892</v>
      </c>
      <c r="AI2801" s="8" t="b">
        <v>1</v>
      </c>
    </row>
    <row r="2802" spans="1:35" ht="31.2">
      <c r="A2802" s="8">
        <v>-73.969766579999998</v>
      </c>
      <c r="B2802" s="8">
        <v>40.775909489999997</v>
      </c>
      <c r="C2802" s="8" t="s">
        <v>6893</v>
      </c>
      <c r="D2802" s="8" t="s">
        <v>79</v>
      </c>
      <c r="E2802" s="8" t="b">
        <f t="shared" si="43"/>
        <v>0</v>
      </c>
      <c r="F2802" s="8" t="str" cm="1">
        <f t="array" ref="F2802">_xlfn._xlws.FILTER(E2802:E6000, C2802:C6000= "6D-PM-1020-01", "No Squirrels Found")</f>
        <v>No Squirrels Found</v>
      </c>
      <c r="G2802" s="8" t="s">
        <v>34</v>
      </c>
      <c r="H2802" s="10">
        <v>10082018</v>
      </c>
      <c r="I2802" s="10">
        <v>8</v>
      </c>
      <c r="J2802" s="8" t="s">
        <v>54</v>
      </c>
      <c r="K2802" s="8" t="s">
        <v>41</v>
      </c>
      <c r="L2802" s="8" t="s">
        <v>749</v>
      </c>
      <c r="M2802" s="8" t="s">
        <v>3229</v>
      </c>
      <c r="O2802" s="8" t="s">
        <v>43</v>
      </c>
      <c r="P2802" s="8" t="b">
        <v>0</v>
      </c>
      <c r="R2802" s="8" t="b">
        <v>0</v>
      </c>
      <c r="S2802" s="8" t="b">
        <v>0</v>
      </c>
      <c r="T2802" s="8" t="b">
        <v>0</v>
      </c>
      <c r="U2802" s="8" t="b">
        <v>1</v>
      </c>
      <c r="V2802" s="8" t="b">
        <v>0</v>
      </c>
      <c r="X2802" s="8" t="b">
        <v>0</v>
      </c>
      <c r="Y2802" s="8" t="b">
        <v>0</v>
      </c>
      <c r="Z2802" s="8" t="b">
        <v>0</v>
      </c>
      <c r="AA2802" s="8" t="b">
        <v>0</v>
      </c>
      <c r="AB2802" s="8" t="b">
        <v>1</v>
      </c>
      <c r="AC2802" s="8" t="b">
        <v>0</v>
      </c>
      <c r="AD2802" s="8" t="b">
        <v>1</v>
      </c>
      <c r="AE2802" s="8" t="b">
        <v>0</v>
      </c>
      <c r="AG2802" s="11" t="b" cm="1">
        <f t="array" ref="AG2802">IF(OR(Y2802:AA2802="TRUE", AE2802="true"), "Threatened")</f>
        <v>0</v>
      </c>
      <c r="AH2802" s="11" t="s">
        <v>6894</v>
      </c>
      <c r="AI2802" s="8" t="b">
        <v>1</v>
      </c>
    </row>
    <row r="2803" spans="1:35" ht="31.2">
      <c r="A2803" s="8">
        <v>-73.953310149999993</v>
      </c>
      <c r="B2803" s="8">
        <v>40.793863430000002</v>
      </c>
      <c r="C2803" s="8" t="s">
        <v>6895</v>
      </c>
      <c r="D2803" s="8" t="s">
        <v>6896</v>
      </c>
      <c r="E2803" s="8" t="b">
        <f t="shared" si="43"/>
        <v>0</v>
      </c>
      <c r="F2803" s="8" t="str" cm="1">
        <f t="array" ref="F2803">_xlfn._xlws.FILTER(E2803:E6001, C2803:C6001= "6D-PM-1020-01", "No Squirrels Found")</f>
        <v>No Squirrels Found</v>
      </c>
      <c r="G2803" s="8" t="s">
        <v>48</v>
      </c>
      <c r="H2803" s="10">
        <v>10192018</v>
      </c>
      <c r="I2803" s="10">
        <v>1</v>
      </c>
      <c r="J2803" s="8" t="s">
        <v>39</v>
      </c>
      <c r="K2803" s="8" t="s">
        <v>41</v>
      </c>
      <c r="L2803" s="8" t="s">
        <v>40</v>
      </c>
      <c r="M2803" s="8" t="s">
        <v>110</v>
      </c>
      <c r="O2803" s="8" t="s">
        <v>43</v>
      </c>
      <c r="P2803" s="8" t="b">
        <v>0</v>
      </c>
      <c r="R2803" s="8" t="b">
        <v>0</v>
      </c>
      <c r="S2803" s="8" t="b">
        <v>0</v>
      </c>
      <c r="T2803" s="8" t="b">
        <v>0</v>
      </c>
      <c r="U2803" s="8" t="b">
        <v>1</v>
      </c>
      <c r="V2803" s="8" t="b">
        <v>1</v>
      </c>
      <c r="X2803" s="8" t="b">
        <v>0</v>
      </c>
      <c r="Y2803" s="8" t="b">
        <v>0</v>
      </c>
      <c r="Z2803" s="8" t="b">
        <v>0</v>
      </c>
      <c r="AA2803" s="8" t="b">
        <v>0</v>
      </c>
      <c r="AB2803" s="8" t="b">
        <v>0</v>
      </c>
      <c r="AC2803" s="8" t="b">
        <v>0</v>
      </c>
      <c r="AD2803" s="8" t="b">
        <v>1</v>
      </c>
      <c r="AE2803" s="8" t="b">
        <v>0</v>
      </c>
      <c r="AG2803" s="11" t="b" cm="1">
        <f t="array" ref="AG2803">IF(OR(Y2803:AA2803="TRUE", AE2803="true"), "Threatened")</f>
        <v>0</v>
      </c>
      <c r="AH2803" s="11" t="s">
        <v>6897</v>
      </c>
      <c r="AI2803" s="8" t="b">
        <v>1</v>
      </c>
    </row>
    <row r="2804" spans="1:35" ht="31.2">
      <c r="A2804" s="8">
        <v>-73.957665210000002</v>
      </c>
      <c r="B2804" s="8">
        <v>40.787545799999997</v>
      </c>
      <c r="C2804" s="8" t="s">
        <v>6898</v>
      </c>
      <c r="D2804" s="8" t="s">
        <v>283</v>
      </c>
      <c r="E2804" s="8" t="b">
        <f t="shared" si="43"/>
        <v>0</v>
      </c>
      <c r="F2804" s="8" t="str" cm="1">
        <f t="array" ref="F2804">_xlfn._xlws.FILTER(E2804:E6002, C2804:C6002= "6D-PM-1020-01", "No Squirrels Found")</f>
        <v>No Squirrels Found</v>
      </c>
      <c r="G2804" s="8" t="s">
        <v>34</v>
      </c>
      <c r="H2804" s="10">
        <v>10062018</v>
      </c>
      <c r="I2804" s="10">
        <v>2</v>
      </c>
      <c r="J2804" s="8" t="s">
        <v>39</v>
      </c>
      <c r="K2804" s="8" t="s">
        <v>40</v>
      </c>
      <c r="M2804" s="8" t="s">
        <v>55</v>
      </c>
      <c r="O2804" s="8" t="s">
        <v>50</v>
      </c>
      <c r="P2804" s="8">
        <v>2</v>
      </c>
      <c r="R2804" s="8" t="b">
        <v>1</v>
      </c>
      <c r="S2804" s="8" t="b">
        <v>0</v>
      </c>
      <c r="T2804" s="8" t="b">
        <v>1</v>
      </c>
      <c r="U2804" s="8" t="b">
        <v>0</v>
      </c>
      <c r="V2804" s="8" t="b">
        <v>0</v>
      </c>
      <c r="X2804" s="8" t="b">
        <v>0</v>
      </c>
      <c r="Y2804" s="8" t="b">
        <v>0</v>
      </c>
      <c r="Z2804" s="8" t="b">
        <v>0</v>
      </c>
      <c r="AA2804" s="8" t="b">
        <v>0</v>
      </c>
      <c r="AB2804" s="8" t="b">
        <v>1</v>
      </c>
      <c r="AC2804" s="8" t="b">
        <v>0</v>
      </c>
      <c r="AD2804" s="8" t="b">
        <v>0</v>
      </c>
      <c r="AE2804" s="8" t="b">
        <v>1</v>
      </c>
      <c r="AG2804" s="11" t="b" cm="1">
        <f t="array" ref="AG2804">IF(OR(Y2804:AA2804="TRUE", AE2804="true"), "Threatened")</f>
        <v>0</v>
      </c>
      <c r="AH2804" s="11" t="s">
        <v>6899</v>
      </c>
      <c r="AI2804" s="8" t="b">
        <v>1</v>
      </c>
    </row>
    <row r="2805" spans="1:35" ht="31.2">
      <c r="A2805" s="8">
        <v>-73.957609439999999</v>
      </c>
      <c r="B2805" s="8">
        <v>40.796534270000002</v>
      </c>
      <c r="C2805" s="8" t="s">
        <v>6900</v>
      </c>
      <c r="D2805" s="8" t="s">
        <v>191</v>
      </c>
      <c r="E2805" s="8" t="b">
        <f t="shared" si="43"/>
        <v>0</v>
      </c>
      <c r="F2805" s="8" t="str" cm="1">
        <f t="array" ref="F2805">_xlfn._xlws.FILTER(E2805:E6003, C2805:C6003= "6D-PM-1020-01", "No Squirrels Found")</f>
        <v>No Squirrels Found</v>
      </c>
      <c r="G2805" s="8" t="s">
        <v>34</v>
      </c>
      <c r="H2805" s="10">
        <v>10142018</v>
      </c>
      <c r="I2805" s="10">
        <v>7</v>
      </c>
      <c r="J2805" s="8" t="s">
        <v>39</v>
      </c>
      <c r="K2805" s="8" t="s">
        <v>40</v>
      </c>
      <c r="L2805" s="8" t="s">
        <v>84</v>
      </c>
      <c r="M2805" s="8" t="s">
        <v>103</v>
      </c>
      <c r="O2805" s="8" t="s">
        <v>43</v>
      </c>
      <c r="P2805" s="8" t="b">
        <v>0</v>
      </c>
      <c r="R2805" s="8" t="b">
        <v>0</v>
      </c>
      <c r="S2805" s="8" t="b">
        <v>0</v>
      </c>
      <c r="T2805" s="8" t="b">
        <v>1</v>
      </c>
      <c r="U2805" s="8" t="b">
        <v>1</v>
      </c>
      <c r="V2805" s="8" t="b">
        <v>0</v>
      </c>
      <c r="X2805" s="8" t="b">
        <v>0</v>
      </c>
      <c r="Y2805" s="8" t="b">
        <v>0</v>
      </c>
      <c r="Z2805" s="8" t="b">
        <v>0</v>
      </c>
      <c r="AA2805" s="8" t="b">
        <v>0</v>
      </c>
      <c r="AB2805" s="8" t="b">
        <v>0</v>
      </c>
      <c r="AC2805" s="8" t="b">
        <v>0</v>
      </c>
      <c r="AD2805" s="8" t="b">
        <v>1</v>
      </c>
      <c r="AE2805" s="8" t="b">
        <v>0</v>
      </c>
      <c r="AG2805" s="11" t="b" cm="1">
        <f t="array" ref="AG2805">IF(OR(Y2805:AA2805="TRUE", AE2805="true"), "Threatened")</f>
        <v>0</v>
      </c>
      <c r="AH2805" s="11" t="s">
        <v>6901</v>
      </c>
      <c r="AI2805" s="8" t="b">
        <v>1</v>
      </c>
    </row>
    <row r="2806" spans="1:35" ht="31.2">
      <c r="A2806" s="8">
        <v>-73.971163430000004</v>
      </c>
      <c r="B2806" s="8">
        <v>40.776055329999998</v>
      </c>
      <c r="C2806" s="8" t="s">
        <v>6902</v>
      </c>
      <c r="D2806" s="8" t="s">
        <v>426</v>
      </c>
      <c r="E2806" s="8" t="b">
        <f t="shared" si="43"/>
        <v>0</v>
      </c>
      <c r="F2806" s="8" t="str" cm="1">
        <f t="array" ref="F2806">_xlfn._xlws.FILTER(E2806:E6004, C2806:C6004= "6D-PM-1020-01", "No Squirrels Found")</f>
        <v>No Squirrels Found</v>
      </c>
      <c r="G2806" s="8" t="s">
        <v>48</v>
      </c>
      <c r="H2806" s="10">
        <v>10142018</v>
      </c>
      <c r="I2806" s="10">
        <v>5</v>
      </c>
      <c r="J2806" s="8" t="s">
        <v>39</v>
      </c>
      <c r="K2806" s="8" t="s">
        <v>40</v>
      </c>
      <c r="L2806" s="8" t="s">
        <v>84</v>
      </c>
      <c r="M2806" s="8" t="s">
        <v>103</v>
      </c>
      <c r="O2806" s="8" t="s">
        <v>43</v>
      </c>
      <c r="P2806" s="8" t="b">
        <v>0</v>
      </c>
      <c r="R2806" s="8" t="b">
        <v>0</v>
      </c>
      <c r="S2806" s="8" t="b">
        <v>1</v>
      </c>
      <c r="T2806" s="8" t="b">
        <v>0</v>
      </c>
      <c r="U2806" s="8" t="b">
        <v>1</v>
      </c>
      <c r="V2806" s="8" t="b">
        <v>1</v>
      </c>
      <c r="X2806" s="8" t="b">
        <v>0</v>
      </c>
      <c r="Y2806" s="8" t="b">
        <v>0</v>
      </c>
      <c r="Z2806" s="8" t="b">
        <v>0</v>
      </c>
      <c r="AA2806" s="8" t="b">
        <v>0</v>
      </c>
      <c r="AB2806" s="8" t="b">
        <v>0</v>
      </c>
      <c r="AC2806" s="8" t="b">
        <v>0</v>
      </c>
      <c r="AD2806" s="8" t="b">
        <v>1</v>
      </c>
      <c r="AE2806" s="8" t="b">
        <v>0</v>
      </c>
      <c r="AG2806" s="11" t="b" cm="1">
        <f t="array" ref="AG2806">IF(OR(Y2806:AA2806="TRUE", AE2806="true"), "Threatened")</f>
        <v>0</v>
      </c>
      <c r="AH2806" s="11" t="s">
        <v>6903</v>
      </c>
      <c r="AI2806" s="8" t="b">
        <v>1</v>
      </c>
    </row>
    <row r="2807" spans="1:35" ht="31.2">
      <c r="A2807" s="8">
        <v>-73.971429889999996</v>
      </c>
      <c r="B2807" s="8">
        <v>40.77410579</v>
      </c>
      <c r="C2807" s="8" t="s">
        <v>6904</v>
      </c>
      <c r="D2807" s="8" t="s">
        <v>1115</v>
      </c>
      <c r="E2807" s="8" t="b">
        <f t="shared" si="43"/>
        <v>0</v>
      </c>
      <c r="F2807" s="8" t="str" cm="1">
        <f t="array" ref="F2807">_xlfn._xlws.FILTER(E2807:E6005, C2807:C6005= "6D-PM-1020-01", "No Squirrels Found")</f>
        <v>No Squirrels Found</v>
      </c>
      <c r="G2807" s="8" t="s">
        <v>34</v>
      </c>
      <c r="H2807" s="10">
        <v>10122018</v>
      </c>
      <c r="I2807" s="10">
        <v>2</v>
      </c>
      <c r="J2807" s="8" t="s">
        <v>39</v>
      </c>
      <c r="K2807" s="8" t="s">
        <v>40</v>
      </c>
      <c r="L2807" s="8" t="s">
        <v>117</v>
      </c>
      <c r="M2807" s="8" t="s">
        <v>118</v>
      </c>
      <c r="O2807" s="8" t="s">
        <v>43</v>
      </c>
      <c r="P2807" s="8" t="b">
        <v>0</v>
      </c>
      <c r="R2807" s="8" t="b">
        <v>0</v>
      </c>
      <c r="S2807" s="8" t="b">
        <v>0</v>
      </c>
      <c r="T2807" s="8" t="b">
        <v>0</v>
      </c>
      <c r="U2807" s="8" t="b">
        <v>0</v>
      </c>
      <c r="V2807" s="8" t="b">
        <v>1</v>
      </c>
      <c r="X2807" s="8" t="b">
        <v>0</v>
      </c>
      <c r="Y2807" s="8" t="b">
        <v>0</v>
      </c>
      <c r="Z2807" s="8" t="b">
        <v>0</v>
      </c>
      <c r="AA2807" s="8" t="b">
        <v>0</v>
      </c>
      <c r="AB2807" s="8" t="b">
        <v>0</v>
      </c>
      <c r="AC2807" s="8" t="b">
        <v>0</v>
      </c>
      <c r="AD2807" s="8" t="b">
        <v>1</v>
      </c>
      <c r="AE2807" s="8" t="b">
        <v>0</v>
      </c>
      <c r="AG2807" s="11" t="b" cm="1">
        <f t="array" ref="AG2807">IF(OR(Y2807:AA2807="TRUE", AE2807="true"), "Threatened")</f>
        <v>0</v>
      </c>
      <c r="AH2807" s="11" t="s">
        <v>6905</v>
      </c>
      <c r="AI2807" s="8" t="b">
        <v>1</v>
      </c>
    </row>
    <row r="2808" spans="1:35" ht="31.2">
      <c r="A2808" s="8">
        <v>-73.961821360000002</v>
      </c>
      <c r="B2808" s="8">
        <v>40.79276488</v>
      </c>
      <c r="C2808" s="8" t="s">
        <v>6906</v>
      </c>
      <c r="D2808" s="8" t="s">
        <v>931</v>
      </c>
      <c r="E2808" s="8" t="b">
        <f t="shared" si="43"/>
        <v>0</v>
      </c>
      <c r="F2808" s="8" t="str" cm="1">
        <f t="array" ref="F2808">_xlfn._xlws.FILTER(E2808:E6006, C2808:C6006= "6D-PM-1020-01", "No Squirrels Found")</f>
        <v>No Squirrels Found</v>
      </c>
      <c r="G2808" s="8" t="s">
        <v>48</v>
      </c>
      <c r="H2808" s="10">
        <v>10102018</v>
      </c>
      <c r="I2808" s="10">
        <v>2</v>
      </c>
      <c r="J2808" s="8" t="s">
        <v>39</v>
      </c>
      <c r="K2808" s="8" t="s">
        <v>40</v>
      </c>
      <c r="M2808" s="8" t="s">
        <v>55</v>
      </c>
      <c r="O2808" s="8" t="s">
        <v>43</v>
      </c>
      <c r="P2808" s="8" t="b">
        <v>0</v>
      </c>
      <c r="R2808" s="8" t="b">
        <v>1</v>
      </c>
      <c r="S2808" s="8" t="b">
        <v>0</v>
      </c>
      <c r="T2808" s="8" t="b">
        <v>0</v>
      </c>
      <c r="U2808" s="8" t="b">
        <v>0</v>
      </c>
      <c r="V2808" s="8" t="b">
        <v>0</v>
      </c>
      <c r="X2808" s="8" t="b">
        <v>0</v>
      </c>
      <c r="Y2808" s="8" t="b">
        <v>0</v>
      </c>
      <c r="Z2808" s="8" t="b">
        <v>0</v>
      </c>
      <c r="AA2808" s="8" t="b">
        <v>0</v>
      </c>
      <c r="AB2808" s="8" t="b">
        <v>0</v>
      </c>
      <c r="AC2808" s="8" t="b">
        <v>0</v>
      </c>
      <c r="AD2808" s="8" t="b">
        <v>0</v>
      </c>
      <c r="AE2808" s="8" t="b">
        <v>1</v>
      </c>
      <c r="AG2808" s="11" t="b" cm="1">
        <f t="array" ref="AG2808">IF(OR(Y2808:AA2808="TRUE", AE2808="true"), "Threatened")</f>
        <v>0</v>
      </c>
      <c r="AH2808" s="11" t="s">
        <v>6907</v>
      </c>
      <c r="AI2808" s="8" t="b">
        <v>1</v>
      </c>
    </row>
    <row r="2809" spans="1:35" ht="31.2">
      <c r="A2809" s="8">
        <v>-73.976502800000006</v>
      </c>
      <c r="B2809" s="8">
        <v>40.771732739999997</v>
      </c>
      <c r="C2809" s="8" t="s">
        <v>6908</v>
      </c>
      <c r="D2809" s="8" t="s">
        <v>2804</v>
      </c>
      <c r="E2809" s="8" t="b">
        <f t="shared" si="43"/>
        <v>0</v>
      </c>
      <c r="F2809" s="8" t="str" cm="1">
        <f t="array" ref="F2809">_xlfn._xlws.FILTER(E2809:E6007, C2809:C6007= "6D-PM-1020-01", "No Squirrels Found")</f>
        <v>No Squirrels Found</v>
      </c>
      <c r="G2809" s="8" t="s">
        <v>48</v>
      </c>
      <c r="H2809" s="10">
        <v>10122018</v>
      </c>
      <c r="I2809" s="10">
        <v>2</v>
      </c>
      <c r="J2809" s="8" t="s">
        <v>39</v>
      </c>
      <c r="K2809" s="8" t="s">
        <v>40</v>
      </c>
      <c r="L2809" s="8" t="s">
        <v>41</v>
      </c>
      <c r="M2809" s="8" t="s">
        <v>42</v>
      </c>
      <c r="O2809" s="8" t="s">
        <v>43</v>
      </c>
      <c r="P2809" s="8" t="b">
        <v>0</v>
      </c>
      <c r="R2809" s="8" t="b">
        <v>1</v>
      </c>
      <c r="S2809" s="8" t="b">
        <v>0</v>
      </c>
      <c r="T2809" s="8" t="b">
        <v>0</v>
      </c>
      <c r="U2809" s="8" t="b">
        <v>0</v>
      </c>
      <c r="V2809" s="8" t="b">
        <v>1</v>
      </c>
      <c r="W2809" s="11" t="s">
        <v>5864</v>
      </c>
      <c r="X2809" s="8" t="b">
        <v>0</v>
      </c>
      <c r="Y2809" s="8" t="b">
        <v>0</v>
      </c>
      <c r="Z2809" s="8" t="b">
        <v>0</v>
      </c>
      <c r="AA2809" s="8" t="b">
        <v>0</v>
      </c>
      <c r="AB2809" s="8" t="b">
        <v>0</v>
      </c>
      <c r="AC2809" s="8" t="b">
        <v>0</v>
      </c>
      <c r="AD2809" s="8" t="b">
        <v>1</v>
      </c>
      <c r="AE2809" s="8" t="b">
        <v>0</v>
      </c>
      <c r="AG2809" s="11" t="b" cm="1">
        <f t="array" ref="AG2809">IF(OR(Y2809:AA2809="TRUE", AE2809="true"), "Threatened")</f>
        <v>0</v>
      </c>
      <c r="AH2809" s="11" t="s">
        <v>6909</v>
      </c>
      <c r="AI2809" s="8" t="b">
        <v>0</v>
      </c>
    </row>
    <row r="2810" spans="1:35" ht="31.2">
      <c r="A2810" s="8">
        <v>-73.968675630000007</v>
      </c>
      <c r="B2810" s="8">
        <v>40.77774591</v>
      </c>
      <c r="C2810" s="8" t="s">
        <v>6910</v>
      </c>
      <c r="D2810" s="8" t="s">
        <v>271</v>
      </c>
      <c r="E2810" s="8" t="b">
        <f t="shared" si="43"/>
        <v>0</v>
      </c>
      <c r="F2810" s="8" t="str" cm="1">
        <f t="array" ref="F2810">_xlfn._xlws.FILTER(E2810:E6008, C2810:C6008= "6D-PM-1020-01", "No Squirrels Found")</f>
        <v>No Squirrels Found</v>
      </c>
      <c r="G2810" s="8" t="s">
        <v>48</v>
      </c>
      <c r="H2810" s="10">
        <v>10142018</v>
      </c>
      <c r="I2810" s="10">
        <v>4</v>
      </c>
      <c r="J2810" s="8" t="s">
        <v>39</v>
      </c>
      <c r="K2810" s="8" t="s">
        <v>40</v>
      </c>
      <c r="L2810" s="8" t="s">
        <v>41</v>
      </c>
      <c r="M2810" s="8" t="s">
        <v>42</v>
      </c>
      <c r="O2810" s="8" t="s">
        <v>43</v>
      </c>
      <c r="P2810" s="8" t="b">
        <v>0</v>
      </c>
      <c r="R2810" s="8" t="b">
        <v>0</v>
      </c>
      <c r="S2810" s="8" t="b">
        <v>1</v>
      </c>
      <c r="T2810" s="8" t="b">
        <v>0</v>
      </c>
      <c r="U2810" s="8" t="b">
        <v>0</v>
      </c>
      <c r="V2810" s="8" t="b">
        <v>0</v>
      </c>
      <c r="X2810" s="8" t="b">
        <v>0</v>
      </c>
      <c r="Y2810" s="8" t="b">
        <v>0</v>
      </c>
      <c r="Z2810" s="8" t="b">
        <v>0</v>
      </c>
      <c r="AA2810" s="8" t="b">
        <v>0</v>
      </c>
      <c r="AB2810" s="8" t="b">
        <v>0</v>
      </c>
      <c r="AC2810" s="8" t="b">
        <v>0</v>
      </c>
      <c r="AD2810" s="8" t="b">
        <v>0</v>
      </c>
      <c r="AE2810" s="8" t="b">
        <v>1</v>
      </c>
      <c r="AG2810" s="11" t="b" cm="1">
        <f t="array" ref="AG2810">IF(OR(Y2810:AA2810="TRUE", AE2810="true"), "Threatened")</f>
        <v>0</v>
      </c>
      <c r="AH2810" s="11" t="s">
        <v>6911</v>
      </c>
      <c r="AI2810" s="8" t="b">
        <v>1</v>
      </c>
    </row>
    <row r="2811" spans="1:35" ht="31.2">
      <c r="A2811" s="8">
        <v>-73.961465989999994</v>
      </c>
      <c r="B2811" s="8">
        <v>40.794556290000003</v>
      </c>
      <c r="C2811" s="8" t="s">
        <v>6912</v>
      </c>
      <c r="D2811" s="8" t="s">
        <v>301</v>
      </c>
      <c r="E2811" s="8" t="b">
        <f t="shared" si="43"/>
        <v>0</v>
      </c>
      <c r="F2811" s="8" t="str" cm="1">
        <f t="array" ref="F2811">_xlfn._xlws.FILTER(E2811:E6009, C2811:C6009= "6D-PM-1020-01", "No Squirrels Found")</f>
        <v>No Squirrels Found</v>
      </c>
      <c r="G2811" s="8" t="s">
        <v>34</v>
      </c>
      <c r="H2811" s="10">
        <v>10132018</v>
      </c>
      <c r="I2811" s="10">
        <v>10</v>
      </c>
      <c r="J2811" s="8" t="s">
        <v>39</v>
      </c>
      <c r="K2811" s="8" t="s">
        <v>40</v>
      </c>
      <c r="L2811" s="8" t="s">
        <v>41</v>
      </c>
      <c r="M2811" s="8" t="s">
        <v>42</v>
      </c>
      <c r="O2811" s="8" t="s">
        <v>43</v>
      </c>
      <c r="P2811" s="8" t="b">
        <v>0</v>
      </c>
      <c r="R2811" s="8" t="b">
        <v>1</v>
      </c>
      <c r="S2811" s="8" t="b">
        <v>0</v>
      </c>
      <c r="T2811" s="8" t="b">
        <v>0</v>
      </c>
      <c r="U2811" s="8" t="b">
        <v>0</v>
      </c>
      <c r="V2811" s="8" t="b">
        <v>0</v>
      </c>
      <c r="X2811" s="8" t="b">
        <v>0</v>
      </c>
      <c r="Y2811" s="8" t="b">
        <v>0</v>
      </c>
      <c r="Z2811" s="8" t="b">
        <v>0</v>
      </c>
      <c r="AA2811" s="8" t="b">
        <v>0</v>
      </c>
      <c r="AB2811" s="8" t="b">
        <v>0</v>
      </c>
      <c r="AC2811" s="8" t="b">
        <v>0</v>
      </c>
      <c r="AD2811" s="8" t="b">
        <v>0</v>
      </c>
      <c r="AE2811" s="8" t="b">
        <v>1</v>
      </c>
      <c r="AG2811" s="11" t="b" cm="1">
        <f t="array" ref="AG2811">IF(OR(Y2811:AA2811="TRUE", AE2811="true"), "Threatened")</f>
        <v>0</v>
      </c>
      <c r="AH2811" s="11" t="s">
        <v>6913</v>
      </c>
      <c r="AI2811" s="8" t="b">
        <v>1</v>
      </c>
    </row>
    <row r="2812" spans="1:35" ht="31.2">
      <c r="A2812" s="8">
        <v>-73.975688980000001</v>
      </c>
      <c r="B2812" s="8">
        <v>40.767607830000003</v>
      </c>
      <c r="C2812" s="8" t="s">
        <v>6914</v>
      </c>
      <c r="D2812" s="8" t="s">
        <v>1706</v>
      </c>
      <c r="E2812" s="8" t="b">
        <f t="shared" si="43"/>
        <v>0</v>
      </c>
      <c r="F2812" s="8" t="str" cm="1">
        <f t="array" ref="F2812">_xlfn._xlws.FILTER(E2812:E6010, C2812:C6010= "6D-PM-1020-01", "No Squirrels Found")</f>
        <v>No Squirrels Found</v>
      </c>
      <c r="G2812" s="8" t="s">
        <v>48</v>
      </c>
      <c r="H2812" s="10">
        <v>10062018</v>
      </c>
      <c r="I2812" s="10">
        <v>14</v>
      </c>
      <c r="J2812" s="8" t="s">
        <v>39</v>
      </c>
      <c r="K2812" s="8" t="s">
        <v>40</v>
      </c>
      <c r="L2812" s="8" t="s">
        <v>84</v>
      </c>
      <c r="M2812" s="8" t="s">
        <v>103</v>
      </c>
      <c r="O2812" s="8" t="s">
        <v>50</v>
      </c>
      <c r="P2812" s="8">
        <v>12</v>
      </c>
      <c r="R2812" s="8" t="b">
        <v>1</v>
      </c>
      <c r="S2812" s="8" t="b">
        <v>0</v>
      </c>
      <c r="T2812" s="8" t="b">
        <v>1</v>
      </c>
      <c r="U2812" s="8" t="b">
        <v>0</v>
      </c>
      <c r="V2812" s="8" t="b">
        <v>0</v>
      </c>
      <c r="W2812" s="11" t="s">
        <v>6915</v>
      </c>
      <c r="X2812" s="8" t="b">
        <v>0</v>
      </c>
      <c r="Y2812" s="8" t="b">
        <v>0</v>
      </c>
      <c r="Z2812" s="8" t="b">
        <v>0</v>
      </c>
      <c r="AA2812" s="8" t="b">
        <v>0</v>
      </c>
      <c r="AB2812" s="8" t="b">
        <v>0</v>
      </c>
      <c r="AC2812" s="8" t="b">
        <v>0</v>
      </c>
      <c r="AD2812" s="8" t="b">
        <v>0</v>
      </c>
      <c r="AE2812" s="8" t="b">
        <v>1</v>
      </c>
      <c r="AG2812" s="11" t="b" cm="1">
        <f t="array" ref="AG2812">IF(OR(Y2812:AA2812="TRUE", AE2812="true"), "Threatened")</f>
        <v>0</v>
      </c>
      <c r="AH2812" s="11" t="s">
        <v>6916</v>
      </c>
      <c r="AI2812" s="8" t="b">
        <v>0</v>
      </c>
    </row>
    <row r="2813" spans="1:35" ht="31.2">
      <c r="A2813" s="8">
        <v>-73.963209640000002</v>
      </c>
      <c r="B2813" s="8">
        <v>40.792613840000001</v>
      </c>
      <c r="C2813" s="8" t="s">
        <v>6917</v>
      </c>
      <c r="D2813" s="8" t="s">
        <v>125</v>
      </c>
      <c r="E2813" s="8" t="b">
        <f t="shared" si="43"/>
        <v>0</v>
      </c>
      <c r="F2813" s="8" t="str" cm="1">
        <f t="array" ref="F2813">_xlfn._xlws.FILTER(E2813:E6011, C2813:C6011= "6D-PM-1020-01", "No Squirrels Found")</f>
        <v>No Squirrels Found</v>
      </c>
      <c r="G2813" s="8" t="s">
        <v>34</v>
      </c>
      <c r="H2813" s="10">
        <v>10132018</v>
      </c>
      <c r="I2813" s="10">
        <v>7</v>
      </c>
      <c r="J2813" s="8" t="s">
        <v>39</v>
      </c>
      <c r="K2813" s="8" t="s">
        <v>40</v>
      </c>
      <c r="L2813" s="8" t="s">
        <v>41</v>
      </c>
      <c r="M2813" s="8" t="s">
        <v>42</v>
      </c>
      <c r="O2813" s="8" t="s">
        <v>43</v>
      </c>
      <c r="P2813" s="8" t="b">
        <v>0</v>
      </c>
      <c r="R2813" s="8" t="b">
        <v>0</v>
      </c>
      <c r="S2813" s="8" t="b">
        <v>1</v>
      </c>
      <c r="T2813" s="8" t="b">
        <v>0</v>
      </c>
      <c r="U2813" s="8" t="b">
        <v>0</v>
      </c>
      <c r="V2813" s="8" t="b">
        <v>0</v>
      </c>
      <c r="X2813" s="8" t="b">
        <v>0</v>
      </c>
      <c r="Y2813" s="8" t="b">
        <v>0</v>
      </c>
      <c r="Z2813" s="8" t="b">
        <v>0</v>
      </c>
      <c r="AA2813" s="8" t="b">
        <v>0</v>
      </c>
      <c r="AB2813" s="8" t="b">
        <v>0</v>
      </c>
      <c r="AC2813" s="8" t="b">
        <v>0</v>
      </c>
      <c r="AD2813" s="8" t="b">
        <v>1</v>
      </c>
      <c r="AE2813" s="8" t="b">
        <v>0</v>
      </c>
      <c r="AG2813" s="11" t="b" cm="1">
        <f t="array" ref="AG2813">IF(OR(Y2813:AA2813="TRUE", AE2813="true"), "Threatened")</f>
        <v>0</v>
      </c>
      <c r="AH2813" s="11" t="s">
        <v>6918</v>
      </c>
      <c r="AI2813" s="8" t="b">
        <v>1</v>
      </c>
    </row>
    <row r="2814" spans="1:35" ht="31.2">
      <c r="A2814" s="8">
        <v>-73.965911820000002</v>
      </c>
      <c r="B2814" s="8">
        <v>40.776573990000003</v>
      </c>
      <c r="C2814" s="8" t="s">
        <v>6919</v>
      </c>
      <c r="D2814" s="8" t="s">
        <v>672</v>
      </c>
      <c r="E2814" s="8" t="b">
        <f t="shared" si="43"/>
        <v>0</v>
      </c>
      <c r="F2814" s="8" t="str" cm="1">
        <f t="array" ref="F2814">_xlfn._xlws.FILTER(E2814:E6012, C2814:C6012= "6D-PM-1020-01", "No Squirrels Found")</f>
        <v>No Squirrels Found</v>
      </c>
      <c r="G2814" s="8" t="s">
        <v>48</v>
      </c>
      <c r="H2814" s="10">
        <v>10132018</v>
      </c>
      <c r="I2814" s="10">
        <v>2</v>
      </c>
      <c r="J2814" s="8" t="s">
        <v>39</v>
      </c>
      <c r="K2814" s="8" t="s">
        <v>40</v>
      </c>
      <c r="M2814" s="8" t="s">
        <v>55</v>
      </c>
      <c r="O2814" s="8" t="s">
        <v>50</v>
      </c>
      <c r="P2814" s="8">
        <v>15</v>
      </c>
      <c r="R2814" s="8" t="b">
        <v>0</v>
      </c>
      <c r="S2814" s="8" t="b">
        <v>0</v>
      </c>
      <c r="T2814" s="8" t="b">
        <v>1</v>
      </c>
      <c r="U2814" s="8" t="b">
        <v>0</v>
      </c>
      <c r="V2814" s="8" t="b">
        <v>0</v>
      </c>
      <c r="X2814" s="8" t="b">
        <v>0</v>
      </c>
      <c r="Y2814" s="8" t="b">
        <v>0</v>
      </c>
      <c r="Z2814" s="8" t="b">
        <v>0</v>
      </c>
      <c r="AA2814" s="8" t="b">
        <v>0</v>
      </c>
      <c r="AB2814" s="8" t="b">
        <v>0</v>
      </c>
      <c r="AC2814" s="8" t="b">
        <v>0</v>
      </c>
      <c r="AD2814" s="8" t="b">
        <v>1</v>
      </c>
      <c r="AE2814" s="8" t="b">
        <v>0</v>
      </c>
      <c r="AG2814" s="11" t="b" cm="1">
        <f t="array" ref="AG2814">IF(OR(Y2814:AA2814="TRUE", AE2814="true"), "Threatened")</f>
        <v>0</v>
      </c>
      <c r="AH2814" s="11" t="s">
        <v>6920</v>
      </c>
      <c r="AI2814" s="8" t="b">
        <v>1</v>
      </c>
    </row>
    <row r="2815" spans="1:35" ht="31.2">
      <c r="A2815" s="8">
        <v>-73.955162529999996</v>
      </c>
      <c r="B2815" s="8">
        <v>40.791193069999998</v>
      </c>
      <c r="C2815" s="8" t="s">
        <v>6921</v>
      </c>
      <c r="D2815" s="8" t="s">
        <v>1354</v>
      </c>
      <c r="E2815" s="8" t="b">
        <f t="shared" si="43"/>
        <v>0</v>
      </c>
      <c r="F2815" s="8" t="str" cm="1">
        <f t="array" ref="F2815">_xlfn._xlws.FILTER(E2815:E6013, C2815:C6013= "6D-PM-1020-01", "No Squirrels Found")</f>
        <v>No Squirrels Found</v>
      </c>
      <c r="G2815" s="8" t="s">
        <v>34</v>
      </c>
      <c r="H2815" s="10">
        <v>10062018</v>
      </c>
      <c r="I2815" s="10">
        <v>6</v>
      </c>
      <c r="J2815" s="8" t="s">
        <v>39</v>
      </c>
      <c r="K2815" s="8" t="s">
        <v>40</v>
      </c>
      <c r="M2815" s="8" t="s">
        <v>55</v>
      </c>
      <c r="O2815" s="8" t="s">
        <v>43</v>
      </c>
      <c r="P2815" s="8" t="b">
        <v>0</v>
      </c>
      <c r="Q2815" s="8" t="s">
        <v>2999</v>
      </c>
      <c r="R2815" s="8" t="b">
        <v>1</v>
      </c>
      <c r="S2815" s="8" t="b">
        <v>0</v>
      </c>
      <c r="T2815" s="8" t="b">
        <v>0</v>
      </c>
      <c r="U2815" s="8" t="b">
        <v>0</v>
      </c>
      <c r="V2815" s="8" t="b">
        <v>0</v>
      </c>
      <c r="X2815" s="8" t="b">
        <v>0</v>
      </c>
      <c r="Y2815" s="8" t="b">
        <v>0</v>
      </c>
      <c r="Z2815" s="8" t="b">
        <v>0</v>
      </c>
      <c r="AA2815" s="8" t="b">
        <v>0</v>
      </c>
      <c r="AB2815" s="8" t="b">
        <v>0</v>
      </c>
      <c r="AC2815" s="8" t="b">
        <v>0</v>
      </c>
      <c r="AD2815" s="8" t="b">
        <v>0</v>
      </c>
      <c r="AE2815" s="8" t="b">
        <v>0</v>
      </c>
      <c r="AG2815" s="11" t="b" cm="1">
        <f t="array" ref="AG2815">IF(OR(Y2815:AA2815="TRUE", AE2815="true"), "Threatened")</f>
        <v>0</v>
      </c>
      <c r="AH2815" s="11" t="s">
        <v>6922</v>
      </c>
      <c r="AI2815" s="8" t="b">
        <v>1</v>
      </c>
    </row>
    <row r="2816" spans="1:35" ht="31.2">
      <c r="A2816" s="8">
        <v>-73.974731129999995</v>
      </c>
      <c r="B2816" s="8">
        <v>40.76773197</v>
      </c>
      <c r="C2816" s="8" t="s">
        <v>6923</v>
      </c>
      <c r="D2816" s="8" t="s">
        <v>1706</v>
      </c>
      <c r="E2816" s="8" t="b">
        <f t="shared" si="43"/>
        <v>0</v>
      </c>
      <c r="F2816" s="8" t="str" cm="1">
        <f t="array" ref="F2816">_xlfn._xlws.FILTER(E2816:E6014, C2816:C6014= "6D-PM-1020-01", "No Squirrels Found")</f>
        <v>No Squirrels Found</v>
      </c>
      <c r="G2816" s="8" t="s">
        <v>34</v>
      </c>
      <c r="H2816" s="10">
        <v>10132018</v>
      </c>
      <c r="I2816" s="10">
        <v>6</v>
      </c>
      <c r="J2816" s="8" t="s">
        <v>39</v>
      </c>
      <c r="K2816" s="8" t="s">
        <v>40</v>
      </c>
      <c r="L2816" s="8" t="s">
        <v>84</v>
      </c>
      <c r="M2816" s="8" t="s">
        <v>103</v>
      </c>
      <c r="O2816" s="8" t="s">
        <v>50</v>
      </c>
      <c r="P2816" s="8">
        <v>19</v>
      </c>
      <c r="R2816" s="8" t="b">
        <v>0</v>
      </c>
      <c r="S2816" s="8" t="b">
        <v>0</v>
      </c>
      <c r="T2816" s="8" t="b">
        <v>1</v>
      </c>
      <c r="U2816" s="8" t="b">
        <v>0</v>
      </c>
      <c r="V2816" s="8" t="b">
        <v>0</v>
      </c>
      <c r="X2816" s="8" t="b">
        <v>0</v>
      </c>
      <c r="Y2816" s="8" t="b">
        <v>1</v>
      </c>
      <c r="Z2816" s="8" t="b">
        <v>0</v>
      </c>
      <c r="AA2816" s="8" t="b">
        <v>0</v>
      </c>
      <c r="AB2816" s="8" t="b">
        <v>0</v>
      </c>
      <c r="AC2816" s="8" t="b">
        <v>0</v>
      </c>
      <c r="AD2816" s="8" t="b">
        <v>0</v>
      </c>
      <c r="AE2816" s="8" t="b">
        <v>1</v>
      </c>
      <c r="AG2816" s="11" t="b" cm="1">
        <f t="array" ref="AG2816">IF(OR(Y2816:AA2816="TRUE", AE2816="true"), "Threatened")</f>
        <v>0</v>
      </c>
      <c r="AH2816" s="11" t="s">
        <v>6924</v>
      </c>
      <c r="AI2816" s="8" t="b">
        <v>1</v>
      </c>
    </row>
    <row r="2817" spans="1:35" ht="31.2">
      <c r="A2817" s="8">
        <v>-73.980934230000003</v>
      </c>
      <c r="B2817" s="8">
        <v>40.768726559999998</v>
      </c>
      <c r="C2817" s="8" t="s">
        <v>6925</v>
      </c>
      <c r="D2817" s="8" t="s">
        <v>1909</v>
      </c>
      <c r="E2817" s="8" t="b">
        <f t="shared" si="43"/>
        <v>0</v>
      </c>
      <c r="F2817" s="8" t="str" cm="1">
        <f t="array" ref="F2817">_xlfn._xlws.FILTER(E2817:E6015, C2817:C6015= "6D-PM-1020-01", "No Squirrels Found")</f>
        <v>No Squirrels Found</v>
      </c>
      <c r="G2817" s="8" t="s">
        <v>48</v>
      </c>
      <c r="H2817" s="10">
        <v>10102018</v>
      </c>
      <c r="I2817" s="10">
        <v>5</v>
      </c>
      <c r="J2817" s="8" t="s">
        <v>39</v>
      </c>
      <c r="K2817" s="8" t="s">
        <v>40</v>
      </c>
      <c r="L2817" s="8" t="s">
        <v>84</v>
      </c>
      <c r="M2817" s="8" t="s">
        <v>103</v>
      </c>
      <c r="O2817" s="8" t="s">
        <v>43</v>
      </c>
      <c r="P2817" s="8" t="b">
        <v>0</v>
      </c>
      <c r="Q2817" s="8" t="s">
        <v>6926</v>
      </c>
      <c r="R2817" s="8" t="b">
        <v>0</v>
      </c>
      <c r="S2817" s="8" t="b">
        <v>0</v>
      </c>
      <c r="T2817" s="8" t="b">
        <v>0</v>
      </c>
      <c r="U2817" s="8" t="b">
        <v>1</v>
      </c>
      <c r="V2817" s="8" t="b">
        <v>1</v>
      </c>
      <c r="X2817" s="8" t="b">
        <v>0</v>
      </c>
      <c r="Y2817" s="8" t="b">
        <v>0</v>
      </c>
      <c r="Z2817" s="8" t="b">
        <v>0</v>
      </c>
      <c r="AA2817" s="8" t="b">
        <v>0</v>
      </c>
      <c r="AB2817" s="8" t="b">
        <v>1</v>
      </c>
      <c r="AC2817" s="8" t="b">
        <v>1</v>
      </c>
      <c r="AD2817" s="8" t="b">
        <v>1</v>
      </c>
      <c r="AE2817" s="8" t="b">
        <v>0</v>
      </c>
      <c r="AG2817" s="11" t="b" cm="1">
        <f t="array" ref="AG2817">IF(OR(Y2817:AA2817="TRUE", AE2817="true"), "Threatened")</f>
        <v>0</v>
      </c>
      <c r="AH2817" s="11" t="s">
        <v>6927</v>
      </c>
      <c r="AI2817" s="8" t="b">
        <v>1</v>
      </c>
    </row>
    <row r="2818" spans="1:35" ht="31.2">
      <c r="A2818" s="8">
        <v>-73.959644589999996</v>
      </c>
      <c r="B2818" s="8">
        <v>40.797194869999998</v>
      </c>
      <c r="C2818" s="8" t="s">
        <v>6928</v>
      </c>
      <c r="D2818" s="8" t="s">
        <v>689</v>
      </c>
      <c r="E2818" s="8" t="b">
        <f t="shared" si="43"/>
        <v>0</v>
      </c>
      <c r="F2818" s="8" t="str" cm="1">
        <f t="array" ref="F2818">_xlfn._xlws.FILTER(E2818:E6016, C2818:C6016= "6D-PM-1020-01", "No Squirrels Found")</f>
        <v>No Squirrels Found</v>
      </c>
      <c r="G2818" s="8" t="s">
        <v>34</v>
      </c>
      <c r="H2818" s="10">
        <v>10132018</v>
      </c>
      <c r="I2818" s="10">
        <v>5</v>
      </c>
      <c r="J2818" s="8" t="s">
        <v>39</v>
      </c>
      <c r="K2818" s="8" t="s">
        <v>192</v>
      </c>
      <c r="M2818" s="8" t="s">
        <v>193</v>
      </c>
      <c r="O2818" s="8" t="s">
        <v>43</v>
      </c>
      <c r="P2818" s="8" t="b">
        <v>0</v>
      </c>
      <c r="R2818" s="8" t="b">
        <v>0</v>
      </c>
      <c r="S2818" s="8" t="b">
        <v>0</v>
      </c>
      <c r="T2818" s="8" t="b">
        <v>0</v>
      </c>
      <c r="U2818" s="8" t="b">
        <v>0</v>
      </c>
      <c r="V2818" s="8" t="b">
        <v>1</v>
      </c>
      <c r="X2818" s="8" t="b">
        <v>0</v>
      </c>
      <c r="Y2818" s="8" t="b">
        <v>0</v>
      </c>
      <c r="Z2818" s="8" t="b">
        <v>0</v>
      </c>
      <c r="AA2818" s="8" t="b">
        <v>0</v>
      </c>
      <c r="AB2818" s="8" t="b">
        <v>0</v>
      </c>
      <c r="AC2818" s="8" t="b">
        <v>0</v>
      </c>
      <c r="AD2818" s="8" t="b">
        <v>0</v>
      </c>
      <c r="AE2818" s="8" t="b">
        <v>1</v>
      </c>
      <c r="AG2818" s="11" t="b" cm="1">
        <f t="array" ref="AG2818">IF(OR(Y2818:AA2818="TRUE", AE2818="true"), "Threatened")</f>
        <v>0</v>
      </c>
      <c r="AH2818" s="11" t="s">
        <v>6929</v>
      </c>
      <c r="AI2818" s="8" t="b">
        <v>1</v>
      </c>
    </row>
    <row r="2819" spans="1:35" ht="31.2">
      <c r="A2819" s="8">
        <v>-73.968166460000006</v>
      </c>
      <c r="B2819" s="8">
        <v>40.772466970000004</v>
      </c>
      <c r="C2819" s="8" t="s">
        <v>6930</v>
      </c>
      <c r="D2819" s="8" t="s">
        <v>1270</v>
      </c>
      <c r="E2819" s="8" t="b">
        <f t="shared" ref="E2819:E2882" si="44">OR(D2819 = "05D", D2819 = "07D", D2819 = "06C", D2819 = "06E")</f>
        <v>0</v>
      </c>
      <c r="F2819" s="8" t="str" cm="1">
        <f t="array" ref="F2819">_xlfn._xlws.FILTER(E2819:E6017, C2819:C6017= "6D-PM-1020-01", "No Squirrels Found")</f>
        <v>No Squirrels Found</v>
      </c>
      <c r="G2819" s="8" t="s">
        <v>34</v>
      </c>
      <c r="H2819" s="10">
        <v>10122018</v>
      </c>
      <c r="I2819" s="10">
        <v>2</v>
      </c>
      <c r="J2819" s="8" t="s">
        <v>39</v>
      </c>
      <c r="K2819" s="8" t="s">
        <v>40</v>
      </c>
      <c r="M2819" s="8" t="s">
        <v>55</v>
      </c>
      <c r="O2819" s="8" t="s">
        <v>50</v>
      </c>
      <c r="P2819" s="8">
        <v>4</v>
      </c>
      <c r="R2819" s="8" t="b">
        <v>1</v>
      </c>
      <c r="S2819" s="8" t="b">
        <v>0</v>
      </c>
      <c r="T2819" s="8" t="b">
        <v>1</v>
      </c>
      <c r="U2819" s="8" t="b">
        <v>0</v>
      </c>
      <c r="V2819" s="8" t="b">
        <v>1</v>
      </c>
      <c r="X2819" s="8" t="b">
        <v>0</v>
      </c>
      <c r="Y2819" s="8" t="b">
        <v>0</v>
      </c>
      <c r="Z2819" s="8" t="b">
        <v>0</v>
      </c>
      <c r="AA2819" s="8" t="b">
        <v>0</v>
      </c>
      <c r="AB2819" s="8" t="b">
        <v>0</v>
      </c>
      <c r="AC2819" s="8" t="b">
        <v>0</v>
      </c>
      <c r="AD2819" s="8" t="b">
        <v>0</v>
      </c>
      <c r="AE2819" s="8" t="b">
        <v>1</v>
      </c>
      <c r="AF2819" s="11" t="s">
        <v>6931</v>
      </c>
      <c r="AG2819" s="11" t="b" cm="1">
        <f t="array" ref="AG2819">IF(OR(Y2819:AA2819="TRUE", AE2819="true"), "Threatened")</f>
        <v>0</v>
      </c>
      <c r="AH2819" s="11" t="s">
        <v>6932</v>
      </c>
      <c r="AI2819" s="8" t="b">
        <v>1</v>
      </c>
    </row>
    <row r="2820" spans="1:35" ht="31.2">
      <c r="A2820" s="8">
        <v>-73.955035010000003</v>
      </c>
      <c r="B2820" s="8">
        <v>40.797694219999997</v>
      </c>
      <c r="C2820" s="8" t="s">
        <v>6933</v>
      </c>
      <c r="D2820" s="8" t="s">
        <v>1520</v>
      </c>
      <c r="E2820" s="8" t="b">
        <f t="shared" si="44"/>
        <v>0</v>
      </c>
      <c r="F2820" s="8" t="str" cm="1">
        <f t="array" ref="F2820">_xlfn._xlws.FILTER(E2820:E6018, C2820:C6018= "6D-PM-1020-01", "No Squirrels Found")</f>
        <v>No Squirrels Found</v>
      </c>
      <c r="G2820" s="8" t="s">
        <v>34</v>
      </c>
      <c r="H2820" s="10">
        <v>10132018</v>
      </c>
      <c r="I2820" s="10">
        <v>2</v>
      </c>
      <c r="J2820" s="8" t="s">
        <v>39</v>
      </c>
      <c r="K2820" s="8" t="s">
        <v>40</v>
      </c>
      <c r="L2820" s="8" t="s">
        <v>84</v>
      </c>
      <c r="M2820" s="8" t="s">
        <v>103</v>
      </c>
      <c r="O2820" s="8" t="s">
        <v>43</v>
      </c>
      <c r="P2820" s="8" t="b">
        <v>0</v>
      </c>
      <c r="R2820" s="8" t="b">
        <v>0</v>
      </c>
      <c r="S2820" s="8" t="b">
        <v>0</v>
      </c>
      <c r="T2820" s="8" t="b">
        <v>0</v>
      </c>
      <c r="U2820" s="8" t="b">
        <v>0</v>
      </c>
      <c r="V2820" s="8" t="b">
        <v>1</v>
      </c>
      <c r="X2820" s="8" t="b">
        <v>0</v>
      </c>
      <c r="Y2820" s="8" t="b">
        <v>0</v>
      </c>
      <c r="Z2820" s="8" t="b">
        <v>0</v>
      </c>
      <c r="AA2820" s="8" t="b">
        <v>0</v>
      </c>
      <c r="AB2820" s="8" t="b">
        <v>0</v>
      </c>
      <c r="AC2820" s="8" t="b">
        <v>0</v>
      </c>
      <c r="AD2820" s="8" t="b">
        <v>0</v>
      </c>
      <c r="AE2820" s="8" t="b">
        <v>0</v>
      </c>
      <c r="AG2820" s="11" t="b" cm="1">
        <f t="array" ref="AG2820">IF(OR(Y2820:AA2820="TRUE", AE2820="true"), "Threatened")</f>
        <v>0</v>
      </c>
      <c r="AH2820" s="11" t="s">
        <v>6934</v>
      </c>
      <c r="AI2820" s="8" t="b">
        <v>1</v>
      </c>
    </row>
    <row r="2821" spans="1:35" ht="31.2">
      <c r="A2821" s="8">
        <v>-73.961592600000003</v>
      </c>
      <c r="B2821" s="8">
        <v>40.794422320000002</v>
      </c>
      <c r="C2821" s="8" t="s">
        <v>6935</v>
      </c>
      <c r="D2821" s="8" t="s">
        <v>434</v>
      </c>
      <c r="E2821" s="8" t="b">
        <f t="shared" si="44"/>
        <v>0</v>
      </c>
      <c r="F2821" s="8" t="str" cm="1">
        <f t="array" ref="F2821">_xlfn._xlws.FILTER(E2821:E6019, C2821:C6019= "6D-PM-1020-01", "No Squirrels Found")</f>
        <v>No Squirrels Found</v>
      </c>
      <c r="G2821" s="8" t="s">
        <v>34</v>
      </c>
      <c r="H2821" s="10">
        <v>10132018</v>
      </c>
      <c r="I2821" s="10">
        <v>5</v>
      </c>
      <c r="J2821" s="8" t="s">
        <v>39</v>
      </c>
      <c r="K2821" s="8" t="s">
        <v>40</v>
      </c>
      <c r="M2821" s="8" t="s">
        <v>55</v>
      </c>
      <c r="O2821" s="8" t="s">
        <v>43</v>
      </c>
      <c r="P2821" s="8" t="b">
        <v>0</v>
      </c>
      <c r="R2821" s="8" t="b">
        <v>1</v>
      </c>
      <c r="S2821" s="8" t="b">
        <v>0</v>
      </c>
      <c r="T2821" s="8" t="b">
        <v>1</v>
      </c>
      <c r="U2821" s="8" t="b">
        <v>0</v>
      </c>
      <c r="V2821" s="8" t="b">
        <v>0</v>
      </c>
      <c r="W2821" s="11" t="s">
        <v>6347</v>
      </c>
      <c r="X2821" s="8" t="b">
        <v>1</v>
      </c>
      <c r="Y2821" s="8" t="b">
        <v>0</v>
      </c>
      <c r="Z2821" s="8" t="b">
        <v>0</v>
      </c>
      <c r="AA2821" s="8" t="b">
        <v>0</v>
      </c>
      <c r="AB2821" s="8" t="b">
        <v>0</v>
      </c>
      <c r="AC2821" s="8" t="b">
        <v>0</v>
      </c>
      <c r="AD2821" s="8" t="b">
        <v>0</v>
      </c>
      <c r="AE2821" s="8" t="b">
        <v>1</v>
      </c>
      <c r="AF2821" s="11" t="s">
        <v>1294</v>
      </c>
      <c r="AG2821" s="11" t="b" cm="1">
        <f t="array" ref="AG2821">IF(OR(Y2821:AA2821="TRUE", AE2821="true"), "Threatened")</f>
        <v>0</v>
      </c>
      <c r="AH2821" s="11" t="s">
        <v>6936</v>
      </c>
      <c r="AI2821" s="8" t="b">
        <v>0</v>
      </c>
    </row>
    <row r="2822" spans="1:35" ht="31.2">
      <c r="A2822" s="8">
        <v>-73.975453659999999</v>
      </c>
      <c r="B2822" s="8">
        <v>40.769860489999999</v>
      </c>
      <c r="C2822" s="8" t="s">
        <v>6937</v>
      </c>
      <c r="D2822" s="8" t="s">
        <v>259</v>
      </c>
      <c r="E2822" s="8" t="b">
        <f t="shared" si="44"/>
        <v>0</v>
      </c>
      <c r="F2822" s="8" t="str" cm="1">
        <f t="array" ref="F2822">_xlfn._xlws.FILTER(E2822:E6020, C2822:C6020= "6D-PM-1020-01", "No Squirrels Found")</f>
        <v>No Squirrels Found</v>
      </c>
      <c r="G2822" s="8" t="s">
        <v>34</v>
      </c>
      <c r="H2822" s="10">
        <v>10122018</v>
      </c>
      <c r="I2822" s="10">
        <v>4</v>
      </c>
      <c r="J2822" s="8" t="s">
        <v>39</v>
      </c>
      <c r="K2822" s="8" t="s">
        <v>40</v>
      </c>
      <c r="L2822" s="8" t="s">
        <v>117</v>
      </c>
      <c r="M2822" s="8" t="s">
        <v>118</v>
      </c>
      <c r="O2822" s="8" t="s">
        <v>43</v>
      </c>
      <c r="P2822" s="8" t="b">
        <v>0</v>
      </c>
      <c r="R2822" s="8" t="b">
        <v>1</v>
      </c>
      <c r="S2822" s="8" t="b">
        <v>0</v>
      </c>
      <c r="T2822" s="8" t="b">
        <v>0</v>
      </c>
      <c r="U2822" s="8" t="b">
        <v>0</v>
      </c>
      <c r="V2822" s="8" t="b">
        <v>0</v>
      </c>
      <c r="X2822" s="8" t="b">
        <v>0</v>
      </c>
      <c r="Y2822" s="8" t="b">
        <v>0</v>
      </c>
      <c r="Z2822" s="8" t="b">
        <v>0</v>
      </c>
      <c r="AA2822" s="8" t="b">
        <v>1</v>
      </c>
      <c r="AB2822" s="8" t="b">
        <v>0</v>
      </c>
      <c r="AC2822" s="8" t="b">
        <v>0</v>
      </c>
      <c r="AD2822" s="8" t="b">
        <v>0</v>
      </c>
      <c r="AE2822" s="8" t="b">
        <v>1</v>
      </c>
      <c r="AG2822" s="11" t="b" cm="1">
        <f t="array" ref="AG2822">IF(OR(Y2822:AA2822="TRUE", AE2822="true"), "Threatened")</f>
        <v>0</v>
      </c>
      <c r="AH2822" s="11" t="s">
        <v>6938</v>
      </c>
      <c r="AI2822" s="8" t="b">
        <v>1</v>
      </c>
    </row>
    <row r="2823" spans="1:35" ht="31.2">
      <c r="A2823" s="8">
        <v>-73.971112009999999</v>
      </c>
      <c r="B2823" s="8">
        <v>40.776080190000002</v>
      </c>
      <c r="C2823" s="8" t="s">
        <v>6939</v>
      </c>
      <c r="D2823" s="8" t="s">
        <v>426</v>
      </c>
      <c r="E2823" s="8" t="b">
        <f t="shared" si="44"/>
        <v>0</v>
      </c>
      <c r="F2823" s="8" t="str" cm="1">
        <f t="array" ref="F2823">_xlfn._xlws.FILTER(E2823:E6021, C2823:C6021= "6D-PM-1020-01", "No Squirrels Found")</f>
        <v>No Squirrels Found</v>
      </c>
      <c r="G2823" s="8" t="s">
        <v>34</v>
      </c>
      <c r="H2823" s="10">
        <v>10182018</v>
      </c>
      <c r="I2823" s="10">
        <v>14</v>
      </c>
      <c r="J2823" s="8" t="s">
        <v>39</v>
      </c>
      <c r="K2823" s="8" t="s">
        <v>41</v>
      </c>
      <c r="L2823" s="8" t="s">
        <v>40</v>
      </c>
      <c r="M2823" s="8" t="s">
        <v>110</v>
      </c>
      <c r="O2823" s="8" t="s">
        <v>43</v>
      </c>
      <c r="P2823" s="8" t="b">
        <v>0</v>
      </c>
      <c r="R2823" s="8" t="b">
        <v>1</v>
      </c>
      <c r="S2823" s="8" t="b">
        <v>0</v>
      </c>
      <c r="T2823" s="8" t="b">
        <v>1</v>
      </c>
      <c r="U2823" s="8" t="b">
        <v>0</v>
      </c>
      <c r="V2823" s="8" t="b">
        <v>0</v>
      </c>
      <c r="W2823" s="11" t="s">
        <v>6940</v>
      </c>
      <c r="X2823" s="8" t="b">
        <v>0</v>
      </c>
      <c r="Y2823" s="8" t="b">
        <v>0</v>
      </c>
      <c r="Z2823" s="8" t="b">
        <v>0</v>
      </c>
      <c r="AA2823" s="8" t="b">
        <v>0</v>
      </c>
      <c r="AB2823" s="8" t="b">
        <v>0</v>
      </c>
      <c r="AC2823" s="8" t="b">
        <v>0</v>
      </c>
      <c r="AD2823" s="8" t="b">
        <v>1</v>
      </c>
      <c r="AE2823" s="8" t="b">
        <v>0</v>
      </c>
      <c r="AG2823" s="11" t="b" cm="1">
        <f t="array" ref="AG2823">IF(OR(Y2823:AA2823="TRUE", AE2823="true"), "Threatened")</f>
        <v>0</v>
      </c>
      <c r="AH2823" s="11" t="s">
        <v>6941</v>
      </c>
      <c r="AI2823" s="8" t="b">
        <v>0</v>
      </c>
    </row>
    <row r="2824" spans="1:35" ht="31.2">
      <c r="A2824" s="8">
        <v>-73.966405429999995</v>
      </c>
      <c r="B2824" s="8">
        <v>40.775618090000002</v>
      </c>
      <c r="C2824" s="8" t="s">
        <v>6942</v>
      </c>
      <c r="D2824" s="8" t="s">
        <v>1320</v>
      </c>
      <c r="E2824" s="8" t="b">
        <f t="shared" si="44"/>
        <v>0</v>
      </c>
      <c r="F2824" s="8" t="str" cm="1">
        <f t="array" ref="F2824">_xlfn._xlws.FILTER(E2824:E6022, C2824:C6022= "6D-PM-1020-01", "No Squirrels Found")</f>
        <v>No Squirrels Found</v>
      </c>
      <c r="G2824" s="8" t="s">
        <v>34</v>
      </c>
      <c r="H2824" s="10">
        <v>10122018</v>
      </c>
      <c r="I2824" s="10">
        <v>7</v>
      </c>
      <c r="J2824" s="8" t="s">
        <v>39</v>
      </c>
      <c r="K2824" s="8" t="s">
        <v>40</v>
      </c>
      <c r="L2824" s="8" t="s">
        <v>41</v>
      </c>
      <c r="M2824" s="8" t="s">
        <v>42</v>
      </c>
      <c r="O2824" s="8" t="s">
        <v>43</v>
      </c>
      <c r="P2824" s="8" t="b">
        <v>0</v>
      </c>
      <c r="R2824" s="8" t="b">
        <v>0</v>
      </c>
      <c r="S2824" s="8" t="b">
        <v>0</v>
      </c>
      <c r="T2824" s="8" t="b">
        <v>0</v>
      </c>
      <c r="U2824" s="8" t="b">
        <v>1</v>
      </c>
      <c r="V2824" s="8" t="b">
        <v>1</v>
      </c>
      <c r="X2824" s="8" t="b">
        <v>0</v>
      </c>
      <c r="Y2824" s="8" t="b">
        <v>0</v>
      </c>
      <c r="Z2824" s="8" t="b">
        <v>0</v>
      </c>
      <c r="AA2824" s="8" t="b">
        <v>0</v>
      </c>
      <c r="AB2824" s="8" t="b">
        <v>0</v>
      </c>
      <c r="AC2824" s="8" t="b">
        <v>0</v>
      </c>
      <c r="AD2824" s="8" t="b">
        <v>1</v>
      </c>
      <c r="AE2824" s="8" t="b">
        <v>0</v>
      </c>
      <c r="AG2824" s="11" t="b" cm="1">
        <f t="array" ref="AG2824">IF(OR(Y2824:AA2824="TRUE", AE2824="true"), "Threatened")</f>
        <v>0</v>
      </c>
      <c r="AH2824" s="11" t="s">
        <v>6943</v>
      </c>
      <c r="AI2824" s="8" t="b">
        <v>1</v>
      </c>
    </row>
    <row r="2825" spans="1:35" ht="31.2">
      <c r="A2825" s="8">
        <v>-73.975061800000006</v>
      </c>
      <c r="B2825" s="8">
        <v>40.773752119999997</v>
      </c>
      <c r="C2825" s="8" t="s">
        <v>6944</v>
      </c>
      <c r="D2825" s="8" t="s">
        <v>802</v>
      </c>
      <c r="E2825" s="8" t="b">
        <f t="shared" si="44"/>
        <v>0</v>
      </c>
      <c r="F2825" s="8" t="str" cm="1">
        <f t="array" ref="F2825">_xlfn._xlws.FILTER(E2825:E6023, C2825:C6023= "6D-PM-1020-01", "No Squirrels Found")</f>
        <v>No Squirrels Found</v>
      </c>
      <c r="G2825" s="8" t="s">
        <v>48</v>
      </c>
      <c r="H2825" s="10">
        <v>10102018</v>
      </c>
      <c r="I2825" s="10">
        <v>5</v>
      </c>
      <c r="J2825" s="8" t="s">
        <v>39</v>
      </c>
      <c r="K2825" s="8" t="s">
        <v>40</v>
      </c>
      <c r="L2825" s="8" t="s">
        <v>84</v>
      </c>
      <c r="M2825" s="8" t="s">
        <v>103</v>
      </c>
      <c r="O2825" s="8" t="s">
        <v>43</v>
      </c>
      <c r="P2825" s="8" t="b">
        <v>0</v>
      </c>
      <c r="R2825" s="8" t="b">
        <v>0</v>
      </c>
      <c r="S2825" s="8" t="b">
        <v>0</v>
      </c>
      <c r="T2825" s="8" t="b">
        <v>0</v>
      </c>
      <c r="U2825" s="8" t="b">
        <v>0</v>
      </c>
      <c r="V2825" s="8" t="b">
        <v>1</v>
      </c>
      <c r="X2825" s="8" t="b">
        <v>0</v>
      </c>
      <c r="Y2825" s="8" t="b">
        <v>0</v>
      </c>
      <c r="Z2825" s="8" t="b">
        <v>0</v>
      </c>
      <c r="AA2825" s="8" t="b">
        <v>0</v>
      </c>
      <c r="AB2825" s="8" t="b">
        <v>1</v>
      </c>
      <c r="AC2825" s="8" t="b">
        <v>0</v>
      </c>
      <c r="AD2825" s="8" t="b">
        <v>1</v>
      </c>
      <c r="AE2825" s="8" t="b">
        <v>0</v>
      </c>
      <c r="AG2825" s="11" t="b" cm="1">
        <f t="array" ref="AG2825">IF(OR(Y2825:AA2825="TRUE", AE2825="true"), "Threatened")</f>
        <v>0</v>
      </c>
      <c r="AH2825" s="11" t="s">
        <v>6945</v>
      </c>
      <c r="AI2825" s="8" t="b">
        <v>1</v>
      </c>
    </row>
    <row r="2826" spans="1:35" ht="31.2">
      <c r="A2826" s="8">
        <v>-73.964350760000002</v>
      </c>
      <c r="B2826" s="8">
        <v>40.790432469999999</v>
      </c>
      <c r="C2826" s="8" t="s">
        <v>6946</v>
      </c>
      <c r="D2826" s="8" t="s">
        <v>911</v>
      </c>
      <c r="E2826" s="8" t="b">
        <f t="shared" si="44"/>
        <v>0</v>
      </c>
      <c r="F2826" s="8" t="str" cm="1">
        <f t="array" ref="F2826">_xlfn._xlws.FILTER(E2826:E6024, C2826:C6024= "6D-PM-1020-01", "No Squirrels Found")</f>
        <v>No Squirrels Found</v>
      </c>
      <c r="G2826" s="8" t="s">
        <v>34</v>
      </c>
      <c r="H2826" s="10">
        <v>10192018</v>
      </c>
      <c r="I2826" s="10">
        <v>7</v>
      </c>
      <c r="J2826" s="8" t="s">
        <v>39</v>
      </c>
      <c r="K2826" s="8" t="s">
        <v>40</v>
      </c>
      <c r="L2826" s="8" t="s">
        <v>168</v>
      </c>
      <c r="M2826" s="8" t="s">
        <v>169</v>
      </c>
      <c r="O2826" s="8" t="s">
        <v>43</v>
      </c>
      <c r="P2826" s="8" t="b">
        <v>0</v>
      </c>
      <c r="R2826" s="8" t="b">
        <v>0</v>
      </c>
      <c r="S2826" s="8" t="b">
        <v>0</v>
      </c>
      <c r="T2826" s="8" t="b">
        <v>0</v>
      </c>
      <c r="U2826" s="8" t="b">
        <v>1</v>
      </c>
      <c r="V2826" s="8" t="b">
        <v>1</v>
      </c>
      <c r="X2826" s="8" t="b">
        <v>0</v>
      </c>
      <c r="Y2826" s="8" t="b">
        <v>0</v>
      </c>
      <c r="Z2826" s="8" t="b">
        <v>0</v>
      </c>
      <c r="AA2826" s="8" t="b">
        <v>0</v>
      </c>
      <c r="AB2826" s="8" t="b">
        <v>0</v>
      </c>
      <c r="AC2826" s="8" t="b">
        <v>0</v>
      </c>
      <c r="AD2826" s="8" t="b">
        <v>0</v>
      </c>
      <c r="AE2826" s="8" t="b">
        <v>1</v>
      </c>
      <c r="AG2826" s="11" t="b" cm="1">
        <f t="array" ref="AG2826">IF(OR(Y2826:AA2826="TRUE", AE2826="true"), "Threatened")</f>
        <v>0</v>
      </c>
      <c r="AH2826" s="11" t="s">
        <v>6947</v>
      </c>
      <c r="AI2826" s="8" t="b">
        <v>1</v>
      </c>
    </row>
    <row r="2827" spans="1:35" ht="31.2">
      <c r="A2827" s="8">
        <v>-73.960035700000006</v>
      </c>
      <c r="B2827" s="8">
        <v>40.790653980000002</v>
      </c>
      <c r="C2827" s="8" t="s">
        <v>6948</v>
      </c>
      <c r="D2827" s="8" t="s">
        <v>75</v>
      </c>
      <c r="E2827" s="8" t="b">
        <f t="shared" si="44"/>
        <v>0</v>
      </c>
      <c r="F2827" s="8" t="str" cm="1">
        <f t="array" ref="F2827">_xlfn._xlws.FILTER(E2827:E6025, C2827:C6025= "6D-PM-1020-01", "No Squirrels Found")</f>
        <v>No Squirrels Found</v>
      </c>
      <c r="G2827" s="8" t="s">
        <v>48</v>
      </c>
      <c r="H2827" s="10">
        <v>10072018</v>
      </c>
      <c r="I2827" s="10">
        <v>8</v>
      </c>
      <c r="J2827" s="8" t="s">
        <v>39</v>
      </c>
      <c r="K2827" s="8" t="s">
        <v>40</v>
      </c>
      <c r="M2827" s="8" t="s">
        <v>55</v>
      </c>
      <c r="O2827" s="8" t="s">
        <v>50</v>
      </c>
      <c r="P2827" s="8">
        <v>65</v>
      </c>
      <c r="Q2827" s="8" t="s">
        <v>6949</v>
      </c>
      <c r="R2827" s="8" t="b">
        <v>0</v>
      </c>
      <c r="S2827" s="8" t="b">
        <v>0</v>
      </c>
      <c r="T2827" s="8" t="b">
        <v>1</v>
      </c>
      <c r="U2827" s="8" t="b">
        <v>0</v>
      </c>
      <c r="V2827" s="8" t="b">
        <v>0</v>
      </c>
      <c r="X2827" s="8" t="b">
        <v>0</v>
      </c>
      <c r="Y2827" s="8" t="b">
        <v>0</v>
      </c>
      <c r="Z2827" s="8" t="b">
        <v>0</v>
      </c>
      <c r="AA2827" s="8" t="b">
        <v>0</v>
      </c>
      <c r="AB2827" s="8" t="b">
        <v>0</v>
      </c>
      <c r="AC2827" s="8" t="b">
        <v>0</v>
      </c>
      <c r="AD2827" s="8" t="b">
        <v>0</v>
      </c>
      <c r="AE2827" s="8" t="b">
        <v>0</v>
      </c>
      <c r="AG2827" s="11" t="b" cm="1">
        <f t="array" ref="AG2827">IF(OR(Y2827:AA2827="TRUE", AE2827="true"), "Threatened")</f>
        <v>0</v>
      </c>
      <c r="AH2827" s="11" t="s">
        <v>6950</v>
      </c>
      <c r="AI2827" s="8" t="b">
        <v>1</v>
      </c>
    </row>
    <row r="2828" spans="1:35" ht="31.2">
      <c r="A2828" s="8">
        <v>-73.977857880000002</v>
      </c>
      <c r="B2828" s="8">
        <v>40.770543269999997</v>
      </c>
      <c r="C2828" s="8" t="s">
        <v>6951</v>
      </c>
      <c r="D2828" s="8" t="s">
        <v>2864</v>
      </c>
      <c r="E2828" s="8" t="b">
        <f t="shared" si="44"/>
        <v>0</v>
      </c>
      <c r="F2828" s="8" t="str" cm="1">
        <f t="array" ref="F2828">_xlfn._xlws.FILTER(E2828:E6026, C2828:C6026= "6D-PM-1020-01", "No Squirrels Found")</f>
        <v>No Squirrels Found</v>
      </c>
      <c r="G2828" s="8" t="s">
        <v>34</v>
      </c>
      <c r="H2828" s="10">
        <v>10132018</v>
      </c>
      <c r="I2828" s="10">
        <v>3</v>
      </c>
      <c r="J2828" s="8" t="s">
        <v>39</v>
      </c>
      <c r="K2828" s="8" t="s">
        <v>40</v>
      </c>
      <c r="M2828" s="8" t="s">
        <v>55</v>
      </c>
      <c r="O2828" s="8" t="s">
        <v>43</v>
      </c>
      <c r="P2828" s="8" t="b">
        <v>0</v>
      </c>
      <c r="R2828" s="8" t="b">
        <v>0</v>
      </c>
      <c r="S2828" s="8" t="b">
        <v>0</v>
      </c>
      <c r="T2828" s="8" t="b">
        <v>0</v>
      </c>
      <c r="U2828" s="8" t="b">
        <v>0</v>
      </c>
      <c r="V2828" s="8" t="b">
        <v>1</v>
      </c>
      <c r="W2828" s="11" t="s">
        <v>99</v>
      </c>
      <c r="X2828" s="8" t="b">
        <v>0</v>
      </c>
      <c r="Y2828" s="8" t="b">
        <v>0</v>
      </c>
      <c r="Z2828" s="8" t="b">
        <v>0</v>
      </c>
      <c r="AA2828" s="8" t="b">
        <v>0</v>
      </c>
      <c r="AB2828" s="8" t="b">
        <v>0</v>
      </c>
      <c r="AC2828" s="8" t="b">
        <v>0</v>
      </c>
      <c r="AD2828" s="8" t="b">
        <v>0</v>
      </c>
      <c r="AE2828" s="8" t="b">
        <v>0</v>
      </c>
      <c r="AG2828" s="11" t="b" cm="1">
        <f t="array" ref="AG2828">IF(OR(Y2828:AA2828="TRUE", AE2828="true"), "Threatened")</f>
        <v>0</v>
      </c>
      <c r="AH2828" s="11" t="s">
        <v>6952</v>
      </c>
      <c r="AI2828" s="8" t="b">
        <v>0</v>
      </c>
    </row>
    <row r="2829" spans="1:35" ht="31.2">
      <c r="A2829" s="8">
        <v>-73.958743979999994</v>
      </c>
      <c r="B2829" s="8">
        <v>40.784900610000001</v>
      </c>
      <c r="C2829" s="8" t="s">
        <v>6953</v>
      </c>
      <c r="D2829" s="8" t="s">
        <v>1086</v>
      </c>
      <c r="E2829" s="8" t="b">
        <f t="shared" si="44"/>
        <v>0</v>
      </c>
      <c r="F2829" s="8" t="str" cm="1">
        <f t="array" ref="F2829">_xlfn._xlws.FILTER(E2829:E6027, C2829:C6027= "6D-PM-1020-01", "No Squirrels Found")</f>
        <v>No Squirrels Found</v>
      </c>
      <c r="G2829" s="8" t="s">
        <v>48</v>
      </c>
      <c r="H2829" s="10">
        <v>10072018</v>
      </c>
      <c r="I2829" s="10">
        <v>4</v>
      </c>
      <c r="J2829" s="8" t="s">
        <v>39</v>
      </c>
      <c r="K2829" s="8" t="s">
        <v>40</v>
      </c>
      <c r="L2829" s="8" t="s">
        <v>41</v>
      </c>
      <c r="M2829" s="8" t="s">
        <v>42</v>
      </c>
      <c r="O2829" s="8" t="s">
        <v>43</v>
      </c>
      <c r="P2829" s="8" t="b">
        <v>0</v>
      </c>
      <c r="R2829" s="8" t="b">
        <v>0</v>
      </c>
      <c r="S2829" s="8" t="b">
        <v>0</v>
      </c>
      <c r="T2829" s="8" t="b">
        <v>0</v>
      </c>
      <c r="U2829" s="8" t="b">
        <v>0</v>
      </c>
      <c r="V2829" s="8" t="b">
        <v>1</v>
      </c>
      <c r="X2829" s="8" t="b">
        <v>0</v>
      </c>
      <c r="Y2829" s="8" t="b">
        <v>0</v>
      </c>
      <c r="Z2829" s="8" t="b">
        <v>0</v>
      </c>
      <c r="AA2829" s="8" t="b">
        <v>0</v>
      </c>
      <c r="AB2829" s="8" t="b">
        <v>0</v>
      </c>
      <c r="AC2829" s="8" t="b">
        <v>0</v>
      </c>
      <c r="AD2829" s="8" t="b">
        <v>1</v>
      </c>
      <c r="AE2829" s="8" t="b">
        <v>1</v>
      </c>
      <c r="AG2829" s="11" t="b" cm="1">
        <f t="array" ref="AG2829">IF(OR(Y2829:AA2829="TRUE", AE2829="true"), "Threatened")</f>
        <v>0</v>
      </c>
      <c r="AH2829" s="11" t="s">
        <v>6954</v>
      </c>
      <c r="AI2829" s="8" t="b">
        <v>1</v>
      </c>
    </row>
    <row r="2830" spans="1:35" ht="31.2">
      <c r="A2830" s="8">
        <v>-73.956523099999998</v>
      </c>
      <c r="B2830" s="8">
        <v>40.798556390000002</v>
      </c>
      <c r="C2830" s="8" t="s">
        <v>6955</v>
      </c>
      <c r="D2830" s="8" t="s">
        <v>1133</v>
      </c>
      <c r="E2830" s="8" t="b">
        <f t="shared" si="44"/>
        <v>0</v>
      </c>
      <c r="F2830" s="8" t="str" cm="1">
        <f t="array" ref="F2830">_xlfn._xlws.FILTER(E2830:E6028, C2830:C6028= "6D-PM-1020-01", "No Squirrels Found")</f>
        <v>No Squirrels Found</v>
      </c>
      <c r="G2830" s="8" t="s">
        <v>34</v>
      </c>
      <c r="H2830" s="10">
        <v>10072018</v>
      </c>
      <c r="I2830" s="10">
        <v>2</v>
      </c>
      <c r="J2830" s="8" t="s">
        <v>39</v>
      </c>
      <c r="K2830" s="8" t="s">
        <v>40</v>
      </c>
      <c r="L2830" s="8" t="s">
        <v>117</v>
      </c>
      <c r="M2830" s="8" t="s">
        <v>118</v>
      </c>
      <c r="O2830" s="8" t="s">
        <v>43</v>
      </c>
      <c r="P2830" s="8" t="b">
        <v>0</v>
      </c>
      <c r="R2830" s="8" t="b">
        <v>1</v>
      </c>
      <c r="S2830" s="8" t="b">
        <v>0</v>
      </c>
      <c r="T2830" s="8" t="b">
        <v>1</v>
      </c>
      <c r="U2830" s="8" t="b">
        <v>0</v>
      </c>
      <c r="V2830" s="8" t="b">
        <v>0</v>
      </c>
      <c r="X2830" s="8" t="b">
        <v>0</v>
      </c>
      <c r="Y2830" s="8" t="b">
        <v>0</v>
      </c>
      <c r="Z2830" s="8" t="b">
        <v>0</v>
      </c>
      <c r="AA2830" s="8" t="b">
        <v>0</v>
      </c>
      <c r="AB2830" s="8" t="b">
        <v>0</v>
      </c>
      <c r="AC2830" s="8" t="b">
        <v>0</v>
      </c>
      <c r="AD2830" s="8" t="b">
        <v>0</v>
      </c>
      <c r="AE2830" s="8" t="b">
        <v>0</v>
      </c>
      <c r="AG2830" s="11" t="b" cm="1">
        <f t="array" ref="AG2830">IF(OR(Y2830:AA2830="TRUE", AE2830="true"), "Threatened")</f>
        <v>0</v>
      </c>
      <c r="AH2830" s="11" t="s">
        <v>6956</v>
      </c>
      <c r="AI2830" s="8" t="b">
        <v>1</v>
      </c>
    </row>
    <row r="2831" spans="1:35" ht="31.2">
      <c r="A2831" s="8">
        <v>-73.955608369999993</v>
      </c>
      <c r="B2831" s="8">
        <v>40.796522369999998</v>
      </c>
      <c r="C2831" s="8" t="s">
        <v>6957</v>
      </c>
      <c r="D2831" s="8" t="s">
        <v>3963</v>
      </c>
      <c r="E2831" s="8" t="b">
        <f t="shared" si="44"/>
        <v>0</v>
      </c>
      <c r="F2831" s="8" t="str" cm="1">
        <f t="array" ref="F2831">_xlfn._xlws.FILTER(E2831:E6029, C2831:C6029= "6D-PM-1020-01", "No Squirrels Found")</f>
        <v>No Squirrels Found</v>
      </c>
      <c r="G2831" s="8" t="s">
        <v>48</v>
      </c>
      <c r="H2831" s="10">
        <v>10182018</v>
      </c>
      <c r="I2831" s="10">
        <v>2</v>
      </c>
      <c r="J2831" s="8" t="s">
        <v>39</v>
      </c>
      <c r="K2831" s="8" t="s">
        <v>40</v>
      </c>
      <c r="M2831" s="8" t="s">
        <v>55</v>
      </c>
      <c r="O2831" s="8" t="s">
        <v>43</v>
      </c>
      <c r="P2831" s="8" t="b">
        <v>0</v>
      </c>
      <c r="R2831" s="8" t="b">
        <v>0</v>
      </c>
      <c r="S2831" s="8" t="b">
        <v>0</v>
      </c>
      <c r="T2831" s="8" t="b">
        <v>0</v>
      </c>
      <c r="U2831" s="8" t="b">
        <v>0</v>
      </c>
      <c r="V2831" s="8" t="b">
        <v>1</v>
      </c>
      <c r="X2831" s="8" t="b">
        <v>0</v>
      </c>
      <c r="Y2831" s="8" t="b">
        <v>0</v>
      </c>
      <c r="Z2831" s="8" t="b">
        <v>0</v>
      </c>
      <c r="AA2831" s="8" t="b">
        <v>0</v>
      </c>
      <c r="AB2831" s="8" t="b">
        <v>0</v>
      </c>
      <c r="AC2831" s="8" t="b">
        <v>0</v>
      </c>
      <c r="AD2831" s="8" t="b">
        <v>1</v>
      </c>
      <c r="AE2831" s="8" t="b">
        <v>0</v>
      </c>
      <c r="AG2831" s="11" t="b" cm="1">
        <f t="array" ref="AG2831">IF(OR(Y2831:AA2831="TRUE", AE2831="true"), "Threatened")</f>
        <v>0</v>
      </c>
      <c r="AH2831" s="11" t="s">
        <v>6958</v>
      </c>
      <c r="AI2831" s="8" t="b">
        <v>1</v>
      </c>
    </row>
    <row r="2832" spans="1:35" ht="31.2">
      <c r="A2832" s="8">
        <v>-73.97535852</v>
      </c>
      <c r="B2832" s="8">
        <v>40.769839859999998</v>
      </c>
      <c r="C2832" s="8" t="s">
        <v>6959</v>
      </c>
      <c r="D2832" s="8" t="s">
        <v>259</v>
      </c>
      <c r="E2832" s="8" t="b">
        <f t="shared" si="44"/>
        <v>0</v>
      </c>
      <c r="F2832" s="8" t="str" cm="1">
        <f t="array" ref="F2832">_xlfn._xlws.FILTER(E2832:E6030, C2832:C6030= "6D-PM-1020-01", "No Squirrels Found")</f>
        <v>No Squirrels Found</v>
      </c>
      <c r="G2832" s="8" t="s">
        <v>48</v>
      </c>
      <c r="H2832" s="10">
        <v>10082018</v>
      </c>
      <c r="I2832" s="10">
        <v>7</v>
      </c>
      <c r="J2832" s="8" t="s">
        <v>39</v>
      </c>
      <c r="K2832" s="8" t="s">
        <v>40</v>
      </c>
      <c r="L2832" s="8" t="s">
        <v>41</v>
      </c>
      <c r="M2832" s="8" t="s">
        <v>42</v>
      </c>
      <c r="O2832" s="8" t="s">
        <v>50</v>
      </c>
      <c r="P2832" s="8">
        <v>1</v>
      </c>
      <c r="Q2832" s="8" t="s">
        <v>760</v>
      </c>
      <c r="R2832" s="8" t="b">
        <v>0</v>
      </c>
      <c r="S2832" s="8" t="b">
        <v>0</v>
      </c>
      <c r="T2832" s="8" t="b">
        <v>0</v>
      </c>
      <c r="U2832" s="8" t="b">
        <v>0</v>
      </c>
      <c r="V2832" s="8" t="b">
        <v>1</v>
      </c>
      <c r="X2832" s="8" t="b">
        <v>0</v>
      </c>
      <c r="Y2832" s="8" t="b">
        <v>0</v>
      </c>
      <c r="Z2832" s="8" t="b">
        <v>0</v>
      </c>
      <c r="AA2832" s="8" t="b">
        <v>0</v>
      </c>
      <c r="AB2832" s="8" t="b">
        <v>0</v>
      </c>
      <c r="AC2832" s="8" t="b">
        <v>0</v>
      </c>
      <c r="AD2832" s="8" t="b">
        <v>1</v>
      </c>
      <c r="AE2832" s="8" t="b">
        <v>0</v>
      </c>
      <c r="AG2832" s="11" t="b" cm="1">
        <f t="array" ref="AG2832">IF(OR(Y2832:AA2832="TRUE", AE2832="true"), "Threatened")</f>
        <v>0</v>
      </c>
      <c r="AH2832" s="11" t="s">
        <v>6960</v>
      </c>
      <c r="AI2832" s="8" t="b">
        <v>1</v>
      </c>
    </row>
    <row r="2833" spans="1:35" ht="31.2">
      <c r="A2833" s="8">
        <v>-73.958607569999998</v>
      </c>
      <c r="B2833" s="8">
        <v>40.798369549999997</v>
      </c>
      <c r="C2833" s="8" t="s">
        <v>6961</v>
      </c>
      <c r="D2833" s="8" t="s">
        <v>227</v>
      </c>
      <c r="E2833" s="8" t="b">
        <f t="shared" si="44"/>
        <v>0</v>
      </c>
      <c r="F2833" s="8" t="str" cm="1">
        <f t="array" ref="F2833">_xlfn._xlws.FILTER(E2833:E6031, C2833:C6031= "6D-PM-1020-01", "No Squirrels Found")</f>
        <v>No Squirrels Found</v>
      </c>
      <c r="G2833" s="8" t="s">
        <v>34</v>
      </c>
      <c r="H2833" s="10">
        <v>10142018</v>
      </c>
      <c r="I2833" s="10">
        <v>4</v>
      </c>
      <c r="J2833" s="8" t="s">
        <v>39</v>
      </c>
      <c r="K2833" s="8" t="s">
        <v>40</v>
      </c>
      <c r="L2833" s="8" t="s">
        <v>41</v>
      </c>
      <c r="M2833" s="8" t="s">
        <v>42</v>
      </c>
      <c r="O2833" s="8" t="s">
        <v>43</v>
      </c>
      <c r="P2833" s="8" t="b">
        <v>0</v>
      </c>
      <c r="R2833" s="8" t="b">
        <v>0</v>
      </c>
      <c r="S2833" s="8" t="b">
        <v>0</v>
      </c>
      <c r="T2833" s="8" t="b">
        <v>0</v>
      </c>
      <c r="U2833" s="8" t="b">
        <v>0</v>
      </c>
      <c r="V2833" s="8" t="b">
        <v>1</v>
      </c>
      <c r="X2833" s="8" t="b">
        <v>0</v>
      </c>
      <c r="Y2833" s="8" t="b">
        <v>0</v>
      </c>
      <c r="Z2833" s="8" t="b">
        <v>0</v>
      </c>
      <c r="AA2833" s="8" t="b">
        <v>0</v>
      </c>
      <c r="AB2833" s="8" t="b">
        <v>0</v>
      </c>
      <c r="AC2833" s="8" t="b">
        <v>0</v>
      </c>
      <c r="AD2833" s="8" t="b">
        <v>1</v>
      </c>
      <c r="AE2833" s="8" t="b">
        <v>0</v>
      </c>
      <c r="AG2833" s="11" t="b" cm="1">
        <f t="array" ref="AG2833">IF(OR(Y2833:AA2833="TRUE", AE2833="true"), "Threatened")</f>
        <v>0</v>
      </c>
      <c r="AH2833" s="11" t="s">
        <v>6962</v>
      </c>
      <c r="AI2833" s="8" t="b">
        <v>1</v>
      </c>
    </row>
    <row r="2834" spans="1:35" ht="31.2">
      <c r="A2834" s="8">
        <v>-73.955259560000002</v>
      </c>
      <c r="B2834" s="8">
        <v>40.788953300000003</v>
      </c>
      <c r="C2834" s="8" t="s">
        <v>6963</v>
      </c>
      <c r="D2834" s="8" t="s">
        <v>877</v>
      </c>
      <c r="E2834" s="8" t="b">
        <f t="shared" si="44"/>
        <v>0</v>
      </c>
      <c r="F2834" s="8" t="str" cm="1">
        <f t="array" ref="F2834">_xlfn._xlws.FILTER(E2834:E6032, C2834:C6032= "6D-PM-1020-01", "No Squirrels Found")</f>
        <v>No Squirrels Found</v>
      </c>
      <c r="G2834" s="8" t="s">
        <v>34</v>
      </c>
      <c r="H2834" s="10">
        <v>10072018</v>
      </c>
      <c r="I2834" s="10">
        <v>1</v>
      </c>
      <c r="J2834" s="8" t="s">
        <v>39</v>
      </c>
      <c r="K2834" s="8" t="s">
        <v>40</v>
      </c>
      <c r="L2834" s="8" t="s">
        <v>41</v>
      </c>
      <c r="M2834" s="8" t="s">
        <v>42</v>
      </c>
      <c r="O2834" s="8" t="s">
        <v>43</v>
      </c>
      <c r="P2834" s="8" t="b">
        <v>0</v>
      </c>
      <c r="R2834" s="8" t="b">
        <v>0</v>
      </c>
      <c r="S2834" s="8" t="b">
        <v>0</v>
      </c>
      <c r="T2834" s="8" t="b">
        <v>1</v>
      </c>
      <c r="U2834" s="8" t="b">
        <v>1</v>
      </c>
      <c r="V2834" s="8" t="b">
        <v>1</v>
      </c>
      <c r="W2834" s="11" t="s">
        <v>6964</v>
      </c>
      <c r="X2834" s="8" t="b">
        <v>0</v>
      </c>
      <c r="Y2834" s="8" t="b">
        <v>0</v>
      </c>
      <c r="Z2834" s="8" t="b">
        <v>0</v>
      </c>
      <c r="AA2834" s="8" t="b">
        <v>0</v>
      </c>
      <c r="AB2834" s="8" t="b">
        <v>1</v>
      </c>
      <c r="AC2834" s="8" t="b">
        <v>0</v>
      </c>
      <c r="AD2834" s="8" t="b">
        <v>1</v>
      </c>
      <c r="AE2834" s="8" t="b">
        <v>0</v>
      </c>
      <c r="AG2834" s="11" t="b" cm="1">
        <f t="array" ref="AG2834">IF(OR(Y2834:AA2834="TRUE", AE2834="true"), "Threatened")</f>
        <v>0</v>
      </c>
      <c r="AH2834" s="11" t="s">
        <v>6965</v>
      </c>
      <c r="AI2834" s="8" t="b">
        <v>0</v>
      </c>
    </row>
    <row r="2835" spans="1:35" ht="31.2">
      <c r="A2835" s="8">
        <v>-73.965113290000005</v>
      </c>
      <c r="B2835" s="8">
        <v>40.790538410000003</v>
      </c>
      <c r="C2835" s="8" t="s">
        <v>6966</v>
      </c>
      <c r="D2835" s="8" t="s">
        <v>3394</v>
      </c>
      <c r="E2835" s="8" t="b">
        <f t="shared" si="44"/>
        <v>0</v>
      </c>
      <c r="F2835" s="8" t="str" cm="1">
        <f t="array" ref="F2835">_xlfn._xlws.FILTER(E2835:E6033, C2835:C6033= "6D-PM-1020-01", "No Squirrels Found")</f>
        <v>No Squirrels Found</v>
      </c>
      <c r="G2835" s="8" t="s">
        <v>34</v>
      </c>
      <c r="H2835" s="10">
        <v>10192018</v>
      </c>
      <c r="I2835" s="10">
        <v>2</v>
      </c>
      <c r="J2835" s="8" t="s">
        <v>39</v>
      </c>
      <c r="K2835" s="8" t="s">
        <v>40</v>
      </c>
      <c r="L2835" s="8" t="s">
        <v>41</v>
      </c>
      <c r="M2835" s="8" t="s">
        <v>42</v>
      </c>
      <c r="O2835" s="8" t="s">
        <v>43</v>
      </c>
      <c r="P2835" s="8" t="b">
        <v>0</v>
      </c>
      <c r="R2835" s="8" t="b">
        <v>0</v>
      </c>
      <c r="S2835" s="8" t="b">
        <v>0</v>
      </c>
      <c r="T2835" s="8" t="b">
        <v>0</v>
      </c>
      <c r="U2835" s="8" t="b">
        <v>0</v>
      </c>
      <c r="V2835" s="8" t="b">
        <v>1</v>
      </c>
      <c r="X2835" s="8" t="b">
        <v>0</v>
      </c>
      <c r="Y2835" s="8" t="b">
        <v>0</v>
      </c>
      <c r="Z2835" s="8" t="b">
        <v>0</v>
      </c>
      <c r="AA2835" s="8" t="b">
        <v>0</v>
      </c>
      <c r="AB2835" s="8" t="b">
        <v>0</v>
      </c>
      <c r="AC2835" s="8" t="b">
        <v>0</v>
      </c>
      <c r="AD2835" s="8" t="b">
        <v>1</v>
      </c>
      <c r="AE2835" s="8" t="b">
        <v>0</v>
      </c>
      <c r="AG2835" s="11" t="b" cm="1">
        <f t="array" ref="AG2835">IF(OR(Y2835:AA2835="TRUE", AE2835="true"), "Threatened")</f>
        <v>0</v>
      </c>
      <c r="AH2835" s="11" t="s">
        <v>6967</v>
      </c>
      <c r="AI2835" s="8" t="b">
        <v>1</v>
      </c>
    </row>
    <row r="2836" spans="1:35" ht="31.2">
      <c r="A2836" s="8">
        <v>-73.953195359999995</v>
      </c>
      <c r="B2836" s="8">
        <v>40.796041350000003</v>
      </c>
      <c r="C2836" s="8" t="s">
        <v>6968</v>
      </c>
      <c r="D2836" s="8" t="s">
        <v>1292</v>
      </c>
      <c r="E2836" s="8" t="b">
        <f t="shared" si="44"/>
        <v>0</v>
      </c>
      <c r="F2836" s="8" t="str" cm="1">
        <f t="array" ref="F2836">_xlfn._xlws.FILTER(E2836:E6034, C2836:C6034= "6D-PM-1020-01", "No Squirrels Found")</f>
        <v>No Squirrels Found</v>
      </c>
      <c r="G2836" s="8" t="s">
        <v>34</v>
      </c>
      <c r="H2836" s="10">
        <v>10132018</v>
      </c>
      <c r="I2836" s="10">
        <v>1</v>
      </c>
      <c r="J2836" s="8" t="s">
        <v>39</v>
      </c>
      <c r="K2836" s="8" t="s">
        <v>40</v>
      </c>
      <c r="M2836" s="8" t="s">
        <v>55</v>
      </c>
      <c r="O2836" s="8" t="s">
        <v>43</v>
      </c>
      <c r="P2836" s="8" t="b">
        <v>0</v>
      </c>
      <c r="R2836" s="8" t="b">
        <v>1</v>
      </c>
      <c r="S2836" s="8" t="b">
        <v>0</v>
      </c>
      <c r="T2836" s="8" t="b">
        <v>0</v>
      </c>
      <c r="U2836" s="8" t="b">
        <v>1</v>
      </c>
      <c r="V2836" s="8" t="b">
        <v>0</v>
      </c>
      <c r="X2836" s="8" t="b">
        <v>0</v>
      </c>
      <c r="Y2836" s="8" t="b">
        <v>0</v>
      </c>
      <c r="Z2836" s="8" t="b">
        <v>0</v>
      </c>
      <c r="AA2836" s="8" t="b">
        <v>0</v>
      </c>
      <c r="AB2836" s="8" t="b">
        <v>0</v>
      </c>
      <c r="AC2836" s="8" t="b">
        <v>1</v>
      </c>
      <c r="AD2836" s="8" t="b">
        <v>0</v>
      </c>
      <c r="AE2836" s="8" t="b">
        <v>0</v>
      </c>
      <c r="AG2836" s="11" t="b" cm="1">
        <f t="array" ref="AG2836">IF(OR(Y2836:AA2836="TRUE", AE2836="true"), "Threatened")</f>
        <v>0</v>
      </c>
      <c r="AH2836" s="11" t="s">
        <v>6969</v>
      </c>
      <c r="AI2836" s="8" t="b">
        <v>1</v>
      </c>
    </row>
    <row r="2837" spans="1:35" ht="31.2">
      <c r="A2837" s="8">
        <v>-73.953092049999995</v>
      </c>
      <c r="B2837" s="8">
        <v>40.798225690000002</v>
      </c>
      <c r="C2837" s="8" t="s">
        <v>6970</v>
      </c>
      <c r="D2837" s="8" t="s">
        <v>1368</v>
      </c>
      <c r="E2837" s="8" t="b">
        <f t="shared" si="44"/>
        <v>0</v>
      </c>
      <c r="F2837" s="8" t="str" cm="1">
        <f t="array" ref="F2837">_xlfn._xlws.FILTER(E2837:E6035, C2837:C6035= "6D-PM-1020-01", "No Squirrels Found")</f>
        <v>No Squirrels Found</v>
      </c>
      <c r="G2837" s="8" t="s">
        <v>34</v>
      </c>
      <c r="H2837" s="10">
        <v>10172018</v>
      </c>
      <c r="I2837" s="10">
        <v>3</v>
      </c>
      <c r="K2837" s="8" t="s">
        <v>40</v>
      </c>
      <c r="L2837" s="8" t="s">
        <v>41</v>
      </c>
      <c r="M2837" s="8" t="s">
        <v>42</v>
      </c>
      <c r="R2837" s="8" t="b">
        <v>1</v>
      </c>
      <c r="S2837" s="8" t="b">
        <v>0</v>
      </c>
      <c r="T2837" s="8" t="b">
        <v>0</v>
      </c>
      <c r="U2837" s="8" t="b">
        <v>0</v>
      </c>
      <c r="V2837" s="8" t="b">
        <v>0</v>
      </c>
      <c r="X2837" s="8" t="b">
        <v>0</v>
      </c>
      <c r="Y2837" s="8" t="b">
        <v>0</v>
      </c>
      <c r="Z2837" s="8" t="b">
        <v>0</v>
      </c>
      <c r="AA2837" s="8" t="b">
        <v>0</v>
      </c>
      <c r="AB2837" s="8" t="b">
        <v>0</v>
      </c>
      <c r="AC2837" s="8" t="b">
        <v>0</v>
      </c>
      <c r="AD2837" s="8" t="b">
        <v>1</v>
      </c>
      <c r="AE2837" s="8" t="b">
        <v>0</v>
      </c>
      <c r="AG2837" s="11" t="b" cm="1">
        <f t="array" ref="AG2837">IF(OR(Y2837:AA2837="TRUE", AE2837="true"), "Threatened")</f>
        <v>0</v>
      </c>
      <c r="AH2837" s="11" t="s">
        <v>6971</v>
      </c>
      <c r="AI2837" s="8" t="b">
        <v>1</v>
      </c>
    </row>
    <row r="2838" spans="1:35" ht="31.2">
      <c r="A2838" s="8">
        <v>-73.977269120000003</v>
      </c>
      <c r="B2838" s="8">
        <v>40.769096070000003</v>
      </c>
      <c r="C2838" s="8" t="s">
        <v>6972</v>
      </c>
      <c r="D2838" s="8" t="s">
        <v>544</v>
      </c>
      <c r="E2838" s="8" t="b">
        <f t="shared" si="44"/>
        <v>0</v>
      </c>
      <c r="F2838" s="8" t="str" cm="1">
        <f t="array" ref="F2838">_xlfn._xlws.FILTER(E2838:E6036, C2838:C6036= "6D-PM-1020-01", "No Squirrels Found")</f>
        <v>No Squirrels Found</v>
      </c>
      <c r="G2838" s="8" t="s">
        <v>34</v>
      </c>
      <c r="H2838" s="10">
        <v>10082018</v>
      </c>
      <c r="I2838" s="10">
        <v>13</v>
      </c>
      <c r="J2838" s="8" t="s">
        <v>39</v>
      </c>
      <c r="K2838" s="8" t="s">
        <v>41</v>
      </c>
      <c r="L2838" s="8" t="s">
        <v>135</v>
      </c>
      <c r="M2838" s="8" t="s">
        <v>136</v>
      </c>
      <c r="O2838" s="8" t="s">
        <v>43</v>
      </c>
      <c r="P2838" s="8" t="b">
        <v>0</v>
      </c>
      <c r="R2838" s="8" t="b">
        <v>0</v>
      </c>
      <c r="S2838" s="8" t="b">
        <v>0</v>
      </c>
      <c r="T2838" s="8" t="b">
        <v>0</v>
      </c>
      <c r="U2838" s="8" t="b">
        <v>0</v>
      </c>
      <c r="V2838" s="8" t="b">
        <v>1</v>
      </c>
      <c r="X2838" s="8" t="b">
        <v>0</v>
      </c>
      <c r="Y2838" s="8" t="b">
        <v>0</v>
      </c>
      <c r="Z2838" s="8" t="b">
        <v>0</v>
      </c>
      <c r="AA2838" s="8" t="b">
        <v>0</v>
      </c>
      <c r="AB2838" s="8" t="b">
        <v>0</v>
      </c>
      <c r="AC2838" s="8" t="b">
        <v>0</v>
      </c>
      <c r="AD2838" s="8" t="b">
        <v>1</v>
      </c>
      <c r="AE2838" s="8" t="b">
        <v>0</v>
      </c>
      <c r="AG2838" s="11" t="b" cm="1">
        <f t="array" ref="AG2838">IF(OR(Y2838:AA2838="TRUE", AE2838="true"), "Threatened")</f>
        <v>0</v>
      </c>
      <c r="AH2838" s="11" t="s">
        <v>6973</v>
      </c>
      <c r="AI2838" s="8" t="b">
        <v>1</v>
      </c>
    </row>
    <row r="2839" spans="1:35" ht="31.2">
      <c r="A2839" s="8">
        <v>-73.950769969999996</v>
      </c>
      <c r="B2839" s="8">
        <v>40.795516599999999</v>
      </c>
      <c r="C2839" s="8" t="s">
        <v>6974</v>
      </c>
      <c r="D2839" s="8" t="s">
        <v>446</v>
      </c>
      <c r="E2839" s="8" t="b">
        <f t="shared" si="44"/>
        <v>0</v>
      </c>
      <c r="F2839" s="8" t="str" cm="1">
        <f t="array" ref="F2839">_xlfn._xlws.FILTER(E2839:E6037, C2839:C6037= "6D-PM-1020-01", "No Squirrels Found")</f>
        <v>No Squirrels Found</v>
      </c>
      <c r="G2839" s="8" t="s">
        <v>48</v>
      </c>
      <c r="H2839" s="10">
        <v>10182018</v>
      </c>
      <c r="I2839" s="10">
        <v>2</v>
      </c>
      <c r="J2839" s="8" t="s">
        <v>39</v>
      </c>
      <c r="K2839" s="8" t="s">
        <v>41</v>
      </c>
      <c r="M2839" s="8" t="s">
        <v>49</v>
      </c>
      <c r="O2839" s="8" t="s">
        <v>43</v>
      </c>
      <c r="P2839" s="8" t="b">
        <v>0</v>
      </c>
      <c r="R2839" s="8" t="b">
        <v>1</v>
      </c>
      <c r="S2839" s="8" t="b">
        <v>0</v>
      </c>
      <c r="T2839" s="8" t="b">
        <v>0</v>
      </c>
      <c r="U2839" s="8" t="b">
        <v>0</v>
      </c>
      <c r="V2839" s="8" t="b">
        <v>1</v>
      </c>
      <c r="X2839" s="8" t="b">
        <v>0</v>
      </c>
      <c r="Y2839" s="8" t="b">
        <v>0</v>
      </c>
      <c r="Z2839" s="8" t="b">
        <v>0</v>
      </c>
      <c r="AA2839" s="8" t="b">
        <v>0</v>
      </c>
      <c r="AB2839" s="8" t="b">
        <v>0</v>
      </c>
      <c r="AC2839" s="8" t="b">
        <v>0</v>
      </c>
      <c r="AD2839" s="8" t="b">
        <v>1</v>
      </c>
      <c r="AE2839" s="8" t="b">
        <v>0</v>
      </c>
      <c r="AG2839" s="11" t="b" cm="1">
        <f t="array" ref="AG2839">IF(OR(Y2839:AA2839="TRUE", AE2839="true"), "Threatened")</f>
        <v>0</v>
      </c>
      <c r="AH2839" s="11" t="s">
        <v>6975</v>
      </c>
      <c r="AI2839" s="8" t="b">
        <v>1</v>
      </c>
    </row>
    <row r="2840" spans="1:35" ht="31.2">
      <c r="A2840" s="8">
        <v>-73.967225209999995</v>
      </c>
      <c r="B2840" s="8">
        <v>40.787650470000003</v>
      </c>
      <c r="C2840" s="8" t="s">
        <v>6976</v>
      </c>
      <c r="D2840" s="8" t="s">
        <v>488</v>
      </c>
      <c r="E2840" s="8" t="b">
        <f t="shared" si="44"/>
        <v>0</v>
      </c>
      <c r="F2840" s="8" t="str" cm="1">
        <f t="array" ref="F2840">_xlfn._xlws.FILTER(E2840:E6038, C2840:C6038= "6D-PM-1020-01", "No Squirrels Found")</f>
        <v>No Squirrels Found</v>
      </c>
      <c r="G2840" s="8" t="s">
        <v>34</v>
      </c>
      <c r="H2840" s="10">
        <v>10062018</v>
      </c>
      <c r="I2840" s="10">
        <v>4</v>
      </c>
      <c r="J2840" s="8" t="s">
        <v>39</v>
      </c>
      <c r="K2840" s="8" t="s">
        <v>40</v>
      </c>
      <c r="M2840" s="8" t="s">
        <v>55</v>
      </c>
      <c r="O2840" s="8" t="s">
        <v>50</v>
      </c>
      <c r="P2840" s="8">
        <v>40</v>
      </c>
      <c r="R2840" s="8" t="b">
        <v>0</v>
      </c>
      <c r="S2840" s="8" t="b">
        <v>1</v>
      </c>
      <c r="T2840" s="8" t="b">
        <v>0</v>
      </c>
      <c r="U2840" s="8" t="b">
        <v>0</v>
      </c>
      <c r="V2840" s="8" t="b">
        <v>0</v>
      </c>
      <c r="X2840" s="8" t="b">
        <v>0</v>
      </c>
      <c r="Y2840" s="8" t="b">
        <v>0</v>
      </c>
      <c r="Z2840" s="8" t="b">
        <v>0</v>
      </c>
      <c r="AA2840" s="8" t="b">
        <v>0</v>
      </c>
      <c r="AB2840" s="8" t="b">
        <v>1</v>
      </c>
      <c r="AC2840" s="8" t="b">
        <v>0</v>
      </c>
      <c r="AD2840" s="8" t="b">
        <v>0</v>
      </c>
      <c r="AE2840" s="8" t="b">
        <v>0</v>
      </c>
      <c r="AG2840" s="11" t="b" cm="1">
        <f t="array" ref="AG2840">IF(OR(Y2840:AA2840="TRUE", AE2840="true"), "Threatened")</f>
        <v>0</v>
      </c>
      <c r="AH2840" s="11" t="s">
        <v>6977</v>
      </c>
      <c r="AI2840" s="8" t="b">
        <v>1</v>
      </c>
    </row>
    <row r="2841" spans="1:35" ht="31.2">
      <c r="A2841" s="8">
        <v>-73.953216350000005</v>
      </c>
      <c r="B2841" s="8">
        <v>40.798297030000001</v>
      </c>
      <c r="C2841" s="8" t="s">
        <v>6978</v>
      </c>
      <c r="D2841" s="8" t="s">
        <v>1368</v>
      </c>
      <c r="E2841" s="8" t="b">
        <f t="shared" si="44"/>
        <v>0</v>
      </c>
      <c r="F2841" s="8" t="str" cm="1">
        <f t="array" ref="F2841">_xlfn._xlws.FILTER(E2841:E6039, C2841:C6039= "6D-PM-1020-01", "No Squirrels Found")</f>
        <v>No Squirrels Found</v>
      </c>
      <c r="G2841" s="8" t="s">
        <v>34</v>
      </c>
      <c r="H2841" s="10">
        <v>10172018</v>
      </c>
      <c r="I2841" s="10">
        <v>4</v>
      </c>
      <c r="K2841" s="8" t="s">
        <v>40</v>
      </c>
      <c r="M2841" s="8" t="s">
        <v>55</v>
      </c>
      <c r="R2841" s="8" t="b">
        <v>1</v>
      </c>
      <c r="S2841" s="8" t="b">
        <v>0</v>
      </c>
      <c r="T2841" s="8" t="b">
        <v>0</v>
      </c>
      <c r="U2841" s="8" t="b">
        <v>0</v>
      </c>
      <c r="V2841" s="8" t="b">
        <v>0</v>
      </c>
      <c r="X2841" s="8" t="b">
        <v>0</v>
      </c>
      <c r="Y2841" s="8" t="b">
        <v>0</v>
      </c>
      <c r="Z2841" s="8" t="b">
        <v>0</v>
      </c>
      <c r="AA2841" s="8" t="b">
        <v>0</v>
      </c>
      <c r="AB2841" s="8" t="b">
        <v>0</v>
      </c>
      <c r="AC2841" s="8" t="b">
        <v>0</v>
      </c>
      <c r="AD2841" s="8" t="b">
        <v>1</v>
      </c>
      <c r="AE2841" s="8" t="b">
        <v>0</v>
      </c>
      <c r="AG2841" s="11" t="b" cm="1">
        <f t="array" ref="AG2841">IF(OR(Y2841:AA2841="TRUE", AE2841="true"), "Threatened")</f>
        <v>0</v>
      </c>
      <c r="AH2841" s="11" t="s">
        <v>6979</v>
      </c>
      <c r="AI2841" s="8" t="b">
        <v>1</v>
      </c>
    </row>
    <row r="2842" spans="1:35" ht="31.2">
      <c r="A2842" s="8">
        <v>-73.969326300000006</v>
      </c>
      <c r="B2842" s="8">
        <v>40.783260409999997</v>
      </c>
      <c r="C2842" s="8" t="s">
        <v>6980</v>
      </c>
      <c r="D2842" s="8" t="s">
        <v>1415</v>
      </c>
      <c r="E2842" s="8" t="b">
        <f t="shared" si="44"/>
        <v>0</v>
      </c>
      <c r="F2842" s="8" t="str" cm="1">
        <f t="array" ref="F2842">_xlfn._xlws.FILTER(E2842:E6040, C2842:C6040= "6D-PM-1020-01", "No Squirrels Found")</f>
        <v>No Squirrels Found</v>
      </c>
      <c r="G2842" s="8" t="s">
        <v>48</v>
      </c>
      <c r="H2842" s="10">
        <v>10192018</v>
      </c>
      <c r="I2842" s="10">
        <v>1</v>
      </c>
      <c r="J2842" s="8" t="s">
        <v>54</v>
      </c>
      <c r="K2842" s="8" t="s">
        <v>40</v>
      </c>
      <c r="M2842" s="8" t="s">
        <v>55</v>
      </c>
      <c r="O2842" s="8" t="s">
        <v>43</v>
      </c>
      <c r="P2842" s="8" t="b">
        <v>0</v>
      </c>
      <c r="R2842" s="8" t="b">
        <v>0</v>
      </c>
      <c r="S2842" s="8" t="b">
        <v>0</v>
      </c>
      <c r="T2842" s="8" t="b">
        <v>0</v>
      </c>
      <c r="U2842" s="8" t="b">
        <v>0</v>
      </c>
      <c r="V2842" s="8" t="b">
        <v>1</v>
      </c>
      <c r="X2842" s="8" t="b">
        <v>0</v>
      </c>
      <c r="Y2842" s="8" t="b">
        <v>0</v>
      </c>
      <c r="Z2842" s="8" t="b">
        <v>0</v>
      </c>
      <c r="AA2842" s="8" t="b">
        <v>0</v>
      </c>
      <c r="AB2842" s="8" t="b">
        <v>0</v>
      </c>
      <c r="AC2842" s="8" t="b">
        <v>0</v>
      </c>
      <c r="AD2842" s="8" t="b">
        <v>1</v>
      </c>
      <c r="AE2842" s="8" t="b">
        <v>0</v>
      </c>
      <c r="AG2842" s="11" t="b" cm="1">
        <f t="array" ref="AG2842">IF(OR(Y2842:AA2842="TRUE", AE2842="true"), "Threatened")</f>
        <v>0</v>
      </c>
      <c r="AH2842" s="11" t="s">
        <v>6981</v>
      </c>
      <c r="AI2842" s="8" t="b">
        <v>1</v>
      </c>
    </row>
    <row r="2843" spans="1:35" ht="31.2">
      <c r="A2843" s="8">
        <v>-73.957929230000005</v>
      </c>
      <c r="B2843" s="8">
        <v>40.797628779999997</v>
      </c>
      <c r="C2843" s="8" t="s">
        <v>6982</v>
      </c>
      <c r="D2843" s="8" t="s">
        <v>233</v>
      </c>
      <c r="E2843" s="8" t="b">
        <f t="shared" si="44"/>
        <v>0</v>
      </c>
      <c r="F2843" s="8" t="str" cm="1">
        <f t="array" ref="F2843">_xlfn._xlws.FILTER(E2843:E6041, C2843:C6041= "6D-PM-1020-01", "No Squirrels Found")</f>
        <v>No Squirrels Found</v>
      </c>
      <c r="G2843" s="8" t="s">
        <v>34</v>
      </c>
      <c r="H2843" s="10">
        <v>10062018</v>
      </c>
      <c r="I2843" s="10">
        <v>4</v>
      </c>
      <c r="J2843" s="8" t="s">
        <v>39</v>
      </c>
      <c r="K2843" s="8" t="s">
        <v>40</v>
      </c>
      <c r="L2843" s="8" t="s">
        <v>84</v>
      </c>
      <c r="M2843" s="8" t="s">
        <v>103</v>
      </c>
      <c r="O2843" s="8" t="s">
        <v>43</v>
      </c>
      <c r="P2843" s="8" t="b">
        <v>0</v>
      </c>
      <c r="R2843" s="8" t="b">
        <v>0</v>
      </c>
      <c r="S2843" s="8" t="b">
        <v>0</v>
      </c>
      <c r="T2843" s="8" t="b">
        <v>0</v>
      </c>
      <c r="U2843" s="8" t="b">
        <v>0</v>
      </c>
      <c r="V2843" s="8" t="b">
        <v>1</v>
      </c>
      <c r="X2843" s="8" t="b">
        <v>0</v>
      </c>
      <c r="Y2843" s="8" t="b">
        <v>0</v>
      </c>
      <c r="Z2843" s="8" t="b">
        <v>0</v>
      </c>
      <c r="AA2843" s="8" t="b">
        <v>0</v>
      </c>
      <c r="AB2843" s="8" t="b">
        <v>0</v>
      </c>
      <c r="AC2843" s="8" t="b">
        <v>0</v>
      </c>
      <c r="AD2843" s="8" t="b">
        <v>1</v>
      </c>
      <c r="AE2843" s="8" t="b">
        <v>0</v>
      </c>
      <c r="AG2843" s="11" t="b" cm="1">
        <f t="array" ref="AG2843">IF(OR(Y2843:AA2843="TRUE", AE2843="true"), "Threatened")</f>
        <v>0</v>
      </c>
      <c r="AH2843" s="11" t="s">
        <v>6983</v>
      </c>
      <c r="AI2843" s="8" t="b">
        <v>1</v>
      </c>
    </row>
    <row r="2844" spans="1:35" ht="31.2">
      <c r="A2844" s="8">
        <v>-73.971478719999993</v>
      </c>
      <c r="B2844" s="8">
        <v>40.779804949999999</v>
      </c>
      <c r="C2844" s="8" t="s">
        <v>6984</v>
      </c>
      <c r="D2844" s="8" t="s">
        <v>1637</v>
      </c>
      <c r="E2844" s="8" t="b">
        <f t="shared" si="44"/>
        <v>0</v>
      </c>
      <c r="F2844" s="8" t="str" cm="1">
        <f t="array" ref="F2844">_xlfn._xlws.FILTER(E2844:E6042, C2844:C6042= "6D-PM-1020-01", "No Squirrels Found")</f>
        <v>No Squirrels Found</v>
      </c>
      <c r="G2844" s="8" t="s">
        <v>34</v>
      </c>
      <c r="H2844" s="10">
        <v>10172018</v>
      </c>
      <c r="I2844" s="10">
        <v>1</v>
      </c>
      <c r="J2844" s="8" t="s">
        <v>39</v>
      </c>
      <c r="K2844" s="8" t="s">
        <v>40</v>
      </c>
      <c r="L2844" s="8" t="s">
        <v>84</v>
      </c>
      <c r="M2844" s="8" t="s">
        <v>103</v>
      </c>
      <c r="O2844" s="8" t="s">
        <v>43</v>
      </c>
      <c r="P2844" s="8" t="b">
        <v>0</v>
      </c>
      <c r="R2844" s="8" t="b">
        <v>0</v>
      </c>
      <c r="S2844" s="8" t="b">
        <v>0</v>
      </c>
      <c r="T2844" s="8" t="b">
        <v>0</v>
      </c>
      <c r="U2844" s="8" t="b">
        <v>1</v>
      </c>
      <c r="V2844" s="8" t="b">
        <v>1</v>
      </c>
      <c r="X2844" s="8" t="b">
        <v>0</v>
      </c>
      <c r="Y2844" s="8" t="b">
        <v>0</v>
      </c>
      <c r="Z2844" s="8" t="b">
        <v>0</v>
      </c>
      <c r="AA2844" s="8" t="b">
        <v>0</v>
      </c>
      <c r="AB2844" s="8" t="b">
        <v>0</v>
      </c>
      <c r="AC2844" s="8" t="b">
        <v>0</v>
      </c>
      <c r="AD2844" s="8" t="b">
        <v>1</v>
      </c>
      <c r="AE2844" s="8" t="b">
        <v>0</v>
      </c>
      <c r="AG2844" s="11" t="b" cm="1">
        <f t="array" ref="AG2844">IF(OR(Y2844:AA2844="TRUE", AE2844="true"), "Threatened")</f>
        <v>0</v>
      </c>
      <c r="AH2844" s="11" t="s">
        <v>6985</v>
      </c>
      <c r="AI2844" s="8" t="b">
        <v>1</v>
      </c>
    </row>
    <row r="2845" spans="1:35" ht="31.2">
      <c r="A2845" s="8">
        <v>-73.957884089999993</v>
      </c>
      <c r="B2845" s="8">
        <v>40.795558620000001</v>
      </c>
      <c r="C2845" s="8" t="s">
        <v>6986</v>
      </c>
      <c r="D2845" s="8" t="s">
        <v>405</v>
      </c>
      <c r="E2845" s="8" t="b">
        <f t="shared" si="44"/>
        <v>0</v>
      </c>
      <c r="F2845" s="8" t="str" cm="1">
        <f t="array" ref="F2845">_xlfn._xlws.FILTER(E2845:E6043, C2845:C6043= "6D-PM-1020-01", "No Squirrels Found")</f>
        <v>No Squirrels Found</v>
      </c>
      <c r="G2845" s="8" t="s">
        <v>34</v>
      </c>
      <c r="H2845" s="10">
        <v>10142018</v>
      </c>
      <c r="I2845" s="10">
        <v>6</v>
      </c>
      <c r="J2845" s="8" t="s">
        <v>39</v>
      </c>
      <c r="K2845" s="8" t="s">
        <v>40</v>
      </c>
      <c r="M2845" s="8" t="s">
        <v>55</v>
      </c>
      <c r="O2845" s="8" t="s">
        <v>50</v>
      </c>
      <c r="P2845" s="8">
        <v>25</v>
      </c>
      <c r="R2845" s="8" t="b">
        <v>0</v>
      </c>
      <c r="S2845" s="8" t="b">
        <v>0</v>
      </c>
      <c r="T2845" s="8" t="b">
        <v>1</v>
      </c>
      <c r="U2845" s="8" t="b">
        <v>0</v>
      </c>
      <c r="V2845" s="8" t="b">
        <v>1</v>
      </c>
      <c r="X2845" s="8" t="b">
        <v>0</v>
      </c>
      <c r="Y2845" s="8" t="b">
        <v>0</v>
      </c>
      <c r="Z2845" s="8" t="b">
        <v>0</v>
      </c>
      <c r="AA2845" s="8" t="b">
        <v>0</v>
      </c>
      <c r="AB2845" s="8" t="b">
        <v>0</v>
      </c>
      <c r="AC2845" s="8" t="b">
        <v>0</v>
      </c>
      <c r="AD2845" s="8" t="b">
        <v>0</v>
      </c>
      <c r="AE2845" s="8" t="b">
        <v>0</v>
      </c>
      <c r="AG2845" s="11" t="b" cm="1">
        <f t="array" ref="AG2845">IF(OR(Y2845:AA2845="TRUE", AE2845="true"), "Threatened")</f>
        <v>0</v>
      </c>
      <c r="AH2845" s="11" t="s">
        <v>6987</v>
      </c>
      <c r="AI2845" s="8" t="b">
        <v>1</v>
      </c>
    </row>
    <row r="2846" spans="1:35" ht="31.2">
      <c r="A2846" s="8">
        <v>-73.976501639999995</v>
      </c>
      <c r="B2846" s="8">
        <v>40.774067289999998</v>
      </c>
      <c r="C2846" s="8" t="s">
        <v>6988</v>
      </c>
      <c r="D2846" s="8" t="s">
        <v>859</v>
      </c>
      <c r="E2846" s="8" t="b">
        <f t="shared" si="44"/>
        <v>0</v>
      </c>
      <c r="F2846" s="8" t="str" cm="1">
        <f t="array" ref="F2846">_xlfn._xlws.FILTER(E2846:E6044, C2846:C6044= "6D-PM-1020-01", "No Squirrels Found")</f>
        <v>No Squirrels Found</v>
      </c>
      <c r="G2846" s="8" t="s">
        <v>48</v>
      </c>
      <c r="H2846" s="10">
        <v>10132018</v>
      </c>
      <c r="I2846" s="10">
        <v>6</v>
      </c>
      <c r="J2846" s="8" t="s">
        <v>54</v>
      </c>
      <c r="K2846" s="8" t="s">
        <v>40</v>
      </c>
      <c r="L2846" s="8" t="s">
        <v>41</v>
      </c>
      <c r="M2846" s="8" t="s">
        <v>42</v>
      </c>
      <c r="O2846" s="8" t="s">
        <v>43</v>
      </c>
      <c r="P2846" s="8" t="b">
        <v>0</v>
      </c>
      <c r="R2846" s="8" t="b">
        <v>0</v>
      </c>
      <c r="S2846" s="8" t="b">
        <v>1</v>
      </c>
      <c r="T2846" s="8" t="b">
        <v>0</v>
      </c>
      <c r="U2846" s="8" t="b">
        <v>1</v>
      </c>
      <c r="V2846" s="8" t="b">
        <v>0</v>
      </c>
      <c r="X2846" s="8" t="b">
        <v>0</v>
      </c>
      <c r="Y2846" s="8" t="b">
        <v>0</v>
      </c>
      <c r="Z2846" s="8" t="b">
        <v>0</v>
      </c>
      <c r="AA2846" s="8" t="b">
        <v>0</v>
      </c>
      <c r="AB2846" s="8" t="b">
        <v>0</v>
      </c>
      <c r="AC2846" s="8" t="b">
        <v>0</v>
      </c>
      <c r="AD2846" s="8" t="b">
        <v>1</v>
      </c>
      <c r="AE2846" s="8" t="b">
        <v>0</v>
      </c>
      <c r="AG2846" s="11" t="b" cm="1">
        <f t="array" ref="AG2846">IF(OR(Y2846:AA2846="TRUE", AE2846="true"), "Threatened")</f>
        <v>0</v>
      </c>
      <c r="AH2846" s="11" t="s">
        <v>6989</v>
      </c>
      <c r="AI2846" s="8" t="b">
        <v>1</v>
      </c>
    </row>
    <row r="2847" spans="1:35" ht="31.2">
      <c r="A2847" s="8">
        <v>-73.966157050000007</v>
      </c>
      <c r="B2847" s="8">
        <v>40.780727149999997</v>
      </c>
      <c r="C2847" s="8" t="s">
        <v>6990</v>
      </c>
      <c r="D2847" s="8" t="s">
        <v>6555</v>
      </c>
      <c r="E2847" s="8" t="b">
        <f t="shared" si="44"/>
        <v>0</v>
      </c>
      <c r="F2847" s="8" t="str" cm="1">
        <f t="array" ref="F2847">_xlfn._xlws.FILTER(E2847:E6045, C2847:C6045= "6D-PM-1020-01", "No Squirrels Found")</f>
        <v>No Squirrels Found</v>
      </c>
      <c r="G2847" s="8" t="s">
        <v>48</v>
      </c>
      <c r="H2847" s="10">
        <v>10142018</v>
      </c>
      <c r="I2847" s="10">
        <v>2</v>
      </c>
      <c r="J2847" s="8" t="s">
        <v>39</v>
      </c>
      <c r="K2847" s="8" t="s">
        <v>40</v>
      </c>
      <c r="L2847" s="8" t="s">
        <v>41</v>
      </c>
      <c r="M2847" s="8" t="s">
        <v>42</v>
      </c>
      <c r="O2847" s="8" t="s">
        <v>43</v>
      </c>
      <c r="P2847" s="8" t="b">
        <v>0</v>
      </c>
      <c r="R2847" s="8" t="b">
        <v>0</v>
      </c>
      <c r="S2847" s="8" t="b">
        <v>0</v>
      </c>
      <c r="T2847" s="8" t="b">
        <v>0</v>
      </c>
      <c r="U2847" s="8" t="b">
        <v>1</v>
      </c>
      <c r="V2847" s="8" t="b">
        <v>1</v>
      </c>
      <c r="X2847" s="8" t="b">
        <v>0</v>
      </c>
      <c r="Y2847" s="8" t="b">
        <v>0</v>
      </c>
      <c r="Z2847" s="8" t="b">
        <v>0</v>
      </c>
      <c r="AA2847" s="8" t="b">
        <v>0</v>
      </c>
      <c r="AB2847" s="8" t="b">
        <v>0</v>
      </c>
      <c r="AC2847" s="8" t="b">
        <v>0</v>
      </c>
      <c r="AD2847" s="8" t="b">
        <v>1</v>
      </c>
      <c r="AE2847" s="8" t="b">
        <v>0</v>
      </c>
      <c r="AG2847" s="11" t="b" cm="1">
        <f t="array" ref="AG2847">IF(OR(Y2847:AA2847="TRUE", AE2847="true"), "Threatened")</f>
        <v>0</v>
      </c>
      <c r="AH2847" s="11" t="s">
        <v>6991</v>
      </c>
      <c r="AI2847" s="8" t="b">
        <v>1</v>
      </c>
    </row>
    <row r="2848" spans="1:35" ht="31.2">
      <c r="A2848" s="8">
        <v>-73.956837829999998</v>
      </c>
      <c r="B2848" s="8">
        <v>40.788031779999997</v>
      </c>
      <c r="C2848" s="8" t="s">
        <v>6992</v>
      </c>
      <c r="D2848" s="8" t="s">
        <v>1915</v>
      </c>
      <c r="E2848" s="8" t="b">
        <f t="shared" si="44"/>
        <v>0</v>
      </c>
      <c r="F2848" s="8" t="str" cm="1">
        <f t="array" ref="F2848">_xlfn._xlws.FILTER(E2848:E6046, C2848:C6046= "6D-PM-1020-01", "No Squirrels Found")</f>
        <v>No Squirrels Found</v>
      </c>
      <c r="G2848" s="8" t="s">
        <v>34</v>
      </c>
      <c r="H2848" s="10">
        <v>10062018</v>
      </c>
      <c r="I2848" s="10">
        <v>4</v>
      </c>
      <c r="J2848" s="8" t="s">
        <v>39</v>
      </c>
      <c r="K2848" s="8" t="s">
        <v>40</v>
      </c>
      <c r="L2848" s="8" t="s">
        <v>41</v>
      </c>
      <c r="M2848" s="8" t="s">
        <v>42</v>
      </c>
      <c r="O2848" s="8" t="s">
        <v>43</v>
      </c>
      <c r="P2848" s="8" t="b">
        <v>0</v>
      </c>
      <c r="R2848" s="8" t="b">
        <v>0</v>
      </c>
      <c r="S2848" s="8" t="b">
        <v>0</v>
      </c>
      <c r="T2848" s="8" t="b">
        <v>1</v>
      </c>
      <c r="U2848" s="8" t="b">
        <v>0</v>
      </c>
      <c r="V2848" s="8" t="b">
        <v>0</v>
      </c>
      <c r="X2848" s="8" t="b">
        <v>0</v>
      </c>
      <c r="Y2848" s="8" t="b">
        <v>0</v>
      </c>
      <c r="Z2848" s="8" t="b">
        <v>0</v>
      </c>
      <c r="AA2848" s="8" t="b">
        <v>0</v>
      </c>
      <c r="AB2848" s="8" t="b">
        <v>0</v>
      </c>
      <c r="AC2848" s="8" t="b">
        <v>0</v>
      </c>
      <c r="AD2848" s="8" t="b">
        <v>0</v>
      </c>
      <c r="AE2848" s="8" t="b">
        <v>1</v>
      </c>
      <c r="AG2848" s="11" t="b" cm="1">
        <f t="array" ref="AG2848">IF(OR(Y2848:AA2848="TRUE", AE2848="true"), "Threatened")</f>
        <v>0</v>
      </c>
      <c r="AH2848" s="11" t="s">
        <v>6993</v>
      </c>
      <c r="AI2848" s="8" t="b">
        <v>1</v>
      </c>
    </row>
    <row r="2849" spans="1:35" ht="31.2">
      <c r="A2849" s="8">
        <v>-73.971597720000005</v>
      </c>
      <c r="B2849" s="8">
        <v>40.774217270000001</v>
      </c>
      <c r="C2849" s="8" t="s">
        <v>6994</v>
      </c>
      <c r="D2849" s="8" t="s">
        <v>1115</v>
      </c>
      <c r="E2849" s="8" t="b">
        <f t="shared" si="44"/>
        <v>0</v>
      </c>
      <c r="F2849" s="8" t="str" cm="1">
        <f t="array" ref="F2849">_xlfn._xlws.FILTER(E2849:E6047, C2849:C6047= "6D-PM-1020-01", "No Squirrels Found")</f>
        <v>No Squirrels Found</v>
      </c>
      <c r="G2849" s="8" t="s">
        <v>48</v>
      </c>
      <c r="H2849" s="10">
        <v>10132018</v>
      </c>
      <c r="I2849" s="10">
        <v>3</v>
      </c>
      <c r="J2849" s="8" t="s">
        <v>39</v>
      </c>
      <c r="K2849" s="8" t="s">
        <v>40</v>
      </c>
      <c r="M2849" s="8" t="s">
        <v>55</v>
      </c>
      <c r="O2849" s="8" t="s">
        <v>43</v>
      </c>
      <c r="P2849" s="8" t="b">
        <v>0</v>
      </c>
      <c r="R2849" s="8" t="b">
        <v>0</v>
      </c>
      <c r="S2849" s="8" t="b">
        <v>0</v>
      </c>
      <c r="T2849" s="8" t="b">
        <v>0</v>
      </c>
      <c r="U2849" s="8" t="b">
        <v>0</v>
      </c>
      <c r="V2849" s="8" t="b">
        <v>1</v>
      </c>
      <c r="W2849" s="11" t="s">
        <v>521</v>
      </c>
      <c r="X2849" s="8" t="b">
        <v>0</v>
      </c>
      <c r="Y2849" s="8" t="b">
        <v>0</v>
      </c>
      <c r="Z2849" s="8" t="b">
        <v>0</v>
      </c>
      <c r="AA2849" s="8" t="b">
        <v>0</v>
      </c>
      <c r="AB2849" s="8" t="b">
        <v>0</v>
      </c>
      <c r="AC2849" s="8" t="b">
        <v>0</v>
      </c>
      <c r="AD2849" s="8" t="b">
        <v>1</v>
      </c>
      <c r="AE2849" s="8" t="b">
        <v>0</v>
      </c>
      <c r="AG2849" s="11" t="b" cm="1">
        <f t="array" ref="AG2849">IF(OR(Y2849:AA2849="TRUE", AE2849="true"), "Threatened")</f>
        <v>0</v>
      </c>
      <c r="AH2849" s="11" t="s">
        <v>6995</v>
      </c>
      <c r="AI2849" s="8" t="b">
        <v>0</v>
      </c>
    </row>
    <row r="2850" spans="1:35" ht="31.2">
      <c r="A2850" s="8">
        <v>-73.970991260000005</v>
      </c>
      <c r="B2850" s="8">
        <v>40.77589656</v>
      </c>
      <c r="C2850" s="8" t="s">
        <v>6996</v>
      </c>
      <c r="D2850" s="8" t="s">
        <v>426</v>
      </c>
      <c r="E2850" s="8" t="b">
        <f t="shared" si="44"/>
        <v>0</v>
      </c>
      <c r="F2850" s="8" t="str" cm="1">
        <f t="array" ref="F2850">_xlfn._xlws.FILTER(E2850:E6048, C2850:C6048= "6D-PM-1020-01", "No Squirrels Found")</f>
        <v>No Squirrels Found</v>
      </c>
      <c r="G2850" s="8" t="s">
        <v>48</v>
      </c>
      <c r="H2850" s="10">
        <v>10142018</v>
      </c>
      <c r="I2850" s="10">
        <v>1</v>
      </c>
      <c r="J2850" s="8" t="s">
        <v>39</v>
      </c>
      <c r="K2850" s="8" t="s">
        <v>40</v>
      </c>
      <c r="L2850" s="8" t="s">
        <v>117</v>
      </c>
      <c r="M2850" s="8" t="s">
        <v>118</v>
      </c>
      <c r="O2850" s="8" t="s">
        <v>43</v>
      </c>
      <c r="P2850" s="8" t="b">
        <v>0</v>
      </c>
      <c r="R2850" s="8" t="b">
        <v>1</v>
      </c>
      <c r="S2850" s="8" t="b">
        <v>0</v>
      </c>
      <c r="T2850" s="8" t="b">
        <v>0</v>
      </c>
      <c r="U2850" s="8" t="b">
        <v>0</v>
      </c>
      <c r="V2850" s="8" t="b">
        <v>1</v>
      </c>
      <c r="X2850" s="8" t="b">
        <v>0</v>
      </c>
      <c r="Y2850" s="8" t="b">
        <v>0</v>
      </c>
      <c r="Z2850" s="8" t="b">
        <v>0</v>
      </c>
      <c r="AA2850" s="8" t="b">
        <v>0</v>
      </c>
      <c r="AB2850" s="8" t="b">
        <v>1</v>
      </c>
      <c r="AC2850" s="8" t="b">
        <v>0</v>
      </c>
      <c r="AD2850" s="8" t="b">
        <v>0</v>
      </c>
      <c r="AE2850" s="8" t="b">
        <v>1</v>
      </c>
      <c r="AG2850" s="11" t="b" cm="1">
        <f t="array" ref="AG2850">IF(OR(Y2850:AA2850="TRUE", AE2850="true"), "Threatened")</f>
        <v>0</v>
      </c>
      <c r="AH2850" s="11" t="s">
        <v>6997</v>
      </c>
      <c r="AI2850" s="8" t="b">
        <v>1</v>
      </c>
    </row>
    <row r="2851" spans="1:35" ht="31.2">
      <c r="A2851" s="8">
        <v>-73.974484739999994</v>
      </c>
      <c r="B2851" s="8">
        <v>40.769242269999999</v>
      </c>
      <c r="C2851" s="8" t="s">
        <v>6998</v>
      </c>
      <c r="D2851" s="8" t="s">
        <v>259</v>
      </c>
      <c r="E2851" s="8" t="b">
        <f t="shared" si="44"/>
        <v>0</v>
      </c>
      <c r="F2851" s="8" t="str" cm="1">
        <f t="array" ref="F2851">_xlfn._xlws.FILTER(E2851:E6049, C2851:C6049= "6D-PM-1020-01", "No Squirrels Found")</f>
        <v>No Squirrels Found</v>
      </c>
      <c r="G2851" s="8" t="s">
        <v>48</v>
      </c>
      <c r="H2851" s="10">
        <v>10082018</v>
      </c>
      <c r="I2851" s="10">
        <v>4</v>
      </c>
      <c r="J2851" s="8" t="s">
        <v>39</v>
      </c>
      <c r="K2851" s="8" t="s">
        <v>40</v>
      </c>
      <c r="M2851" s="8" t="s">
        <v>55</v>
      </c>
      <c r="O2851" s="8" t="s">
        <v>43</v>
      </c>
      <c r="P2851" s="8" t="b">
        <v>0</v>
      </c>
      <c r="R2851" s="8" t="b">
        <v>0</v>
      </c>
      <c r="S2851" s="8" t="b">
        <v>0</v>
      </c>
      <c r="T2851" s="8" t="b">
        <v>0</v>
      </c>
      <c r="U2851" s="8" t="b">
        <v>0</v>
      </c>
      <c r="V2851" s="8" t="b">
        <v>1</v>
      </c>
      <c r="X2851" s="8" t="b">
        <v>0</v>
      </c>
      <c r="Y2851" s="8" t="b">
        <v>0</v>
      </c>
      <c r="Z2851" s="8" t="b">
        <v>0</v>
      </c>
      <c r="AA2851" s="8" t="b">
        <v>0</v>
      </c>
      <c r="AB2851" s="8" t="b">
        <v>0</v>
      </c>
      <c r="AC2851" s="8" t="b">
        <v>0</v>
      </c>
      <c r="AD2851" s="8" t="b">
        <v>1</v>
      </c>
      <c r="AE2851" s="8" t="b">
        <v>0</v>
      </c>
      <c r="AG2851" s="11" t="b" cm="1">
        <f t="array" ref="AG2851">IF(OR(Y2851:AA2851="TRUE", AE2851="true"), "Threatened")</f>
        <v>0</v>
      </c>
      <c r="AH2851" s="11" t="s">
        <v>6999</v>
      </c>
      <c r="AI2851" s="8" t="b">
        <v>1</v>
      </c>
    </row>
    <row r="2852" spans="1:35" ht="31.2">
      <c r="A2852" s="8">
        <v>-73.955208229999997</v>
      </c>
      <c r="B2852" s="8">
        <v>40.78905743</v>
      </c>
      <c r="C2852" s="8" t="s">
        <v>7000</v>
      </c>
      <c r="D2852" s="8" t="s">
        <v>877</v>
      </c>
      <c r="E2852" s="8" t="b">
        <f t="shared" si="44"/>
        <v>0</v>
      </c>
      <c r="F2852" s="8" t="str" cm="1">
        <f t="array" ref="F2852">_xlfn._xlws.FILTER(E2852:E6050, C2852:C6050= "6D-PM-1020-01", "No Squirrels Found")</f>
        <v>No Squirrels Found</v>
      </c>
      <c r="G2852" s="8" t="s">
        <v>34</v>
      </c>
      <c r="H2852" s="10">
        <v>10072018</v>
      </c>
      <c r="I2852" s="10">
        <v>2</v>
      </c>
      <c r="J2852" s="8" t="s">
        <v>39</v>
      </c>
      <c r="M2852" s="8" t="s">
        <v>35</v>
      </c>
      <c r="O2852" s="8" t="s">
        <v>50</v>
      </c>
      <c r="P2852" s="8">
        <v>30</v>
      </c>
      <c r="R2852" s="8" t="b">
        <v>0</v>
      </c>
      <c r="S2852" s="8" t="b">
        <v>0</v>
      </c>
      <c r="T2852" s="8" t="b">
        <v>1</v>
      </c>
      <c r="U2852" s="8" t="b">
        <v>0</v>
      </c>
      <c r="V2852" s="8" t="b">
        <v>0</v>
      </c>
      <c r="W2852" s="11" t="s">
        <v>7001</v>
      </c>
      <c r="X2852" s="8" t="b">
        <v>0</v>
      </c>
      <c r="Y2852" s="8" t="b">
        <v>0</v>
      </c>
      <c r="Z2852" s="8" t="b">
        <v>0</v>
      </c>
      <c r="AA2852" s="8" t="b">
        <v>0</v>
      </c>
      <c r="AB2852" s="8" t="b">
        <v>1</v>
      </c>
      <c r="AC2852" s="8" t="b">
        <v>0</v>
      </c>
      <c r="AD2852" s="8" t="b">
        <v>1</v>
      </c>
      <c r="AE2852" s="8" t="b">
        <v>0</v>
      </c>
      <c r="AG2852" s="11" t="b" cm="1">
        <f t="array" ref="AG2852">IF(OR(Y2852:AA2852="TRUE", AE2852="true"), "Threatened")</f>
        <v>0</v>
      </c>
      <c r="AH2852" s="11" t="s">
        <v>7002</v>
      </c>
      <c r="AI2852" s="8" t="b">
        <v>0</v>
      </c>
    </row>
    <row r="2853" spans="1:35" ht="31.2">
      <c r="A2853" s="8">
        <v>-73.972814650000004</v>
      </c>
      <c r="B2853" s="8">
        <v>40.765295170000002</v>
      </c>
      <c r="C2853" s="8" t="s">
        <v>7003</v>
      </c>
      <c r="D2853" s="8" t="s">
        <v>4235</v>
      </c>
      <c r="E2853" s="8" t="b">
        <f t="shared" si="44"/>
        <v>0</v>
      </c>
      <c r="F2853" s="8" t="str" cm="1">
        <f t="array" ref="F2853">_xlfn._xlws.FILTER(E2853:E6051, C2853:C6051= "6D-PM-1020-01", "No Squirrels Found")</f>
        <v>No Squirrels Found</v>
      </c>
      <c r="G2853" s="8" t="s">
        <v>34</v>
      </c>
      <c r="H2853" s="10">
        <v>10122018</v>
      </c>
      <c r="I2853" s="10">
        <v>3</v>
      </c>
      <c r="J2853" s="8" t="s">
        <v>39</v>
      </c>
      <c r="K2853" s="8" t="s">
        <v>40</v>
      </c>
      <c r="L2853" s="8" t="s">
        <v>168</v>
      </c>
      <c r="M2853" s="8" t="s">
        <v>169</v>
      </c>
      <c r="N2853" s="11" t="s">
        <v>7004</v>
      </c>
      <c r="O2853" s="8" t="s">
        <v>43</v>
      </c>
      <c r="P2853" s="8" t="b">
        <v>0</v>
      </c>
      <c r="R2853" s="8" t="b">
        <v>0</v>
      </c>
      <c r="S2853" s="8" t="b">
        <v>0</v>
      </c>
      <c r="T2853" s="8" t="b">
        <v>0</v>
      </c>
      <c r="U2853" s="8" t="b">
        <v>1</v>
      </c>
      <c r="V2853" s="8" t="b">
        <v>0</v>
      </c>
      <c r="X2853" s="8" t="b">
        <v>0</v>
      </c>
      <c r="Y2853" s="8" t="b">
        <v>0</v>
      </c>
      <c r="Z2853" s="8" t="b">
        <v>0</v>
      </c>
      <c r="AA2853" s="8" t="b">
        <v>1</v>
      </c>
      <c r="AB2853" s="8" t="b">
        <v>0</v>
      </c>
      <c r="AC2853" s="8" t="b">
        <v>0</v>
      </c>
      <c r="AD2853" s="8" t="b">
        <v>0</v>
      </c>
      <c r="AE2853" s="8" t="b">
        <v>1</v>
      </c>
      <c r="AG2853" s="11" t="b" cm="1">
        <f t="array" ref="AG2853">IF(OR(Y2853:AA2853="TRUE", AE2853="true"), "Threatened")</f>
        <v>0</v>
      </c>
      <c r="AH2853" s="11" t="s">
        <v>7005</v>
      </c>
      <c r="AI2853" s="8" t="b">
        <v>1</v>
      </c>
    </row>
    <row r="2854" spans="1:35" ht="31.2">
      <c r="A2854" s="8">
        <v>-73.967861319999997</v>
      </c>
      <c r="B2854" s="8">
        <v>40.782217090000003</v>
      </c>
      <c r="C2854" s="8" t="s">
        <v>7006</v>
      </c>
      <c r="D2854" s="8" t="s">
        <v>1038</v>
      </c>
      <c r="E2854" s="8" t="b">
        <f t="shared" si="44"/>
        <v>0</v>
      </c>
      <c r="F2854" s="8" t="str" cm="1">
        <f t="array" ref="F2854">_xlfn._xlws.FILTER(E2854:E6052, C2854:C6052= "6D-PM-1020-01", "No Squirrels Found")</f>
        <v>No Squirrels Found</v>
      </c>
      <c r="G2854" s="8" t="s">
        <v>34</v>
      </c>
      <c r="H2854" s="10">
        <v>10182018</v>
      </c>
      <c r="I2854" s="10">
        <v>3</v>
      </c>
      <c r="J2854" s="8" t="s">
        <v>39</v>
      </c>
      <c r="K2854" s="8" t="s">
        <v>40</v>
      </c>
      <c r="M2854" s="8" t="s">
        <v>55</v>
      </c>
      <c r="O2854" s="8" t="s">
        <v>43</v>
      </c>
      <c r="P2854" s="8" t="b">
        <v>0</v>
      </c>
      <c r="R2854" s="8" t="b">
        <v>0</v>
      </c>
      <c r="S2854" s="8" t="b">
        <v>0</v>
      </c>
      <c r="T2854" s="8" t="b">
        <v>0</v>
      </c>
      <c r="U2854" s="8" t="b">
        <v>0</v>
      </c>
      <c r="V2854" s="8" t="b">
        <v>1</v>
      </c>
      <c r="X2854" s="8" t="b">
        <v>0</v>
      </c>
      <c r="Y2854" s="8" t="b">
        <v>0</v>
      </c>
      <c r="Z2854" s="8" t="b">
        <v>0</v>
      </c>
      <c r="AA2854" s="8" t="b">
        <v>0</v>
      </c>
      <c r="AB2854" s="8" t="b">
        <v>0</v>
      </c>
      <c r="AC2854" s="8" t="b">
        <v>0</v>
      </c>
      <c r="AD2854" s="8" t="b">
        <v>0</v>
      </c>
      <c r="AE2854" s="8" t="b">
        <v>0</v>
      </c>
      <c r="AG2854" s="11" t="b" cm="1">
        <f t="array" ref="AG2854">IF(OR(Y2854:AA2854="TRUE", AE2854="true"), "Threatened")</f>
        <v>0</v>
      </c>
      <c r="AH2854" s="11" t="s">
        <v>7007</v>
      </c>
      <c r="AI2854" s="8" t="b">
        <v>1</v>
      </c>
    </row>
    <row r="2855" spans="1:35" ht="31.2">
      <c r="A2855" s="8">
        <v>-73.977290870000004</v>
      </c>
      <c r="B2855" s="8">
        <v>40.769720739999997</v>
      </c>
      <c r="C2855" s="8" t="s">
        <v>7008</v>
      </c>
      <c r="D2855" s="8" t="s">
        <v>1586</v>
      </c>
      <c r="E2855" s="8" t="b">
        <f t="shared" si="44"/>
        <v>0</v>
      </c>
      <c r="F2855" s="8" t="str" cm="1">
        <f t="array" ref="F2855">_xlfn._xlws.FILTER(E2855:E6053, C2855:C6053= "6D-PM-1020-01", "No Squirrels Found")</f>
        <v>No Squirrels Found</v>
      </c>
      <c r="G2855" s="8" t="s">
        <v>48</v>
      </c>
      <c r="H2855" s="10">
        <v>10062018</v>
      </c>
      <c r="I2855" s="10">
        <v>5</v>
      </c>
      <c r="J2855" s="8" t="s">
        <v>54</v>
      </c>
      <c r="K2855" s="8" t="s">
        <v>40</v>
      </c>
      <c r="L2855" s="8" t="s">
        <v>84</v>
      </c>
      <c r="M2855" s="8" t="s">
        <v>103</v>
      </c>
      <c r="O2855" s="8" t="s">
        <v>50</v>
      </c>
      <c r="P2855" s="8">
        <v>20</v>
      </c>
      <c r="R2855" s="8" t="b">
        <v>0</v>
      </c>
      <c r="S2855" s="8" t="b">
        <v>0</v>
      </c>
      <c r="T2855" s="8" t="b">
        <v>1</v>
      </c>
      <c r="U2855" s="8" t="b">
        <v>1</v>
      </c>
      <c r="V2855" s="8" t="b">
        <v>1</v>
      </c>
      <c r="X2855" s="8" t="b">
        <v>0</v>
      </c>
      <c r="Y2855" s="8" t="b">
        <v>0</v>
      </c>
      <c r="Z2855" s="8" t="b">
        <v>0</v>
      </c>
      <c r="AA2855" s="8" t="b">
        <v>0</v>
      </c>
      <c r="AB2855" s="8" t="b">
        <v>0</v>
      </c>
      <c r="AC2855" s="8" t="b">
        <v>0</v>
      </c>
      <c r="AD2855" s="8" t="b">
        <v>1</v>
      </c>
      <c r="AE2855" s="8" t="b">
        <v>0</v>
      </c>
      <c r="AG2855" s="11" t="b" cm="1">
        <f t="array" ref="AG2855">IF(OR(Y2855:AA2855="TRUE", AE2855="true"), "Threatened")</f>
        <v>0</v>
      </c>
      <c r="AH2855" s="11" t="s">
        <v>7009</v>
      </c>
      <c r="AI2855" s="8" t="b">
        <v>1</v>
      </c>
    </row>
    <row r="2856" spans="1:35" ht="31.2">
      <c r="A2856" s="8">
        <v>-73.969083220000002</v>
      </c>
      <c r="B2856" s="8">
        <v>40.782343339999997</v>
      </c>
      <c r="C2856" s="8" t="s">
        <v>7010</v>
      </c>
      <c r="D2856" s="8" t="s">
        <v>102</v>
      </c>
      <c r="E2856" s="8" t="b">
        <f t="shared" si="44"/>
        <v>0</v>
      </c>
      <c r="F2856" s="8" t="str" cm="1">
        <f t="array" ref="F2856">_xlfn._xlws.FILTER(E2856:E6054, C2856:C6054= "6D-PM-1020-01", "No Squirrels Found")</f>
        <v>No Squirrels Found</v>
      </c>
      <c r="G2856" s="8" t="s">
        <v>34</v>
      </c>
      <c r="H2856" s="10">
        <v>10132018</v>
      </c>
      <c r="I2856" s="10">
        <v>6</v>
      </c>
      <c r="J2856" s="8" t="s">
        <v>39</v>
      </c>
      <c r="K2856" s="8" t="s">
        <v>40</v>
      </c>
      <c r="L2856" s="8" t="s">
        <v>84</v>
      </c>
      <c r="M2856" s="8" t="s">
        <v>103</v>
      </c>
      <c r="O2856" s="8" t="s">
        <v>43</v>
      </c>
      <c r="P2856" s="8" t="b">
        <v>0</v>
      </c>
      <c r="R2856" s="8" t="b">
        <v>0</v>
      </c>
      <c r="S2856" s="8" t="b">
        <v>1</v>
      </c>
      <c r="T2856" s="8" t="b">
        <v>0</v>
      </c>
      <c r="U2856" s="8" t="b">
        <v>0</v>
      </c>
      <c r="V2856" s="8" t="b">
        <v>0</v>
      </c>
      <c r="X2856" s="8" t="b">
        <v>0</v>
      </c>
      <c r="Y2856" s="8" t="b">
        <v>0</v>
      </c>
      <c r="Z2856" s="8" t="b">
        <v>0</v>
      </c>
      <c r="AA2856" s="8" t="b">
        <v>0</v>
      </c>
      <c r="AB2856" s="8" t="b">
        <v>1</v>
      </c>
      <c r="AC2856" s="8" t="b">
        <v>0</v>
      </c>
      <c r="AD2856" s="8" t="b">
        <v>1</v>
      </c>
      <c r="AE2856" s="8" t="b">
        <v>0</v>
      </c>
      <c r="AG2856" s="11" t="b" cm="1">
        <f t="array" ref="AG2856">IF(OR(Y2856:AA2856="TRUE", AE2856="true"), "Threatened")</f>
        <v>0</v>
      </c>
      <c r="AH2856" s="11" t="s">
        <v>7011</v>
      </c>
      <c r="AI2856" s="8" t="b">
        <v>1</v>
      </c>
    </row>
    <row r="2857" spans="1:35" ht="31.2">
      <c r="A2857" s="8">
        <v>-73.975161549999996</v>
      </c>
      <c r="B2857" s="8">
        <v>40.76701387</v>
      </c>
      <c r="C2857" s="8" t="s">
        <v>7012</v>
      </c>
      <c r="D2857" s="8" t="s">
        <v>1706</v>
      </c>
      <c r="E2857" s="8" t="b">
        <f t="shared" si="44"/>
        <v>0</v>
      </c>
      <c r="F2857" s="8" t="str" cm="1">
        <f t="array" ref="F2857">_xlfn._xlws.FILTER(E2857:E6055, C2857:C6055= "6D-PM-1020-01", "No Squirrels Found")</f>
        <v>No Squirrels Found</v>
      </c>
      <c r="G2857" s="8" t="s">
        <v>48</v>
      </c>
      <c r="H2857" s="10">
        <v>10062018</v>
      </c>
      <c r="I2857" s="10">
        <v>3</v>
      </c>
      <c r="J2857" s="8" t="s">
        <v>39</v>
      </c>
      <c r="K2857" s="8" t="s">
        <v>40</v>
      </c>
      <c r="L2857" s="8" t="s">
        <v>117</v>
      </c>
      <c r="M2857" s="8" t="s">
        <v>118</v>
      </c>
      <c r="N2857" s="11" t="s">
        <v>5960</v>
      </c>
      <c r="O2857" s="8" t="s">
        <v>43</v>
      </c>
      <c r="P2857" s="8" t="b">
        <v>0</v>
      </c>
      <c r="Q2857" s="8" t="s">
        <v>7013</v>
      </c>
      <c r="R2857" s="8" t="b">
        <v>0</v>
      </c>
      <c r="S2857" s="8" t="b">
        <v>0</v>
      </c>
      <c r="T2857" s="8" t="b">
        <v>0</v>
      </c>
      <c r="U2857" s="8" t="b">
        <v>0</v>
      </c>
      <c r="V2857" s="8" t="b">
        <v>1</v>
      </c>
      <c r="X2857" s="8" t="b">
        <v>0</v>
      </c>
      <c r="Y2857" s="8" t="b">
        <v>0</v>
      </c>
      <c r="Z2857" s="8" t="b">
        <v>0</v>
      </c>
      <c r="AA2857" s="8" t="b">
        <v>0</v>
      </c>
      <c r="AB2857" s="8" t="b">
        <v>0</v>
      </c>
      <c r="AC2857" s="8" t="b">
        <v>1</v>
      </c>
      <c r="AD2857" s="8" t="b">
        <v>0</v>
      </c>
      <c r="AE2857" s="8" t="b">
        <v>0</v>
      </c>
      <c r="AG2857" s="11" t="b" cm="1">
        <f t="array" ref="AG2857">IF(OR(Y2857:AA2857="TRUE", AE2857="true"), "Threatened")</f>
        <v>0</v>
      </c>
      <c r="AH2857" s="11" t="s">
        <v>7014</v>
      </c>
      <c r="AI2857" s="8" t="b">
        <v>1</v>
      </c>
    </row>
    <row r="2858" spans="1:35" ht="31.2">
      <c r="A2858" s="8">
        <v>-73.964923029999994</v>
      </c>
      <c r="B2858" s="8">
        <v>40.782176620000001</v>
      </c>
      <c r="C2858" s="8" t="s">
        <v>7015</v>
      </c>
      <c r="D2858" s="8" t="s">
        <v>177</v>
      </c>
      <c r="E2858" s="8" t="b">
        <f t="shared" si="44"/>
        <v>0</v>
      </c>
      <c r="F2858" s="8" t="str" cm="1">
        <f t="array" ref="F2858">_xlfn._xlws.FILTER(E2858:E6056, C2858:C6056= "6D-PM-1020-01", "No Squirrels Found")</f>
        <v>No Squirrels Found</v>
      </c>
      <c r="G2858" s="8" t="s">
        <v>34</v>
      </c>
      <c r="H2858" s="10">
        <v>10142018</v>
      </c>
      <c r="I2858" s="10">
        <v>2</v>
      </c>
      <c r="J2858" s="8" t="s">
        <v>39</v>
      </c>
      <c r="K2858" s="8" t="s">
        <v>40</v>
      </c>
      <c r="L2858" s="8" t="s">
        <v>41</v>
      </c>
      <c r="M2858" s="8" t="s">
        <v>42</v>
      </c>
      <c r="O2858" s="8" t="s">
        <v>43</v>
      </c>
      <c r="P2858" s="8" t="b">
        <v>0</v>
      </c>
      <c r="R2858" s="8" t="b">
        <v>0</v>
      </c>
      <c r="S2858" s="8" t="b">
        <v>0</v>
      </c>
      <c r="T2858" s="8" t="b">
        <v>0</v>
      </c>
      <c r="U2858" s="8" t="b">
        <v>0</v>
      </c>
      <c r="V2858" s="8" t="b">
        <v>1</v>
      </c>
      <c r="X2858" s="8" t="b">
        <v>0</v>
      </c>
      <c r="Y2858" s="8" t="b">
        <v>0</v>
      </c>
      <c r="Z2858" s="8" t="b">
        <v>0</v>
      </c>
      <c r="AA2858" s="8" t="b">
        <v>1</v>
      </c>
      <c r="AB2858" s="8" t="b">
        <v>0</v>
      </c>
      <c r="AC2858" s="8" t="b">
        <v>0</v>
      </c>
      <c r="AD2858" s="8" t="b">
        <v>1</v>
      </c>
      <c r="AE2858" s="8" t="b">
        <v>0</v>
      </c>
      <c r="AG2858" s="11" t="b" cm="1">
        <f t="array" ref="AG2858">IF(OR(Y2858:AA2858="TRUE", AE2858="true"), "Threatened")</f>
        <v>0</v>
      </c>
      <c r="AH2858" s="11" t="s">
        <v>7016</v>
      </c>
      <c r="AI2858" s="8" t="b">
        <v>1</v>
      </c>
    </row>
    <row r="2859" spans="1:35" ht="31.2">
      <c r="A2859" s="8">
        <v>-73.972872390000006</v>
      </c>
      <c r="B2859" s="8">
        <v>40.767081619999999</v>
      </c>
      <c r="C2859" s="8" t="s">
        <v>7017</v>
      </c>
      <c r="D2859" s="8" t="s">
        <v>2125</v>
      </c>
      <c r="E2859" s="8" t="b">
        <f t="shared" si="44"/>
        <v>0</v>
      </c>
      <c r="F2859" s="8" t="str" cm="1">
        <f t="array" ref="F2859">_xlfn._xlws.FILTER(E2859:E6057, C2859:C6057= "6D-PM-1020-01", "No Squirrels Found")</f>
        <v>No Squirrels Found</v>
      </c>
      <c r="G2859" s="8" t="s">
        <v>34</v>
      </c>
      <c r="H2859" s="10">
        <v>10062018</v>
      </c>
      <c r="I2859" s="10">
        <v>1</v>
      </c>
      <c r="J2859" s="8" t="s">
        <v>39</v>
      </c>
      <c r="K2859" s="8" t="s">
        <v>40</v>
      </c>
      <c r="L2859" s="8" t="s">
        <v>117</v>
      </c>
      <c r="M2859" s="8" t="s">
        <v>118</v>
      </c>
      <c r="O2859" s="8" t="s">
        <v>43</v>
      </c>
      <c r="P2859" s="8" t="b">
        <v>0</v>
      </c>
      <c r="R2859" s="8" t="b">
        <v>0</v>
      </c>
      <c r="S2859" s="8" t="b">
        <v>0</v>
      </c>
      <c r="T2859" s="8" t="b">
        <v>0</v>
      </c>
      <c r="U2859" s="8" t="b">
        <v>1</v>
      </c>
      <c r="V2859" s="8" t="b">
        <v>1</v>
      </c>
      <c r="X2859" s="8" t="b">
        <v>0</v>
      </c>
      <c r="Y2859" s="8" t="b">
        <v>0</v>
      </c>
      <c r="Z2859" s="8" t="b">
        <v>0</v>
      </c>
      <c r="AA2859" s="8" t="b">
        <v>0</v>
      </c>
      <c r="AB2859" s="8" t="b">
        <v>0</v>
      </c>
      <c r="AC2859" s="8" t="b">
        <v>0</v>
      </c>
      <c r="AD2859" s="8" t="b">
        <v>0</v>
      </c>
      <c r="AE2859" s="8" t="b">
        <v>0</v>
      </c>
      <c r="AG2859" s="11" t="b" cm="1">
        <f t="array" ref="AG2859">IF(OR(Y2859:AA2859="TRUE", AE2859="true"), "Threatened")</f>
        <v>0</v>
      </c>
      <c r="AH2859" s="11" t="s">
        <v>7018</v>
      </c>
      <c r="AI2859" s="8" t="b">
        <v>1</v>
      </c>
    </row>
    <row r="2860" spans="1:35" ht="31.2">
      <c r="A2860" s="8">
        <v>-73.978694090000005</v>
      </c>
      <c r="B2860" s="8">
        <v>40.76908203</v>
      </c>
      <c r="C2860" s="8" t="s">
        <v>7019</v>
      </c>
      <c r="D2860" s="8" t="s">
        <v>465</v>
      </c>
      <c r="E2860" s="8" t="b">
        <f t="shared" si="44"/>
        <v>0</v>
      </c>
      <c r="F2860" s="8" t="str" cm="1">
        <f t="array" ref="F2860">_xlfn._xlws.FILTER(E2860:E6058, C2860:C6058= "6D-PM-1020-01", "No Squirrels Found")</f>
        <v>No Squirrels Found</v>
      </c>
      <c r="G2860" s="8" t="s">
        <v>34</v>
      </c>
      <c r="H2860" s="10">
        <v>10072018</v>
      </c>
      <c r="I2860" s="10">
        <v>5</v>
      </c>
      <c r="J2860" s="8" t="s">
        <v>54</v>
      </c>
      <c r="K2860" s="8" t="s">
        <v>40</v>
      </c>
      <c r="M2860" s="8" t="s">
        <v>55</v>
      </c>
      <c r="O2860" s="8" t="s">
        <v>50</v>
      </c>
      <c r="P2860" s="8">
        <v>6</v>
      </c>
      <c r="Q2860" s="8" t="s">
        <v>3135</v>
      </c>
      <c r="R2860" s="8" t="b">
        <v>0</v>
      </c>
      <c r="S2860" s="8" t="b">
        <v>0</v>
      </c>
      <c r="T2860" s="8" t="b">
        <v>1</v>
      </c>
      <c r="U2860" s="8" t="b">
        <v>1</v>
      </c>
      <c r="V2860" s="8" t="b">
        <v>0</v>
      </c>
      <c r="X2860" s="8" t="b">
        <v>0</v>
      </c>
      <c r="Y2860" s="8" t="b">
        <v>0</v>
      </c>
      <c r="Z2860" s="8" t="b">
        <v>0</v>
      </c>
      <c r="AA2860" s="8" t="b">
        <v>0</v>
      </c>
      <c r="AB2860" s="8" t="b">
        <v>0</v>
      </c>
      <c r="AC2860" s="8" t="b">
        <v>0</v>
      </c>
      <c r="AD2860" s="8" t="b">
        <v>1</v>
      </c>
      <c r="AE2860" s="8" t="b">
        <v>0</v>
      </c>
      <c r="AG2860" s="11" t="b" cm="1">
        <f t="array" ref="AG2860">IF(OR(Y2860:AA2860="TRUE", AE2860="true"), "Threatened")</f>
        <v>0</v>
      </c>
      <c r="AH2860" s="11" t="s">
        <v>7020</v>
      </c>
      <c r="AI2860" s="8" t="b">
        <v>1</v>
      </c>
    </row>
    <row r="2861" spans="1:35" ht="31.2">
      <c r="A2861" s="8">
        <v>-73.956517969999993</v>
      </c>
      <c r="B2861" s="8">
        <v>40.793666389999999</v>
      </c>
      <c r="C2861" s="8" t="s">
        <v>7021</v>
      </c>
      <c r="D2861" s="8" t="s">
        <v>702</v>
      </c>
      <c r="E2861" s="8" t="b">
        <f t="shared" si="44"/>
        <v>0</v>
      </c>
      <c r="F2861" s="8" t="str" cm="1">
        <f t="array" ref="F2861">_xlfn._xlws.FILTER(E2861:E6059, C2861:C6059= "6D-PM-1020-01", "No Squirrels Found")</f>
        <v>No Squirrels Found</v>
      </c>
      <c r="G2861" s="8" t="s">
        <v>34</v>
      </c>
      <c r="H2861" s="10">
        <v>10122018</v>
      </c>
      <c r="I2861" s="10">
        <v>3</v>
      </c>
      <c r="K2861" s="8" t="s">
        <v>40</v>
      </c>
      <c r="L2861" s="8" t="s">
        <v>84</v>
      </c>
      <c r="M2861" s="8" t="s">
        <v>103</v>
      </c>
      <c r="O2861" s="8" t="s">
        <v>43</v>
      </c>
      <c r="P2861" s="8" t="b">
        <v>0</v>
      </c>
      <c r="R2861" s="8" t="b">
        <v>0</v>
      </c>
      <c r="S2861" s="8" t="b">
        <v>0</v>
      </c>
      <c r="T2861" s="8" t="b">
        <v>0</v>
      </c>
      <c r="U2861" s="8" t="b">
        <v>0</v>
      </c>
      <c r="V2861" s="8" t="b">
        <v>1</v>
      </c>
      <c r="X2861" s="8" t="b">
        <v>0</v>
      </c>
      <c r="Y2861" s="8" t="b">
        <v>0</v>
      </c>
      <c r="Z2861" s="8" t="b">
        <v>0</v>
      </c>
      <c r="AA2861" s="8" t="b">
        <v>0</v>
      </c>
      <c r="AB2861" s="8" t="b">
        <v>0</v>
      </c>
      <c r="AC2861" s="8" t="b">
        <v>0</v>
      </c>
      <c r="AD2861" s="8" t="b">
        <v>1</v>
      </c>
      <c r="AE2861" s="8" t="b">
        <v>0</v>
      </c>
      <c r="AG2861" s="11" t="b" cm="1">
        <f t="array" ref="AG2861">IF(OR(Y2861:AA2861="TRUE", AE2861="true"), "Threatened")</f>
        <v>0</v>
      </c>
      <c r="AH2861" s="11" t="s">
        <v>7022</v>
      </c>
      <c r="AI2861" s="8" t="b">
        <v>1</v>
      </c>
    </row>
    <row r="2862" spans="1:35" ht="31.2">
      <c r="A2862" s="8">
        <v>-73.972010240000003</v>
      </c>
      <c r="B2862" s="8">
        <v>40.769214390000002</v>
      </c>
      <c r="C2862" s="8" t="s">
        <v>7023</v>
      </c>
      <c r="D2862" s="8" t="s">
        <v>66</v>
      </c>
      <c r="E2862" s="8" t="b">
        <f t="shared" si="44"/>
        <v>0</v>
      </c>
      <c r="F2862" s="8" t="str" cm="1">
        <f t="array" ref="F2862">_xlfn._xlws.FILTER(E2862:E6060, C2862:C6060= "6D-PM-1020-01", "No Squirrels Found")</f>
        <v>No Squirrels Found</v>
      </c>
      <c r="G2862" s="8" t="s">
        <v>34</v>
      </c>
      <c r="H2862" s="10">
        <v>10202018</v>
      </c>
      <c r="I2862" s="10">
        <v>1</v>
      </c>
      <c r="J2862" s="8" t="s">
        <v>39</v>
      </c>
      <c r="K2862" s="8" t="s">
        <v>40</v>
      </c>
      <c r="M2862" s="8" t="s">
        <v>55</v>
      </c>
      <c r="O2862" s="8" t="s">
        <v>43</v>
      </c>
      <c r="P2862" s="8" t="b">
        <v>0</v>
      </c>
      <c r="R2862" s="8" t="b">
        <v>1</v>
      </c>
      <c r="S2862" s="8" t="b">
        <v>1</v>
      </c>
      <c r="T2862" s="8" t="b">
        <v>0</v>
      </c>
      <c r="U2862" s="8" t="b">
        <v>0</v>
      </c>
      <c r="V2862" s="8" t="b">
        <v>0</v>
      </c>
      <c r="X2862" s="8" t="b">
        <v>0</v>
      </c>
      <c r="Y2862" s="8" t="b">
        <v>0</v>
      </c>
      <c r="Z2862" s="8" t="b">
        <v>0</v>
      </c>
      <c r="AA2862" s="8" t="b">
        <v>0</v>
      </c>
      <c r="AB2862" s="8" t="b">
        <v>0</v>
      </c>
      <c r="AC2862" s="8" t="b">
        <v>0</v>
      </c>
      <c r="AD2862" s="8" t="b">
        <v>1</v>
      </c>
      <c r="AE2862" s="8" t="b">
        <v>0</v>
      </c>
      <c r="AG2862" s="11" t="b" cm="1">
        <f t="array" ref="AG2862">IF(OR(Y2862:AA2862="TRUE", AE2862="true"), "Threatened")</f>
        <v>0</v>
      </c>
      <c r="AH2862" s="11" t="s">
        <v>7024</v>
      </c>
      <c r="AI2862" s="8" t="b">
        <v>1</v>
      </c>
    </row>
    <row r="2863" spans="1:35" ht="31.2">
      <c r="A2863" s="8">
        <v>-73.967466720000004</v>
      </c>
      <c r="B2863" s="8">
        <v>40.782434649999999</v>
      </c>
      <c r="C2863" s="8" t="s">
        <v>7025</v>
      </c>
      <c r="D2863" s="8" t="s">
        <v>469</v>
      </c>
      <c r="E2863" s="8" t="b">
        <f t="shared" si="44"/>
        <v>0</v>
      </c>
      <c r="F2863" s="8" t="str" cm="1">
        <f t="array" ref="F2863">_xlfn._xlws.FILTER(E2863:E6061, C2863:C6061= "6D-PM-1020-01", "No Squirrels Found")</f>
        <v>No Squirrels Found</v>
      </c>
      <c r="G2863" s="8" t="s">
        <v>34</v>
      </c>
      <c r="H2863" s="10">
        <v>10082018</v>
      </c>
      <c r="I2863" s="10">
        <v>4</v>
      </c>
      <c r="J2863" s="8" t="s">
        <v>54</v>
      </c>
      <c r="K2863" s="8" t="s">
        <v>40</v>
      </c>
      <c r="L2863" s="8" t="s">
        <v>117</v>
      </c>
      <c r="M2863" s="8" t="s">
        <v>118</v>
      </c>
      <c r="O2863" s="8" t="s">
        <v>50</v>
      </c>
      <c r="P2863" s="8">
        <v>4</v>
      </c>
      <c r="R2863" s="8" t="b">
        <v>0</v>
      </c>
      <c r="S2863" s="8" t="b">
        <v>0</v>
      </c>
      <c r="T2863" s="8" t="b">
        <v>0</v>
      </c>
      <c r="U2863" s="8" t="b">
        <v>1</v>
      </c>
      <c r="V2863" s="8" t="b">
        <v>0</v>
      </c>
      <c r="X2863" s="8" t="b">
        <v>0</v>
      </c>
      <c r="Y2863" s="8" t="b">
        <v>0</v>
      </c>
      <c r="Z2863" s="8" t="b">
        <v>0</v>
      </c>
      <c r="AA2863" s="8" t="b">
        <v>0</v>
      </c>
      <c r="AB2863" s="8" t="b">
        <v>0</v>
      </c>
      <c r="AC2863" s="8" t="b">
        <v>0</v>
      </c>
      <c r="AD2863" s="8" t="b">
        <v>0</v>
      </c>
      <c r="AE2863" s="8" t="b">
        <v>1</v>
      </c>
      <c r="AF2863" s="11" t="s">
        <v>7026</v>
      </c>
      <c r="AG2863" s="11" t="b" cm="1">
        <f t="array" ref="AG2863">IF(OR(Y2863:AA2863="TRUE", AE2863="true"), "Threatened")</f>
        <v>0</v>
      </c>
      <c r="AH2863" s="11" t="s">
        <v>7027</v>
      </c>
      <c r="AI2863" s="8" t="b">
        <v>1</v>
      </c>
    </row>
    <row r="2864" spans="1:35" ht="31.2">
      <c r="A2864" s="8">
        <v>-73.969824639999999</v>
      </c>
      <c r="B2864" s="8">
        <v>40.771147280000001</v>
      </c>
      <c r="C2864" s="8" t="s">
        <v>7028</v>
      </c>
      <c r="D2864" s="8" t="s">
        <v>2059</v>
      </c>
      <c r="E2864" s="8" t="b">
        <f t="shared" si="44"/>
        <v>0</v>
      </c>
      <c r="F2864" s="8" t="str" cm="1">
        <f t="array" ref="F2864">_xlfn._xlws.FILTER(E2864:E6062, C2864:C6062= "6D-PM-1020-01", "No Squirrels Found")</f>
        <v>No Squirrels Found</v>
      </c>
      <c r="G2864" s="8" t="s">
        <v>48</v>
      </c>
      <c r="H2864" s="10">
        <v>10062018</v>
      </c>
      <c r="I2864" s="10">
        <v>4</v>
      </c>
      <c r="J2864" s="8" t="s">
        <v>39</v>
      </c>
      <c r="K2864" s="8" t="s">
        <v>40</v>
      </c>
      <c r="L2864" s="8" t="s">
        <v>117</v>
      </c>
      <c r="M2864" s="8" t="s">
        <v>118</v>
      </c>
      <c r="O2864" s="8" t="s">
        <v>43</v>
      </c>
      <c r="P2864" s="8" t="b">
        <v>0</v>
      </c>
      <c r="R2864" s="8" t="b">
        <v>0</v>
      </c>
      <c r="S2864" s="8" t="b">
        <v>0</v>
      </c>
      <c r="T2864" s="8" t="b">
        <v>0</v>
      </c>
      <c r="U2864" s="8" t="b">
        <v>1</v>
      </c>
      <c r="V2864" s="8" t="b">
        <v>0</v>
      </c>
      <c r="X2864" s="8" t="b">
        <v>0</v>
      </c>
      <c r="Y2864" s="8" t="b">
        <v>0</v>
      </c>
      <c r="Z2864" s="8" t="b">
        <v>0</v>
      </c>
      <c r="AA2864" s="8" t="b">
        <v>0</v>
      </c>
      <c r="AB2864" s="8" t="b">
        <v>0</v>
      </c>
      <c r="AC2864" s="8" t="b">
        <v>0</v>
      </c>
      <c r="AD2864" s="8" t="b">
        <v>1</v>
      </c>
      <c r="AE2864" s="8" t="b">
        <v>0</v>
      </c>
      <c r="AG2864" s="11" t="b" cm="1">
        <f t="array" ref="AG2864">IF(OR(Y2864:AA2864="TRUE", AE2864="true"), "Threatened")</f>
        <v>0</v>
      </c>
      <c r="AH2864" s="11" t="s">
        <v>7029</v>
      </c>
      <c r="AI2864" s="8" t="b">
        <v>1</v>
      </c>
    </row>
    <row r="2865" spans="1:35" ht="31.2">
      <c r="A2865" s="8">
        <v>-73.976187929999995</v>
      </c>
      <c r="B2865" s="8">
        <v>40.768391899999997</v>
      </c>
      <c r="C2865" s="8" t="s">
        <v>7030</v>
      </c>
      <c r="D2865" s="8" t="s">
        <v>230</v>
      </c>
      <c r="E2865" s="8" t="b">
        <f t="shared" si="44"/>
        <v>0</v>
      </c>
      <c r="F2865" s="8" t="str" cm="1">
        <f t="array" ref="F2865">_xlfn._xlws.FILTER(E2865:E6063, C2865:C6063= "6D-PM-1020-01", "No Squirrels Found")</f>
        <v>No Squirrels Found</v>
      </c>
      <c r="G2865" s="8" t="s">
        <v>34</v>
      </c>
      <c r="H2865" s="10">
        <v>10082018</v>
      </c>
      <c r="I2865" s="10">
        <v>1</v>
      </c>
      <c r="J2865" s="8" t="s">
        <v>39</v>
      </c>
      <c r="K2865" s="8" t="s">
        <v>40</v>
      </c>
      <c r="M2865" s="8" t="s">
        <v>55</v>
      </c>
      <c r="O2865" s="8" t="s">
        <v>50</v>
      </c>
      <c r="P2865" s="8">
        <v>3</v>
      </c>
      <c r="R2865" s="8" t="b">
        <v>0</v>
      </c>
      <c r="S2865" s="8" t="b">
        <v>0</v>
      </c>
      <c r="T2865" s="8" t="b">
        <v>1</v>
      </c>
      <c r="U2865" s="8" t="b">
        <v>0</v>
      </c>
      <c r="V2865" s="8" t="b">
        <v>1</v>
      </c>
      <c r="X2865" s="8" t="b">
        <v>0</v>
      </c>
      <c r="Y2865" s="8" t="b">
        <v>0</v>
      </c>
      <c r="Z2865" s="8" t="b">
        <v>0</v>
      </c>
      <c r="AA2865" s="8" t="b">
        <v>0</v>
      </c>
      <c r="AB2865" s="8" t="b">
        <v>0</v>
      </c>
      <c r="AC2865" s="8" t="b">
        <v>0</v>
      </c>
      <c r="AD2865" s="8" t="b">
        <v>1</v>
      </c>
      <c r="AE2865" s="8" t="b">
        <v>0</v>
      </c>
      <c r="AG2865" s="11" t="b" cm="1">
        <f t="array" ref="AG2865">IF(OR(Y2865:AA2865="TRUE", AE2865="true"), "Threatened")</f>
        <v>0</v>
      </c>
      <c r="AH2865" s="11" t="s">
        <v>7031</v>
      </c>
      <c r="AI2865" s="8" t="b">
        <v>1</v>
      </c>
    </row>
    <row r="2866" spans="1:35" ht="31.2">
      <c r="A2866" s="8">
        <v>-73.980284240000003</v>
      </c>
      <c r="B2866" s="8">
        <v>40.767825739999999</v>
      </c>
      <c r="C2866" s="8" t="s">
        <v>7032</v>
      </c>
      <c r="D2866" s="8" t="s">
        <v>855</v>
      </c>
      <c r="E2866" s="8" t="b">
        <f t="shared" si="44"/>
        <v>0</v>
      </c>
      <c r="F2866" s="8" t="str" cm="1">
        <f t="array" ref="F2866">_xlfn._xlws.FILTER(E2866:E6064, C2866:C6064= "6D-PM-1020-01", "No Squirrels Found")</f>
        <v>No Squirrels Found</v>
      </c>
      <c r="G2866" s="8" t="s">
        <v>34</v>
      </c>
      <c r="H2866" s="10">
        <v>10192018</v>
      </c>
      <c r="I2866" s="10">
        <v>3</v>
      </c>
      <c r="J2866" s="8" t="s">
        <v>54</v>
      </c>
      <c r="K2866" s="8" t="s">
        <v>40</v>
      </c>
      <c r="L2866" s="8" t="s">
        <v>84</v>
      </c>
      <c r="M2866" s="8" t="s">
        <v>103</v>
      </c>
      <c r="O2866" s="8" t="s">
        <v>50</v>
      </c>
      <c r="P2866" s="8">
        <v>25</v>
      </c>
      <c r="Q2866" s="8" t="s">
        <v>466</v>
      </c>
      <c r="R2866" s="8" t="b">
        <v>0</v>
      </c>
      <c r="S2866" s="8" t="b">
        <v>1</v>
      </c>
      <c r="T2866" s="8" t="b">
        <v>0</v>
      </c>
      <c r="U2866" s="8" t="b">
        <v>0</v>
      </c>
      <c r="V2866" s="8" t="b">
        <v>0</v>
      </c>
      <c r="X2866" s="8" t="b">
        <v>0</v>
      </c>
      <c r="Y2866" s="8" t="b">
        <v>0</v>
      </c>
      <c r="Z2866" s="8" t="b">
        <v>0</v>
      </c>
      <c r="AA2866" s="8" t="b">
        <v>0</v>
      </c>
      <c r="AB2866" s="8" t="b">
        <v>0</v>
      </c>
      <c r="AC2866" s="8" t="b">
        <v>0</v>
      </c>
      <c r="AD2866" s="8" t="b">
        <v>0</v>
      </c>
      <c r="AE2866" s="8" t="b">
        <v>0</v>
      </c>
      <c r="AG2866" s="11" t="b" cm="1">
        <f t="array" ref="AG2866">IF(OR(Y2866:AA2866="TRUE", AE2866="true"), "Threatened")</f>
        <v>0</v>
      </c>
      <c r="AH2866" s="11" t="s">
        <v>7033</v>
      </c>
      <c r="AI2866" s="8" t="b">
        <v>1</v>
      </c>
    </row>
    <row r="2867" spans="1:35" ht="31.2">
      <c r="A2867" s="8">
        <v>-73.97440254</v>
      </c>
      <c r="B2867" s="8">
        <v>40.777729659999999</v>
      </c>
      <c r="C2867" s="8" t="s">
        <v>7034</v>
      </c>
      <c r="D2867" s="8" t="s">
        <v>594</v>
      </c>
      <c r="E2867" s="8" t="b">
        <f t="shared" si="44"/>
        <v>0</v>
      </c>
      <c r="F2867" s="8" t="str" cm="1">
        <f t="array" ref="F2867">_xlfn._xlws.FILTER(E2867:E6065, C2867:C6065= "6D-PM-1020-01", "No Squirrels Found")</f>
        <v>No Squirrels Found</v>
      </c>
      <c r="G2867" s="8" t="s">
        <v>48</v>
      </c>
      <c r="H2867" s="10">
        <v>10172018</v>
      </c>
      <c r="I2867" s="10">
        <v>4</v>
      </c>
      <c r="J2867" s="8" t="s">
        <v>39</v>
      </c>
      <c r="K2867" s="8" t="s">
        <v>40</v>
      </c>
      <c r="M2867" s="8" t="s">
        <v>55</v>
      </c>
      <c r="R2867" s="8" t="b">
        <v>1</v>
      </c>
      <c r="S2867" s="8" t="b">
        <v>0</v>
      </c>
      <c r="T2867" s="8" t="b">
        <v>0</v>
      </c>
      <c r="U2867" s="8" t="b">
        <v>0</v>
      </c>
      <c r="V2867" s="8" t="b">
        <v>0</v>
      </c>
      <c r="X2867" s="8" t="b">
        <v>0</v>
      </c>
      <c r="Y2867" s="8" t="b">
        <v>0</v>
      </c>
      <c r="Z2867" s="8" t="b">
        <v>0</v>
      </c>
      <c r="AA2867" s="8" t="b">
        <v>0</v>
      </c>
      <c r="AB2867" s="8" t="b">
        <v>0</v>
      </c>
      <c r="AC2867" s="8" t="b">
        <v>0</v>
      </c>
      <c r="AD2867" s="8" t="b">
        <v>1</v>
      </c>
      <c r="AE2867" s="8" t="b">
        <v>0</v>
      </c>
      <c r="AG2867" s="11" t="b" cm="1">
        <f t="array" ref="AG2867">IF(OR(Y2867:AA2867="TRUE", AE2867="true"), "Threatened")</f>
        <v>0</v>
      </c>
      <c r="AH2867" s="11" t="s">
        <v>7035</v>
      </c>
      <c r="AI2867" s="8" t="b">
        <v>1</v>
      </c>
    </row>
    <row r="2868" spans="1:35" ht="31.2">
      <c r="A2868" s="8">
        <v>-73.969370139999995</v>
      </c>
      <c r="B2868" s="8">
        <v>40.784072119999998</v>
      </c>
      <c r="C2868" s="8" t="s">
        <v>7036</v>
      </c>
      <c r="D2868" s="8" t="s">
        <v>313</v>
      </c>
      <c r="E2868" s="8" t="b">
        <f t="shared" si="44"/>
        <v>0</v>
      </c>
      <c r="F2868" s="8" t="str" cm="1">
        <f t="array" ref="F2868">_xlfn._xlws.FILTER(E2868:E6066, C2868:C6066= "6D-PM-1020-01", "No Squirrels Found")</f>
        <v>No Squirrels Found</v>
      </c>
      <c r="G2868" s="8" t="s">
        <v>34</v>
      </c>
      <c r="H2868" s="10">
        <v>10172018</v>
      </c>
      <c r="I2868" s="10">
        <v>3</v>
      </c>
      <c r="J2868" s="8" t="s">
        <v>54</v>
      </c>
      <c r="K2868" s="8" t="s">
        <v>40</v>
      </c>
      <c r="L2868" s="8" t="s">
        <v>41</v>
      </c>
      <c r="M2868" s="8" t="s">
        <v>42</v>
      </c>
      <c r="O2868" s="8" t="s">
        <v>43</v>
      </c>
      <c r="P2868" s="8" t="b">
        <v>0</v>
      </c>
      <c r="R2868" s="8" t="b">
        <v>0</v>
      </c>
      <c r="S2868" s="8" t="b">
        <v>0</v>
      </c>
      <c r="T2868" s="8" t="b">
        <v>0</v>
      </c>
      <c r="U2868" s="8" t="b">
        <v>1</v>
      </c>
      <c r="V2868" s="8" t="b">
        <v>0</v>
      </c>
      <c r="X2868" s="8" t="b">
        <v>0</v>
      </c>
      <c r="Y2868" s="8" t="b">
        <v>0</v>
      </c>
      <c r="Z2868" s="8" t="b">
        <v>0</v>
      </c>
      <c r="AA2868" s="8" t="b">
        <v>0</v>
      </c>
      <c r="AB2868" s="8" t="b">
        <v>0</v>
      </c>
      <c r="AC2868" s="8" t="b">
        <v>0</v>
      </c>
      <c r="AD2868" s="8" t="b">
        <v>0</v>
      </c>
      <c r="AE2868" s="8" t="b">
        <v>0</v>
      </c>
      <c r="AG2868" s="11" t="b" cm="1">
        <f t="array" ref="AG2868">IF(OR(Y2868:AA2868="TRUE", AE2868="true"), "Threatened")</f>
        <v>0</v>
      </c>
      <c r="AH2868" s="11" t="s">
        <v>7037</v>
      </c>
      <c r="AI2868" s="8" t="b">
        <v>1</v>
      </c>
    </row>
    <row r="2869" spans="1:35" ht="31.2">
      <c r="A2869" s="8">
        <v>-73.965387329999999</v>
      </c>
      <c r="B2869" s="8">
        <v>40.78046999</v>
      </c>
      <c r="C2869" s="8" t="s">
        <v>7038</v>
      </c>
      <c r="D2869" s="8" t="s">
        <v>574</v>
      </c>
      <c r="E2869" s="8" t="b">
        <f t="shared" si="44"/>
        <v>0</v>
      </c>
      <c r="F2869" s="8" t="str" cm="1">
        <f t="array" ref="F2869">_xlfn._xlws.FILTER(E2869:E6067, C2869:C6067= "6D-PM-1020-01", "No Squirrels Found")</f>
        <v>No Squirrels Found</v>
      </c>
      <c r="G2869" s="8" t="s">
        <v>34</v>
      </c>
      <c r="H2869" s="10">
        <v>10072018</v>
      </c>
      <c r="I2869" s="10">
        <v>11</v>
      </c>
      <c r="J2869" s="8" t="s">
        <v>39</v>
      </c>
      <c r="K2869" s="8" t="s">
        <v>40</v>
      </c>
      <c r="L2869" s="8" t="s">
        <v>84</v>
      </c>
      <c r="M2869" s="8" t="s">
        <v>103</v>
      </c>
      <c r="O2869" s="8" t="s">
        <v>50</v>
      </c>
      <c r="P2869" s="8">
        <v>10</v>
      </c>
      <c r="Q2869" s="8" t="s">
        <v>466</v>
      </c>
      <c r="R2869" s="8" t="b">
        <v>0</v>
      </c>
      <c r="S2869" s="8" t="b">
        <v>0</v>
      </c>
      <c r="T2869" s="8" t="b">
        <v>1</v>
      </c>
      <c r="U2869" s="8" t="b">
        <v>0</v>
      </c>
      <c r="V2869" s="8" t="b">
        <v>0</v>
      </c>
      <c r="X2869" s="8" t="b">
        <v>0</v>
      </c>
      <c r="Y2869" s="8" t="b">
        <v>0</v>
      </c>
      <c r="Z2869" s="8" t="b">
        <v>0</v>
      </c>
      <c r="AA2869" s="8" t="b">
        <v>0</v>
      </c>
      <c r="AB2869" s="8" t="b">
        <v>0</v>
      </c>
      <c r="AC2869" s="8" t="b">
        <v>0</v>
      </c>
      <c r="AD2869" s="8" t="b">
        <v>0</v>
      </c>
      <c r="AE2869" s="8" t="b">
        <v>0</v>
      </c>
      <c r="AG2869" s="11" t="b" cm="1">
        <f t="array" ref="AG2869">IF(OR(Y2869:AA2869="TRUE", AE2869="true"), "Threatened")</f>
        <v>0</v>
      </c>
      <c r="AH2869" s="11" t="s">
        <v>7039</v>
      </c>
      <c r="AI2869" s="8" t="b">
        <v>1</v>
      </c>
    </row>
    <row r="2870" spans="1:35" ht="31.2">
      <c r="A2870" s="8">
        <v>-73.963082240000006</v>
      </c>
      <c r="B2870" s="8">
        <v>40.791484500000003</v>
      </c>
      <c r="C2870" s="8" t="s">
        <v>7040</v>
      </c>
      <c r="D2870" s="8" t="s">
        <v>2508</v>
      </c>
      <c r="E2870" s="8" t="b">
        <f t="shared" si="44"/>
        <v>0</v>
      </c>
      <c r="F2870" s="8" t="str" cm="1">
        <f t="array" ref="F2870">_xlfn._xlws.FILTER(E2870:E6068, C2870:C6068= "6D-PM-1020-01", "No Squirrels Found")</f>
        <v>No Squirrels Found</v>
      </c>
      <c r="G2870" s="8" t="s">
        <v>34</v>
      </c>
      <c r="H2870" s="10">
        <v>10072018</v>
      </c>
      <c r="I2870" s="10">
        <v>4</v>
      </c>
      <c r="J2870" s="8" t="s">
        <v>54</v>
      </c>
      <c r="K2870" s="8" t="s">
        <v>40</v>
      </c>
      <c r="M2870" s="8" t="s">
        <v>55</v>
      </c>
      <c r="R2870" s="8" t="b">
        <v>0</v>
      </c>
      <c r="S2870" s="8" t="b">
        <v>0</v>
      </c>
      <c r="T2870" s="8" t="b">
        <v>0</v>
      </c>
      <c r="U2870" s="8" t="b">
        <v>1</v>
      </c>
      <c r="V2870" s="8" t="b">
        <v>0</v>
      </c>
      <c r="X2870" s="8" t="b">
        <v>0</v>
      </c>
      <c r="Y2870" s="8" t="b">
        <v>0</v>
      </c>
      <c r="Z2870" s="8" t="b">
        <v>0</v>
      </c>
      <c r="AA2870" s="8" t="b">
        <v>0</v>
      </c>
      <c r="AB2870" s="8" t="b">
        <v>0</v>
      </c>
      <c r="AC2870" s="8" t="b">
        <v>0</v>
      </c>
      <c r="AD2870" s="8" t="b">
        <v>0</v>
      </c>
      <c r="AE2870" s="8" t="b">
        <v>0</v>
      </c>
      <c r="AG2870" s="11" t="b" cm="1">
        <f t="array" ref="AG2870">IF(OR(Y2870:AA2870="TRUE", AE2870="true"), "Threatened")</f>
        <v>0</v>
      </c>
      <c r="AH2870" s="11" t="s">
        <v>7041</v>
      </c>
      <c r="AI2870" s="8" t="b">
        <v>1</v>
      </c>
    </row>
    <row r="2871" spans="1:35" ht="31.2">
      <c r="A2871" s="8">
        <v>-73.953847569999994</v>
      </c>
      <c r="B2871" s="8">
        <v>40.796479419999997</v>
      </c>
      <c r="C2871" s="8" t="s">
        <v>7042</v>
      </c>
      <c r="D2871" s="8" t="s">
        <v>5235</v>
      </c>
      <c r="E2871" s="8" t="b">
        <f t="shared" si="44"/>
        <v>0</v>
      </c>
      <c r="F2871" s="8" t="str" cm="1">
        <f t="array" ref="F2871">_xlfn._xlws.FILTER(E2871:E6069, C2871:C6069= "6D-PM-1020-01", "No Squirrels Found")</f>
        <v>No Squirrels Found</v>
      </c>
      <c r="G2871" s="8" t="s">
        <v>34</v>
      </c>
      <c r="H2871" s="10">
        <v>10062018</v>
      </c>
      <c r="I2871" s="10">
        <v>2</v>
      </c>
      <c r="J2871" s="8" t="s">
        <v>39</v>
      </c>
      <c r="K2871" s="8" t="s">
        <v>40</v>
      </c>
      <c r="L2871" s="8" t="s">
        <v>41</v>
      </c>
      <c r="M2871" s="8" t="s">
        <v>42</v>
      </c>
      <c r="O2871" s="8" t="s">
        <v>50</v>
      </c>
      <c r="P2871" s="8">
        <v>6</v>
      </c>
      <c r="R2871" s="8" t="b">
        <v>0</v>
      </c>
      <c r="S2871" s="8" t="b">
        <v>0</v>
      </c>
      <c r="T2871" s="8" t="b">
        <v>0</v>
      </c>
      <c r="U2871" s="8" t="b">
        <v>0</v>
      </c>
      <c r="V2871" s="8" t="b">
        <v>1</v>
      </c>
      <c r="X2871" s="8" t="b">
        <v>0</v>
      </c>
      <c r="Y2871" s="8" t="b">
        <v>0</v>
      </c>
      <c r="Z2871" s="8" t="b">
        <v>0</v>
      </c>
      <c r="AA2871" s="8" t="b">
        <v>0</v>
      </c>
      <c r="AB2871" s="8" t="b">
        <v>0</v>
      </c>
      <c r="AC2871" s="8" t="b">
        <v>0</v>
      </c>
      <c r="AD2871" s="8" t="b">
        <v>1</v>
      </c>
      <c r="AE2871" s="8" t="b">
        <v>0</v>
      </c>
      <c r="AG2871" s="11" t="b" cm="1">
        <f t="array" ref="AG2871">IF(OR(Y2871:AA2871="TRUE", AE2871="true"), "Threatened")</f>
        <v>0</v>
      </c>
      <c r="AH2871" s="11" t="s">
        <v>7043</v>
      </c>
      <c r="AI2871" s="8" t="b">
        <v>1</v>
      </c>
    </row>
    <row r="2872" spans="1:35" ht="31.2">
      <c r="A2872" s="8">
        <v>-73.977712429999997</v>
      </c>
      <c r="B2872" s="8">
        <v>40.770405109999999</v>
      </c>
      <c r="C2872" s="8" t="s">
        <v>7044</v>
      </c>
      <c r="D2872" s="8" t="s">
        <v>2864</v>
      </c>
      <c r="E2872" s="8" t="b">
        <f t="shared" si="44"/>
        <v>0</v>
      </c>
      <c r="F2872" s="8" t="str" cm="1">
        <f t="array" ref="F2872">_xlfn._xlws.FILTER(E2872:E6070, C2872:C6070= "6D-PM-1020-01", "No Squirrels Found")</f>
        <v>No Squirrels Found</v>
      </c>
      <c r="G2872" s="8" t="s">
        <v>48</v>
      </c>
      <c r="H2872" s="10">
        <v>10082018</v>
      </c>
      <c r="I2872" s="10">
        <v>3</v>
      </c>
      <c r="J2872" s="8" t="s">
        <v>39</v>
      </c>
      <c r="K2872" s="8" t="s">
        <v>40</v>
      </c>
      <c r="L2872" s="8" t="s">
        <v>41</v>
      </c>
      <c r="M2872" s="8" t="s">
        <v>42</v>
      </c>
      <c r="O2872" s="8" t="s">
        <v>43</v>
      </c>
      <c r="P2872" s="8" t="b">
        <v>0</v>
      </c>
      <c r="R2872" s="8" t="b">
        <v>1</v>
      </c>
      <c r="S2872" s="8" t="b">
        <v>0</v>
      </c>
      <c r="T2872" s="8" t="b">
        <v>0</v>
      </c>
      <c r="U2872" s="8" t="b">
        <v>1</v>
      </c>
      <c r="V2872" s="8" t="b">
        <v>1</v>
      </c>
      <c r="X2872" s="8" t="b">
        <v>0</v>
      </c>
      <c r="Y2872" s="8" t="b">
        <v>0</v>
      </c>
      <c r="Z2872" s="8" t="b">
        <v>0</v>
      </c>
      <c r="AA2872" s="8" t="b">
        <v>0</v>
      </c>
      <c r="AB2872" s="8" t="b">
        <v>0</v>
      </c>
      <c r="AC2872" s="8" t="b">
        <v>0</v>
      </c>
      <c r="AD2872" s="8" t="b">
        <v>1</v>
      </c>
      <c r="AE2872" s="8" t="b">
        <v>0</v>
      </c>
      <c r="AG2872" s="11" t="b" cm="1">
        <f t="array" ref="AG2872">IF(OR(Y2872:AA2872="TRUE", AE2872="true"), "Threatened")</f>
        <v>0</v>
      </c>
      <c r="AH2872" s="11" t="s">
        <v>7045</v>
      </c>
      <c r="AI2872" s="8" t="b">
        <v>1</v>
      </c>
    </row>
    <row r="2873" spans="1:35" ht="31.2">
      <c r="A2873" s="8">
        <v>-73.961539650000006</v>
      </c>
      <c r="B2873" s="8">
        <v>40.792359439999998</v>
      </c>
      <c r="C2873" s="8" t="s">
        <v>7046</v>
      </c>
      <c r="D2873" s="8" t="s">
        <v>290</v>
      </c>
      <c r="E2873" s="8" t="b">
        <f t="shared" si="44"/>
        <v>0</v>
      </c>
      <c r="F2873" s="8" t="str" cm="1">
        <f t="array" ref="F2873">_xlfn._xlws.FILTER(E2873:E6071, C2873:C6071= "6D-PM-1020-01", "No Squirrels Found")</f>
        <v>No Squirrels Found</v>
      </c>
      <c r="G2873" s="8" t="s">
        <v>48</v>
      </c>
      <c r="H2873" s="10">
        <v>10122018</v>
      </c>
      <c r="I2873" s="10">
        <v>1</v>
      </c>
      <c r="J2873" s="8" t="s">
        <v>39</v>
      </c>
      <c r="K2873" s="8" t="s">
        <v>40</v>
      </c>
      <c r="L2873" s="8" t="s">
        <v>41</v>
      </c>
      <c r="M2873" s="8" t="s">
        <v>42</v>
      </c>
      <c r="N2873" s="11" t="s">
        <v>7047</v>
      </c>
      <c r="O2873" s="8" t="s">
        <v>50</v>
      </c>
      <c r="P2873" s="8">
        <v>20</v>
      </c>
      <c r="Q2873" s="8" t="s">
        <v>1694</v>
      </c>
      <c r="R2873" s="8" t="b">
        <v>0</v>
      </c>
      <c r="S2873" s="8" t="b">
        <v>1</v>
      </c>
      <c r="T2873" s="8" t="b">
        <v>1</v>
      </c>
      <c r="U2873" s="8" t="b">
        <v>0</v>
      </c>
      <c r="V2873" s="8" t="b">
        <v>0</v>
      </c>
      <c r="X2873" s="8" t="b">
        <v>0</v>
      </c>
      <c r="Y2873" s="8" t="b">
        <v>0</v>
      </c>
      <c r="Z2873" s="8" t="b">
        <v>0</v>
      </c>
      <c r="AA2873" s="8" t="b">
        <v>0</v>
      </c>
      <c r="AB2873" s="8" t="b">
        <v>0</v>
      </c>
      <c r="AC2873" s="8" t="b">
        <v>0</v>
      </c>
      <c r="AD2873" s="8" t="b">
        <v>1</v>
      </c>
      <c r="AE2873" s="8" t="b">
        <v>0</v>
      </c>
      <c r="AG2873" s="11" t="b" cm="1">
        <f t="array" ref="AG2873">IF(OR(Y2873:AA2873="TRUE", AE2873="true"), "Threatened")</f>
        <v>0</v>
      </c>
      <c r="AH2873" s="11" t="s">
        <v>7048</v>
      </c>
      <c r="AI2873" s="8" t="b">
        <v>1</v>
      </c>
    </row>
    <row r="2874" spans="1:35" ht="31.2">
      <c r="A2874" s="8">
        <v>-73.955068470000001</v>
      </c>
      <c r="B2874" s="8">
        <v>40.791178819999999</v>
      </c>
      <c r="C2874" s="8" t="s">
        <v>7049</v>
      </c>
      <c r="D2874" s="8" t="s">
        <v>1354</v>
      </c>
      <c r="E2874" s="8" t="b">
        <f t="shared" si="44"/>
        <v>0</v>
      </c>
      <c r="F2874" s="8" t="str" cm="1">
        <f t="array" ref="F2874">_xlfn._xlws.FILTER(E2874:E6072, C2874:C6072= "6D-PM-1020-01", "No Squirrels Found")</f>
        <v>No Squirrels Found</v>
      </c>
      <c r="G2874" s="8" t="s">
        <v>34</v>
      </c>
      <c r="H2874" s="10">
        <v>10062018</v>
      </c>
      <c r="I2874" s="10">
        <v>5</v>
      </c>
      <c r="J2874" s="8" t="s">
        <v>39</v>
      </c>
      <c r="K2874" s="8" t="s">
        <v>40</v>
      </c>
      <c r="L2874" s="8" t="s">
        <v>117</v>
      </c>
      <c r="M2874" s="8" t="s">
        <v>118</v>
      </c>
      <c r="N2874" s="11" t="s">
        <v>7050</v>
      </c>
      <c r="O2874" s="8" t="s">
        <v>43</v>
      </c>
      <c r="P2874" s="8" t="b">
        <v>0</v>
      </c>
      <c r="Q2874" s="8" t="s">
        <v>2999</v>
      </c>
      <c r="R2874" s="8" t="b">
        <v>1</v>
      </c>
      <c r="S2874" s="8" t="b">
        <v>0</v>
      </c>
      <c r="T2874" s="8" t="b">
        <v>0</v>
      </c>
      <c r="U2874" s="8" t="b">
        <v>0</v>
      </c>
      <c r="V2874" s="8" t="b">
        <v>1</v>
      </c>
      <c r="X2874" s="8" t="b">
        <v>0</v>
      </c>
      <c r="Y2874" s="8" t="b">
        <v>0</v>
      </c>
      <c r="Z2874" s="8" t="b">
        <v>0</v>
      </c>
      <c r="AA2874" s="8" t="b">
        <v>0</v>
      </c>
      <c r="AB2874" s="8" t="b">
        <v>0</v>
      </c>
      <c r="AC2874" s="8" t="b">
        <v>0</v>
      </c>
      <c r="AD2874" s="8" t="b">
        <v>0</v>
      </c>
      <c r="AE2874" s="8" t="b">
        <v>0</v>
      </c>
      <c r="AG2874" s="11" t="b" cm="1">
        <f t="array" ref="AG2874">IF(OR(Y2874:AA2874="TRUE", AE2874="true"), "Threatened")</f>
        <v>0</v>
      </c>
      <c r="AH2874" s="11" t="s">
        <v>7051</v>
      </c>
      <c r="AI2874" s="8" t="b">
        <v>1</v>
      </c>
    </row>
    <row r="2875" spans="1:35" ht="31.2">
      <c r="A2875" s="8">
        <v>-73.959745369999993</v>
      </c>
      <c r="B2875" s="8">
        <v>40.789138219999998</v>
      </c>
      <c r="C2875" s="8" t="s">
        <v>7052</v>
      </c>
      <c r="D2875" s="8" t="s">
        <v>7053</v>
      </c>
      <c r="E2875" s="8" t="b">
        <f t="shared" si="44"/>
        <v>0</v>
      </c>
      <c r="F2875" s="8" t="str" cm="1">
        <f t="array" ref="F2875">_xlfn._xlws.FILTER(E2875:E6073, C2875:C6073= "6D-PM-1020-01", "No Squirrels Found")</f>
        <v>No Squirrels Found</v>
      </c>
      <c r="G2875" s="8" t="s">
        <v>34</v>
      </c>
      <c r="H2875" s="10">
        <v>10072018</v>
      </c>
      <c r="I2875" s="10">
        <v>1</v>
      </c>
      <c r="J2875" s="8" t="s">
        <v>39</v>
      </c>
      <c r="K2875" s="8" t="s">
        <v>40</v>
      </c>
      <c r="L2875" s="8" t="s">
        <v>168</v>
      </c>
      <c r="M2875" s="8" t="s">
        <v>169</v>
      </c>
      <c r="O2875" s="8" t="s">
        <v>50</v>
      </c>
      <c r="P2875" s="8">
        <v>1</v>
      </c>
      <c r="Q2875" s="8" t="s">
        <v>206</v>
      </c>
      <c r="R2875" s="8" t="b">
        <v>0</v>
      </c>
      <c r="S2875" s="8" t="b">
        <v>0</v>
      </c>
      <c r="T2875" s="8" t="b">
        <v>1</v>
      </c>
      <c r="U2875" s="8" t="b">
        <v>0</v>
      </c>
      <c r="V2875" s="8" t="b">
        <v>0</v>
      </c>
      <c r="X2875" s="8" t="b">
        <v>0</v>
      </c>
      <c r="Y2875" s="8" t="b">
        <v>0</v>
      </c>
      <c r="Z2875" s="8" t="b">
        <v>0</v>
      </c>
      <c r="AA2875" s="8" t="b">
        <v>0</v>
      </c>
      <c r="AB2875" s="8" t="b">
        <v>1</v>
      </c>
      <c r="AC2875" s="8" t="b">
        <v>0</v>
      </c>
      <c r="AD2875" s="8" t="b">
        <v>0</v>
      </c>
      <c r="AE2875" s="8" t="b">
        <v>1</v>
      </c>
      <c r="AG2875" s="11" t="b" cm="1">
        <f t="array" ref="AG2875">IF(OR(Y2875:AA2875="TRUE", AE2875="true"), "Threatened")</f>
        <v>0</v>
      </c>
      <c r="AH2875" s="11" t="s">
        <v>7054</v>
      </c>
      <c r="AI2875" s="8" t="b">
        <v>1</v>
      </c>
    </row>
    <row r="2876" spans="1:35" ht="31.2">
      <c r="A2876" s="8">
        <v>-73.954661680000001</v>
      </c>
      <c r="B2876" s="8">
        <v>40.79097453</v>
      </c>
      <c r="C2876" s="8" t="s">
        <v>7055</v>
      </c>
      <c r="D2876" s="8" t="s">
        <v>1028</v>
      </c>
      <c r="E2876" s="8" t="b">
        <f t="shared" si="44"/>
        <v>0</v>
      </c>
      <c r="F2876" s="8" t="str" cm="1">
        <f t="array" ref="F2876">_xlfn._xlws.FILTER(E2876:E6074, C2876:C6074= "6D-PM-1020-01", "No Squirrels Found")</f>
        <v>No Squirrels Found</v>
      </c>
      <c r="G2876" s="8" t="s">
        <v>34</v>
      </c>
      <c r="H2876" s="10">
        <v>10102018</v>
      </c>
      <c r="I2876" s="10">
        <v>5</v>
      </c>
      <c r="J2876" s="8" t="s">
        <v>39</v>
      </c>
      <c r="K2876" s="8" t="s">
        <v>40</v>
      </c>
      <c r="M2876" s="8" t="s">
        <v>55</v>
      </c>
      <c r="R2876" s="8" t="b">
        <v>0</v>
      </c>
      <c r="S2876" s="8" t="b">
        <v>0</v>
      </c>
      <c r="T2876" s="8" t="b">
        <v>0</v>
      </c>
      <c r="U2876" s="8" t="b">
        <v>0</v>
      </c>
      <c r="V2876" s="8" t="b">
        <v>1</v>
      </c>
      <c r="X2876" s="8" t="b">
        <v>0</v>
      </c>
      <c r="Y2876" s="8" t="b">
        <v>0</v>
      </c>
      <c r="Z2876" s="8" t="b">
        <v>0</v>
      </c>
      <c r="AA2876" s="8" t="b">
        <v>0</v>
      </c>
      <c r="AB2876" s="8" t="b">
        <v>1</v>
      </c>
      <c r="AC2876" s="8" t="b">
        <v>0</v>
      </c>
      <c r="AD2876" s="8" t="b">
        <v>0</v>
      </c>
      <c r="AE2876" s="8" t="b">
        <v>0</v>
      </c>
      <c r="AG2876" s="11" t="b" cm="1">
        <f t="array" ref="AG2876">IF(OR(Y2876:AA2876="TRUE", AE2876="true"), "Threatened")</f>
        <v>0</v>
      </c>
      <c r="AH2876" s="11" t="s">
        <v>7056</v>
      </c>
      <c r="AI2876" s="8" t="b">
        <v>1</v>
      </c>
    </row>
    <row r="2877" spans="1:35" ht="31.2">
      <c r="A2877" s="8">
        <v>-73.95589957</v>
      </c>
      <c r="B2877" s="8">
        <v>40.796009769999998</v>
      </c>
      <c r="C2877" s="8" t="s">
        <v>7057</v>
      </c>
      <c r="D2877" s="8" t="s">
        <v>3963</v>
      </c>
      <c r="E2877" s="8" t="b">
        <f t="shared" si="44"/>
        <v>0</v>
      </c>
      <c r="F2877" s="8" t="str" cm="1">
        <f t="array" ref="F2877">_xlfn._xlws.FILTER(E2877:E6075, C2877:C6075= "6D-PM-1020-01", "No Squirrels Found")</f>
        <v>No Squirrels Found</v>
      </c>
      <c r="G2877" s="8" t="s">
        <v>48</v>
      </c>
      <c r="H2877" s="10">
        <v>10182018</v>
      </c>
      <c r="I2877" s="10">
        <v>5</v>
      </c>
      <c r="J2877" s="8" t="s">
        <v>39</v>
      </c>
      <c r="K2877" s="8" t="s">
        <v>40</v>
      </c>
      <c r="L2877" s="8" t="s">
        <v>41</v>
      </c>
      <c r="M2877" s="8" t="s">
        <v>42</v>
      </c>
      <c r="O2877" s="8" t="s">
        <v>43</v>
      </c>
      <c r="P2877" s="8" t="b">
        <v>0</v>
      </c>
      <c r="R2877" s="8" t="b">
        <v>0</v>
      </c>
      <c r="S2877" s="8" t="b">
        <v>0</v>
      </c>
      <c r="T2877" s="8" t="b">
        <v>0</v>
      </c>
      <c r="U2877" s="8" t="b">
        <v>0</v>
      </c>
      <c r="V2877" s="8" t="b">
        <v>1</v>
      </c>
      <c r="X2877" s="8" t="b">
        <v>0</v>
      </c>
      <c r="Y2877" s="8" t="b">
        <v>0</v>
      </c>
      <c r="Z2877" s="8" t="b">
        <v>0</v>
      </c>
      <c r="AA2877" s="8" t="b">
        <v>1</v>
      </c>
      <c r="AB2877" s="8" t="b">
        <v>0</v>
      </c>
      <c r="AC2877" s="8" t="b">
        <v>0</v>
      </c>
      <c r="AD2877" s="8" t="b">
        <v>1</v>
      </c>
      <c r="AE2877" s="8" t="b">
        <v>0</v>
      </c>
      <c r="AG2877" s="11" t="b" cm="1">
        <f t="array" ref="AG2877">IF(OR(Y2877:AA2877="TRUE", AE2877="true"), "Threatened")</f>
        <v>0</v>
      </c>
      <c r="AH2877" s="11" t="s">
        <v>7058</v>
      </c>
      <c r="AI2877" s="8" t="b">
        <v>1</v>
      </c>
    </row>
    <row r="2878" spans="1:35" ht="31.2">
      <c r="A2878" s="8">
        <v>-73.973002719999997</v>
      </c>
      <c r="B2878" s="8">
        <v>40.779800090000002</v>
      </c>
      <c r="C2878" s="8" t="s">
        <v>7059</v>
      </c>
      <c r="D2878" s="8" t="s">
        <v>1106</v>
      </c>
      <c r="E2878" s="8" t="b">
        <f t="shared" si="44"/>
        <v>0</v>
      </c>
      <c r="F2878" s="8" t="str" cm="1">
        <f t="array" ref="F2878">_xlfn._xlws.FILTER(E2878:E6076, C2878:C6076= "6D-PM-1020-01", "No Squirrels Found")</f>
        <v>No Squirrels Found</v>
      </c>
      <c r="G2878" s="8" t="s">
        <v>34</v>
      </c>
      <c r="H2878" s="10">
        <v>10192018</v>
      </c>
      <c r="I2878" s="10">
        <v>5</v>
      </c>
      <c r="J2878" s="8" t="s">
        <v>39</v>
      </c>
      <c r="K2878" s="8" t="s">
        <v>40</v>
      </c>
      <c r="L2878" s="8" t="s">
        <v>41</v>
      </c>
      <c r="M2878" s="8" t="s">
        <v>42</v>
      </c>
      <c r="O2878" s="8" t="s">
        <v>50</v>
      </c>
      <c r="P2878" s="8">
        <v>20</v>
      </c>
      <c r="R2878" s="8" t="b">
        <v>0</v>
      </c>
      <c r="S2878" s="8" t="b">
        <v>0</v>
      </c>
      <c r="T2878" s="8" t="b">
        <v>1</v>
      </c>
      <c r="U2878" s="8" t="b">
        <v>0</v>
      </c>
      <c r="V2878" s="8" t="b">
        <v>0</v>
      </c>
      <c r="X2878" s="8" t="b">
        <v>0</v>
      </c>
      <c r="Y2878" s="8" t="b">
        <v>0</v>
      </c>
      <c r="Z2878" s="8" t="b">
        <v>0</v>
      </c>
      <c r="AA2878" s="8" t="b">
        <v>0</v>
      </c>
      <c r="AB2878" s="8" t="b">
        <v>0</v>
      </c>
      <c r="AC2878" s="8" t="b">
        <v>0</v>
      </c>
      <c r="AD2878" s="8" t="b">
        <v>0</v>
      </c>
      <c r="AE2878" s="8" t="b">
        <v>0</v>
      </c>
      <c r="AG2878" s="11" t="b" cm="1">
        <f t="array" ref="AG2878">IF(OR(Y2878:AA2878="TRUE", AE2878="true"), "Threatened")</f>
        <v>0</v>
      </c>
      <c r="AH2878" s="11" t="s">
        <v>7060</v>
      </c>
      <c r="AI2878" s="8" t="b">
        <v>1</v>
      </c>
    </row>
    <row r="2879" spans="1:35" ht="31.2">
      <c r="A2879" s="8">
        <v>-73.969720780000003</v>
      </c>
      <c r="B2879" s="8">
        <v>40.774110569999998</v>
      </c>
      <c r="C2879" s="8" t="s">
        <v>7061</v>
      </c>
      <c r="D2879" s="8" t="s">
        <v>655</v>
      </c>
      <c r="E2879" s="8" t="b">
        <f t="shared" si="44"/>
        <v>0</v>
      </c>
      <c r="F2879" s="8" t="str" cm="1">
        <f t="array" ref="F2879">_xlfn._xlws.FILTER(E2879:E6077, C2879:C6077= "6D-PM-1020-01", "No Squirrels Found")</f>
        <v>No Squirrels Found</v>
      </c>
      <c r="G2879" s="8" t="s">
        <v>48</v>
      </c>
      <c r="H2879" s="10">
        <v>10202018</v>
      </c>
      <c r="I2879" s="10">
        <v>4</v>
      </c>
      <c r="J2879" s="8" t="s">
        <v>39</v>
      </c>
      <c r="K2879" s="8" t="s">
        <v>41</v>
      </c>
      <c r="L2879" s="8" t="s">
        <v>40</v>
      </c>
      <c r="M2879" s="8" t="s">
        <v>110</v>
      </c>
      <c r="O2879" s="8" t="s">
        <v>43</v>
      </c>
      <c r="P2879" s="8" t="b">
        <v>0</v>
      </c>
      <c r="R2879" s="8" t="b">
        <v>1</v>
      </c>
      <c r="S2879" s="8" t="b">
        <v>0</v>
      </c>
      <c r="T2879" s="8" t="b">
        <v>0</v>
      </c>
      <c r="U2879" s="8" t="b">
        <v>1</v>
      </c>
      <c r="V2879" s="8" t="b">
        <v>0</v>
      </c>
      <c r="X2879" s="8" t="b">
        <v>0</v>
      </c>
      <c r="Y2879" s="8" t="b">
        <v>0</v>
      </c>
      <c r="Z2879" s="8" t="b">
        <v>0</v>
      </c>
      <c r="AA2879" s="8" t="b">
        <v>0</v>
      </c>
      <c r="AB2879" s="8" t="b">
        <v>1</v>
      </c>
      <c r="AC2879" s="8" t="b">
        <v>0</v>
      </c>
      <c r="AD2879" s="8" t="b">
        <v>0</v>
      </c>
      <c r="AE2879" s="8" t="b">
        <v>0</v>
      </c>
      <c r="AG2879" s="11" t="b" cm="1">
        <f t="array" ref="AG2879">IF(OR(Y2879:AA2879="TRUE", AE2879="true"), "Threatened")</f>
        <v>0</v>
      </c>
      <c r="AH2879" s="11" t="s">
        <v>7062</v>
      </c>
      <c r="AI2879" s="8" t="b">
        <v>1</v>
      </c>
    </row>
    <row r="2880" spans="1:35" ht="31.2">
      <c r="A2880" s="8">
        <v>-73.974408069999996</v>
      </c>
      <c r="B2880" s="8">
        <v>40.773151570000003</v>
      </c>
      <c r="C2880" s="8" t="s">
        <v>7063</v>
      </c>
      <c r="D2880" s="8" t="s">
        <v>1403</v>
      </c>
      <c r="E2880" s="8" t="b">
        <f t="shared" si="44"/>
        <v>0</v>
      </c>
      <c r="F2880" s="8" t="str" cm="1">
        <f t="array" ref="F2880">_xlfn._xlws.FILTER(E2880:E6078, C2880:C6078= "6D-PM-1020-01", "No Squirrels Found")</f>
        <v>No Squirrels Found</v>
      </c>
      <c r="G2880" s="8" t="s">
        <v>34</v>
      </c>
      <c r="H2880" s="10">
        <v>10062018</v>
      </c>
      <c r="I2880" s="10">
        <v>7</v>
      </c>
      <c r="J2880" s="8" t="s">
        <v>39</v>
      </c>
      <c r="K2880" s="8" t="s">
        <v>192</v>
      </c>
      <c r="L2880" s="8" t="s">
        <v>117</v>
      </c>
      <c r="M2880" s="8" t="s">
        <v>2945</v>
      </c>
      <c r="O2880" s="8" t="s">
        <v>43</v>
      </c>
      <c r="P2880" s="8" t="b">
        <v>0</v>
      </c>
      <c r="Q2880" s="8" t="s">
        <v>7064</v>
      </c>
      <c r="R2880" s="8" t="b">
        <v>0</v>
      </c>
      <c r="S2880" s="8" t="b">
        <v>0</v>
      </c>
      <c r="T2880" s="8" t="b">
        <v>0</v>
      </c>
      <c r="U2880" s="8" t="b">
        <v>1</v>
      </c>
      <c r="V2880" s="8" t="b">
        <v>0</v>
      </c>
      <c r="X2880" s="8" t="b">
        <v>0</v>
      </c>
      <c r="Y2880" s="8" t="b">
        <v>0</v>
      </c>
      <c r="Z2880" s="8" t="b">
        <v>0</v>
      </c>
      <c r="AA2880" s="8" t="b">
        <v>0</v>
      </c>
      <c r="AB2880" s="8" t="b">
        <v>0</v>
      </c>
      <c r="AC2880" s="8" t="b">
        <v>0</v>
      </c>
      <c r="AD2880" s="8" t="b">
        <v>0</v>
      </c>
      <c r="AE2880" s="8" t="b">
        <v>1</v>
      </c>
      <c r="AF2880" s="11" t="s">
        <v>7065</v>
      </c>
      <c r="AG2880" s="11" t="b" cm="1">
        <f t="array" ref="AG2880">IF(OR(Y2880:AA2880="TRUE", AE2880="true"), "Threatened")</f>
        <v>0</v>
      </c>
      <c r="AH2880" s="11" t="s">
        <v>7066</v>
      </c>
      <c r="AI2880" s="8" t="b">
        <v>1</v>
      </c>
    </row>
    <row r="2881" spans="1:35" ht="31.2">
      <c r="A2881" s="8">
        <v>-73.972659829999998</v>
      </c>
      <c r="B2881" s="8">
        <v>40.77078624</v>
      </c>
      <c r="C2881" s="8" t="s">
        <v>7067</v>
      </c>
      <c r="D2881" s="8" t="s">
        <v>368</v>
      </c>
      <c r="E2881" s="8" t="b">
        <f t="shared" si="44"/>
        <v>0</v>
      </c>
      <c r="F2881" s="8" t="str" cm="1">
        <f t="array" ref="F2881">_xlfn._xlws.FILTER(E2881:E6079, C2881:C6079= "6D-PM-1020-01", "No Squirrels Found")</f>
        <v>No Squirrels Found</v>
      </c>
      <c r="G2881" s="8" t="s">
        <v>34</v>
      </c>
      <c r="H2881" s="10">
        <v>10122018</v>
      </c>
      <c r="I2881" s="10">
        <v>3</v>
      </c>
      <c r="J2881" s="8" t="s">
        <v>39</v>
      </c>
      <c r="K2881" s="8" t="s">
        <v>40</v>
      </c>
      <c r="L2881" s="8" t="s">
        <v>41</v>
      </c>
      <c r="M2881" s="8" t="s">
        <v>42</v>
      </c>
      <c r="O2881" s="8" t="s">
        <v>43</v>
      </c>
      <c r="P2881" s="8" t="b">
        <v>0</v>
      </c>
      <c r="R2881" s="8" t="b">
        <v>0</v>
      </c>
      <c r="S2881" s="8" t="b">
        <v>0</v>
      </c>
      <c r="T2881" s="8" t="b">
        <v>0</v>
      </c>
      <c r="U2881" s="8" t="b">
        <v>0</v>
      </c>
      <c r="V2881" s="8" t="b">
        <v>1</v>
      </c>
      <c r="W2881" s="11" t="s">
        <v>355</v>
      </c>
      <c r="X2881" s="8" t="b">
        <v>0</v>
      </c>
      <c r="Y2881" s="8" t="b">
        <v>0</v>
      </c>
      <c r="Z2881" s="8" t="b">
        <v>0</v>
      </c>
      <c r="AA2881" s="8" t="b">
        <v>0</v>
      </c>
      <c r="AB2881" s="8" t="b">
        <v>0</v>
      </c>
      <c r="AC2881" s="8" t="b">
        <v>0</v>
      </c>
      <c r="AD2881" s="8" t="b">
        <v>0</v>
      </c>
      <c r="AE2881" s="8" t="b">
        <v>1</v>
      </c>
      <c r="AG2881" s="11" t="b" cm="1">
        <f t="array" ref="AG2881">IF(OR(Y2881:AA2881="TRUE", AE2881="true"), "Threatened")</f>
        <v>0</v>
      </c>
      <c r="AH2881" s="11" t="s">
        <v>7068</v>
      </c>
      <c r="AI2881" s="8" t="b">
        <v>0</v>
      </c>
    </row>
    <row r="2882" spans="1:35" ht="31.2">
      <c r="A2882" s="8">
        <v>-73.954162909999994</v>
      </c>
      <c r="B2882" s="8">
        <v>40.793425929999998</v>
      </c>
      <c r="C2882" s="8" t="s">
        <v>7069</v>
      </c>
      <c r="D2882" s="8" t="s">
        <v>939</v>
      </c>
      <c r="E2882" s="8" t="b">
        <f t="shared" si="44"/>
        <v>0</v>
      </c>
      <c r="F2882" s="8" t="str" cm="1">
        <f t="array" ref="F2882">_xlfn._xlws.FILTER(E2882:E6080, C2882:C6080= "6D-PM-1020-01", "No Squirrels Found")</f>
        <v>No Squirrels Found</v>
      </c>
      <c r="G2882" s="8" t="s">
        <v>48</v>
      </c>
      <c r="H2882" s="10">
        <v>10142018</v>
      </c>
      <c r="I2882" s="10">
        <v>2</v>
      </c>
      <c r="J2882" s="8" t="s">
        <v>39</v>
      </c>
      <c r="K2882" s="8" t="s">
        <v>40</v>
      </c>
      <c r="M2882" s="8" t="s">
        <v>55</v>
      </c>
      <c r="O2882" s="8" t="s">
        <v>43</v>
      </c>
      <c r="P2882" s="8" t="b">
        <v>0</v>
      </c>
      <c r="R2882" s="8" t="b">
        <v>1</v>
      </c>
      <c r="S2882" s="8" t="b">
        <v>0</v>
      </c>
      <c r="T2882" s="8" t="b">
        <v>0</v>
      </c>
      <c r="U2882" s="8" t="b">
        <v>0</v>
      </c>
      <c r="V2882" s="8" t="b">
        <v>0</v>
      </c>
      <c r="W2882" s="11" t="s">
        <v>7070</v>
      </c>
      <c r="X2882" s="8" t="b">
        <v>0</v>
      </c>
      <c r="Y2882" s="8" t="b">
        <v>0</v>
      </c>
      <c r="Z2882" s="8" t="b">
        <v>0</v>
      </c>
      <c r="AA2882" s="8" t="b">
        <v>0</v>
      </c>
      <c r="AB2882" s="8" t="b">
        <v>0</v>
      </c>
      <c r="AC2882" s="8" t="b">
        <v>0</v>
      </c>
      <c r="AD2882" s="8" t="b">
        <v>0</v>
      </c>
      <c r="AE2882" s="8" t="b">
        <v>0</v>
      </c>
      <c r="AG2882" s="11" t="b" cm="1">
        <f t="array" ref="AG2882">IF(OR(Y2882:AA2882="TRUE", AE2882="true"), "Threatened")</f>
        <v>0</v>
      </c>
      <c r="AH2882" s="11" t="s">
        <v>7071</v>
      </c>
      <c r="AI2882" s="8" t="b">
        <v>0</v>
      </c>
    </row>
    <row r="2883" spans="1:35" ht="31.2">
      <c r="A2883" s="8">
        <v>-73.956581229999998</v>
      </c>
      <c r="B2883" s="8">
        <v>40.790212769999997</v>
      </c>
      <c r="C2883" s="8" t="s">
        <v>7072</v>
      </c>
      <c r="D2883" s="8" t="s">
        <v>62</v>
      </c>
      <c r="E2883" s="8" t="b">
        <f t="shared" ref="E2883:E2946" si="45">OR(D2883 = "05D", D2883 = "07D", D2883 = "06C", D2883 = "06E")</f>
        <v>0</v>
      </c>
      <c r="F2883" s="8" t="str" cm="1">
        <f t="array" ref="F2883">_xlfn._xlws.FILTER(E2883:E6081, C2883:C6081= "6D-PM-1020-01", "No Squirrels Found")</f>
        <v>No Squirrels Found</v>
      </c>
      <c r="G2883" s="8" t="s">
        <v>48</v>
      </c>
      <c r="H2883" s="10">
        <v>10192018</v>
      </c>
      <c r="I2883" s="10">
        <v>1</v>
      </c>
      <c r="J2883" s="8" t="s">
        <v>39</v>
      </c>
      <c r="K2883" s="8" t="s">
        <v>41</v>
      </c>
      <c r="L2883" s="8" t="s">
        <v>40</v>
      </c>
      <c r="M2883" s="8" t="s">
        <v>110</v>
      </c>
      <c r="N2883" s="11" t="s">
        <v>7073</v>
      </c>
      <c r="O2883" s="8" t="s">
        <v>43</v>
      </c>
      <c r="P2883" s="8" t="b">
        <v>0</v>
      </c>
      <c r="R2883" s="8" t="b">
        <v>0</v>
      </c>
      <c r="S2883" s="8" t="b">
        <v>0</v>
      </c>
      <c r="T2883" s="8" t="b">
        <v>0</v>
      </c>
      <c r="U2883" s="8" t="b">
        <v>0</v>
      </c>
      <c r="V2883" s="8" t="b">
        <v>0</v>
      </c>
      <c r="W2883" s="11" t="s">
        <v>7074</v>
      </c>
      <c r="X2883" s="8" t="b">
        <v>0</v>
      </c>
      <c r="Y2883" s="8" t="b">
        <v>0</v>
      </c>
      <c r="Z2883" s="8" t="b">
        <v>0</v>
      </c>
      <c r="AA2883" s="8" t="b">
        <v>0</v>
      </c>
      <c r="AB2883" s="8" t="b">
        <v>0</v>
      </c>
      <c r="AC2883" s="8" t="b">
        <v>0</v>
      </c>
      <c r="AD2883" s="8" t="b">
        <v>0</v>
      </c>
      <c r="AE2883" s="8" t="b">
        <v>0</v>
      </c>
      <c r="AG2883" s="11" t="b" cm="1">
        <f t="array" ref="AG2883">IF(OR(Y2883:AA2883="TRUE", AE2883="true"), "Threatened")</f>
        <v>0</v>
      </c>
      <c r="AH2883" s="11" t="s">
        <v>7075</v>
      </c>
      <c r="AI2883" s="8" t="b">
        <v>0</v>
      </c>
    </row>
    <row r="2884" spans="1:35" ht="31.2">
      <c r="A2884" s="8">
        <v>-73.969859279999994</v>
      </c>
      <c r="B2884" s="8">
        <v>40.774307139999998</v>
      </c>
      <c r="C2884" s="8" t="s">
        <v>7076</v>
      </c>
      <c r="D2884" s="8" t="s">
        <v>655</v>
      </c>
      <c r="E2884" s="8" t="b">
        <f t="shared" si="45"/>
        <v>0</v>
      </c>
      <c r="F2884" s="8" t="str" cm="1">
        <f t="array" ref="F2884">_xlfn._xlws.FILTER(E2884:E6082, C2884:C6082= "6D-PM-1020-01", "No Squirrels Found")</f>
        <v>No Squirrels Found</v>
      </c>
      <c r="G2884" s="8" t="s">
        <v>48</v>
      </c>
      <c r="H2884" s="10">
        <v>10202018</v>
      </c>
      <c r="I2884" s="10">
        <v>3</v>
      </c>
      <c r="J2884" s="8" t="s">
        <v>39</v>
      </c>
      <c r="K2884" s="8" t="s">
        <v>40</v>
      </c>
      <c r="L2884" s="8" t="s">
        <v>192</v>
      </c>
      <c r="M2884" s="8" t="s">
        <v>354</v>
      </c>
      <c r="O2884" s="8" t="s">
        <v>43</v>
      </c>
      <c r="P2884" s="8" t="b">
        <v>0</v>
      </c>
      <c r="R2884" s="8" t="b">
        <v>0</v>
      </c>
      <c r="S2884" s="8" t="b">
        <v>0</v>
      </c>
      <c r="T2884" s="8" t="b">
        <v>0</v>
      </c>
      <c r="U2884" s="8" t="b">
        <v>0</v>
      </c>
      <c r="V2884" s="8" t="b">
        <v>0</v>
      </c>
      <c r="W2884" s="11" t="s">
        <v>1369</v>
      </c>
      <c r="X2884" s="8" t="b">
        <v>0</v>
      </c>
      <c r="Y2884" s="8" t="b">
        <v>0</v>
      </c>
      <c r="Z2884" s="8" t="b">
        <v>0</v>
      </c>
      <c r="AA2884" s="8" t="b">
        <v>0</v>
      </c>
      <c r="AB2884" s="8" t="b">
        <v>1</v>
      </c>
      <c r="AC2884" s="8" t="b">
        <v>0</v>
      </c>
      <c r="AD2884" s="8" t="b">
        <v>0</v>
      </c>
      <c r="AE2884" s="8" t="b">
        <v>0</v>
      </c>
      <c r="AG2884" s="11" t="b" cm="1">
        <f t="array" ref="AG2884">IF(OR(Y2884:AA2884="TRUE", AE2884="true"), "Threatened")</f>
        <v>0</v>
      </c>
      <c r="AH2884" s="11" t="s">
        <v>7077</v>
      </c>
      <c r="AI2884" s="8" t="b">
        <v>0</v>
      </c>
    </row>
    <row r="2885" spans="1:35" ht="31.2">
      <c r="A2885" s="8">
        <v>-73.95983785</v>
      </c>
      <c r="B2885" s="8">
        <v>40.795684299999998</v>
      </c>
      <c r="C2885" s="8" t="s">
        <v>7078</v>
      </c>
      <c r="D2885" s="8" t="s">
        <v>972</v>
      </c>
      <c r="E2885" s="8" t="b">
        <f t="shared" si="45"/>
        <v>0</v>
      </c>
      <c r="F2885" s="8" t="str" cm="1">
        <f t="array" ref="F2885">_xlfn._xlws.FILTER(E2885:E6083, C2885:C6083= "6D-PM-1020-01", "No Squirrels Found")</f>
        <v>No Squirrels Found</v>
      </c>
      <c r="G2885" s="8" t="s">
        <v>48</v>
      </c>
      <c r="H2885" s="10">
        <v>10182018</v>
      </c>
      <c r="I2885" s="10">
        <v>4</v>
      </c>
      <c r="J2885" s="8" t="s">
        <v>39</v>
      </c>
      <c r="K2885" s="8" t="s">
        <v>40</v>
      </c>
      <c r="M2885" s="8" t="s">
        <v>55</v>
      </c>
      <c r="O2885" s="8" t="s">
        <v>43</v>
      </c>
      <c r="P2885" s="8" t="b">
        <v>0</v>
      </c>
      <c r="R2885" s="8" t="b">
        <v>0</v>
      </c>
      <c r="S2885" s="8" t="b">
        <v>0</v>
      </c>
      <c r="T2885" s="8" t="b">
        <v>0</v>
      </c>
      <c r="U2885" s="8" t="b">
        <v>0</v>
      </c>
      <c r="V2885" s="8" t="b">
        <v>1</v>
      </c>
      <c r="X2885" s="8" t="b">
        <v>0</v>
      </c>
      <c r="Y2885" s="8" t="b">
        <v>0</v>
      </c>
      <c r="Z2885" s="8" t="b">
        <v>0</v>
      </c>
      <c r="AA2885" s="8" t="b">
        <v>0</v>
      </c>
      <c r="AB2885" s="8" t="b">
        <v>1</v>
      </c>
      <c r="AC2885" s="8" t="b">
        <v>0</v>
      </c>
      <c r="AD2885" s="8" t="b">
        <v>0</v>
      </c>
      <c r="AE2885" s="8" t="b">
        <v>0</v>
      </c>
      <c r="AG2885" s="11" t="b" cm="1">
        <f t="array" ref="AG2885">IF(OR(Y2885:AA2885="TRUE", AE2885="true"), "Threatened")</f>
        <v>0</v>
      </c>
      <c r="AH2885" s="11" t="s">
        <v>7079</v>
      </c>
      <c r="AI2885" s="8" t="b">
        <v>1</v>
      </c>
    </row>
    <row r="2886" spans="1:35" ht="31.2">
      <c r="A2886" s="8">
        <v>-73.953081130000001</v>
      </c>
      <c r="B2886" s="8">
        <v>40.798306910000001</v>
      </c>
      <c r="C2886" s="8" t="s">
        <v>7080</v>
      </c>
      <c r="D2886" s="8" t="s">
        <v>1368</v>
      </c>
      <c r="E2886" s="8" t="b">
        <f t="shared" si="45"/>
        <v>0</v>
      </c>
      <c r="F2886" s="8" t="str" cm="1">
        <f t="array" ref="F2886">_xlfn._xlws.FILTER(E2886:E6084, C2886:C6084= "6D-PM-1020-01", "No Squirrels Found")</f>
        <v>No Squirrels Found</v>
      </c>
      <c r="G2886" s="8" t="s">
        <v>48</v>
      </c>
      <c r="H2886" s="10">
        <v>10192018</v>
      </c>
      <c r="I2886" s="10">
        <v>2</v>
      </c>
      <c r="J2886" s="8" t="s">
        <v>39</v>
      </c>
      <c r="K2886" s="8" t="s">
        <v>40</v>
      </c>
      <c r="L2886" s="8" t="s">
        <v>84</v>
      </c>
      <c r="M2886" s="8" t="s">
        <v>103</v>
      </c>
      <c r="O2886" s="8" t="s">
        <v>43</v>
      </c>
      <c r="P2886" s="8" t="b">
        <v>0</v>
      </c>
      <c r="R2886" s="8" t="b">
        <v>0</v>
      </c>
      <c r="S2886" s="8" t="b">
        <v>0</v>
      </c>
      <c r="T2886" s="8" t="b">
        <v>0</v>
      </c>
      <c r="U2886" s="8" t="b">
        <v>1</v>
      </c>
      <c r="V2886" s="8" t="b">
        <v>1</v>
      </c>
      <c r="X2886" s="8" t="b">
        <v>0</v>
      </c>
      <c r="Y2886" s="8" t="b">
        <v>0</v>
      </c>
      <c r="Z2886" s="8" t="b">
        <v>0</v>
      </c>
      <c r="AA2886" s="8" t="b">
        <v>0</v>
      </c>
      <c r="AB2886" s="8" t="b">
        <v>0</v>
      </c>
      <c r="AC2886" s="8" t="b">
        <v>0</v>
      </c>
      <c r="AD2886" s="8" t="b">
        <v>1</v>
      </c>
      <c r="AE2886" s="8" t="b">
        <v>0</v>
      </c>
      <c r="AG2886" s="11" t="b" cm="1">
        <f t="array" ref="AG2886">IF(OR(Y2886:AA2886="TRUE", AE2886="true"), "Threatened")</f>
        <v>0</v>
      </c>
      <c r="AH2886" s="11" t="s">
        <v>7081</v>
      </c>
      <c r="AI2886" s="8" t="b">
        <v>1</v>
      </c>
    </row>
    <row r="2887" spans="1:35" ht="31.2">
      <c r="A2887" s="8">
        <v>-73.972926529999995</v>
      </c>
      <c r="B2887" s="8">
        <v>40.774176830000002</v>
      </c>
      <c r="C2887" s="8" t="s">
        <v>7082</v>
      </c>
      <c r="D2887" s="8" t="s">
        <v>2256</v>
      </c>
      <c r="E2887" s="8" t="b">
        <f t="shared" si="45"/>
        <v>0</v>
      </c>
      <c r="F2887" s="8" t="str" cm="1">
        <f t="array" ref="F2887">_xlfn._xlws.FILTER(E2887:E6085, C2887:C6085= "6D-PM-1020-01", "No Squirrels Found")</f>
        <v>No Squirrels Found</v>
      </c>
      <c r="G2887" s="8" t="s">
        <v>48</v>
      </c>
      <c r="H2887" s="10">
        <v>10082018</v>
      </c>
      <c r="I2887" s="10">
        <v>2</v>
      </c>
      <c r="J2887" s="8" t="s">
        <v>39</v>
      </c>
      <c r="K2887" s="8" t="s">
        <v>41</v>
      </c>
      <c r="L2887" s="8" t="s">
        <v>84</v>
      </c>
      <c r="M2887" s="8" t="s">
        <v>85</v>
      </c>
      <c r="O2887" s="8" t="s">
        <v>43</v>
      </c>
      <c r="P2887" s="8" t="b">
        <v>0</v>
      </c>
      <c r="R2887" s="8" t="b">
        <v>1</v>
      </c>
      <c r="S2887" s="8" t="b">
        <v>0</v>
      </c>
      <c r="T2887" s="8" t="b">
        <v>0</v>
      </c>
      <c r="U2887" s="8" t="b">
        <v>0</v>
      </c>
      <c r="V2887" s="8" t="b">
        <v>0</v>
      </c>
      <c r="X2887" s="8" t="b">
        <v>0</v>
      </c>
      <c r="Y2887" s="8" t="b">
        <v>0</v>
      </c>
      <c r="Z2887" s="8" t="b">
        <v>0</v>
      </c>
      <c r="AA2887" s="8" t="b">
        <v>0</v>
      </c>
      <c r="AB2887" s="8" t="b">
        <v>0</v>
      </c>
      <c r="AC2887" s="8" t="b">
        <v>0</v>
      </c>
      <c r="AD2887" s="8" t="b">
        <v>0</v>
      </c>
      <c r="AE2887" s="8" t="b">
        <v>1</v>
      </c>
      <c r="AG2887" s="11" t="b" cm="1">
        <f t="array" ref="AG2887">IF(OR(Y2887:AA2887="TRUE", AE2887="true"), "Threatened")</f>
        <v>0</v>
      </c>
      <c r="AH2887" s="11" t="s">
        <v>7083</v>
      </c>
      <c r="AI2887" s="8" t="b">
        <v>1</v>
      </c>
    </row>
    <row r="2888" spans="1:35" ht="31.2">
      <c r="A2888" s="8">
        <v>-73.964593170000001</v>
      </c>
      <c r="B2888" s="8">
        <v>40.778037490000003</v>
      </c>
      <c r="C2888" s="8" t="s">
        <v>7084</v>
      </c>
      <c r="D2888" s="8" t="s">
        <v>1813</v>
      </c>
      <c r="E2888" s="8" t="b">
        <f t="shared" si="45"/>
        <v>0</v>
      </c>
      <c r="F2888" s="8" t="str" cm="1">
        <f t="array" ref="F2888">_xlfn._xlws.FILTER(E2888:E6086, C2888:C6086= "6D-PM-1020-01", "No Squirrels Found")</f>
        <v>No Squirrels Found</v>
      </c>
      <c r="G2888" s="8" t="s">
        <v>34</v>
      </c>
      <c r="H2888" s="10">
        <v>10142018</v>
      </c>
      <c r="I2888" s="10">
        <v>2</v>
      </c>
      <c r="J2888" s="8" t="s">
        <v>39</v>
      </c>
      <c r="K2888" s="8" t="s">
        <v>40</v>
      </c>
      <c r="L2888" s="8" t="s">
        <v>84</v>
      </c>
      <c r="M2888" s="8" t="s">
        <v>103</v>
      </c>
      <c r="O2888" s="8" t="s">
        <v>43</v>
      </c>
      <c r="P2888" s="8" t="b">
        <v>0</v>
      </c>
      <c r="R2888" s="8" t="b">
        <v>0</v>
      </c>
      <c r="S2888" s="8" t="b">
        <v>0</v>
      </c>
      <c r="T2888" s="8" t="b">
        <v>0</v>
      </c>
      <c r="U2888" s="8" t="b">
        <v>0</v>
      </c>
      <c r="V2888" s="8" t="b">
        <v>1</v>
      </c>
      <c r="X2888" s="8" t="b">
        <v>0</v>
      </c>
      <c r="Y2888" s="8" t="b">
        <v>0</v>
      </c>
      <c r="Z2888" s="8" t="b">
        <v>0</v>
      </c>
      <c r="AA2888" s="8" t="b">
        <v>0</v>
      </c>
      <c r="AB2888" s="8" t="b">
        <v>0</v>
      </c>
      <c r="AC2888" s="8" t="b">
        <v>0</v>
      </c>
      <c r="AD2888" s="8" t="b">
        <v>1</v>
      </c>
      <c r="AE2888" s="8" t="b">
        <v>0</v>
      </c>
      <c r="AG2888" s="11" t="b" cm="1">
        <f t="array" ref="AG2888">IF(OR(Y2888:AA2888="TRUE", AE2888="true"), "Threatened")</f>
        <v>0</v>
      </c>
      <c r="AH2888" s="11" t="s">
        <v>7085</v>
      </c>
      <c r="AI2888" s="8" t="b">
        <v>1</v>
      </c>
    </row>
    <row r="2889" spans="1:35" ht="31.2">
      <c r="A2889" s="8">
        <v>-73.95525816</v>
      </c>
      <c r="B2889" s="8">
        <v>40.79581477</v>
      </c>
      <c r="C2889" s="8" t="s">
        <v>7086</v>
      </c>
      <c r="D2889" s="8" t="s">
        <v>3963</v>
      </c>
      <c r="E2889" s="8" t="b">
        <f t="shared" si="45"/>
        <v>0</v>
      </c>
      <c r="F2889" s="8" t="str" cm="1">
        <f t="array" ref="F2889">_xlfn._xlws.FILTER(E2889:E6087, C2889:C6087= "6D-PM-1020-01", "No Squirrels Found")</f>
        <v>No Squirrels Found</v>
      </c>
      <c r="G2889" s="8" t="s">
        <v>48</v>
      </c>
      <c r="H2889" s="10">
        <v>10182018</v>
      </c>
      <c r="I2889" s="10">
        <v>1</v>
      </c>
      <c r="J2889" s="8" t="s">
        <v>39</v>
      </c>
      <c r="K2889" s="8" t="s">
        <v>40</v>
      </c>
      <c r="L2889" s="8" t="s">
        <v>41</v>
      </c>
      <c r="M2889" s="8" t="s">
        <v>42</v>
      </c>
      <c r="O2889" s="8" t="s">
        <v>43</v>
      </c>
      <c r="P2889" s="8" t="b">
        <v>0</v>
      </c>
      <c r="R2889" s="8" t="b">
        <v>0</v>
      </c>
      <c r="S2889" s="8" t="b">
        <v>0</v>
      </c>
      <c r="T2889" s="8" t="b">
        <v>0</v>
      </c>
      <c r="U2889" s="8" t="b">
        <v>0</v>
      </c>
      <c r="V2889" s="8" t="b">
        <v>0</v>
      </c>
      <c r="W2889" s="11" t="s">
        <v>7087</v>
      </c>
      <c r="X2889" s="8" t="b">
        <v>0</v>
      </c>
      <c r="Y2889" s="8" t="b">
        <v>0</v>
      </c>
      <c r="Z2889" s="8" t="b">
        <v>0</v>
      </c>
      <c r="AA2889" s="8" t="b">
        <v>0</v>
      </c>
      <c r="AB2889" s="8" t="b">
        <v>0</v>
      </c>
      <c r="AC2889" s="8" t="b">
        <v>0</v>
      </c>
      <c r="AD2889" s="8" t="b">
        <v>0</v>
      </c>
      <c r="AE2889" s="8" t="b">
        <v>1</v>
      </c>
      <c r="AG2889" s="11" t="b" cm="1">
        <f t="array" ref="AG2889">IF(OR(Y2889:AA2889="TRUE", AE2889="true"), "Threatened")</f>
        <v>0</v>
      </c>
      <c r="AH2889" s="11" t="s">
        <v>7088</v>
      </c>
      <c r="AI2889" s="8" t="b">
        <v>0</v>
      </c>
    </row>
    <row r="2890" spans="1:35" ht="31.2">
      <c r="A2890" s="8">
        <v>-73.977164680000001</v>
      </c>
      <c r="B2890" s="8">
        <v>40.769304920000003</v>
      </c>
      <c r="C2890" s="8" t="s">
        <v>5336</v>
      </c>
      <c r="D2890" s="8" t="s">
        <v>1586</v>
      </c>
      <c r="E2890" s="8" t="b">
        <f t="shared" si="45"/>
        <v>0</v>
      </c>
      <c r="F2890" s="8" t="str" cm="1">
        <f t="array" ref="F2890">_xlfn._xlws.FILTER(E2890:E6088, C2890:C6088= "6D-PM-1020-01", "No Squirrels Found")</f>
        <v>No Squirrels Found</v>
      </c>
      <c r="G2890" s="8" t="s">
        <v>34</v>
      </c>
      <c r="H2890" s="10">
        <v>10102018</v>
      </c>
      <c r="I2890" s="10">
        <v>5</v>
      </c>
      <c r="J2890" s="8" t="s">
        <v>39</v>
      </c>
      <c r="K2890" s="8" t="s">
        <v>40</v>
      </c>
      <c r="L2890" s="8" t="s">
        <v>41</v>
      </c>
      <c r="M2890" s="8" t="s">
        <v>42</v>
      </c>
      <c r="O2890" s="8" t="s">
        <v>43</v>
      </c>
      <c r="P2890" s="8" t="b">
        <v>0</v>
      </c>
      <c r="R2890" s="8" t="b">
        <v>1</v>
      </c>
      <c r="S2890" s="8" t="b">
        <v>0</v>
      </c>
      <c r="T2890" s="8" t="b">
        <v>0</v>
      </c>
      <c r="U2890" s="8" t="b">
        <v>0</v>
      </c>
      <c r="V2890" s="8" t="b">
        <v>0</v>
      </c>
      <c r="X2890" s="8" t="b">
        <v>0</v>
      </c>
      <c r="Y2890" s="8" t="b">
        <v>0</v>
      </c>
      <c r="Z2890" s="8" t="b">
        <v>0</v>
      </c>
      <c r="AA2890" s="8" t="b">
        <v>0</v>
      </c>
      <c r="AB2890" s="8" t="b">
        <v>0</v>
      </c>
      <c r="AC2890" s="8" t="b">
        <v>0</v>
      </c>
      <c r="AD2890" s="8" t="b">
        <v>0</v>
      </c>
      <c r="AE2890" s="8" t="b">
        <v>0</v>
      </c>
      <c r="AG2890" s="11" t="b" cm="1">
        <f t="array" ref="AG2890">IF(OR(Y2890:AA2890="TRUE", AE2890="true"), "Threatened")</f>
        <v>0</v>
      </c>
      <c r="AH2890" s="11" t="s">
        <v>7089</v>
      </c>
      <c r="AI2890" s="8" t="b">
        <v>1</v>
      </c>
    </row>
    <row r="2891" spans="1:35" ht="31.2">
      <c r="A2891" s="8">
        <v>-73.972623609999999</v>
      </c>
      <c r="B2891" s="8">
        <v>40.778821780000001</v>
      </c>
      <c r="C2891" s="8" t="s">
        <v>7090</v>
      </c>
      <c r="D2891" s="8" t="s">
        <v>1141</v>
      </c>
      <c r="E2891" s="8" t="b">
        <f t="shared" si="45"/>
        <v>0</v>
      </c>
      <c r="F2891" s="8" t="str" cm="1">
        <f t="array" ref="F2891">_xlfn._xlws.FILTER(E2891:E6089, C2891:C6089= "6D-PM-1020-01", "No Squirrels Found")</f>
        <v>No Squirrels Found</v>
      </c>
      <c r="G2891" s="8" t="s">
        <v>34</v>
      </c>
      <c r="H2891" s="10">
        <v>10172018</v>
      </c>
      <c r="I2891" s="10">
        <v>3</v>
      </c>
      <c r="J2891" s="8" t="s">
        <v>39</v>
      </c>
      <c r="K2891" s="8" t="s">
        <v>40</v>
      </c>
      <c r="L2891" s="8" t="s">
        <v>84</v>
      </c>
      <c r="M2891" s="8" t="s">
        <v>103</v>
      </c>
      <c r="O2891" s="8" t="s">
        <v>43</v>
      </c>
      <c r="P2891" s="8" t="b">
        <v>0</v>
      </c>
      <c r="Q2891" s="8" t="s">
        <v>7091</v>
      </c>
      <c r="R2891" s="8" t="b">
        <v>1</v>
      </c>
      <c r="S2891" s="8" t="b">
        <v>0</v>
      </c>
      <c r="T2891" s="8" t="b">
        <v>0</v>
      </c>
      <c r="U2891" s="8" t="b">
        <v>0</v>
      </c>
      <c r="V2891" s="8" t="b">
        <v>1</v>
      </c>
      <c r="X2891" s="8" t="b">
        <v>0</v>
      </c>
      <c r="Y2891" s="8" t="b">
        <v>0</v>
      </c>
      <c r="Z2891" s="8" t="b">
        <v>0</v>
      </c>
      <c r="AA2891" s="8" t="b">
        <v>0</v>
      </c>
      <c r="AB2891" s="8" t="b">
        <v>0</v>
      </c>
      <c r="AC2891" s="8" t="b">
        <v>0</v>
      </c>
      <c r="AD2891" s="8" t="b">
        <v>1</v>
      </c>
      <c r="AE2891" s="8" t="b">
        <v>0</v>
      </c>
      <c r="AG2891" s="11" t="b" cm="1">
        <f t="array" ref="AG2891">IF(OR(Y2891:AA2891="TRUE", AE2891="true"), "Threatened")</f>
        <v>0</v>
      </c>
      <c r="AH2891" s="11" t="s">
        <v>7092</v>
      </c>
      <c r="AI2891" s="8" t="b">
        <v>1</v>
      </c>
    </row>
    <row r="2892" spans="1:35" ht="31.2">
      <c r="A2892" s="8">
        <v>-73.963648259999999</v>
      </c>
      <c r="B2892" s="8">
        <v>40.777583159999999</v>
      </c>
      <c r="C2892" s="8" t="s">
        <v>7093</v>
      </c>
      <c r="D2892" s="8" t="s">
        <v>1144</v>
      </c>
      <c r="E2892" s="8" t="b">
        <f t="shared" si="45"/>
        <v>0</v>
      </c>
      <c r="F2892" s="8" t="str" cm="1">
        <f t="array" ref="F2892">_xlfn._xlws.FILTER(E2892:E6090, C2892:C6090= "6D-PM-1020-01", "No Squirrels Found")</f>
        <v>No Squirrels Found</v>
      </c>
      <c r="G2892" s="8" t="s">
        <v>34</v>
      </c>
      <c r="H2892" s="10">
        <v>10072018</v>
      </c>
      <c r="I2892" s="10">
        <v>5</v>
      </c>
      <c r="J2892" s="8" t="s">
        <v>54</v>
      </c>
      <c r="K2892" s="8" t="s">
        <v>41</v>
      </c>
      <c r="L2892" s="8" t="s">
        <v>5106</v>
      </c>
      <c r="M2892" s="8" t="s">
        <v>5107</v>
      </c>
      <c r="O2892" s="8" t="s">
        <v>43</v>
      </c>
      <c r="P2892" s="8" t="b">
        <v>0</v>
      </c>
      <c r="R2892" s="8" t="b">
        <v>0</v>
      </c>
      <c r="S2892" s="8" t="b">
        <v>0</v>
      </c>
      <c r="T2892" s="8" t="b">
        <v>0</v>
      </c>
      <c r="U2892" s="8" t="b">
        <v>0</v>
      </c>
      <c r="V2892" s="8" t="b">
        <v>1</v>
      </c>
      <c r="W2892" s="11" t="s">
        <v>7094</v>
      </c>
      <c r="X2892" s="8" t="b">
        <v>0</v>
      </c>
      <c r="Y2892" s="8" t="b">
        <v>0</v>
      </c>
      <c r="Z2892" s="8" t="b">
        <v>0</v>
      </c>
      <c r="AA2892" s="8" t="b">
        <v>0</v>
      </c>
      <c r="AB2892" s="8" t="b">
        <v>0</v>
      </c>
      <c r="AC2892" s="8" t="b">
        <v>0</v>
      </c>
      <c r="AD2892" s="8" t="b">
        <v>1</v>
      </c>
      <c r="AE2892" s="8" t="b">
        <v>0</v>
      </c>
      <c r="AG2892" s="11" t="b" cm="1">
        <f t="array" ref="AG2892">IF(OR(Y2892:AA2892="TRUE", AE2892="true"), "Threatened")</f>
        <v>0</v>
      </c>
      <c r="AH2892" s="11" t="s">
        <v>7095</v>
      </c>
      <c r="AI2892" s="8" t="b">
        <v>0</v>
      </c>
    </row>
    <row r="2893" spans="1:35" ht="31.2">
      <c r="A2893" s="8">
        <v>-73.968807080000005</v>
      </c>
      <c r="B2893" s="8">
        <v>40.777968829999999</v>
      </c>
      <c r="C2893" s="8" t="s">
        <v>7096</v>
      </c>
      <c r="D2893" s="8" t="s">
        <v>271</v>
      </c>
      <c r="E2893" s="8" t="b">
        <f t="shared" si="45"/>
        <v>0</v>
      </c>
      <c r="F2893" s="8" t="str" cm="1">
        <f t="array" ref="F2893">_xlfn._xlws.FILTER(E2893:E6091, C2893:C6091= "6D-PM-1020-01", "No Squirrels Found")</f>
        <v>No Squirrels Found</v>
      </c>
      <c r="G2893" s="8" t="s">
        <v>48</v>
      </c>
      <c r="H2893" s="10">
        <v>10142018</v>
      </c>
      <c r="I2893" s="10">
        <v>6</v>
      </c>
      <c r="J2893" s="8" t="s">
        <v>39</v>
      </c>
      <c r="K2893" s="8" t="s">
        <v>40</v>
      </c>
      <c r="L2893" s="8" t="s">
        <v>41</v>
      </c>
      <c r="M2893" s="8" t="s">
        <v>42</v>
      </c>
      <c r="O2893" s="8" t="s">
        <v>43</v>
      </c>
      <c r="P2893" s="8" t="b">
        <v>0</v>
      </c>
      <c r="R2893" s="8" t="b">
        <v>0</v>
      </c>
      <c r="S2893" s="8" t="b">
        <v>0</v>
      </c>
      <c r="T2893" s="8" t="b">
        <v>1</v>
      </c>
      <c r="U2893" s="8" t="b">
        <v>0</v>
      </c>
      <c r="V2893" s="8" t="b">
        <v>1</v>
      </c>
      <c r="X2893" s="8" t="b">
        <v>0</v>
      </c>
      <c r="Y2893" s="8" t="b">
        <v>0</v>
      </c>
      <c r="Z2893" s="8" t="b">
        <v>0</v>
      </c>
      <c r="AA2893" s="8" t="b">
        <v>0</v>
      </c>
      <c r="AB2893" s="8" t="b">
        <v>0</v>
      </c>
      <c r="AC2893" s="8" t="b">
        <v>0</v>
      </c>
      <c r="AD2893" s="8" t="b">
        <v>0</v>
      </c>
      <c r="AE2893" s="8" t="b">
        <v>1</v>
      </c>
      <c r="AG2893" s="11" t="b" cm="1">
        <f t="array" ref="AG2893">IF(OR(Y2893:AA2893="TRUE", AE2893="true"), "Threatened")</f>
        <v>0</v>
      </c>
      <c r="AH2893" s="11" t="s">
        <v>7097</v>
      </c>
      <c r="AI2893" s="8" t="b">
        <v>1</v>
      </c>
    </row>
    <row r="2894" spans="1:35" ht="31.2">
      <c r="A2894" s="8">
        <v>-73.979310150000003</v>
      </c>
      <c r="B2894" s="8">
        <v>40.769260019999997</v>
      </c>
      <c r="C2894" s="8" t="s">
        <v>7098</v>
      </c>
      <c r="D2894" s="8" t="s">
        <v>465</v>
      </c>
      <c r="E2894" s="8" t="b">
        <f t="shared" si="45"/>
        <v>0</v>
      </c>
      <c r="F2894" s="8" t="str" cm="1">
        <f t="array" ref="F2894">_xlfn._xlws.FILTER(E2894:E6092, C2894:C6092= "6D-PM-1020-01", "No Squirrels Found")</f>
        <v>No Squirrels Found</v>
      </c>
      <c r="G2894" s="8" t="s">
        <v>34</v>
      </c>
      <c r="H2894" s="10">
        <v>10072018</v>
      </c>
      <c r="I2894" s="10">
        <v>2</v>
      </c>
      <c r="J2894" s="8" t="s">
        <v>39</v>
      </c>
      <c r="K2894" s="8" t="s">
        <v>40</v>
      </c>
      <c r="M2894" s="8" t="s">
        <v>55</v>
      </c>
      <c r="O2894" s="8" t="s">
        <v>50</v>
      </c>
      <c r="P2894" s="8">
        <v>10</v>
      </c>
      <c r="Q2894" s="8" t="s">
        <v>466</v>
      </c>
      <c r="R2894" s="8" t="b">
        <v>0</v>
      </c>
      <c r="S2894" s="8" t="b">
        <v>0</v>
      </c>
      <c r="T2894" s="8" t="b">
        <v>0</v>
      </c>
      <c r="U2894" s="8" t="b">
        <v>0</v>
      </c>
      <c r="V2894" s="8" t="b">
        <v>0</v>
      </c>
      <c r="W2894" s="11" t="s">
        <v>1219</v>
      </c>
      <c r="X2894" s="8" t="b">
        <v>0</v>
      </c>
      <c r="Y2894" s="8" t="b">
        <v>0</v>
      </c>
      <c r="Z2894" s="8" t="b">
        <v>0</v>
      </c>
      <c r="AA2894" s="8" t="b">
        <v>0</v>
      </c>
      <c r="AB2894" s="8" t="b">
        <v>0</v>
      </c>
      <c r="AC2894" s="8" t="b">
        <v>0</v>
      </c>
      <c r="AD2894" s="8" t="b">
        <v>0</v>
      </c>
      <c r="AE2894" s="8" t="b">
        <v>0</v>
      </c>
      <c r="AG2894" s="11" t="b" cm="1">
        <f t="array" ref="AG2894">IF(OR(Y2894:AA2894="TRUE", AE2894="true"), "Threatened")</f>
        <v>0</v>
      </c>
      <c r="AH2894" s="11" t="s">
        <v>7099</v>
      </c>
      <c r="AI2894" s="8" t="b">
        <v>0</v>
      </c>
    </row>
    <row r="2895" spans="1:35" ht="31.2">
      <c r="A2895" s="8">
        <v>-73.979734149999999</v>
      </c>
      <c r="B2895" s="8">
        <v>40.76821502</v>
      </c>
      <c r="C2895" s="8" t="s">
        <v>7100</v>
      </c>
      <c r="D2895" s="8" t="s">
        <v>219</v>
      </c>
      <c r="E2895" s="8" t="b">
        <f t="shared" si="45"/>
        <v>0</v>
      </c>
      <c r="F2895" s="8" t="str" cm="1">
        <f t="array" ref="F2895">_xlfn._xlws.FILTER(E2895:E6093, C2895:C6093= "6D-PM-1020-01", "No Squirrels Found")</f>
        <v>No Squirrels Found</v>
      </c>
      <c r="G2895" s="8" t="s">
        <v>48</v>
      </c>
      <c r="H2895" s="10">
        <v>10102018</v>
      </c>
      <c r="I2895" s="10">
        <v>6</v>
      </c>
      <c r="J2895" s="8" t="s">
        <v>39</v>
      </c>
      <c r="K2895" s="8" t="s">
        <v>40</v>
      </c>
      <c r="M2895" s="8" t="s">
        <v>55</v>
      </c>
      <c r="O2895" s="8" t="s">
        <v>43</v>
      </c>
      <c r="P2895" s="8" t="b">
        <v>0</v>
      </c>
      <c r="R2895" s="8" t="b">
        <v>0</v>
      </c>
      <c r="S2895" s="8" t="b">
        <v>0</v>
      </c>
      <c r="T2895" s="8" t="b">
        <v>0</v>
      </c>
      <c r="U2895" s="8" t="b">
        <v>0</v>
      </c>
      <c r="V2895" s="8" t="b">
        <v>1</v>
      </c>
      <c r="X2895" s="8" t="b">
        <v>0</v>
      </c>
      <c r="Y2895" s="8" t="b">
        <v>0</v>
      </c>
      <c r="Z2895" s="8" t="b">
        <v>0</v>
      </c>
      <c r="AA2895" s="8" t="b">
        <v>0</v>
      </c>
      <c r="AB2895" s="8" t="b">
        <v>0</v>
      </c>
      <c r="AC2895" s="8" t="b">
        <v>0</v>
      </c>
      <c r="AD2895" s="8" t="b">
        <v>1</v>
      </c>
      <c r="AE2895" s="8" t="b">
        <v>0</v>
      </c>
      <c r="AG2895" s="11" t="b" cm="1">
        <f t="array" ref="AG2895">IF(OR(Y2895:AA2895="TRUE", AE2895="true"), "Threatened")</f>
        <v>0</v>
      </c>
      <c r="AH2895" s="11" t="s">
        <v>7101</v>
      </c>
      <c r="AI2895" s="8" t="b">
        <v>1</v>
      </c>
    </row>
    <row r="2896" spans="1:35" ht="31.2">
      <c r="A2896" s="8">
        <v>-73.974787390000003</v>
      </c>
      <c r="B2896" s="8">
        <v>40.773194529999998</v>
      </c>
      <c r="C2896" s="8" t="s">
        <v>7102</v>
      </c>
      <c r="D2896" s="8" t="s">
        <v>1403</v>
      </c>
      <c r="E2896" s="8" t="b">
        <f t="shared" si="45"/>
        <v>0</v>
      </c>
      <c r="F2896" s="8" t="str" cm="1">
        <f t="array" ref="F2896">_xlfn._xlws.FILTER(E2896:E6094, C2896:C6094= "6D-PM-1020-01", "No Squirrels Found")</f>
        <v>No Squirrels Found</v>
      </c>
      <c r="G2896" s="8" t="s">
        <v>34</v>
      </c>
      <c r="H2896" s="10">
        <v>10062018</v>
      </c>
      <c r="I2896" s="10">
        <v>4</v>
      </c>
      <c r="J2896" s="8" t="s">
        <v>39</v>
      </c>
      <c r="K2896" s="8" t="s">
        <v>41</v>
      </c>
      <c r="L2896" s="8" t="s">
        <v>135</v>
      </c>
      <c r="M2896" s="8" t="s">
        <v>136</v>
      </c>
      <c r="O2896" s="8" t="s">
        <v>43</v>
      </c>
      <c r="P2896" s="8" t="b">
        <v>0</v>
      </c>
      <c r="R2896" s="8" t="b">
        <v>0</v>
      </c>
      <c r="S2896" s="8" t="b">
        <v>0</v>
      </c>
      <c r="T2896" s="8" t="b">
        <v>1</v>
      </c>
      <c r="U2896" s="8" t="b">
        <v>0</v>
      </c>
      <c r="V2896" s="8" t="b">
        <v>0</v>
      </c>
      <c r="X2896" s="8" t="b">
        <v>0</v>
      </c>
      <c r="Y2896" s="8" t="b">
        <v>0</v>
      </c>
      <c r="Z2896" s="8" t="b">
        <v>0</v>
      </c>
      <c r="AA2896" s="8" t="b">
        <v>0</v>
      </c>
      <c r="AB2896" s="8" t="b">
        <v>0</v>
      </c>
      <c r="AC2896" s="8" t="b">
        <v>0</v>
      </c>
      <c r="AD2896" s="8" t="b">
        <v>0</v>
      </c>
      <c r="AE2896" s="8" t="b">
        <v>0</v>
      </c>
      <c r="AG2896" s="11" t="b" cm="1">
        <f t="array" ref="AG2896">IF(OR(Y2896:AA2896="TRUE", AE2896="true"), "Threatened")</f>
        <v>0</v>
      </c>
      <c r="AH2896" s="11" t="s">
        <v>7103</v>
      </c>
      <c r="AI2896" s="8" t="b">
        <v>1</v>
      </c>
    </row>
    <row r="2897" spans="1:35" ht="31.2">
      <c r="A2897" s="8">
        <v>-73.970595860000003</v>
      </c>
      <c r="B2897" s="8">
        <v>40.783206079999999</v>
      </c>
      <c r="C2897" s="8" t="s">
        <v>7104</v>
      </c>
      <c r="D2897" s="8" t="s">
        <v>946</v>
      </c>
      <c r="E2897" s="8" t="b">
        <f t="shared" si="45"/>
        <v>0</v>
      </c>
      <c r="F2897" s="8" t="str" cm="1">
        <f t="array" ref="F2897">_xlfn._xlws.FILTER(E2897:E6095, C2897:C6095= "6D-PM-1020-01", "No Squirrels Found")</f>
        <v>No Squirrels Found</v>
      </c>
      <c r="G2897" s="8" t="s">
        <v>48</v>
      </c>
      <c r="H2897" s="10">
        <v>10102018</v>
      </c>
      <c r="I2897" s="10">
        <v>1</v>
      </c>
      <c r="J2897" s="8" t="s">
        <v>39</v>
      </c>
      <c r="K2897" s="8" t="s">
        <v>40</v>
      </c>
      <c r="L2897" s="8" t="s">
        <v>41</v>
      </c>
      <c r="M2897" s="8" t="s">
        <v>42</v>
      </c>
      <c r="O2897" s="8" t="s">
        <v>50</v>
      </c>
      <c r="P2897" s="8">
        <v>10</v>
      </c>
      <c r="R2897" s="8" t="b">
        <v>0</v>
      </c>
      <c r="S2897" s="8" t="b">
        <v>0</v>
      </c>
      <c r="T2897" s="8" t="b">
        <v>1</v>
      </c>
      <c r="U2897" s="8" t="b">
        <v>0</v>
      </c>
      <c r="V2897" s="8" t="b">
        <v>0</v>
      </c>
      <c r="X2897" s="8" t="b">
        <v>0</v>
      </c>
      <c r="Y2897" s="8" t="b">
        <v>0</v>
      </c>
      <c r="Z2897" s="8" t="b">
        <v>0</v>
      </c>
      <c r="AA2897" s="8" t="b">
        <v>0</v>
      </c>
      <c r="AB2897" s="8" t="b">
        <v>1</v>
      </c>
      <c r="AC2897" s="8" t="b">
        <v>0</v>
      </c>
      <c r="AD2897" s="8" t="b">
        <v>1</v>
      </c>
      <c r="AE2897" s="8" t="b">
        <v>0</v>
      </c>
      <c r="AG2897" s="11" t="b" cm="1">
        <f t="array" ref="AG2897">IF(OR(Y2897:AA2897="TRUE", AE2897="true"), "Threatened")</f>
        <v>0</v>
      </c>
      <c r="AH2897" s="11" t="s">
        <v>7105</v>
      </c>
      <c r="AI2897" s="8" t="b">
        <v>1</v>
      </c>
    </row>
    <row r="2898" spans="1:35" ht="31.2">
      <c r="A2898" s="8">
        <v>-73.968955449999996</v>
      </c>
      <c r="B2898" s="8">
        <v>40.777859339999999</v>
      </c>
      <c r="C2898" s="8" t="s">
        <v>7106</v>
      </c>
      <c r="D2898" s="8" t="s">
        <v>271</v>
      </c>
      <c r="E2898" s="8" t="b">
        <f t="shared" si="45"/>
        <v>0</v>
      </c>
      <c r="F2898" s="8" t="str" cm="1">
        <f t="array" ref="F2898">_xlfn._xlws.FILTER(E2898:E6096, C2898:C6096= "6D-PM-1020-01", "No Squirrels Found")</f>
        <v>No Squirrels Found</v>
      </c>
      <c r="G2898" s="8" t="s">
        <v>34</v>
      </c>
      <c r="H2898" s="10">
        <v>10182018</v>
      </c>
      <c r="I2898" s="10">
        <v>10</v>
      </c>
      <c r="J2898" s="8" t="s">
        <v>39</v>
      </c>
      <c r="K2898" s="8" t="s">
        <v>41</v>
      </c>
      <c r="L2898" s="8" t="s">
        <v>84</v>
      </c>
      <c r="M2898" s="8" t="s">
        <v>85</v>
      </c>
      <c r="O2898" s="8" t="s">
        <v>43</v>
      </c>
      <c r="P2898" s="8" t="b">
        <v>0</v>
      </c>
      <c r="R2898" s="8" t="b">
        <v>1</v>
      </c>
      <c r="S2898" s="8" t="b">
        <v>0</v>
      </c>
      <c r="T2898" s="8" t="b">
        <v>0</v>
      </c>
      <c r="U2898" s="8" t="b">
        <v>0</v>
      </c>
      <c r="V2898" s="8" t="b">
        <v>0</v>
      </c>
      <c r="X2898" s="8" t="b">
        <v>0</v>
      </c>
      <c r="Y2898" s="8" t="b">
        <v>0</v>
      </c>
      <c r="Z2898" s="8" t="b">
        <v>0</v>
      </c>
      <c r="AA2898" s="8" t="b">
        <v>0</v>
      </c>
      <c r="AB2898" s="8" t="b">
        <v>0</v>
      </c>
      <c r="AC2898" s="8" t="b">
        <v>0</v>
      </c>
      <c r="AD2898" s="8" t="b">
        <v>1</v>
      </c>
      <c r="AE2898" s="8" t="b">
        <v>0</v>
      </c>
      <c r="AG2898" s="11" t="b" cm="1">
        <f t="array" ref="AG2898">IF(OR(Y2898:AA2898="TRUE", AE2898="true"), "Threatened")</f>
        <v>0</v>
      </c>
      <c r="AH2898" s="11" t="s">
        <v>7107</v>
      </c>
      <c r="AI2898" s="8" t="b">
        <v>1</v>
      </c>
    </row>
    <row r="2899" spans="1:35" ht="31.2">
      <c r="A2899" s="8">
        <v>-73.979411819999996</v>
      </c>
      <c r="B2899" s="8">
        <v>40.767449550000002</v>
      </c>
      <c r="C2899" s="8" t="s">
        <v>7108</v>
      </c>
      <c r="D2899" s="8" t="s">
        <v>1301</v>
      </c>
      <c r="E2899" s="8" t="b">
        <f t="shared" si="45"/>
        <v>0</v>
      </c>
      <c r="F2899" s="8" t="str" cm="1">
        <f t="array" ref="F2899">_xlfn._xlws.FILTER(E2899:E6097, C2899:C6097= "6D-PM-1020-01", "No Squirrels Found")</f>
        <v>No Squirrels Found</v>
      </c>
      <c r="G2899" s="8" t="s">
        <v>48</v>
      </c>
      <c r="H2899" s="10">
        <v>10122018</v>
      </c>
      <c r="I2899" s="10">
        <v>2</v>
      </c>
      <c r="J2899" s="8" t="s">
        <v>39</v>
      </c>
      <c r="K2899" s="8" t="s">
        <v>40</v>
      </c>
      <c r="L2899" s="8" t="s">
        <v>117</v>
      </c>
      <c r="M2899" s="8" t="s">
        <v>118</v>
      </c>
      <c r="N2899" s="11" t="s">
        <v>5960</v>
      </c>
      <c r="O2899" s="8" t="s">
        <v>43</v>
      </c>
      <c r="P2899" s="8" t="b">
        <v>0</v>
      </c>
      <c r="R2899" s="8" t="b">
        <v>0</v>
      </c>
      <c r="S2899" s="8" t="b">
        <v>0</v>
      </c>
      <c r="T2899" s="8" t="b">
        <v>1</v>
      </c>
      <c r="U2899" s="8" t="b">
        <v>0</v>
      </c>
      <c r="V2899" s="8" t="b">
        <v>0</v>
      </c>
      <c r="X2899" s="8" t="b">
        <v>0</v>
      </c>
      <c r="Y2899" s="8" t="b">
        <v>0</v>
      </c>
      <c r="Z2899" s="8" t="b">
        <v>0</v>
      </c>
      <c r="AA2899" s="8" t="b">
        <v>0</v>
      </c>
      <c r="AB2899" s="8" t="b">
        <v>1</v>
      </c>
      <c r="AC2899" s="8" t="b">
        <v>0</v>
      </c>
      <c r="AD2899" s="8" t="b">
        <v>0</v>
      </c>
      <c r="AE2899" s="8" t="b">
        <v>1</v>
      </c>
      <c r="AG2899" s="11" t="b" cm="1">
        <f t="array" ref="AG2899">IF(OR(Y2899:AA2899="TRUE", AE2899="true"), "Threatened")</f>
        <v>0</v>
      </c>
      <c r="AH2899" s="11" t="s">
        <v>7109</v>
      </c>
      <c r="AI2899" s="8" t="b">
        <v>1</v>
      </c>
    </row>
    <row r="2900" spans="1:35" ht="31.2">
      <c r="A2900" s="8">
        <v>-73.968635809999995</v>
      </c>
      <c r="B2900" s="8">
        <v>40.777803550000002</v>
      </c>
      <c r="C2900" s="8" t="s">
        <v>7110</v>
      </c>
      <c r="D2900" s="8" t="s">
        <v>271</v>
      </c>
      <c r="E2900" s="8" t="b">
        <f t="shared" si="45"/>
        <v>0</v>
      </c>
      <c r="F2900" s="8" t="str" cm="1">
        <f t="array" ref="F2900">_xlfn._xlws.FILTER(E2900:E6098, C2900:C6098= "6D-PM-1020-01", "No Squirrels Found")</f>
        <v>No Squirrels Found</v>
      </c>
      <c r="G2900" s="8" t="s">
        <v>48</v>
      </c>
      <c r="H2900" s="10">
        <v>10142018</v>
      </c>
      <c r="I2900" s="10">
        <v>5</v>
      </c>
      <c r="J2900" s="8" t="s">
        <v>39</v>
      </c>
      <c r="K2900" s="8" t="s">
        <v>40</v>
      </c>
      <c r="L2900" s="8" t="s">
        <v>41</v>
      </c>
      <c r="M2900" s="8" t="s">
        <v>42</v>
      </c>
      <c r="O2900" s="8" t="s">
        <v>43</v>
      </c>
      <c r="P2900" s="8" t="b">
        <v>0</v>
      </c>
      <c r="R2900" s="8" t="b">
        <v>1</v>
      </c>
      <c r="S2900" s="8" t="b">
        <v>1</v>
      </c>
      <c r="T2900" s="8" t="b">
        <v>0</v>
      </c>
      <c r="U2900" s="8" t="b">
        <v>0</v>
      </c>
      <c r="V2900" s="8" t="b">
        <v>0</v>
      </c>
      <c r="X2900" s="8" t="b">
        <v>0</v>
      </c>
      <c r="Y2900" s="8" t="b">
        <v>0</v>
      </c>
      <c r="Z2900" s="8" t="b">
        <v>0</v>
      </c>
      <c r="AA2900" s="8" t="b">
        <v>0</v>
      </c>
      <c r="AB2900" s="8" t="b">
        <v>0</v>
      </c>
      <c r="AC2900" s="8" t="b">
        <v>0</v>
      </c>
      <c r="AD2900" s="8" t="b">
        <v>0</v>
      </c>
      <c r="AE2900" s="8" t="b">
        <v>0</v>
      </c>
      <c r="AG2900" s="11" t="b" cm="1">
        <f t="array" ref="AG2900">IF(OR(Y2900:AA2900="TRUE", AE2900="true"), "Threatened")</f>
        <v>0</v>
      </c>
      <c r="AH2900" s="11" t="s">
        <v>7111</v>
      </c>
      <c r="AI2900" s="8" t="b">
        <v>1</v>
      </c>
    </row>
    <row r="2901" spans="1:35" ht="31.2">
      <c r="A2901" s="8">
        <v>-73.963100549999993</v>
      </c>
      <c r="B2901" s="8">
        <v>40.788549410000002</v>
      </c>
      <c r="C2901" s="8" t="s">
        <v>7112</v>
      </c>
      <c r="D2901" s="8" t="s">
        <v>1052</v>
      </c>
      <c r="E2901" s="8" t="b">
        <f t="shared" si="45"/>
        <v>0</v>
      </c>
      <c r="F2901" s="8" t="str" cm="1">
        <f t="array" ref="F2901">_xlfn._xlws.FILTER(E2901:E6099, C2901:C6099= "6D-PM-1020-01", "No Squirrels Found")</f>
        <v>No Squirrels Found</v>
      </c>
      <c r="G2901" s="8" t="s">
        <v>48</v>
      </c>
      <c r="H2901" s="10">
        <v>10122018</v>
      </c>
      <c r="I2901" s="10">
        <v>1</v>
      </c>
      <c r="J2901" s="8" t="s">
        <v>39</v>
      </c>
      <c r="K2901" s="8" t="s">
        <v>41</v>
      </c>
      <c r="L2901" s="8" t="s">
        <v>84</v>
      </c>
      <c r="M2901" s="8" t="s">
        <v>85</v>
      </c>
      <c r="O2901" s="8" t="s">
        <v>43</v>
      </c>
      <c r="P2901" s="8" t="b">
        <v>0</v>
      </c>
      <c r="R2901" s="8" t="b">
        <v>1</v>
      </c>
      <c r="S2901" s="8" t="b">
        <v>0</v>
      </c>
      <c r="T2901" s="8" t="b">
        <v>0</v>
      </c>
      <c r="U2901" s="8" t="b">
        <v>0</v>
      </c>
      <c r="V2901" s="8" t="b">
        <v>1</v>
      </c>
      <c r="X2901" s="8" t="b">
        <v>0</v>
      </c>
      <c r="Y2901" s="8" t="b">
        <v>0</v>
      </c>
      <c r="Z2901" s="8" t="b">
        <v>0</v>
      </c>
      <c r="AA2901" s="8" t="b">
        <v>0</v>
      </c>
      <c r="AB2901" s="8" t="b">
        <v>1</v>
      </c>
      <c r="AC2901" s="8" t="b">
        <v>0</v>
      </c>
      <c r="AD2901" s="8" t="b">
        <v>0</v>
      </c>
      <c r="AE2901" s="8" t="b">
        <v>0</v>
      </c>
      <c r="AG2901" s="11" t="b" cm="1">
        <f t="array" ref="AG2901">IF(OR(Y2901:AA2901="TRUE", AE2901="true"), "Threatened")</f>
        <v>0</v>
      </c>
      <c r="AH2901" s="11" t="s">
        <v>7113</v>
      </c>
      <c r="AI2901" s="8" t="b">
        <v>1</v>
      </c>
    </row>
    <row r="2902" spans="1:35" ht="31.2">
      <c r="A2902" s="8">
        <v>-73.973583309999995</v>
      </c>
      <c r="B2902" s="8">
        <v>40.778631799999999</v>
      </c>
      <c r="C2902" s="8" t="s">
        <v>7114</v>
      </c>
      <c r="D2902" s="8" t="s">
        <v>797</v>
      </c>
      <c r="E2902" s="8" t="b">
        <f t="shared" si="45"/>
        <v>0</v>
      </c>
      <c r="F2902" s="8" t="str" cm="1">
        <f t="array" ref="F2902">_xlfn._xlws.FILTER(E2902:E6100, C2902:C6100= "6D-PM-1020-01", "No Squirrels Found")</f>
        <v>No Squirrels Found</v>
      </c>
      <c r="G2902" s="8" t="s">
        <v>34</v>
      </c>
      <c r="H2902" s="10">
        <v>10142018</v>
      </c>
      <c r="I2902" s="10">
        <v>8</v>
      </c>
      <c r="J2902" s="8" t="s">
        <v>39</v>
      </c>
      <c r="K2902" s="8" t="s">
        <v>40</v>
      </c>
      <c r="L2902" s="8" t="s">
        <v>117</v>
      </c>
      <c r="M2902" s="8" t="s">
        <v>118</v>
      </c>
      <c r="O2902" s="8" t="s">
        <v>43</v>
      </c>
      <c r="P2902" s="8" t="b">
        <v>0</v>
      </c>
      <c r="R2902" s="8" t="b">
        <v>0</v>
      </c>
      <c r="S2902" s="8" t="b">
        <v>0</v>
      </c>
      <c r="T2902" s="8" t="b">
        <v>0</v>
      </c>
      <c r="U2902" s="8" t="b">
        <v>0</v>
      </c>
      <c r="V2902" s="8" t="b">
        <v>1</v>
      </c>
      <c r="W2902" s="11" t="s">
        <v>7115</v>
      </c>
      <c r="X2902" s="8" t="b">
        <v>0</v>
      </c>
      <c r="Y2902" s="8" t="b">
        <v>0</v>
      </c>
      <c r="Z2902" s="8" t="b">
        <v>0</v>
      </c>
      <c r="AA2902" s="8" t="b">
        <v>0</v>
      </c>
      <c r="AB2902" s="8" t="b">
        <v>0</v>
      </c>
      <c r="AC2902" s="8" t="b">
        <v>0</v>
      </c>
      <c r="AD2902" s="8" t="b">
        <v>0</v>
      </c>
      <c r="AE2902" s="8" t="b">
        <v>1</v>
      </c>
      <c r="AG2902" s="11" t="b" cm="1">
        <f t="array" ref="AG2902">IF(OR(Y2902:AA2902="TRUE", AE2902="true"), "Threatened")</f>
        <v>0</v>
      </c>
      <c r="AH2902" s="11" t="s">
        <v>7116</v>
      </c>
      <c r="AI2902" s="8" t="b">
        <v>0</v>
      </c>
    </row>
    <row r="2903" spans="1:35" ht="31.2">
      <c r="A2903" s="8">
        <v>-73.967322050000007</v>
      </c>
      <c r="B2903" s="8">
        <v>40.777029630000001</v>
      </c>
      <c r="C2903" s="8" t="s">
        <v>7117</v>
      </c>
      <c r="D2903" s="8" t="s">
        <v>326</v>
      </c>
      <c r="E2903" s="8" t="b">
        <f t="shared" si="45"/>
        <v>0</v>
      </c>
      <c r="F2903" s="8" t="str" cm="1">
        <f t="array" ref="F2903">_xlfn._xlws.FILTER(E2903:E6101, C2903:C6101= "6D-PM-1020-01", "No Squirrels Found")</f>
        <v>No Squirrels Found</v>
      </c>
      <c r="G2903" s="8" t="s">
        <v>34</v>
      </c>
      <c r="H2903" s="10">
        <v>10192018</v>
      </c>
      <c r="I2903" s="10">
        <v>4</v>
      </c>
      <c r="J2903" s="8" t="s">
        <v>39</v>
      </c>
      <c r="K2903" s="8" t="s">
        <v>40</v>
      </c>
      <c r="M2903" s="8" t="s">
        <v>55</v>
      </c>
      <c r="O2903" s="8" t="s">
        <v>43</v>
      </c>
      <c r="P2903" s="8" t="b">
        <v>0</v>
      </c>
      <c r="R2903" s="8" t="b">
        <v>0</v>
      </c>
      <c r="S2903" s="8" t="b">
        <v>0</v>
      </c>
      <c r="T2903" s="8" t="b">
        <v>0</v>
      </c>
      <c r="U2903" s="8" t="b">
        <v>0</v>
      </c>
      <c r="V2903" s="8" t="b">
        <v>1</v>
      </c>
      <c r="X2903" s="8" t="b">
        <v>0</v>
      </c>
      <c r="Y2903" s="8" t="b">
        <v>0</v>
      </c>
      <c r="Z2903" s="8" t="b">
        <v>0</v>
      </c>
      <c r="AA2903" s="8" t="b">
        <v>0</v>
      </c>
      <c r="AB2903" s="8" t="b">
        <v>0</v>
      </c>
      <c r="AC2903" s="8" t="b">
        <v>0</v>
      </c>
      <c r="AD2903" s="8" t="b">
        <v>0</v>
      </c>
      <c r="AE2903" s="8" t="b">
        <v>0</v>
      </c>
      <c r="AG2903" s="11" t="b" cm="1">
        <f t="array" ref="AG2903">IF(OR(Y2903:AA2903="TRUE", AE2903="true"), "Threatened")</f>
        <v>0</v>
      </c>
      <c r="AH2903" s="11" t="s">
        <v>7118</v>
      </c>
      <c r="AI2903" s="8" t="b">
        <v>1</v>
      </c>
    </row>
    <row r="2904" spans="1:35" ht="31.2">
      <c r="A2904" s="8">
        <v>-73.96704321</v>
      </c>
      <c r="B2904" s="8">
        <v>40.775346200000001</v>
      </c>
      <c r="C2904" s="8" t="s">
        <v>7119</v>
      </c>
      <c r="D2904" s="8" t="s">
        <v>1320</v>
      </c>
      <c r="E2904" s="8" t="b">
        <f t="shared" si="45"/>
        <v>0</v>
      </c>
      <c r="F2904" s="8" t="str" cm="1">
        <f t="array" ref="F2904">_xlfn._xlws.FILTER(E2904:E6102, C2904:C6102= "6D-PM-1020-01", "No Squirrels Found")</f>
        <v>No Squirrels Found</v>
      </c>
      <c r="G2904" s="8" t="s">
        <v>34</v>
      </c>
      <c r="H2904" s="10">
        <v>10122018</v>
      </c>
      <c r="I2904" s="10">
        <v>3</v>
      </c>
      <c r="J2904" s="8" t="s">
        <v>39</v>
      </c>
      <c r="K2904" s="8" t="s">
        <v>40</v>
      </c>
      <c r="L2904" s="8" t="s">
        <v>117</v>
      </c>
      <c r="M2904" s="8" t="s">
        <v>118</v>
      </c>
      <c r="O2904" s="8" t="s">
        <v>50</v>
      </c>
      <c r="P2904" s="8">
        <v>20</v>
      </c>
      <c r="R2904" s="8" t="b">
        <v>1</v>
      </c>
      <c r="S2904" s="8" t="b">
        <v>0</v>
      </c>
      <c r="T2904" s="8" t="b">
        <v>0</v>
      </c>
      <c r="U2904" s="8" t="b">
        <v>1</v>
      </c>
      <c r="V2904" s="8" t="b">
        <v>1</v>
      </c>
      <c r="X2904" s="8" t="b">
        <v>0</v>
      </c>
      <c r="Y2904" s="8" t="b">
        <v>0</v>
      </c>
      <c r="Z2904" s="8" t="b">
        <v>0</v>
      </c>
      <c r="AA2904" s="8" t="b">
        <v>0</v>
      </c>
      <c r="AB2904" s="8" t="b">
        <v>0</v>
      </c>
      <c r="AC2904" s="8" t="b">
        <v>0</v>
      </c>
      <c r="AD2904" s="8" t="b">
        <v>1</v>
      </c>
      <c r="AE2904" s="8" t="b">
        <v>0</v>
      </c>
      <c r="AG2904" s="11" t="b" cm="1">
        <f t="array" ref="AG2904">IF(OR(Y2904:AA2904="TRUE", AE2904="true"), "Threatened")</f>
        <v>0</v>
      </c>
      <c r="AH2904" s="11" t="s">
        <v>7120</v>
      </c>
      <c r="AI2904" s="8" t="b">
        <v>1</v>
      </c>
    </row>
    <row r="2905" spans="1:35" ht="31.2">
      <c r="A2905" s="8">
        <v>-73.972038979999994</v>
      </c>
      <c r="B2905" s="8">
        <v>40.776352410000001</v>
      </c>
      <c r="C2905" s="8" t="s">
        <v>7121</v>
      </c>
      <c r="D2905" s="8" t="s">
        <v>613</v>
      </c>
      <c r="E2905" s="8" t="b">
        <f t="shared" si="45"/>
        <v>0</v>
      </c>
      <c r="F2905" s="8" t="str" cm="1">
        <f t="array" ref="F2905">_xlfn._xlws.FILTER(E2905:E6103, C2905:C6103= "6D-PM-1020-01", "No Squirrels Found")</f>
        <v>No Squirrels Found</v>
      </c>
      <c r="G2905" s="8" t="s">
        <v>34</v>
      </c>
      <c r="H2905" s="10">
        <v>10192018</v>
      </c>
      <c r="I2905" s="10">
        <v>2</v>
      </c>
      <c r="J2905" s="8" t="s">
        <v>39</v>
      </c>
      <c r="K2905" s="8" t="s">
        <v>40</v>
      </c>
      <c r="M2905" s="8" t="s">
        <v>55</v>
      </c>
      <c r="O2905" s="8" t="s">
        <v>43</v>
      </c>
      <c r="P2905" s="8" t="b">
        <v>0</v>
      </c>
      <c r="R2905" s="8" t="b">
        <v>1</v>
      </c>
      <c r="S2905" s="8" t="b">
        <v>0</v>
      </c>
      <c r="T2905" s="8" t="b">
        <v>0</v>
      </c>
      <c r="U2905" s="8" t="b">
        <v>0</v>
      </c>
      <c r="V2905" s="8" t="b">
        <v>0</v>
      </c>
      <c r="X2905" s="8" t="b">
        <v>0</v>
      </c>
      <c r="Y2905" s="8" t="b">
        <v>0</v>
      </c>
      <c r="Z2905" s="8" t="b">
        <v>0</v>
      </c>
      <c r="AA2905" s="8" t="b">
        <v>0</v>
      </c>
      <c r="AB2905" s="8" t="b">
        <v>1</v>
      </c>
      <c r="AC2905" s="8" t="b">
        <v>0</v>
      </c>
      <c r="AD2905" s="8" t="b">
        <v>1</v>
      </c>
      <c r="AE2905" s="8" t="b">
        <v>0</v>
      </c>
      <c r="AG2905" s="11" t="b" cm="1">
        <f t="array" ref="AG2905">IF(OR(Y2905:AA2905="TRUE", AE2905="true"), "Threatened")</f>
        <v>0</v>
      </c>
      <c r="AH2905" s="11" t="s">
        <v>7122</v>
      </c>
      <c r="AI2905" s="8" t="b">
        <v>1</v>
      </c>
    </row>
    <row r="2906" spans="1:35" ht="31.2">
      <c r="A2906" s="8">
        <v>-73.978487270000002</v>
      </c>
      <c r="B2906" s="8">
        <v>40.768812259999997</v>
      </c>
      <c r="C2906" s="8" t="s">
        <v>7123</v>
      </c>
      <c r="D2906" s="8" t="s">
        <v>835</v>
      </c>
      <c r="E2906" s="8" t="b">
        <f t="shared" si="45"/>
        <v>0</v>
      </c>
      <c r="F2906" s="8" t="str" cm="1">
        <f t="array" ref="F2906">_xlfn._xlws.FILTER(E2906:E6104, C2906:C6104= "6D-PM-1020-01", "No Squirrels Found")</f>
        <v>No Squirrels Found</v>
      </c>
      <c r="G2906" s="8" t="s">
        <v>48</v>
      </c>
      <c r="H2906" s="10">
        <v>10072018</v>
      </c>
      <c r="I2906" s="10">
        <v>1</v>
      </c>
      <c r="J2906" s="8" t="s">
        <v>39</v>
      </c>
      <c r="K2906" s="8" t="s">
        <v>40</v>
      </c>
      <c r="L2906" s="8" t="s">
        <v>117</v>
      </c>
      <c r="M2906" s="8" t="s">
        <v>118</v>
      </c>
      <c r="O2906" s="8" t="s">
        <v>43</v>
      </c>
      <c r="P2906" s="8" t="b">
        <v>0</v>
      </c>
      <c r="R2906" s="8" t="b">
        <v>1</v>
      </c>
      <c r="S2906" s="8" t="b">
        <v>0</v>
      </c>
      <c r="T2906" s="8" t="b">
        <v>0</v>
      </c>
      <c r="U2906" s="8" t="b">
        <v>0</v>
      </c>
      <c r="V2906" s="8" t="b">
        <v>0</v>
      </c>
      <c r="X2906" s="8" t="b">
        <v>0</v>
      </c>
      <c r="Y2906" s="8" t="b">
        <v>0</v>
      </c>
      <c r="Z2906" s="8" t="b">
        <v>0</v>
      </c>
      <c r="AA2906" s="8" t="b">
        <v>0</v>
      </c>
      <c r="AB2906" s="8" t="b">
        <v>0</v>
      </c>
      <c r="AC2906" s="8" t="b">
        <v>0</v>
      </c>
      <c r="AD2906" s="8" t="b">
        <v>1</v>
      </c>
      <c r="AE2906" s="8" t="b">
        <v>0</v>
      </c>
      <c r="AG2906" s="11" t="b" cm="1">
        <f t="array" ref="AG2906">IF(OR(Y2906:AA2906="TRUE", AE2906="true"), "Threatened")</f>
        <v>0</v>
      </c>
      <c r="AH2906" s="11" t="s">
        <v>7124</v>
      </c>
      <c r="AI2906" s="8" t="b">
        <v>1</v>
      </c>
    </row>
    <row r="2907" spans="1:35" ht="31.2">
      <c r="A2907" s="8">
        <v>-73.959726000000003</v>
      </c>
      <c r="B2907" s="8">
        <v>40.790707419999997</v>
      </c>
      <c r="C2907" s="8" t="s">
        <v>7125</v>
      </c>
      <c r="D2907" s="8" t="s">
        <v>75</v>
      </c>
      <c r="E2907" s="8" t="b">
        <f t="shared" si="45"/>
        <v>0</v>
      </c>
      <c r="F2907" s="8" t="str" cm="1">
        <f t="array" ref="F2907">_xlfn._xlws.FILTER(E2907:E6105, C2907:C6105= "6D-PM-1020-01", "No Squirrels Found")</f>
        <v>No Squirrels Found</v>
      </c>
      <c r="G2907" s="8" t="s">
        <v>48</v>
      </c>
      <c r="H2907" s="10">
        <v>10072018</v>
      </c>
      <c r="I2907" s="10">
        <v>4</v>
      </c>
      <c r="J2907" s="8" t="s">
        <v>39</v>
      </c>
      <c r="K2907" s="8" t="s">
        <v>40</v>
      </c>
      <c r="L2907" s="8" t="s">
        <v>84</v>
      </c>
      <c r="M2907" s="8" t="s">
        <v>103</v>
      </c>
      <c r="O2907" s="8" t="s">
        <v>43</v>
      </c>
      <c r="P2907" s="8" t="b">
        <v>0</v>
      </c>
      <c r="R2907" s="8" t="b">
        <v>0</v>
      </c>
      <c r="S2907" s="8" t="b">
        <v>0</v>
      </c>
      <c r="T2907" s="8" t="b">
        <v>0</v>
      </c>
      <c r="U2907" s="8" t="b">
        <v>0</v>
      </c>
      <c r="V2907" s="8" t="b">
        <v>1</v>
      </c>
      <c r="X2907" s="8" t="b">
        <v>0</v>
      </c>
      <c r="Y2907" s="8" t="b">
        <v>0</v>
      </c>
      <c r="Z2907" s="8" t="b">
        <v>0</v>
      </c>
      <c r="AA2907" s="8" t="b">
        <v>0</v>
      </c>
      <c r="AB2907" s="8" t="b">
        <v>0</v>
      </c>
      <c r="AC2907" s="8" t="b">
        <v>0</v>
      </c>
      <c r="AD2907" s="8" t="b">
        <v>1</v>
      </c>
      <c r="AE2907" s="8" t="b">
        <v>0</v>
      </c>
      <c r="AG2907" s="11" t="b" cm="1">
        <f t="array" ref="AG2907">IF(OR(Y2907:AA2907="TRUE", AE2907="true"), "Threatened")</f>
        <v>0</v>
      </c>
      <c r="AH2907" s="11" t="s">
        <v>7126</v>
      </c>
      <c r="AI2907" s="8" t="b">
        <v>1</v>
      </c>
    </row>
    <row r="2908" spans="1:35" ht="31.2">
      <c r="A2908" s="8">
        <v>-73.968520159999997</v>
      </c>
      <c r="B2908" s="8">
        <v>40.783329260000002</v>
      </c>
      <c r="C2908" s="8" t="s">
        <v>7127</v>
      </c>
      <c r="D2908" s="8" t="s">
        <v>1415</v>
      </c>
      <c r="E2908" s="8" t="b">
        <f t="shared" si="45"/>
        <v>0</v>
      </c>
      <c r="F2908" s="8" t="str" cm="1">
        <f t="array" ref="F2908">_xlfn._xlws.FILTER(E2908:E6106, C2908:C6106= "6D-PM-1020-01", "No Squirrels Found")</f>
        <v>No Squirrels Found</v>
      </c>
      <c r="G2908" s="8" t="s">
        <v>48</v>
      </c>
      <c r="H2908" s="10">
        <v>10192018</v>
      </c>
      <c r="I2908" s="10">
        <v>5</v>
      </c>
      <c r="J2908" s="8" t="s">
        <v>39</v>
      </c>
      <c r="K2908" s="8" t="s">
        <v>40</v>
      </c>
      <c r="M2908" s="8" t="s">
        <v>55</v>
      </c>
      <c r="O2908" s="8" t="s">
        <v>43</v>
      </c>
      <c r="P2908" s="8" t="b">
        <v>0</v>
      </c>
      <c r="R2908" s="8" t="b">
        <v>1</v>
      </c>
      <c r="S2908" s="8" t="b">
        <v>0</v>
      </c>
      <c r="T2908" s="8" t="b">
        <v>0</v>
      </c>
      <c r="U2908" s="8" t="b">
        <v>0</v>
      </c>
      <c r="V2908" s="8" t="b">
        <v>1</v>
      </c>
      <c r="X2908" s="8" t="b">
        <v>0</v>
      </c>
      <c r="Y2908" s="8" t="b">
        <v>0</v>
      </c>
      <c r="Z2908" s="8" t="b">
        <v>0</v>
      </c>
      <c r="AA2908" s="8" t="b">
        <v>0</v>
      </c>
      <c r="AB2908" s="8" t="b">
        <v>0</v>
      </c>
      <c r="AC2908" s="8" t="b">
        <v>0</v>
      </c>
      <c r="AD2908" s="8" t="b">
        <v>1</v>
      </c>
      <c r="AE2908" s="8" t="b">
        <v>0</v>
      </c>
      <c r="AG2908" s="11" t="b" cm="1">
        <f t="array" ref="AG2908">IF(OR(Y2908:AA2908="TRUE", AE2908="true"), "Threatened")</f>
        <v>0</v>
      </c>
      <c r="AH2908" s="11" t="s">
        <v>7128</v>
      </c>
      <c r="AI2908" s="8" t="b">
        <v>1</v>
      </c>
    </row>
    <row r="2909" spans="1:35" ht="31.2">
      <c r="A2909" s="8">
        <v>-73.96542882</v>
      </c>
      <c r="B2909" s="8">
        <v>40.7815954</v>
      </c>
      <c r="C2909" s="8" t="s">
        <v>7129</v>
      </c>
      <c r="D2909" s="8" t="s">
        <v>1059</v>
      </c>
      <c r="E2909" s="8" t="b">
        <f t="shared" si="45"/>
        <v>0</v>
      </c>
      <c r="F2909" s="8" t="str" cm="1">
        <f t="array" ref="F2909">_xlfn._xlws.FILTER(E2909:E6107, C2909:C6107= "6D-PM-1020-01", "No Squirrels Found")</f>
        <v>No Squirrels Found</v>
      </c>
      <c r="G2909" s="8" t="s">
        <v>48</v>
      </c>
      <c r="H2909" s="10">
        <v>10172018</v>
      </c>
      <c r="I2909" s="10">
        <v>2</v>
      </c>
      <c r="J2909" s="8" t="s">
        <v>39</v>
      </c>
      <c r="K2909" s="8" t="s">
        <v>40</v>
      </c>
      <c r="M2909" s="8" t="s">
        <v>55</v>
      </c>
      <c r="O2909" s="8" t="s">
        <v>50</v>
      </c>
      <c r="P2909" s="8">
        <v>7</v>
      </c>
      <c r="R2909" s="8" t="b">
        <v>0</v>
      </c>
      <c r="S2909" s="8" t="b">
        <v>1</v>
      </c>
      <c r="T2909" s="8" t="b">
        <v>0</v>
      </c>
      <c r="U2909" s="8" t="b">
        <v>0</v>
      </c>
      <c r="V2909" s="8" t="b">
        <v>0</v>
      </c>
      <c r="X2909" s="8" t="b">
        <v>0</v>
      </c>
      <c r="Y2909" s="8" t="b">
        <v>0</v>
      </c>
      <c r="Z2909" s="8" t="b">
        <v>0</v>
      </c>
      <c r="AA2909" s="8" t="b">
        <v>0</v>
      </c>
      <c r="AB2909" s="8" t="b">
        <v>0</v>
      </c>
      <c r="AC2909" s="8" t="b">
        <v>0</v>
      </c>
      <c r="AD2909" s="8" t="b">
        <v>1</v>
      </c>
      <c r="AE2909" s="8" t="b">
        <v>0</v>
      </c>
      <c r="AG2909" s="11" t="b" cm="1">
        <f t="array" ref="AG2909">IF(OR(Y2909:AA2909="TRUE", AE2909="true"), "Threatened")</f>
        <v>0</v>
      </c>
      <c r="AH2909" s="11" t="s">
        <v>7130</v>
      </c>
      <c r="AI2909" s="8" t="b">
        <v>1</v>
      </c>
    </row>
    <row r="2910" spans="1:35" ht="31.2">
      <c r="A2910" s="8">
        <v>-73.956447890000007</v>
      </c>
      <c r="B2910" s="8">
        <v>40.79769288</v>
      </c>
      <c r="C2910" s="8" t="s">
        <v>7131</v>
      </c>
      <c r="D2910" s="8" t="s">
        <v>1248</v>
      </c>
      <c r="E2910" s="8" t="b">
        <f t="shared" si="45"/>
        <v>0</v>
      </c>
      <c r="F2910" s="8" t="str" cm="1">
        <f t="array" ref="F2910">_xlfn._xlws.FILTER(E2910:E6108, C2910:C6108= "6D-PM-1020-01", "No Squirrels Found")</f>
        <v>No Squirrels Found</v>
      </c>
      <c r="G2910" s="8" t="s">
        <v>34</v>
      </c>
      <c r="H2910" s="10">
        <v>10062018</v>
      </c>
      <c r="I2910" s="10">
        <v>4</v>
      </c>
      <c r="J2910" s="8" t="s">
        <v>39</v>
      </c>
      <c r="K2910" s="8" t="s">
        <v>192</v>
      </c>
      <c r="M2910" s="8" t="s">
        <v>193</v>
      </c>
      <c r="O2910" s="8" t="s">
        <v>43</v>
      </c>
      <c r="P2910" s="8" t="b">
        <v>0</v>
      </c>
      <c r="R2910" s="8" t="b">
        <v>1</v>
      </c>
      <c r="S2910" s="8" t="b">
        <v>0</v>
      </c>
      <c r="T2910" s="8" t="b">
        <v>0</v>
      </c>
      <c r="U2910" s="8" t="b">
        <v>0</v>
      </c>
      <c r="V2910" s="8" t="b">
        <v>0</v>
      </c>
      <c r="X2910" s="8" t="b">
        <v>0</v>
      </c>
      <c r="Y2910" s="8" t="b">
        <v>0</v>
      </c>
      <c r="Z2910" s="8" t="b">
        <v>0</v>
      </c>
      <c r="AA2910" s="8" t="b">
        <v>0</v>
      </c>
      <c r="AB2910" s="8" t="b">
        <v>0</v>
      </c>
      <c r="AC2910" s="8" t="b">
        <v>0</v>
      </c>
      <c r="AD2910" s="8" t="b">
        <v>0</v>
      </c>
      <c r="AE2910" s="8" t="b">
        <v>1</v>
      </c>
      <c r="AG2910" s="11" t="b" cm="1">
        <f t="array" ref="AG2910">IF(OR(Y2910:AA2910="TRUE", AE2910="true"), "Threatened")</f>
        <v>0</v>
      </c>
      <c r="AH2910" s="11" t="s">
        <v>7132</v>
      </c>
      <c r="AI2910" s="8" t="b">
        <v>1</v>
      </c>
    </row>
    <row r="2911" spans="1:35" ht="31.2">
      <c r="A2911" s="8">
        <v>-73.950606300000004</v>
      </c>
      <c r="B2911" s="8">
        <v>40.79761895</v>
      </c>
      <c r="C2911" s="8" t="s">
        <v>7133</v>
      </c>
      <c r="D2911" s="8" t="s">
        <v>686</v>
      </c>
      <c r="E2911" s="8" t="b">
        <f t="shared" si="45"/>
        <v>0</v>
      </c>
      <c r="F2911" s="8" t="str" cm="1">
        <f t="array" ref="F2911">_xlfn._xlws.FILTER(E2911:E6109, C2911:C6109= "6D-PM-1020-01", "No Squirrels Found")</f>
        <v>No Squirrels Found</v>
      </c>
      <c r="G2911" s="8" t="s">
        <v>34</v>
      </c>
      <c r="H2911" s="10">
        <v>10142018</v>
      </c>
      <c r="I2911" s="10">
        <v>3</v>
      </c>
      <c r="J2911" s="8" t="s">
        <v>39</v>
      </c>
      <c r="M2911" s="8" t="s">
        <v>35</v>
      </c>
      <c r="R2911" s="8" t="b">
        <v>0</v>
      </c>
      <c r="S2911" s="8" t="b">
        <v>0</v>
      </c>
      <c r="T2911" s="8" t="b">
        <v>0</v>
      </c>
      <c r="U2911" s="8" t="b">
        <v>0</v>
      </c>
      <c r="V2911" s="8" t="b">
        <v>0</v>
      </c>
      <c r="X2911" s="8" t="b">
        <v>0</v>
      </c>
      <c r="Y2911" s="8" t="b">
        <v>0</v>
      </c>
      <c r="Z2911" s="8" t="b">
        <v>0</v>
      </c>
      <c r="AA2911" s="8" t="b">
        <v>0</v>
      </c>
      <c r="AB2911" s="8" t="b">
        <v>0</v>
      </c>
      <c r="AC2911" s="8" t="b">
        <v>0</v>
      </c>
      <c r="AD2911" s="8" t="b">
        <v>0</v>
      </c>
      <c r="AE2911" s="8" t="b">
        <v>1</v>
      </c>
      <c r="AG2911" s="11" t="b" cm="1">
        <f t="array" ref="AG2911">IF(OR(Y2911:AA2911="TRUE", AE2911="true"), "Threatened")</f>
        <v>0</v>
      </c>
      <c r="AH2911" s="11" t="s">
        <v>7134</v>
      </c>
      <c r="AI2911" s="8" t="b">
        <v>1</v>
      </c>
    </row>
    <row r="2912" spans="1:35" ht="31.2">
      <c r="A2912" s="8">
        <v>-73.979392399999995</v>
      </c>
      <c r="B2912" s="8">
        <v>40.770847549999999</v>
      </c>
      <c r="C2912" s="8" t="s">
        <v>7135</v>
      </c>
      <c r="D2912" s="8" t="s">
        <v>342</v>
      </c>
      <c r="E2912" s="8" t="b">
        <f t="shared" si="45"/>
        <v>0</v>
      </c>
      <c r="F2912" s="8" t="str" cm="1">
        <f t="array" ref="F2912">_xlfn._xlws.FILTER(E2912:E6110, C2912:C6110= "6D-PM-1020-01", "No Squirrels Found")</f>
        <v>No Squirrels Found</v>
      </c>
      <c r="G2912" s="8" t="s">
        <v>48</v>
      </c>
      <c r="H2912" s="10">
        <v>10062018</v>
      </c>
      <c r="I2912" s="10">
        <v>1</v>
      </c>
      <c r="J2912" s="8" t="s">
        <v>39</v>
      </c>
      <c r="K2912" s="8" t="s">
        <v>40</v>
      </c>
      <c r="M2912" s="8" t="s">
        <v>55</v>
      </c>
      <c r="O2912" s="8" t="s">
        <v>50</v>
      </c>
      <c r="P2912" s="8">
        <v>10</v>
      </c>
      <c r="Q2912" s="8" t="s">
        <v>7136</v>
      </c>
      <c r="R2912" s="8" t="b">
        <v>0</v>
      </c>
      <c r="S2912" s="8" t="b">
        <v>0</v>
      </c>
      <c r="T2912" s="8" t="b">
        <v>1</v>
      </c>
      <c r="U2912" s="8" t="b">
        <v>0</v>
      </c>
      <c r="V2912" s="8" t="b">
        <v>0</v>
      </c>
      <c r="X2912" s="8" t="b">
        <v>0</v>
      </c>
      <c r="Y2912" s="8" t="b">
        <v>0</v>
      </c>
      <c r="Z2912" s="8" t="b">
        <v>0</v>
      </c>
      <c r="AA2912" s="8" t="b">
        <v>0</v>
      </c>
      <c r="AB2912" s="8" t="b">
        <v>0</v>
      </c>
      <c r="AC2912" s="8" t="b">
        <v>0</v>
      </c>
      <c r="AD2912" s="8" t="b">
        <v>1</v>
      </c>
      <c r="AE2912" s="8" t="b">
        <v>0</v>
      </c>
      <c r="AG2912" s="11" t="b" cm="1">
        <f t="array" ref="AG2912">IF(OR(Y2912:AA2912="TRUE", AE2912="true"), "Threatened")</f>
        <v>0</v>
      </c>
      <c r="AH2912" s="11" t="s">
        <v>7137</v>
      </c>
      <c r="AI2912" s="8" t="b">
        <v>1</v>
      </c>
    </row>
    <row r="2913" spans="1:35" ht="31.2">
      <c r="A2913" s="8">
        <v>-73.963216470000006</v>
      </c>
      <c r="B2913" s="8">
        <v>40.792127010000002</v>
      </c>
      <c r="C2913" s="8" t="s">
        <v>7138</v>
      </c>
      <c r="D2913" s="8" t="s">
        <v>785</v>
      </c>
      <c r="E2913" s="8" t="b">
        <f t="shared" si="45"/>
        <v>0</v>
      </c>
      <c r="F2913" s="8" t="str" cm="1">
        <f t="array" ref="F2913">_xlfn._xlws.FILTER(E2913:E6111, C2913:C6111= "6D-PM-1020-01", "No Squirrels Found")</f>
        <v>No Squirrels Found</v>
      </c>
      <c r="G2913" s="8" t="s">
        <v>34</v>
      </c>
      <c r="H2913" s="10">
        <v>10102018</v>
      </c>
      <c r="I2913" s="10">
        <v>3</v>
      </c>
      <c r="J2913" s="8" t="s">
        <v>39</v>
      </c>
      <c r="K2913" s="8" t="s">
        <v>41</v>
      </c>
      <c r="L2913" s="8" t="s">
        <v>40</v>
      </c>
      <c r="M2913" s="8" t="s">
        <v>110</v>
      </c>
      <c r="O2913" s="8" t="s">
        <v>50</v>
      </c>
      <c r="P2913" s="8">
        <v>15</v>
      </c>
      <c r="R2913" s="8" t="b">
        <v>0</v>
      </c>
      <c r="S2913" s="8" t="b">
        <v>0</v>
      </c>
      <c r="T2913" s="8" t="b">
        <v>0</v>
      </c>
      <c r="U2913" s="8" t="b">
        <v>1</v>
      </c>
      <c r="V2913" s="8" t="b">
        <v>0</v>
      </c>
      <c r="X2913" s="8" t="b">
        <v>0</v>
      </c>
      <c r="Y2913" s="8" t="b">
        <v>0</v>
      </c>
      <c r="Z2913" s="8" t="b">
        <v>0</v>
      </c>
      <c r="AA2913" s="8" t="b">
        <v>0</v>
      </c>
      <c r="AB2913" s="8" t="b">
        <v>0</v>
      </c>
      <c r="AC2913" s="8" t="b">
        <v>0</v>
      </c>
      <c r="AD2913" s="8" t="b">
        <v>0</v>
      </c>
      <c r="AE2913" s="8" t="b">
        <v>0</v>
      </c>
      <c r="AG2913" s="11" t="b" cm="1">
        <f t="array" ref="AG2913">IF(OR(Y2913:AA2913="TRUE", AE2913="true"), "Threatened")</f>
        <v>0</v>
      </c>
      <c r="AH2913" s="11" t="s">
        <v>7139</v>
      </c>
      <c r="AI2913" s="8" t="b">
        <v>1</v>
      </c>
    </row>
    <row r="2914" spans="1:35" ht="31.2">
      <c r="A2914" s="8">
        <v>-73.962129790000006</v>
      </c>
      <c r="B2914" s="8">
        <v>40.794405820000001</v>
      </c>
      <c r="C2914" s="8" t="s">
        <v>7140</v>
      </c>
      <c r="D2914" s="8" t="s">
        <v>2657</v>
      </c>
      <c r="E2914" s="8" t="b">
        <f t="shared" si="45"/>
        <v>0</v>
      </c>
      <c r="F2914" s="8" t="str" cm="1">
        <f t="array" ref="F2914">_xlfn._xlws.FILTER(E2914:E6112, C2914:C6112= "6D-PM-1020-01", "No Squirrels Found")</f>
        <v>No Squirrels Found</v>
      </c>
      <c r="G2914" s="8" t="s">
        <v>34</v>
      </c>
      <c r="H2914" s="10">
        <v>10132018</v>
      </c>
      <c r="I2914" s="10">
        <v>5</v>
      </c>
      <c r="J2914" s="8" t="s">
        <v>39</v>
      </c>
      <c r="K2914" s="8" t="s">
        <v>41</v>
      </c>
      <c r="L2914" s="8" t="s">
        <v>40</v>
      </c>
      <c r="M2914" s="8" t="s">
        <v>110</v>
      </c>
      <c r="O2914" s="8" t="s">
        <v>50</v>
      </c>
      <c r="P2914" s="8">
        <v>4</v>
      </c>
      <c r="R2914" s="8" t="b">
        <v>1</v>
      </c>
      <c r="S2914" s="8" t="b">
        <v>0</v>
      </c>
      <c r="T2914" s="8" t="b">
        <v>0</v>
      </c>
      <c r="U2914" s="8" t="b">
        <v>0</v>
      </c>
      <c r="V2914" s="8" t="b">
        <v>0</v>
      </c>
      <c r="X2914" s="8" t="b">
        <v>0</v>
      </c>
      <c r="Y2914" s="8" t="b">
        <v>0</v>
      </c>
      <c r="Z2914" s="8" t="b">
        <v>0</v>
      </c>
      <c r="AA2914" s="8" t="b">
        <v>0</v>
      </c>
      <c r="AB2914" s="8" t="b">
        <v>0</v>
      </c>
      <c r="AC2914" s="8" t="b">
        <v>0</v>
      </c>
      <c r="AD2914" s="8" t="b">
        <v>0</v>
      </c>
      <c r="AE2914" s="8" t="b">
        <v>0</v>
      </c>
      <c r="AG2914" s="11" t="b" cm="1">
        <f t="array" ref="AG2914">IF(OR(Y2914:AA2914="TRUE", AE2914="true"), "Threatened")</f>
        <v>0</v>
      </c>
      <c r="AH2914" s="11" t="s">
        <v>7141</v>
      </c>
      <c r="AI2914" s="8" t="b">
        <v>1</v>
      </c>
    </row>
    <row r="2915" spans="1:35" ht="31.2">
      <c r="A2915" s="8">
        <v>-73.972205340000002</v>
      </c>
      <c r="B2915" s="8">
        <v>40.766209500000002</v>
      </c>
      <c r="C2915" s="8" t="s">
        <v>7142</v>
      </c>
      <c r="D2915" s="8" t="s">
        <v>988</v>
      </c>
      <c r="E2915" s="8" t="b">
        <f t="shared" si="45"/>
        <v>0</v>
      </c>
      <c r="F2915" s="8" t="str" cm="1">
        <f t="array" ref="F2915">_xlfn._xlws.FILTER(E2915:E6113, C2915:C6113= "6D-PM-1020-01", "No Squirrels Found")</f>
        <v>No Squirrels Found</v>
      </c>
      <c r="G2915" s="8" t="s">
        <v>48</v>
      </c>
      <c r="H2915" s="10">
        <v>10102018</v>
      </c>
      <c r="I2915" s="10">
        <v>3</v>
      </c>
      <c r="J2915" s="8" t="s">
        <v>39</v>
      </c>
      <c r="K2915" s="8" t="s">
        <v>40</v>
      </c>
      <c r="M2915" s="8" t="s">
        <v>55</v>
      </c>
      <c r="O2915" s="8" t="s">
        <v>50</v>
      </c>
      <c r="P2915" s="8">
        <v>50</v>
      </c>
      <c r="R2915" s="8" t="b">
        <v>1</v>
      </c>
      <c r="S2915" s="8" t="b">
        <v>0</v>
      </c>
      <c r="T2915" s="8" t="b">
        <v>0</v>
      </c>
      <c r="U2915" s="8" t="b">
        <v>0</v>
      </c>
      <c r="V2915" s="8" t="b">
        <v>0</v>
      </c>
      <c r="X2915" s="8" t="b">
        <v>0</v>
      </c>
      <c r="Y2915" s="8" t="b">
        <v>0</v>
      </c>
      <c r="Z2915" s="8" t="b">
        <v>0</v>
      </c>
      <c r="AA2915" s="8" t="b">
        <v>0</v>
      </c>
      <c r="AB2915" s="8" t="b">
        <v>0</v>
      </c>
      <c r="AC2915" s="8" t="b">
        <v>0</v>
      </c>
      <c r="AD2915" s="8" t="b">
        <v>1</v>
      </c>
      <c r="AE2915" s="8" t="b">
        <v>0</v>
      </c>
      <c r="AG2915" s="11" t="b" cm="1">
        <f t="array" ref="AG2915">IF(OR(Y2915:AA2915="TRUE", AE2915="true"), "Threatened")</f>
        <v>0</v>
      </c>
      <c r="AH2915" s="11" t="s">
        <v>7143</v>
      </c>
      <c r="AI2915" s="8" t="b">
        <v>1</v>
      </c>
    </row>
    <row r="2916" spans="1:35" ht="31.2">
      <c r="A2916" s="8">
        <v>-73.973463039999999</v>
      </c>
      <c r="B2916" s="8">
        <v>40.765309709999997</v>
      </c>
      <c r="C2916" s="8" t="s">
        <v>7144</v>
      </c>
      <c r="D2916" s="8" t="s">
        <v>1096</v>
      </c>
      <c r="E2916" s="8" t="b">
        <f t="shared" si="45"/>
        <v>0</v>
      </c>
      <c r="F2916" s="8" t="str" cm="1">
        <f t="array" ref="F2916">_xlfn._xlws.FILTER(E2916:E6114, C2916:C6114= "6D-PM-1020-01", "No Squirrels Found")</f>
        <v>No Squirrels Found</v>
      </c>
      <c r="G2916" s="8" t="s">
        <v>34</v>
      </c>
      <c r="H2916" s="10">
        <v>10132018</v>
      </c>
      <c r="I2916" s="10">
        <v>2</v>
      </c>
      <c r="J2916" s="8" t="s">
        <v>39</v>
      </c>
      <c r="K2916" s="8" t="s">
        <v>41</v>
      </c>
      <c r="L2916" s="8" t="s">
        <v>40</v>
      </c>
      <c r="M2916" s="8" t="s">
        <v>110</v>
      </c>
      <c r="O2916" s="8" t="s">
        <v>43</v>
      </c>
      <c r="P2916" s="8" t="b">
        <v>0</v>
      </c>
      <c r="R2916" s="8" t="b">
        <v>0</v>
      </c>
      <c r="S2916" s="8" t="b">
        <v>0</v>
      </c>
      <c r="T2916" s="8" t="b">
        <v>0</v>
      </c>
      <c r="U2916" s="8" t="b">
        <v>1</v>
      </c>
      <c r="V2916" s="8" t="b">
        <v>1</v>
      </c>
      <c r="X2916" s="8" t="b">
        <v>0</v>
      </c>
      <c r="Y2916" s="8" t="b">
        <v>0</v>
      </c>
      <c r="Z2916" s="8" t="b">
        <v>0</v>
      </c>
      <c r="AA2916" s="8" t="b">
        <v>0</v>
      </c>
      <c r="AB2916" s="8" t="b">
        <v>0</v>
      </c>
      <c r="AC2916" s="8" t="b">
        <v>0</v>
      </c>
      <c r="AD2916" s="8" t="b">
        <v>1</v>
      </c>
      <c r="AE2916" s="8" t="b">
        <v>0</v>
      </c>
      <c r="AG2916" s="11" t="b" cm="1">
        <f t="array" ref="AG2916">IF(OR(Y2916:AA2916="TRUE", AE2916="true"), "Threatened")</f>
        <v>0</v>
      </c>
      <c r="AH2916" s="11" t="s">
        <v>7145</v>
      </c>
      <c r="AI2916" s="8" t="b">
        <v>1</v>
      </c>
    </row>
    <row r="2917" spans="1:35" ht="31.2">
      <c r="A2917" s="8">
        <v>-73.951752510000006</v>
      </c>
      <c r="B2917" s="8">
        <v>40.797440760000001</v>
      </c>
      <c r="C2917" s="8" t="s">
        <v>7146</v>
      </c>
      <c r="D2917" s="8" t="s">
        <v>401</v>
      </c>
      <c r="E2917" s="8" t="b">
        <f t="shared" si="45"/>
        <v>0</v>
      </c>
      <c r="F2917" s="8" t="str" cm="1">
        <f t="array" ref="F2917">_xlfn._xlws.FILTER(E2917:E6115, C2917:C6115= "6D-PM-1020-01", "No Squirrels Found")</f>
        <v>No Squirrels Found</v>
      </c>
      <c r="G2917" s="8" t="s">
        <v>34</v>
      </c>
      <c r="H2917" s="10">
        <v>10142018</v>
      </c>
      <c r="I2917" s="10">
        <v>2</v>
      </c>
      <c r="J2917" s="8" t="s">
        <v>39</v>
      </c>
      <c r="K2917" s="8" t="s">
        <v>40</v>
      </c>
      <c r="L2917" s="8" t="s">
        <v>117</v>
      </c>
      <c r="M2917" s="8" t="s">
        <v>118</v>
      </c>
      <c r="O2917" s="8" t="s">
        <v>50</v>
      </c>
      <c r="P2917" s="8">
        <v>14</v>
      </c>
      <c r="R2917" s="8" t="b">
        <v>0</v>
      </c>
      <c r="S2917" s="8" t="b">
        <v>0</v>
      </c>
      <c r="T2917" s="8" t="b">
        <v>1</v>
      </c>
      <c r="U2917" s="8" t="b">
        <v>1</v>
      </c>
      <c r="V2917" s="8" t="b">
        <v>0</v>
      </c>
      <c r="X2917" s="8" t="b">
        <v>0</v>
      </c>
      <c r="Y2917" s="8" t="b">
        <v>0</v>
      </c>
      <c r="Z2917" s="8" t="b">
        <v>0</v>
      </c>
      <c r="AA2917" s="8" t="b">
        <v>0</v>
      </c>
      <c r="AB2917" s="8" t="b">
        <v>0</v>
      </c>
      <c r="AC2917" s="8" t="b">
        <v>0</v>
      </c>
      <c r="AD2917" s="8" t="b">
        <v>1</v>
      </c>
      <c r="AE2917" s="8" t="b">
        <v>0</v>
      </c>
      <c r="AG2917" s="11" t="b" cm="1">
        <f t="array" ref="AG2917">IF(OR(Y2917:AA2917="TRUE", AE2917="true"), "Threatened")</f>
        <v>0</v>
      </c>
      <c r="AH2917" s="11" t="s">
        <v>7147</v>
      </c>
      <c r="AI2917" s="8" t="b">
        <v>1</v>
      </c>
    </row>
    <row r="2918" spans="1:35" ht="31.2">
      <c r="A2918" s="8">
        <v>-73.977031389999993</v>
      </c>
      <c r="B2918" s="8">
        <v>40.772486929999999</v>
      </c>
      <c r="C2918" s="8" t="s">
        <v>7148</v>
      </c>
      <c r="D2918" s="8" t="s">
        <v>72</v>
      </c>
      <c r="E2918" s="8" t="b">
        <f t="shared" si="45"/>
        <v>0</v>
      </c>
      <c r="F2918" s="8" t="str" cm="1">
        <f t="array" ref="F2918">_xlfn._xlws.FILTER(E2918:E6116, C2918:C6116= "6D-PM-1020-01", "No Squirrels Found")</f>
        <v>No Squirrels Found</v>
      </c>
      <c r="G2918" s="8" t="s">
        <v>48</v>
      </c>
      <c r="H2918" s="10">
        <v>10082018</v>
      </c>
      <c r="I2918" s="10">
        <v>5</v>
      </c>
      <c r="J2918" s="8" t="s">
        <v>39</v>
      </c>
      <c r="K2918" s="8" t="s">
        <v>40</v>
      </c>
      <c r="M2918" s="8" t="s">
        <v>55</v>
      </c>
      <c r="O2918" s="8" t="s">
        <v>50</v>
      </c>
      <c r="R2918" s="8" t="b">
        <v>0</v>
      </c>
      <c r="S2918" s="8" t="b">
        <v>1</v>
      </c>
      <c r="T2918" s="8" t="b">
        <v>0</v>
      </c>
      <c r="U2918" s="8" t="b">
        <v>0</v>
      </c>
      <c r="V2918" s="8" t="b">
        <v>0</v>
      </c>
      <c r="X2918" s="8" t="b">
        <v>0</v>
      </c>
      <c r="Y2918" s="8" t="b">
        <v>0</v>
      </c>
      <c r="Z2918" s="8" t="b">
        <v>0</v>
      </c>
      <c r="AA2918" s="8" t="b">
        <v>0</v>
      </c>
      <c r="AB2918" s="8" t="b">
        <v>0</v>
      </c>
      <c r="AC2918" s="8" t="b">
        <v>0</v>
      </c>
      <c r="AD2918" s="8" t="b">
        <v>1</v>
      </c>
      <c r="AE2918" s="8" t="b">
        <v>0</v>
      </c>
      <c r="AG2918" s="11" t="b" cm="1">
        <f t="array" ref="AG2918">IF(OR(Y2918:AA2918="TRUE", AE2918="true"), "Threatened")</f>
        <v>0</v>
      </c>
      <c r="AH2918" s="11" t="s">
        <v>7149</v>
      </c>
      <c r="AI2918" s="8" t="b">
        <v>1</v>
      </c>
    </row>
    <row r="2919" spans="1:35" ht="31.2">
      <c r="A2919" s="8">
        <v>-73.974515249999996</v>
      </c>
      <c r="B2919" s="8">
        <v>40.765541550000002</v>
      </c>
      <c r="C2919" s="8" t="s">
        <v>7150</v>
      </c>
      <c r="D2919" s="8" t="s">
        <v>966</v>
      </c>
      <c r="E2919" s="8" t="b">
        <f t="shared" si="45"/>
        <v>0</v>
      </c>
      <c r="F2919" s="8" t="str" cm="1">
        <f t="array" ref="F2919">_xlfn._xlws.FILTER(E2919:E6117, C2919:C6117= "6D-PM-1020-01", "No Squirrels Found")</f>
        <v>No Squirrels Found</v>
      </c>
      <c r="G2919" s="8" t="s">
        <v>48</v>
      </c>
      <c r="H2919" s="10">
        <v>10062018</v>
      </c>
      <c r="I2919" s="10">
        <v>4</v>
      </c>
      <c r="J2919" s="8" t="s">
        <v>39</v>
      </c>
      <c r="K2919" s="8" t="s">
        <v>40</v>
      </c>
      <c r="L2919" s="8" t="s">
        <v>84</v>
      </c>
      <c r="M2919" s="8" t="s">
        <v>103</v>
      </c>
      <c r="R2919" s="8" t="b">
        <v>0</v>
      </c>
      <c r="S2919" s="8" t="b">
        <v>1</v>
      </c>
      <c r="T2919" s="8" t="b">
        <v>0</v>
      </c>
      <c r="U2919" s="8" t="b">
        <v>0</v>
      </c>
      <c r="V2919" s="8" t="b">
        <v>1</v>
      </c>
      <c r="W2919" s="11" t="s">
        <v>7151</v>
      </c>
      <c r="X2919" s="8" t="b">
        <v>0</v>
      </c>
      <c r="Y2919" s="8" t="b">
        <v>0</v>
      </c>
      <c r="Z2919" s="8" t="b">
        <v>0</v>
      </c>
      <c r="AA2919" s="8" t="b">
        <v>0</v>
      </c>
      <c r="AB2919" s="8" t="b">
        <v>1</v>
      </c>
      <c r="AC2919" s="8" t="b">
        <v>0</v>
      </c>
      <c r="AD2919" s="8" t="b">
        <v>1</v>
      </c>
      <c r="AE2919" s="8" t="b">
        <v>0</v>
      </c>
      <c r="AG2919" s="11" t="b" cm="1">
        <f t="array" ref="AG2919">IF(OR(Y2919:AA2919="TRUE", AE2919="true"), "Threatened")</f>
        <v>0</v>
      </c>
      <c r="AH2919" s="11" t="s">
        <v>7152</v>
      </c>
      <c r="AI2919" s="8" t="b">
        <v>0</v>
      </c>
    </row>
    <row r="2920" spans="1:35" ht="31.2">
      <c r="A2920" s="8">
        <v>-73.976856339999998</v>
      </c>
      <c r="B2920" s="8">
        <v>40.774448730000003</v>
      </c>
      <c r="C2920" s="8" t="s">
        <v>7153</v>
      </c>
      <c r="D2920" s="8" t="s">
        <v>859</v>
      </c>
      <c r="E2920" s="8" t="b">
        <f t="shared" si="45"/>
        <v>0</v>
      </c>
      <c r="F2920" s="8" t="str" cm="1">
        <f t="array" ref="F2920">_xlfn._xlws.FILTER(E2920:E6118, C2920:C6118= "6D-PM-1020-01", "No Squirrels Found")</f>
        <v>No Squirrels Found</v>
      </c>
      <c r="G2920" s="8" t="s">
        <v>48</v>
      </c>
      <c r="H2920" s="10">
        <v>10132018</v>
      </c>
      <c r="I2920" s="10">
        <v>12</v>
      </c>
      <c r="J2920" s="8" t="s">
        <v>54</v>
      </c>
      <c r="K2920" s="8" t="s">
        <v>41</v>
      </c>
      <c r="L2920" s="8" t="s">
        <v>40</v>
      </c>
      <c r="M2920" s="8" t="s">
        <v>110</v>
      </c>
      <c r="O2920" s="8" t="s">
        <v>43</v>
      </c>
      <c r="P2920" s="8" t="b">
        <v>0</v>
      </c>
      <c r="Q2920" s="8" t="s">
        <v>1771</v>
      </c>
      <c r="R2920" s="8" t="b">
        <v>1</v>
      </c>
      <c r="S2920" s="8" t="b">
        <v>1</v>
      </c>
      <c r="T2920" s="8" t="b">
        <v>0</v>
      </c>
      <c r="U2920" s="8" t="b">
        <v>0</v>
      </c>
      <c r="V2920" s="8" t="b">
        <v>0</v>
      </c>
      <c r="X2920" s="8" t="b">
        <v>0</v>
      </c>
      <c r="Y2920" s="8" t="b">
        <v>0</v>
      </c>
      <c r="Z2920" s="8" t="b">
        <v>0</v>
      </c>
      <c r="AA2920" s="8" t="b">
        <v>0</v>
      </c>
      <c r="AB2920" s="8" t="b">
        <v>0</v>
      </c>
      <c r="AC2920" s="8" t="b">
        <v>0</v>
      </c>
      <c r="AD2920" s="8" t="b">
        <v>1</v>
      </c>
      <c r="AE2920" s="8" t="b">
        <v>0</v>
      </c>
      <c r="AG2920" s="11" t="b" cm="1">
        <f t="array" ref="AG2920">IF(OR(Y2920:AA2920="TRUE", AE2920="true"), "Threatened")</f>
        <v>0</v>
      </c>
      <c r="AH2920" s="11" t="s">
        <v>7154</v>
      </c>
      <c r="AI2920" s="8" t="b">
        <v>1</v>
      </c>
    </row>
    <row r="2921" spans="1:35" ht="31.2">
      <c r="A2921" s="8">
        <v>-73.965739189999994</v>
      </c>
      <c r="B2921" s="8">
        <v>40.776502469999997</v>
      </c>
      <c r="C2921" s="8" t="s">
        <v>7155</v>
      </c>
      <c r="D2921" s="8" t="s">
        <v>1530</v>
      </c>
      <c r="E2921" s="8" t="b">
        <f t="shared" si="45"/>
        <v>0</v>
      </c>
      <c r="F2921" s="8" t="str" cm="1">
        <f t="array" ref="F2921">_xlfn._xlws.FILTER(E2921:E6119, C2921:C6119= "6D-PM-1020-01", "No Squirrels Found")</f>
        <v>No Squirrels Found</v>
      </c>
      <c r="G2921" s="8" t="s">
        <v>34</v>
      </c>
      <c r="H2921" s="10">
        <v>10142018</v>
      </c>
      <c r="I2921" s="10">
        <v>1</v>
      </c>
      <c r="J2921" s="8" t="s">
        <v>54</v>
      </c>
      <c r="K2921" s="8" t="s">
        <v>40</v>
      </c>
      <c r="L2921" s="8" t="s">
        <v>84</v>
      </c>
      <c r="M2921" s="8" t="s">
        <v>103</v>
      </c>
      <c r="O2921" s="8" t="s">
        <v>43</v>
      </c>
      <c r="P2921" s="8" t="b">
        <v>0</v>
      </c>
      <c r="R2921" s="8" t="b">
        <v>1</v>
      </c>
      <c r="S2921" s="8" t="b">
        <v>0</v>
      </c>
      <c r="T2921" s="8" t="b">
        <v>0</v>
      </c>
      <c r="U2921" s="8" t="b">
        <v>0</v>
      </c>
      <c r="V2921" s="8" t="b">
        <v>0</v>
      </c>
      <c r="X2921" s="8" t="b">
        <v>0</v>
      </c>
      <c r="Y2921" s="8" t="b">
        <v>0</v>
      </c>
      <c r="Z2921" s="8" t="b">
        <v>0</v>
      </c>
      <c r="AA2921" s="8" t="b">
        <v>0</v>
      </c>
      <c r="AB2921" s="8" t="b">
        <v>0</v>
      </c>
      <c r="AC2921" s="8" t="b">
        <v>0</v>
      </c>
      <c r="AD2921" s="8" t="b">
        <v>1</v>
      </c>
      <c r="AE2921" s="8" t="b">
        <v>0</v>
      </c>
      <c r="AG2921" s="11" t="b" cm="1">
        <f t="array" ref="AG2921">IF(OR(Y2921:AA2921="TRUE", AE2921="true"), "Threatened")</f>
        <v>0</v>
      </c>
      <c r="AH2921" s="11" t="s">
        <v>7156</v>
      </c>
      <c r="AI2921" s="8" t="b">
        <v>1</v>
      </c>
    </row>
    <row r="2922" spans="1:35" ht="31.2">
      <c r="A2922" s="8">
        <v>-73.969957350000001</v>
      </c>
      <c r="B2922" s="8">
        <v>40.776585779999998</v>
      </c>
      <c r="C2922" s="8" t="s">
        <v>7157</v>
      </c>
      <c r="D2922" s="8" t="s">
        <v>121</v>
      </c>
      <c r="E2922" s="8" t="b">
        <f t="shared" si="45"/>
        <v>0</v>
      </c>
      <c r="F2922" s="8" t="str" cm="1">
        <f t="array" ref="F2922">_xlfn._xlws.FILTER(E2922:E6120, C2922:C6120= "6D-PM-1020-01", "No Squirrels Found")</f>
        <v>No Squirrels Found</v>
      </c>
      <c r="G2922" s="8" t="s">
        <v>48</v>
      </c>
      <c r="H2922" s="10">
        <v>10082018</v>
      </c>
      <c r="I2922" s="10">
        <v>10</v>
      </c>
      <c r="J2922" s="8" t="s">
        <v>39</v>
      </c>
      <c r="K2922" s="8" t="s">
        <v>40</v>
      </c>
      <c r="M2922" s="8" t="s">
        <v>55</v>
      </c>
      <c r="O2922" s="8" t="s">
        <v>43</v>
      </c>
      <c r="P2922" s="8" t="b">
        <v>0</v>
      </c>
      <c r="R2922" s="8" t="b">
        <v>0</v>
      </c>
      <c r="S2922" s="8" t="b">
        <v>0</v>
      </c>
      <c r="T2922" s="8" t="b">
        <v>0</v>
      </c>
      <c r="U2922" s="8" t="b">
        <v>1</v>
      </c>
      <c r="V2922" s="8" t="b">
        <v>1</v>
      </c>
      <c r="X2922" s="8" t="b">
        <v>0</v>
      </c>
      <c r="Y2922" s="8" t="b">
        <v>0</v>
      </c>
      <c r="Z2922" s="8" t="b">
        <v>0</v>
      </c>
      <c r="AA2922" s="8" t="b">
        <v>0</v>
      </c>
      <c r="AB2922" s="8" t="b">
        <v>0</v>
      </c>
      <c r="AC2922" s="8" t="b">
        <v>0</v>
      </c>
      <c r="AD2922" s="8" t="b">
        <v>1</v>
      </c>
      <c r="AE2922" s="8" t="b">
        <v>0</v>
      </c>
      <c r="AG2922" s="11" t="b" cm="1">
        <f t="array" ref="AG2922">IF(OR(Y2922:AA2922="TRUE", AE2922="true"), "Threatened")</f>
        <v>0</v>
      </c>
      <c r="AH2922" s="11" t="s">
        <v>7158</v>
      </c>
      <c r="AI2922" s="8" t="b">
        <v>1</v>
      </c>
    </row>
    <row r="2923" spans="1:35" ht="31.2">
      <c r="A2923" s="8">
        <v>-73.97034214</v>
      </c>
      <c r="B2923" s="8">
        <v>40.777370660000003</v>
      </c>
      <c r="C2923" s="8" t="s">
        <v>7159</v>
      </c>
      <c r="D2923" s="8" t="s">
        <v>741</v>
      </c>
      <c r="E2923" s="8" t="b">
        <f t="shared" si="45"/>
        <v>0</v>
      </c>
      <c r="F2923" s="8" t="str" cm="1">
        <f t="array" ref="F2923">_xlfn._xlws.FILTER(E2923:E6121, C2923:C6121= "6D-PM-1020-01", "No Squirrels Found")</f>
        <v>No Squirrels Found</v>
      </c>
      <c r="G2923" s="8" t="s">
        <v>48</v>
      </c>
      <c r="H2923" s="10">
        <v>10142018</v>
      </c>
      <c r="I2923" s="10">
        <v>1</v>
      </c>
      <c r="J2923" s="8" t="s">
        <v>39</v>
      </c>
      <c r="K2923" s="8" t="s">
        <v>40</v>
      </c>
      <c r="L2923" s="8" t="s">
        <v>117</v>
      </c>
      <c r="M2923" s="8" t="s">
        <v>118</v>
      </c>
      <c r="O2923" s="8" t="s">
        <v>43</v>
      </c>
      <c r="P2923" s="8" t="b">
        <v>0</v>
      </c>
      <c r="R2923" s="8" t="b">
        <v>0</v>
      </c>
      <c r="S2923" s="8" t="b">
        <v>0</v>
      </c>
      <c r="T2923" s="8" t="b">
        <v>0</v>
      </c>
      <c r="U2923" s="8" t="b">
        <v>0</v>
      </c>
      <c r="V2923" s="8" t="b">
        <v>1</v>
      </c>
      <c r="X2923" s="8" t="b">
        <v>0</v>
      </c>
      <c r="Y2923" s="8" t="b">
        <v>0</v>
      </c>
      <c r="Z2923" s="8" t="b">
        <v>0</v>
      </c>
      <c r="AA2923" s="8" t="b">
        <v>0</v>
      </c>
      <c r="AB2923" s="8" t="b">
        <v>0</v>
      </c>
      <c r="AC2923" s="8" t="b">
        <v>1</v>
      </c>
      <c r="AD2923" s="8" t="b">
        <v>0</v>
      </c>
      <c r="AE2923" s="8" t="b">
        <v>0</v>
      </c>
      <c r="AG2923" s="11" t="b" cm="1">
        <f t="array" ref="AG2923">IF(OR(Y2923:AA2923="TRUE", AE2923="true"), "Threatened")</f>
        <v>0</v>
      </c>
      <c r="AH2923" s="11" t="s">
        <v>7160</v>
      </c>
      <c r="AI2923" s="8" t="b">
        <v>1</v>
      </c>
    </row>
    <row r="2924" spans="1:35" ht="31.2">
      <c r="A2924" s="8">
        <v>-73.967216050000005</v>
      </c>
      <c r="B2924" s="8">
        <v>40.783026390000003</v>
      </c>
      <c r="C2924" s="8" t="s">
        <v>7161</v>
      </c>
      <c r="D2924" s="8" t="s">
        <v>95</v>
      </c>
      <c r="E2924" s="8" t="b">
        <f t="shared" si="45"/>
        <v>0</v>
      </c>
      <c r="F2924" s="8" t="str" cm="1">
        <f t="array" ref="F2924">_xlfn._xlws.FILTER(E2924:E6122, C2924:C6122= "6D-PM-1020-01", "No Squirrels Found")</f>
        <v>No Squirrels Found</v>
      </c>
      <c r="G2924" s="8" t="s">
        <v>48</v>
      </c>
      <c r="H2924" s="10">
        <v>10142018</v>
      </c>
      <c r="I2924" s="10">
        <v>5</v>
      </c>
      <c r="J2924" s="8" t="s">
        <v>39</v>
      </c>
      <c r="K2924" s="8" t="s">
        <v>40</v>
      </c>
      <c r="L2924" s="8" t="s">
        <v>41</v>
      </c>
      <c r="M2924" s="8" t="s">
        <v>42</v>
      </c>
      <c r="O2924" s="8" t="s">
        <v>43</v>
      </c>
      <c r="P2924" s="8" t="b">
        <v>0</v>
      </c>
      <c r="R2924" s="8" t="b">
        <v>1</v>
      </c>
      <c r="S2924" s="8" t="b">
        <v>0</v>
      </c>
      <c r="T2924" s="8" t="b">
        <v>0</v>
      </c>
      <c r="U2924" s="8" t="b">
        <v>0</v>
      </c>
      <c r="V2924" s="8" t="b">
        <v>0</v>
      </c>
      <c r="X2924" s="8" t="b">
        <v>0</v>
      </c>
      <c r="Y2924" s="8" t="b">
        <v>0</v>
      </c>
      <c r="Z2924" s="8" t="b">
        <v>0</v>
      </c>
      <c r="AA2924" s="8" t="b">
        <v>1</v>
      </c>
      <c r="AB2924" s="8" t="b">
        <v>0</v>
      </c>
      <c r="AC2924" s="8" t="b">
        <v>0</v>
      </c>
      <c r="AD2924" s="8" t="b">
        <v>1</v>
      </c>
      <c r="AE2924" s="8" t="b">
        <v>0</v>
      </c>
      <c r="AG2924" s="11" t="b" cm="1">
        <f t="array" ref="AG2924">IF(OR(Y2924:AA2924="TRUE", AE2924="true"), "Threatened")</f>
        <v>0</v>
      </c>
      <c r="AH2924" s="11" t="s">
        <v>7162</v>
      </c>
      <c r="AI2924" s="8" t="b">
        <v>1</v>
      </c>
    </row>
    <row r="2925" spans="1:35" ht="31.2">
      <c r="A2925" s="8">
        <v>-73.972723060000007</v>
      </c>
      <c r="B2925" s="8">
        <v>40.779534159999997</v>
      </c>
      <c r="C2925" s="8" t="s">
        <v>7163</v>
      </c>
      <c r="D2925" s="8" t="s">
        <v>1106</v>
      </c>
      <c r="E2925" s="8" t="b">
        <f t="shared" si="45"/>
        <v>0</v>
      </c>
      <c r="F2925" s="8" t="str" cm="1">
        <f t="array" ref="F2925">_xlfn._xlws.FILTER(E2925:E6123, C2925:C6123= "6D-PM-1020-01", "No Squirrels Found")</f>
        <v>No Squirrels Found</v>
      </c>
      <c r="G2925" s="8" t="s">
        <v>34</v>
      </c>
      <c r="H2925" s="10">
        <v>10192018</v>
      </c>
      <c r="I2925" s="10">
        <v>1</v>
      </c>
      <c r="J2925" s="8" t="s">
        <v>39</v>
      </c>
      <c r="K2925" s="8" t="s">
        <v>40</v>
      </c>
      <c r="M2925" s="8" t="s">
        <v>55</v>
      </c>
      <c r="O2925" s="8" t="s">
        <v>43</v>
      </c>
      <c r="P2925" s="8" t="b">
        <v>0</v>
      </c>
      <c r="R2925" s="8" t="b">
        <v>0</v>
      </c>
      <c r="S2925" s="8" t="b">
        <v>0</v>
      </c>
      <c r="T2925" s="8" t="b">
        <v>0</v>
      </c>
      <c r="U2925" s="8" t="b">
        <v>0</v>
      </c>
      <c r="V2925" s="8" t="b">
        <v>1</v>
      </c>
      <c r="X2925" s="8" t="b">
        <v>0</v>
      </c>
      <c r="Y2925" s="8" t="b">
        <v>0</v>
      </c>
      <c r="Z2925" s="8" t="b">
        <v>0</v>
      </c>
      <c r="AA2925" s="8" t="b">
        <v>0</v>
      </c>
      <c r="AB2925" s="8" t="b">
        <v>1</v>
      </c>
      <c r="AC2925" s="8" t="b">
        <v>0</v>
      </c>
      <c r="AD2925" s="8" t="b">
        <v>0</v>
      </c>
      <c r="AE2925" s="8" t="b">
        <v>1</v>
      </c>
      <c r="AG2925" s="11" t="b" cm="1">
        <f t="array" ref="AG2925">IF(OR(Y2925:AA2925="TRUE", AE2925="true"), "Threatened")</f>
        <v>0</v>
      </c>
      <c r="AH2925" s="11" t="s">
        <v>7164</v>
      </c>
      <c r="AI2925" s="8" t="b">
        <v>1</v>
      </c>
    </row>
    <row r="2926" spans="1:35" ht="31.2">
      <c r="A2926" s="8">
        <v>-73.967215269999997</v>
      </c>
      <c r="B2926" s="8">
        <v>40.782387460000002</v>
      </c>
      <c r="C2926" s="8" t="s">
        <v>7165</v>
      </c>
      <c r="D2926" s="8" t="s">
        <v>469</v>
      </c>
      <c r="E2926" s="8" t="b">
        <f t="shared" si="45"/>
        <v>0</v>
      </c>
      <c r="F2926" s="8" t="str" cm="1">
        <f t="array" ref="F2926">_xlfn._xlws.FILTER(E2926:E6124, C2926:C6124= "6D-PM-1020-01", "No Squirrels Found")</f>
        <v>No Squirrels Found</v>
      </c>
      <c r="G2926" s="8" t="s">
        <v>48</v>
      </c>
      <c r="H2926" s="10">
        <v>10082018</v>
      </c>
      <c r="I2926" s="10">
        <v>5</v>
      </c>
      <c r="J2926" s="8" t="s">
        <v>39</v>
      </c>
      <c r="K2926" s="8" t="s">
        <v>40</v>
      </c>
      <c r="L2926" s="8" t="s">
        <v>41</v>
      </c>
      <c r="M2926" s="8" t="s">
        <v>42</v>
      </c>
      <c r="O2926" s="8" t="s">
        <v>43</v>
      </c>
      <c r="P2926" s="8" t="b">
        <v>0</v>
      </c>
      <c r="R2926" s="8" t="b">
        <v>0</v>
      </c>
      <c r="S2926" s="8" t="b">
        <v>0</v>
      </c>
      <c r="T2926" s="8" t="b">
        <v>0</v>
      </c>
      <c r="U2926" s="8" t="b">
        <v>1</v>
      </c>
      <c r="V2926" s="8" t="b">
        <v>0</v>
      </c>
      <c r="X2926" s="8" t="b">
        <v>0</v>
      </c>
      <c r="Y2926" s="8" t="b">
        <v>0</v>
      </c>
      <c r="Z2926" s="8" t="b">
        <v>0</v>
      </c>
      <c r="AA2926" s="8" t="b">
        <v>0</v>
      </c>
      <c r="AB2926" s="8" t="b">
        <v>0</v>
      </c>
      <c r="AC2926" s="8" t="b">
        <v>0</v>
      </c>
      <c r="AD2926" s="8" t="b">
        <v>0</v>
      </c>
      <c r="AE2926" s="8" t="b">
        <v>1</v>
      </c>
      <c r="AG2926" s="11" t="b" cm="1">
        <f t="array" ref="AG2926">IF(OR(Y2926:AA2926="TRUE", AE2926="true"), "Threatened")</f>
        <v>0</v>
      </c>
      <c r="AH2926" s="11" t="s">
        <v>7166</v>
      </c>
      <c r="AI2926" s="8" t="b">
        <v>1</v>
      </c>
    </row>
    <row r="2927" spans="1:35" ht="31.2">
      <c r="A2927" s="8">
        <v>-73.971465359999996</v>
      </c>
      <c r="B2927" s="8">
        <v>40.771740010000002</v>
      </c>
      <c r="C2927" s="8" t="s">
        <v>7167</v>
      </c>
      <c r="D2927" s="8" t="s">
        <v>527</v>
      </c>
      <c r="E2927" s="8" t="b">
        <f t="shared" si="45"/>
        <v>0</v>
      </c>
      <c r="F2927" s="8" t="str" cm="1">
        <f t="array" ref="F2927">_xlfn._xlws.FILTER(E2927:E6125, C2927:C6125= "6D-PM-1020-01", "No Squirrels Found")</f>
        <v>No Squirrels Found</v>
      </c>
      <c r="G2927" s="8" t="s">
        <v>48</v>
      </c>
      <c r="H2927" s="10">
        <v>10132018</v>
      </c>
      <c r="I2927" s="10">
        <v>3</v>
      </c>
      <c r="J2927" s="8" t="s">
        <v>39</v>
      </c>
      <c r="K2927" s="8" t="s">
        <v>40</v>
      </c>
      <c r="L2927" s="8" t="s">
        <v>84</v>
      </c>
      <c r="M2927" s="8" t="s">
        <v>103</v>
      </c>
      <c r="O2927" s="8" t="s">
        <v>43</v>
      </c>
      <c r="P2927" s="8" t="b">
        <v>0</v>
      </c>
      <c r="R2927" s="8" t="b">
        <v>0</v>
      </c>
      <c r="S2927" s="8" t="b">
        <v>0</v>
      </c>
      <c r="T2927" s="8" t="b">
        <v>0</v>
      </c>
      <c r="U2927" s="8" t="b">
        <v>1</v>
      </c>
      <c r="V2927" s="8" t="b">
        <v>0</v>
      </c>
      <c r="X2927" s="8" t="b">
        <v>0</v>
      </c>
      <c r="Y2927" s="8" t="b">
        <v>0</v>
      </c>
      <c r="Z2927" s="8" t="b">
        <v>0</v>
      </c>
      <c r="AA2927" s="8" t="b">
        <v>0</v>
      </c>
      <c r="AB2927" s="8" t="b">
        <v>0</v>
      </c>
      <c r="AC2927" s="8" t="b">
        <v>0</v>
      </c>
      <c r="AD2927" s="8" t="b">
        <v>0</v>
      </c>
      <c r="AE2927" s="8" t="b">
        <v>0</v>
      </c>
      <c r="AG2927" s="11" t="b" cm="1">
        <f t="array" ref="AG2927">IF(OR(Y2927:AA2927="TRUE", AE2927="true"), "Threatened")</f>
        <v>0</v>
      </c>
      <c r="AH2927" s="11" t="s">
        <v>7168</v>
      </c>
      <c r="AI2927" s="8" t="b">
        <v>1</v>
      </c>
    </row>
    <row r="2928" spans="1:35" ht="31.2">
      <c r="A2928" s="8">
        <v>-73.965012009999995</v>
      </c>
      <c r="B2928" s="8">
        <v>40.780593289999999</v>
      </c>
      <c r="C2928" s="8" t="s">
        <v>7169</v>
      </c>
      <c r="D2928" s="8" t="s">
        <v>574</v>
      </c>
      <c r="E2928" s="8" t="b">
        <f t="shared" si="45"/>
        <v>0</v>
      </c>
      <c r="F2928" s="8" t="str" cm="1">
        <f t="array" ref="F2928">_xlfn._xlws.FILTER(E2928:E6126, C2928:C6126= "6D-PM-1020-01", "No Squirrels Found")</f>
        <v>No Squirrels Found</v>
      </c>
      <c r="G2928" s="8" t="s">
        <v>34</v>
      </c>
      <c r="H2928" s="10">
        <v>10072018</v>
      </c>
      <c r="I2928" s="10">
        <v>13</v>
      </c>
      <c r="J2928" s="8" t="s">
        <v>54</v>
      </c>
      <c r="K2928" s="8" t="s">
        <v>41</v>
      </c>
      <c r="L2928" s="8" t="s">
        <v>40</v>
      </c>
      <c r="M2928" s="8" t="s">
        <v>110</v>
      </c>
      <c r="O2928" s="8" t="s">
        <v>50</v>
      </c>
      <c r="P2928" s="8">
        <v>10</v>
      </c>
      <c r="R2928" s="8" t="b">
        <v>0</v>
      </c>
      <c r="S2928" s="8" t="b">
        <v>0</v>
      </c>
      <c r="T2928" s="8" t="b">
        <v>1</v>
      </c>
      <c r="U2928" s="8" t="b">
        <v>0</v>
      </c>
      <c r="V2928" s="8" t="b">
        <v>0</v>
      </c>
      <c r="X2928" s="8" t="b">
        <v>0</v>
      </c>
      <c r="Y2928" s="8" t="b">
        <v>0</v>
      </c>
      <c r="Z2928" s="8" t="b">
        <v>0</v>
      </c>
      <c r="AA2928" s="8" t="b">
        <v>0</v>
      </c>
      <c r="AB2928" s="8" t="b">
        <v>0</v>
      </c>
      <c r="AC2928" s="8" t="b">
        <v>0</v>
      </c>
      <c r="AD2928" s="8" t="b">
        <v>0</v>
      </c>
      <c r="AE2928" s="8" t="b">
        <v>1</v>
      </c>
      <c r="AG2928" s="11" t="b" cm="1">
        <f t="array" ref="AG2928">IF(OR(Y2928:AA2928="TRUE", AE2928="true"), "Threatened")</f>
        <v>0</v>
      </c>
      <c r="AH2928" s="11" t="s">
        <v>7170</v>
      </c>
      <c r="AI2928" s="8" t="b">
        <v>1</v>
      </c>
    </row>
    <row r="2929" spans="1:35" ht="31.2">
      <c r="A2929" s="8">
        <v>-73.976795350000003</v>
      </c>
      <c r="B2929" s="8">
        <v>40.767637700000002</v>
      </c>
      <c r="C2929" s="8" t="s">
        <v>7171</v>
      </c>
      <c r="D2929" s="8" t="s">
        <v>230</v>
      </c>
      <c r="E2929" s="8" t="b">
        <f t="shared" si="45"/>
        <v>0</v>
      </c>
      <c r="F2929" s="8" t="str" cm="1">
        <f t="array" ref="F2929">_xlfn._xlws.FILTER(E2929:E6127, C2929:C6127= "6D-PM-1020-01", "No Squirrels Found")</f>
        <v>No Squirrels Found</v>
      </c>
      <c r="G2929" s="8" t="s">
        <v>48</v>
      </c>
      <c r="H2929" s="10">
        <v>10062018</v>
      </c>
      <c r="I2929" s="10">
        <v>3</v>
      </c>
      <c r="J2929" s="8" t="s">
        <v>39</v>
      </c>
      <c r="K2929" s="8" t="s">
        <v>40</v>
      </c>
      <c r="L2929" s="8" t="s">
        <v>41</v>
      </c>
      <c r="M2929" s="8" t="s">
        <v>42</v>
      </c>
      <c r="O2929" s="8" t="s">
        <v>43</v>
      </c>
      <c r="P2929" s="8" t="b">
        <v>0</v>
      </c>
      <c r="R2929" s="8" t="b">
        <v>0</v>
      </c>
      <c r="S2929" s="8" t="b">
        <v>0</v>
      </c>
      <c r="T2929" s="8" t="b">
        <v>0</v>
      </c>
      <c r="U2929" s="8" t="b">
        <v>0</v>
      </c>
      <c r="V2929" s="8" t="b">
        <v>1</v>
      </c>
      <c r="W2929" s="11" t="s">
        <v>7172</v>
      </c>
      <c r="X2929" s="8" t="b">
        <v>0</v>
      </c>
      <c r="Y2929" s="8" t="b">
        <v>0</v>
      </c>
      <c r="Z2929" s="8" t="b">
        <v>0</v>
      </c>
      <c r="AA2929" s="8" t="b">
        <v>1</v>
      </c>
      <c r="AB2929" s="8" t="b">
        <v>0</v>
      </c>
      <c r="AC2929" s="8" t="b">
        <v>1</v>
      </c>
      <c r="AD2929" s="8" t="b">
        <v>0</v>
      </c>
      <c r="AE2929" s="8" t="b">
        <v>1</v>
      </c>
      <c r="AG2929" s="11" t="b" cm="1">
        <f t="array" ref="AG2929">IF(OR(Y2929:AA2929="TRUE", AE2929="true"), "Threatened")</f>
        <v>0</v>
      </c>
      <c r="AH2929" s="11" t="s">
        <v>7173</v>
      </c>
      <c r="AI2929" s="8" t="b">
        <v>0</v>
      </c>
    </row>
    <row r="2930" spans="1:35" ht="31.2">
      <c r="A2930" s="8">
        <v>-73.95312337</v>
      </c>
      <c r="B2930" s="8">
        <v>40.794111379999997</v>
      </c>
      <c r="C2930" s="8" t="s">
        <v>7174</v>
      </c>
      <c r="D2930" s="8" t="s">
        <v>6896</v>
      </c>
      <c r="E2930" s="8" t="b">
        <f t="shared" si="45"/>
        <v>0</v>
      </c>
      <c r="F2930" s="8" t="str" cm="1">
        <f t="array" ref="F2930">_xlfn._xlws.FILTER(E2930:E6128, C2930:C6128= "6D-PM-1020-01", "No Squirrels Found")</f>
        <v>No Squirrels Found</v>
      </c>
      <c r="G2930" s="8" t="s">
        <v>34</v>
      </c>
      <c r="H2930" s="10">
        <v>10122018</v>
      </c>
      <c r="I2930" s="10">
        <v>1</v>
      </c>
      <c r="J2930" s="8" t="s">
        <v>39</v>
      </c>
      <c r="K2930" s="8" t="s">
        <v>40</v>
      </c>
      <c r="M2930" s="8" t="s">
        <v>55</v>
      </c>
      <c r="O2930" s="8" t="s">
        <v>43</v>
      </c>
      <c r="P2930" s="8" t="b">
        <v>0</v>
      </c>
      <c r="R2930" s="8" t="b">
        <v>0</v>
      </c>
      <c r="S2930" s="8" t="b">
        <v>0</v>
      </c>
      <c r="T2930" s="8" t="b">
        <v>0</v>
      </c>
      <c r="U2930" s="8" t="b">
        <v>0</v>
      </c>
      <c r="V2930" s="8" t="b">
        <v>1</v>
      </c>
      <c r="X2930" s="8" t="b">
        <v>0</v>
      </c>
      <c r="Y2930" s="8" t="b">
        <v>0</v>
      </c>
      <c r="Z2930" s="8" t="b">
        <v>0</v>
      </c>
      <c r="AA2930" s="8" t="b">
        <v>0</v>
      </c>
      <c r="AB2930" s="8" t="b">
        <v>0</v>
      </c>
      <c r="AC2930" s="8" t="b">
        <v>0</v>
      </c>
      <c r="AD2930" s="8" t="b">
        <v>0</v>
      </c>
      <c r="AE2930" s="8" t="b">
        <v>1</v>
      </c>
      <c r="AG2930" s="11" t="b" cm="1">
        <f t="array" ref="AG2930">IF(OR(Y2930:AA2930="TRUE", AE2930="true"), "Threatened")</f>
        <v>0</v>
      </c>
      <c r="AH2930" s="11" t="s">
        <v>7175</v>
      </c>
      <c r="AI2930" s="8" t="b">
        <v>1</v>
      </c>
    </row>
    <row r="2931" spans="1:35" ht="31.2">
      <c r="A2931" s="8">
        <v>-73.969256360000003</v>
      </c>
      <c r="B2931" s="8">
        <v>40.770904999999999</v>
      </c>
      <c r="C2931" s="8" t="s">
        <v>7176</v>
      </c>
      <c r="D2931" s="8" t="s">
        <v>2059</v>
      </c>
      <c r="E2931" s="8" t="b">
        <f t="shared" si="45"/>
        <v>0</v>
      </c>
      <c r="F2931" s="8" t="str" cm="1">
        <f t="array" ref="F2931">_xlfn._xlws.FILTER(E2931:E6129, C2931:C6129= "6D-PM-1020-01", "No Squirrels Found")</f>
        <v>No Squirrels Found</v>
      </c>
      <c r="G2931" s="8" t="s">
        <v>34</v>
      </c>
      <c r="H2931" s="10">
        <v>10182018</v>
      </c>
      <c r="I2931" s="10">
        <v>5</v>
      </c>
      <c r="J2931" s="8" t="s">
        <v>39</v>
      </c>
      <c r="K2931" s="8" t="s">
        <v>40</v>
      </c>
      <c r="M2931" s="8" t="s">
        <v>55</v>
      </c>
      <c r="O2931" s="8" t="s">
        <v>43</v>
      </c>
      <c r="P2931" s="8" t="b">
        <v>0</v>
      </c>
      <c r="R2931" s="8" t="b">
        <v>1</v>
      </c>
      <c r="S2931" s="8" t="b">
        <v>1</v>
      </c>
      <c r="T2931" s="8" t="b">
        <v>0</v>
      </c>
      <c r="U2931" s="8" t="b">
        <v>0</v>
      </c>
      <c r="V2931" s="8" t="b">
        <v>0</v>
      </c>
      <c r="X2931" s="8" t="b">
        <v>0</v>
      </c>
      <c r="Y2931" s="8" t="b">
        <v>0</v>
      </c>
      <c r="Z2931" s="8" t="b">
        <v>0</v>
      </c>
      <c r="AA2931" s="8" t="b">
        <v>0</v>
      </c>
      <c r="AB2931" s="8" t="b">
        <v>0</v>
      </c>
      <c r="AC2931" s="8" t="b">
        <v>0</v>
      </c>
      <c r="AD2931" s="8" t="b">
        <v>0</v>
      </c>
      <c r="AE2931" s="8" t="b">
        <v>0</v>
      </c>
      <c r="AG2931" s="11" t="b" cm="1">
        <f t="array" ref="AG2931">IF(OR(Y2931:AA2931="TRUE", AE2931="true"), "Threatened")</f>
        <v>0</v>
      </c>
      <c r="AH2931" s="11" t="s">
        <v>7177</v>
      </c>
      <c r="AI2931" s="8" t="b">
        <v>1</v>
      </c>
    </row>
    <row r="2932" spans="1:35" ht="31.2">
      <c r="A2932" s="8">
        <v>-73.973092620000003</v>
      </c>
      <c r="B2932" s="8">
        <v>40.778133080000003</v>
      </c>
      <c r="C2932" s="8" t="s">
        <v>7178</v>
      </c>
      <c r="D2932" s="8" t="s">
        <v>1764</v>
      </c>
      <c r="E2932" s="8" t="b">
        <f t="shared" si="45"/>
        <v>0</v>
      </c>
      <c r="F2932" s="8" t="str" cm="1">
        <f t="array" ref="F2932">_xlfn._xlws.FILTER(E2932:E6130, C2932:C6130= "6D-PM-1020-01", "No Squirrels Found")</f>
        <v>No Squirrels Found</v>
      </c>
      <c r="G2932" s="8" t="s">
        <v>34</v>
      </c>
      <c r="H2932" s="10">
        <v>10142018</v>
      </c>
      <c r="I2932" s="10">
        <v>8</v>
      </c>
      <c r="K2932" s="8" t="s">
        <v>40</v>
      </c>
      <c r="L2932" s="8" t="s">
        <v>117</v>
      </c>
      <c r="M2932" s="8" t="s">
        <v>118</v>
      </c>
      <c r="N2932" s="11" t="s">
        <v>7179</v>
      </c>
      <c r="O2932" s="8" t="s">
        <v>43</v>
      </c>
      <c r="P2932" s="8" t="b">
        <v>0</v>
      </c>
      <c r="R2932" s="8" t="b">
        <v>0</v>
      </c>
      <c r="S2932" s="8" t="b">
        <v>0</v>
      </c>
      <c r="T2932" s="8" t="b">
        <v>0</v>
      </c>
      <c r="U2932" s="8" t="b">
        <v>1</v>
      </c>
      <c r="V2932" s="8" t="b">
        <v>1</v>
      </c>
      <c r="X2932" s="8" t="b">
        <v>0</v>
      </c>
      <c r="Y2932" s="8" t="b">
        <v>0</v>
      </c>
      <c r="Z2932" s="8" t="b">
        <v>0</v>
      </c>
      <c r="AA2932" s="8" t="b">
        <v>0</v>
      </c>
      <c r="AB2932" s="8" t="b">
        <v>0</v>
      </c>
      <c r="AC2932" s="8" t="b">
        <v>1</v>
      </c>
      <c r="AD2932" s="8" t="b">
        <v>0</v>
      </c>
      <c r="AE2932" s="8" t="b">
        <v>0</v>
      </c>
      <c r="AG2932" s="11" t="b" cm="1">
        <f t="array" ref="AG2932">IF(OR(Y2932:AA2932="TRUE", AE2932="true"), "Threatened")</f>
        <v>0</v>
      </c>
      <c r="AH2932" s="11" t="s">
        <v>7180</v>
      </c>
      <c r="AI2932" s="8" t="b">
        <v>1</v>
      </c>
    </row>
    <row r="2933" spans="1:35" ht="31.2">
      <c r="A2933" s="8">
        <v>-73.9705838</v>
      </c>
      <c r="B2933" s="8">
        <v>40.775849479999998</v>
      </c>
      <c r="C2933" s="8" t="s">
        <v>7181</v>
      </c>
      <c r="D2933" s="8" t="s">
        <v>79</v>
      </c>
      <c r="E2933" s="8" t="b">
        <f t="shared" si="45"/>
        <v>0</v>
      </c>
      <c r="F2933" s="8" t="str" cm="1">
        <f t="array" ref="F2933">_xlfn._xlws.FILTER(E2933:E6131, C2933:C6131= "6D-PM-1020-01", "No Squirrels Found")</f>
        <v>No Squirrels Found</v>
      </c>
      <c r="G2933" s="8" t="s">
        <v>48</v>
      </c>
      <c r="H2933" s="10">
        <v>10172018</v>
      </c>
      <c r="I2933" s="10">
        <v>13</v>
      </c>
      <c r="J2933" s="8" t="s">
        <v>39</v>
      </c>
      <c r="K2933" s="8" t="s">
        <v>40</v>
      </c>
      <c r="L2933" s="8" t="s">
        <v>41</v>
      </c>
      <c r="M2933" s="8" t="s">
        <v>42</v>
      </c>
      <c r="O2933" s="8" t="s">
        <v>43</v>
      </c>
      <c r="P2933" s="8" t="b">
        <v>0</v>
      </c>
      <c r="Q2933" s="8" t="s">
        <v>3135</v>
      </c>
      <c r="R2933" s="8" t="b">
        <v>0</v>
      </c>
      <c r="S2933" s="8" t="b">
        <v>0</v>
      </c>
      <c r="T2933" s="8" t="b">
        <v>0</v>
      </c>
      <c r="U2933" s="8" t="b">
        <v>0</v>
      </c>
      <c r="V2933" s="8" t="b">
        <v>1</v>
      </c>
      <c r="X2933" s="8" t="b">
        <v>0</v>
      </c>
      <c r="Y2933" s="8" t="b">
        <v>0</v>
      </c>
      <c r="Z2933" s="8" t="b">
        <v>0</v>
      </c>
      <c r="AA2933" s="8" t="b">
        <v>0</v>
      </c>
      <c r="AB2933" s="8" t="b">
        <v>0</v>
      </c>
      <c r="AC2933" s="8" t="b">
        <v>1</v>
      </c>
      <c r="AD2933" s="8" t="b">
        <v>0</v>
      </c>
      <c r="AE2933" s="8" t="b">
        <v>0</v>
      </c>
      <c r="AG2933" s="11" t="b" cm="1">
        <f t="array" ref="AG2933">IF(OR(Y2933:AA2933="TRUE", AE2933="true"), "Threatened")</f>
        <v>0</v>
      </c>
      <c r="AH2933" s="11" t="s">
        <v>7182</v>
      </c>
      <c r="AI2933" s="8" t="b">
        <v>1</v>
      </c>
    </row>
    <row r="2934" spans="1:35" ht="31.2">
      <c r="A2934" s="8">
        <v>-73.967790320000006</v>
      </c>
      <c r="B2934" s="8">
        <v>40.782656189999997</v>
      </c>
      <c r="C2934" s="8" t="s">
        <v>7183</v>
      </c>
      <c r="D2934" s="8" t="s">
        <v>95</v>
      </c>
      <c r="E2934" s="8" t="b">
        <f t="shared" si="45"/>
        <v>0</v>
      </c>
      <c r="F2934" s="8" t="str" cm="1">
        <f t="array" ref="F2934">_xlfn._xlws.FILTER(E2934:E6132, C2934:C6132= "6D-PM-1020-01", "No Squirrels Found")</f>
        <v>No Squirrels Found</v>
      </c>
      <c r="G2934" s="8" t="s">
        <v>48</v>
      </c>
      <c r="H2934" s="10">
        <v>10142018</v>
      </c>
      <c r="I2934" s="10">
        <v>3</v>
      </c>
      <c r="J2934" s="8" t="s">
        <v>39</v>
      </c>
      <c r="K2934" s="8" t="s">
        <v>40</v>
      </c>
      <c r="M2934" s="8" t="s">
        <v>55</v>
      </c>
      <c r="O2934" s="8" t="s">
        <v>50</v>
      </c>
      <c r="P2934" s="8">
        <v>30</v>
      </c>
      <c r="R2934" s="8" t="b">
        <v>0</v>
      </c>
      <c r="S2934" s="8" t="b">
        <v>1</v>
      </c>
      <c r="T2934" s="8" t="b">
        <v>1</v>
      </c>
      <c r="U2934" s="8" t="b">
        <v>0</v>
      </c>
      <c r="V2934" s="8" t="b">
        <v>0</v>
      </c>
      <c r="X2934" s="8" t="b">
        <v>0</v>
      </c>
      <c r="Y2934" s="8" t="b">
        <v>1</v>
      </c>
      <c r="Z2934" s="8" t="b">
        <v>0</v>
      </c>
      <c r="AA2934" s="8" t="b">
        <v>0</v>
      </c>
      <c r="AB2934" s="8" t="b">
        <v>0</v>
      </c>
      <c r="AC2934" s="8" t="b">
        <v>0</v>
      </c>
      <c r="AD2934" s="8" t="b">
        <v>0</v>
      </c>
      <c r="AE2934" s="8" t="b">
        <v>0</v>
      </c>
      <c r="AF2934" s="11" t="s">
        <v>3138</v>
      </c>
      <c r="AG2934" s="11" t="b" cm="1">
        <f t="array" ref="AG2934">IF(OR(Y2934:AA2934="TRUE", AE2934="true"), "Threatened")</f>
        <v>0</v>
      </c>
      <c r="AH2934" s="11" t="s">
        <v>7184</v>
      </c>
      <c r="AI2934" s="8" t="b">
        <v>1</v>
      </c>
    </row>
    <row r="2935" spans="1:35" ht="31.2">
      <c r="A2935" s="8">
        <v>-73.956166920000001</v>
      </c>
      <c r="B2935" s="8">
        <v>40.799473740000003</v>
      </c>
      <c r="C2935" s="8" t="s">
        <v>7185</v>
      </c>
      <c r="D2935" s="8" t="s">
        <v>350</v>
      </c>
      <c r="E2935" s="8" t="b">
        <f t="shared" si="45"/>
        <v>0</v>
      </c>
      <c r="F2935" s="8" t="str" cm="1">
        <f t="array" ref="F2935">_xlfn._xlws.FILTER(E2935:E6133, C2935:C6133= "6D-PM-1020-01", "No Squirrels Found")</f>
        <v>No Squirrels Found</v>
      </c>
      <c r="G2935" s="8" t="s">
        <v>34</v>
      </c>
      <c r="H2935" s="10">
        <v>10132018</v>
      </c>
      <c r="I2935" s="10">
        <v>4</v>
      </c>
      <c r="J2935" s="8" t="s">
        <v>39</v>
      </c>
      <c r="K2935" s="8" t="s">
        <v>40</v>
      </c>
      <c r="M2935" s="8" t="s">
        <v>55</v>
      </c>
      <c r="O2935" s="8" t="s">
        <v>43</v>
      </c>
      <c r="P2935" s="8" t="b">
        <v>0</v>
      </c>
      <c r="R2935" s="8" t="b">
        <v>0</v>
      </c>
      <c r="S2935" s="8" t="b">
        <v>0</v>
      </c>
      <c r="T2935" s="8" t="b">
        <v>1</v>
      </c>
      <c r="U2935" s="8" t="b">
        <v>0</v>
      </c>
      <c r="V2935" s="8" t="b">
        <v>1</v>
      </c>
      <c r="X2935" s="8" t="b">
        <v>0</v>
      </c>
      <c r="Y2935" s="8" t="b">
        <v>0</v>
      </c>
      <c r="Z2935" s="8" t="b">
        <v>0</v>
      </c>
      <c r="AA2935" s="8" t="b">
        <v>0</v>
      </c>
      <c r="AB2935" s="8" t="b">
        <v>0</v>
      </c>
      <c r="AC2935" s="8" t="b">
        <v>0</v>
      </c>
      <c r="AD2935" s="8" t="b">
        <v>0</v>
      </c>
      <c r="AE2935" s="8" t="b">
        <v>1</v>
      </c>
      <c r="AG2935" s="11" t="b" cm="1">
        <f t="array" ref="AG2935">IF(OR(Y2935:AA2935="TRUE", AE2935="true"), "Threatened")</f>
        <v>0</v>
      </c>
      <c r="AH2935" s="11" t="s">
        <v>7186</v>
      </c>
      <c r="AI2935" s="8" t="b">
        <v>1</v>
      </c>
    </row>
    <row r="2936" spans="1:35" ht="31.2">
      <c r="A2936" s="8">
        <v>-73.960459950000001</v>
      </c>
      <c r="B2936" s="8">
        <v>40.791503499999997</v>
      </c>
      <c r="C2936" s="8" t="s">
        <v>7187</v>
      </c>
      <c r="D2936" s="8" t="s">
        <v>309</v>
      </c>
      <c r="E2936" s="8" t="b">
        <f t="shared" si="45"/>
        <v>0</v>
      </c>
      <c r="F2936" s="8" t="str" cm="1">
        <f t="array" ref="F2936">_xlfn._xlws.FILTER(E2936:E6134, C2936:C6134= "6D-PM-1020-01", "No Squirrels Found")</f>
        <v>No Squirrels Found</v>
      </c>
      <c r="G2936" s="8" t="s">
        <v>34</v>
      </c>
      <c r="H2936" s="10">
        <v>10062018</v>
      </c>
      <c r="I2936" s="10">
        <v>6</v>
      </c>
      <c r="J2936" s="8" t="s">
        <v>54</v>
      </c>
      <c r="K2936" s="8" t="s">
        <v>40</v>
      </c>
      <c r="L2936" s="8" t="s">
        <v>168</v>
      </c>
      <c r="M2936" s="8" t="s">
        <v>169</v>
      </c>
      <c r="O2936" s="8" t="s">
        <v>43</v>
      </c>
      <c r="P2936" s="8" t="b">
        <v>0</v>
      </c>
      <c r="R2936" s="8" t="b">
        <v>1</v>
      </c>
      <c r="S2936" s="8" t="b">
        <v>0</v>
      </c>
      <c r="T2936" s="8" t="b">
        <v>0</v>
      </c>
      <c r="U2936" s="8" t="b">
        <v>0</v>
      </c>
      <c r="V2936" s="8" t="b">
        <v>0</v>
      </c>
      <c r="X2936" s="8" t="b">
        <v>0</v>
      </c>
      <c r="Y2936" s="8" t="b">
        <v>0</v>
      </c>
      <c r="Z2936" s="8" t="b">
        <v>0</v>
      </c>
      <c r="AA2936" s="8" t="b">
        <v>0</v>
      </c>
      <c r="AB2936" s="8" t="b">
        <v>1</v>
      </c>
      <c r="AC2936" s="8" t="b">
        <v>0</v>
      </c>
      <c r="AD2936" s="8" t="b">
        <v>1</v>
      </c>
      <c r="AE2936" s="8" t="b">
        <v>0</v>
      </c>
      <c r="AG2936" s="11" t="b" cm="1">
        <f t="array" ref="AG2936">IF(OR(Y2936:AA2936="TRUE", AE2936="true"), "Threatened")</f>
        <v>0</v>
      </c>
      <c r="AH2936" s="11" t="s">
        <v>7188</v>
      </c>
      <c r="AI2936" s="8" t="b">
        <v>1</v>
      </c>
    </row>
    <row r="2937" spans="1:35" ht="31.2">
      <c r="A2937" s="8">
        <v>-73.980987650000003</v>
      </c>
      <c r="B2937" s="8">
        <v>40.768322320000003</v>
      </c>
      <c r="C2937" s="8" t="s">
        <v>7189</v>
      </c>
      <c r="D2937" s="8" t="s">
        <v>1780</v>
      </c>
      <c r="E2937" s="8" t="b">
        <f t="shared" si="45"/>
        <v>0</v>
      </c>
      <c r="F2937" s="8" t="str" cm="1">
        <f t="array" ref="F2937">_xlfn._xlws.FILTER(E2937:E6135, C2937:C6135= "6D-PM-1020-01", "No Squirrels Found")</f>
        <v>No Squirrels Found</v>
      </c>
      <c r="G2937" s="8" t="s">
        <v>34</v>
      </c>
      <c r="H2937" s="10">
        <v>10142018</v>
      </c>
      <c r="I2937" s="10">
        <v>5</v>
      </c>
      <c r="J2937" s="8" t="s">
        <v>39</v>
      </c>
      <c r="K2937" s="8" t="s">
        <v>40</v>
      </c>
      <c r="L2937" s="8" t="s">
        <v>41</v>
      </c>
      <c r="M2937" s="8" t="s">
        <v>42</v>
      </c>
      <c r="O2937" s="8" t="s">
        <v>43</v>
      </c>
      <c r="P2937" s="8" t="b">
        <v>0</v>
      </c>
      <c r="R2937" s="8" t="b">
        <v>0</v>
      </c>
      <c r="S2937" s="8" t="b">
        <v>0</v>
      </c>
      <c r="T2937" s="8" t="b">
        <v>0</v>
      </c>
      <c r="U2937" s="8" t="b">
        <v>1</v>
      </c>
      <c r="V2937" s="8" t="b">
        <v>0</v>
      </c>
      <c r="X2937" s="8" t="b">
        <v>0</v>
      </c>
      <c r="Y2937" s="8" t="b">
        <v>0</v>
      </c>
      <c r="Z2937" s="8" t="b">
        <v>0</v>
      </c>
      <c r="AA2937" s="8" t="b">
        <v>0</v>
      </c>
      <c r="AB2937" s="8" t="b">
        <v>0</v>
      </c>
      <c r="AC2937" s="8" t="b">
        <v>0</v>
      </c>
      <c r="AD2937" s="8" t="b">
        <v>0</v>
      </c>
      <c r="AE2937" s="8" t="b">
        <v>1</v>
      </c>
      <c r="AG2937" s="11" t="b" cm="1">
        <f t="array" ref="AG2937">IF(OR(Y2937:AA2937="TRUE", AE2937="true"), "Threatened")</f>
        <v>0</v>
      </c>
      <c r="AH2937" s="11" t="s">
        <v>7190</v>
      </c>
      <c r="AI2937" s="8" t="b">
        <v>1</v>
      </c>
    </row>
    <row r="2938" spans="1:35" ht="31.2">
      <c r="A2938" s="8">
        <v>-73.968346060000002</v>
      </c>
      <c r="B2938" s="8">
        <v>40.78054084</v>
      </c>
      <c r="C2938" s="8" t="s">
        <v>7191</v>
      </c>
      <c r="D2938" s="8" t="s">
        <v>1079</v>
      </c>
      <c r="E2938" s="8" t="b">
        <f t="shared" si="45"/>
        <v>0</v>
      </c>
      <c r="F2938" s="8" t="str" cm="1">
        <f t="array" ref="F2938">_xlfn._xlws.FILTER(E2938:E6136, C2938:C6136= "6D-PM-1020-01", "No Squirrels Found")</f>
        <v>No Squirrels Found</v>
      </c>
      <c r="G2938" s="8" t="s">
        <v>48</v>
      </c>
      <c r="H2938" s="10">
        <v>10182018</v>
      </c>
      <c r="I2938" s="10">
        <v>3</v>
      </c>
      <c r="J2938" s="8" t="s">
        <v>39</v>
      </c>
      <c r="K2938" s="8" t="s">
        <v>40</v>
      </c>
      <c r="M2938" s="8" t="s">
        <v>55</v>
      </c>
      <c r="O2938" s="8" t="s">
        <v>43</v>
      </c>
      <c r="P2938" s="8" t="b">
        <v>0</v>
      </c>
      <c r="R2938" s="8" t="b">
        <v>0</v>
      </c>
      <c r="S2938" s="8" t="b">
        <v>0</v>
      </c>
      <c r="T2938" s="8" t="b">
        <v>0</v>
      </c>
      <c r="U2938" s="8" t="b">
        <v>0</v>
      </c>
      <c r="V2938" s="8" t="b">
        <v>1</v>
      </c>
      <c r="X2938" s="8" t="b">
        <v>0</v>
      </c>
      <c r="Y2938" s="8" t="b">
        <v>0</v>
      </c>
      <c r="Z2938" s="8" t="b">
        <v>0</v>
      </c>
      <c r="AA2938" s="8" t="b">
        <v>0</v>
      </c>
      <c r="AB2938" s="8" t="b">
        <v>0</v>
      </c>
      <c r="AC2938" s="8" t="b">
        <v>0</v>
      </c>
      <c r="AD2938" s="8" t="b">
        <v>0</v>
      </c>
      <c r="AE2938" s="8" t="b">
        <v>0</v>
      </c>
      <c r="AG2938" s="11" t="b" cm="1">
        <f t="array" ref="AG2938">IF(OR(Y2938:AA2938="TRUE", AE2938="true"), "Threatened")</f>
        <v>0</v>
      </c>
      <c r="AH2938" s="11" t="s">
        <v>7192</v>
      </c>
      <c r="AI2938" s="8" t="b">
        <v>1</v>
      </c>
    </row>
    <row r="2939" spans="1:35" ht="31.2">
      <c r="A2939" s="8">
        <v>-73.970332900000002</v>
      </c>
      <c r="B2939" s="8">
        <v>40.770107969999998</v>
      </c>
      <c r="C2939" s="8" t="s">
        <v>7193</v>
      </c>
      <c r="D2939" s="8" t="s">
        <v>113</v>
      </c>
      <c r="E2939" s="8" t="b">
        <f t="shared" si="45"/>
        <v>0</v>
      </c>
      <c r="F2939" s="8" t="str" cm="1">
        <f t="array" ref="F2939">_xlfn._xlws.FILTER(E2939:E6137, C2939:C6137= "6D-PM-1020-01", "No Squirrels Found")</f>
        <v>No Squirrels Found</v>
      </c>
      <c r="G2939" s="8" t="s">
        <v>48</v>
      </c>
      <c r="H2939" s="10">
        <v>10062018</v>
      </c>
      <c r="I2939" s="10">
        <v>14</v>
      </c>
      <c r="J2939" s="8" t="s">
        <v>39</v>
      </c>
      <c r="K2939" s="8" t="s">
        <v>41</v>
      </c>
      <c r="L2939" s="8" t="s">
        <v>40</v>
      </c>
      <c r="M2939" s="8" t="s">
        <v>110</v>
      </c>
      <c r="O2939" s="8" t="s">
        <v>43</v>
      </c>
      <c r="P2939" s="8" t="b">
        <v>0</v>
      </c>
      <c r="R2939" s="8" t="b">
        <v>0</v>
      </c>
      <c r="S2939" s="8" t="b">
        <v>0</v>
      </c>
      <c r="T2939" s="8" t="b">
        <v>0</v>
      </c>
      <c r="U2939" s="8" t="b">
        <v>0</v>
      </c>
      <c r="V2939" s="8" t="b">
        <v>1</v>
      </c>
      <c r="X2939" s="8" t="b">
        <v>0</v>
      </c>
      <c r="Y2939" s="8" t="b">
        <v>0</v>
      </c>
      <c r="Z2939" s="8" t="b">
        <v>0</v>
      </c>
      <c r="AA2939" s="8" t="b">
        <v>0</v>
      </c>
      <c r="AB2939" s="8" t="b">
        <v>1</v>
      </c>
      <c r="AC2939" s="8" t="b">
        <v>0</v>
      </c>
      <c r="AD2939" s="8" t="b">
        <v>1</v>
      </c>
      <c r="AE2939" s="8" t="b">
        <v>0</v>
      </c>
      <c r="AG2939" s="11" t="b" cm="1">
        <f t="array" ref="AG2939">IF(OR(Y2939:AA2939="TRUE", AE2939="true"), "Threatened")</f>
        <v>0</v>
      </c>
      <c r="AH2939" s="11" t="s">
        <v>7194</v>
      </c>
      <c r="AI2939" s="8" t="b">
        <v>1</v>
      </c>
    </row>
    <row r="2940" spans="1:35" ht="31.2">
      <c r="A2940" s="8">
        <v>-73.968020440000004</v>
      </c>
      <c r="B2940" s="8">
        <v>40.77438823</v>
      </c>
      <c r="C2940" s="8" t="s">
        <v>7195</v>
      </c>
      <c r="D2940" s="8" t="s">
        <v>205</v>
      </c>
      <c r="E2940" s="8" t="b">
        <f t="shared" si="45"/>
        <v>0</v>
      </c>
      <c r="F2940" s="8" t="str" cm="1">
        <f t="array" ref="F2940">_xlfn._xlws.FILTER(E2940:E6138, C2940:C6138= "6D-PM-1020-01", "No Squirrels Found")</f>
        <v>No Squirrels Found</v>
      </c>
      <c r="G2940" s="8" t="s">
        <v>34</v>
      </c>
      <c r="H2940" s="10">
        <v>10102018</v>
      </c>
      <c r="I2940" s="10">
        <v>8</v>
      </c>
      <c r="J2940" s="8" t="s">
        <v>39</v>
      </c>
      <c r="K2940" s="8" t="s">
        <v>40</v>
      </c>
      <c r="M2940" s="8" t="s">
        <v>55</v>
      </c>
      <c r="O2940" s="8" t="s">
        <v>43</v>
      </c>
      <c r="P2940" s="8" t="b">
        <v>0</v>
      </c>
      <c r="R2940" s="8" t="b">
        <v>1</v>
      </c>
      <c r="S2940" s="8" t="b">
        <v>0</v>
      </c>
      <c r="T2940" s="8" t="b">
        <v>0</v>
      </c>
      <c r="U2940" s="8" t="b">
        <v>0</v>
      </c>
      <c r="V2940" s="8" t="b">
        <v>0</v>
      </c>
      <c r="X2940" s="8" t="b">
        <v>0</v>
      </c>
      <c r="Y2940" s="8" t="b">
        <v>0</v>
      </c>
      <c r="Z2940" s="8" t="b">
        <v>0</v>
      </c>
      <c r="AA2940" s="8" t="b">
        <v>0</v>
      </c>
      <c r="AB2940" s="8" t="b">
        <v>0</v>
      </c>
      <c r="AC2940" s="8" t="b">
        <v>0</v>
      </c>
      <c r="AD2940" s="8" t="b">
        <v>1</v>
      </c>
      <c r="AE2940" s="8" t="b">
        <v>0</v>
      </c>
      <c r="AG2940" s="11" t="b" cm="1">
        <f t="array" ref="AG2940">IF(OR(Y2940:AA2940="TRUE", AE2940="true"), "Threatened")</f>
        <v>0</v>
      </c>
      <c r="AH2940" s="11" t="s">
        <v>7196</v>
      </c>
      <c r="AI2940" s="8" t="b">
        <v>1</v>
      </c>
    </row>
    <row r="2941" spans="1:35" ht="31.2">
      <c r="A2941" s="8">
        <v>-73.963911429999996</v>
      </c>
      <c r="B2941" s="8">
        <v>40.780912720000003</v>
      </c>
      <c r="C2941" s="8" t="s">
        <v>7197</v>
      </c>
      <c r="D2941" s="8" t="s">
        <v>358</v>
      </c>
      <c r="E2941" s="8" t="b">
        <f t="shared" si="45"/>
        <v>0</v>
      </c>
      <c r="F2941" s="8" t="str" cm="1">
        <f t="array" ref="F2941">_xlfn._xlws.FILTER(E2941:E6139, C2941:C6139= "6D-PM-1020-01", "No Squirrels Found")</f>
        <v>No Squirrels Found</v>
      </c>
      <c r="G2941" s="8" t="s">
        <v>48</v>
      </c>
      <c r="H2941" s="10">
        <v>10142018</v>
      </c>
      <c r="I2941" s="10">
        <v>5</v>
      </c>
      <c r="J2941" s="8" t="s">
        <v>39</v>
      </c>
      <c r="K2941" s="8" t="s">
        <v>40</v>
      </c>
      <c r="L2941" s="8" t="s">
        <v>41</v>
      </c>
      <c r="M2941" s="8" t="s">
        <v>42</v>
      </c>
      <c r="O2941" s="8" t="s">
        <v>50</v>
      </c>
      <c r="P2941" s="8">
        <v>4</v>
      </c>
      <c r="R2941" s="8" t="b">
        <v>0</v>
      </c>
      <c r="S2941" s="8" t="b">
        <v>1</v>
      </c>
      <c r="T2941" s="8" t="b">
        <v>1</v>
      </c>
      <c r="U2941" s="8" t="b">
        <v>0</v>
      </c>
      <c r="V2941" s="8" t="b">
        <v>0</v>
      </c>
      <c r="X2941" s="8" t="b">
        <v>0</v>
      </c>
      <c r="Y2941" s="8" t="b">
        <v>0</v>
      </c>
      <c r="Z2941" s="8" t="b">
        <v>0</v>
      </c>
      <c r="AA2941" s="8" t="b">
        <v>0</v>
      </c>
      <c r="AB2941" s="8" t="b">
        <v>0</v>
      </c>
      <c r="AC2941" s="8" t="b">
        <v>0</v>
      </c>
      <c r="AD2941" s="8" t="b">
        <v>0</v>
      </c>
      <c r="AE2941" s="8" t="b">
        <v>0</v>
      </c>
      <c r="AG2941" s="11" t="b" cm="1">
        <f t="array" ref="AG2941">IF(OR(Y2941:AA2941="TRUE", AE2941="true"), "Threatened")</f>
        <v>0</v>
      </c>
      <c r="AH2941" s="11" t="s">
        <v>7198</v>
      </c>
      <c r="AI2941" s="8" t="b">
        <v>1</v>
      </c>
    </row>
    <row r="2942" spans="1:35" ht="31.2">
      <c r="A2942" s="8">
        <v>-73.969026670000005</v>
      </c>
      <c r="B2942" s="8">
        <v>40.785313479999999</v>
      </c>
      <c r="C2942" s="8" t="s">
        <v>7199</v>
      </c>
      <c r="D2942" s="8" t="s">
        <v>2867</v>
      </c>
      <c r="E2942" s="8" t="b">
        <f t="shared" si="45"/>
        <v>0</v>
      </c>
      <c r="F2942" s="8" t="str" cm="1">
        <f t="array" ref="F2942">_xlfn._xlws.FILTER(E2942:E6140, C2942:C6140= "6D-PM-1020-01", "No Squirrels Found")</f>
        <v>No Squirrels Found</v>
      </c>
      <c r="G2942" s="8" t="s">
        <v>48</v>
      </c>
      <c r="H2942" s="10">
        <v>10182018</v>
      </c>
      <c r="I2942" s="10">
        <v>1</v>
      </c>
      <c r="J2942" s="8" t="s">
        <v>54</v>
      </c>
      <c r="K2942" s="8" t="s">
        <v>41</v>
      </c>
      <c r="M2942" s="8" t="s">
        <v>49</v>
      </c>
      <c r="O2942" s="8" t="s">
        <v>43</v>
      </c>
      <c r="P2942" s="8" t="b">
        <v>0</v>
      </c>
      <c r="R2942" s="8" t="b">
        <v>0</v>
      </c>
      <c r="S2942" s="8" t="b">
        <v>0</v>
      </c>
      <c r="T2942" s="8" t="b">
        <v>0</v>
      </c>
      <c r="U2942" s="8" t="b">
        <v>1</v>
      </c>
      <c r="V2942" s="8" t="b">
        <v>0</v>
      </c>
      <c r="X2942" s="8" t="b">
        <v>0</v>
      </c>
      <c r="Y2942" s="8" t="b">
        <v>0</v>
      </c>
      <c r="Z2942" s="8" t="b">
        <v>0</v>
      </c>
      <c r="AA2942" s="8" t="b">
        <v>0</v>
      </c>
      <c r="AB2942" s="8" t="b">
        <v>0</v>
      </c>
      <c r="AC2942" s="8" t="b">
        <v>0</v>
      </c>
      <c r="AD2942" s="8" t="b">
        <v>1</v>
      </c>
      <c r="AE2942" s="8" t="b">
        <v>0</v>
      </c>
      <c r="AG2942" s="11" t="b" cm="1">
        <f t="array" ref="AG2942">IF(OR(Y2942:AA2942="TRUE", AE2942="true"), "Threatened")</f>
        <v>0</v>
      </c>
      <c r="AH2942" s="11" t="s">
        <v>7200</v>
      </c>
      <c r="AI2942" s="8" t="b">
        <v>1</v>
      </c>
    </row>
    <row r="2943" spans="1:35" ht="31.2">
      <c r="A2943" s="8">
        <v>-73.967206379999993</v>
      </c>
      <c r="B2943" s="8">
        <v>40.782607040000002</v>
      </c>
      <c r="C2943" s="8" t="s">
        <v>7201</v>
      </c>
      <c r="D2943" s="8" t="s">
        <v>469</v>
      </c>
      <c r="E2943" s="8" t="b">
        <f t="shared" si="45"/>
        <v>0</v>
      </c>
      <c r="F2943" s="8" t="str" cm="1">
        <f t="array" ref="F2943">_xlfn._xlws.FILTER(E2943:E6141, C2943:C6141= "6D-PM-1020-01", "No Squirrels Found")</f>
        <v>No Squirrels Found</v>
      </c>
      <c r="G2943" s="8" t="s">
        <v>34</v>
      </c>
      <c r="H2943" s="10">
        <v>10082018</v>
      </c>
      <c r="I2943" s="10">
        <v>1</v>
      </c>
      <c r="K2943" s="8" t="s">
        <v>40</v>
      </c>
      <c r="M2943" s="8" t="s">
        <v>55</v>
      </c>
      <c r="O2943" s="8" t="s">
        <v>50</v>
      </c>
      <c r="P2943" s="8">
        <v>8</v>
      </c>
      <c r="R2943" s="8" t="b">
        <v>0</v>
      </c>
      <c r="S2943" s="8" t="b">
        <v>0</v>
      </c>
      <c r="T2943" s="8" t="b">
        <v>1</v>
      </c>
      <c r="U2943" s="8" t="b">
        <v>0</v>
      </c>
      <c r="V2943" s="8" t="b">
        <v>0</v>
      </c>
      <c r="X2943" s="8" t="b">
        <v>0</v>
      </c>
      <c r="Y2943" s="8" t="b">
        <v>0</v>
      </c>
      <c r="Z2943" s="8" t="b">
        <v>0</v>
      </c>
      <c r="AA2943" s="8" t="b">
        <v>0</v>
      </c>
      <c r="AB2943" s="8" t="b">
        <v>0</v>
      </c>
      <c r="AC2943" s="8" t="b">
        <v>1</v>
      </c>
      <c r="AD2943" s="8" t="b">
        <v>0</v>
      </c>
      <c r="AE2943" s="8" t="b">
        <v>0</v>
      </c>
      <c r="AG2943" s="11" t="b" cm="1">
        <f t="array" ref="AG2943">IF(OR(Y2943:AA2943="TRUE", AE2943="true"), "Threatened")</f>
        <v>0</v>
      </c>
      <c r="AH2943" s="11" t="s">
        <v>7202</v>
      </c>
      <c r="AI2943" s="8" t="b">
        <v>1</v>
      </c>
    </row>
    <row r="2944" spans="1:35" ht="31.2">
      <c r="A2944" s="8">
        <v>-73.962534860000005</v>
      </c>
      <c r="B2944" s="8">
        <v>40.781213450000003</v>
      </c>
      <c r="C2944" s="8" t="s">
        <v>7203</v>
      </c>
      <c r="D2944" s="8" t="s">
        <v>2649</v>
      </c>
      <c r="E2944" s="8" t="b">
        <f t="shared" si="45"/>
        <v>0</v>
      </c>
      <c r="F2944" s="8" t="str" cm="1">
        <f t="array" ref="F2944">_xlfn._xlws.FILTER(E2944:E6142, C2944:C6142= "6D-PM-1020-01", "No Squirrels Found")</f>
        <v>No Squirrels Found</v>
      </c>
      <c r="G2944" s="8" t="s">
        <v>34</v>
      </c>
      <c r="H2944" s="10">
        <v>10072018</v>
      </c>
      <c r="I2944" s="10">
        <v>1</v>
      </c>
      <c r="J2944" s="8" t="s">
        <v>39</v>
      </c>
      <c r="K2944" s="8" t="s">
        <v>41</v>
      </c>
      <c r="L2944" s="8" t="s">
        <v>40</v>
      </c>
      <c r="M2944" s="8" t="s">
        <v>110</v>
      </c>
      <c r="O2944" s="8" t="s">
        <v>43</v>
      </c>
      <c r="P2944" s="8" t="b">
        <v>0</v>
      </c>
      <c r="R2944" s="8" t="b">
        <v>0</v>
      </c>
      <c r="S2944" s="8" t="b">
        <v>0</v>
      </c>
      <c r="T2944" s="8" t="b">
        <v>0</v>
      </c>
      <c r="U2944" s="8" t="b">
        <v>0</v>
      </c>
      <c r="V2944" s="8" t="b">
        <v>1</v>
      </c>
      <c r="X2944" s="8" t="b">
        <v>0</v>
      </c>
      <c r="Y2944" s="8" t="b">
        <v>0</v>
      </c>
      <c r="Z2944" s="8" t="b">
        <v>0</v>
      </c>
      <c r="AA2944" s="8" t="b">
        <v>0</v>
      </c>
      <c r="AB2944" s="8" t="b">
        <v>0</v>
      </c>
      <c r="AC2944" s="8" t="b">
        <v>0</v>
      </c>
      <c r="AD2944" s="8" t="b">
        <v>1</v>
      </c>
      <c r="AE2944" s="8" t="b">
        <v>0</v>
      </c>
      <c r="AG2944" s="11" t="b" cm="1">
        <f t="array" ref="AG2944">IF(OR(Y2944:AA2944="TRUE", AE2944="true"), "Threatened")</f>
        <v>0</v>
      </c>
      <c r="AH2944" s="11" t="s">
        <v>7204</v>
      </c>
      <c r="AI2944" s="8" t="b">
        <v>1</v>
      </c>
    </row>
    <row r="2945" spans="1:35" ht="31.2">
      <c r="A2945" s="8">
        <v>-73.973940389999996</v>
      </c>
      <c r="B2945" s="8">
        <v>40.769316230000001</v>
      </c>
      <c r="C2945" s="8" t="s">
        <v>7205</v>
      </c>
      <c r="D2945" s="8" t="s">
        <v>264</v>
      </c>
      <c r="E2945" s="8" t="b">
        <f t="shared" si="45"/>
        <v>0</v>
      </c>
      <c r="F2945" s="8" t="str" cm="1">
        <f t="array" ref="F2945">_xlfn._xlws.FILTER(E2945:E6143, C2945:C6143= "6D-PM-1020-01", "No Squirrels Found")</f>
        <v>No Squirrels Found</v>
      </c>
      <c r="G2945" s="8" t="s">
        <v>48</v>
      </c>
      <c r="H2945" s="10">
        <v>10072018</v>
      </c>
      <c r="I2945" s="10">
        <v>5</v>
      </c>
      <c r="J2945" s="8" t="s">
        <v>39</v>
      </c>
      <c r="K2945" s="8" t="s">
        <v>40</v>
      </c>
      <c r="L2945" s="8" t="s">
        <v>84</v>
      </c>
      <c r="M2945" s="8" t="s">
        <v>103</v>
      </c>
      <c r="O2945" s="8" t="s">
        <v>50</v>
      </c>
      <c r="P2945" s="8">
        <v>2</v>
      </c>
      <c r="Q2945" s="8" t="s">
        <v>206</v>
      </c>
      <c r="R2945" s="8" t="b">
        <v>1</v>
      </c>
      <c r="S2945" s="8" t="b">
        <v>0</v>
      </c>
      <c r="T2945" s="8" t="b">
        <v>0</v>
      </c>
      <c r="U2945" s="8" t="b">
        <v>0</v>
      </c>
      <c r="V2945" s="8" t="b">
        <v>1</v>
      </c>
      <c r="X2945" s="8" t="b">
        <v>0</v>
      </c>
      <c r="Y2945" s="8" t="b">
        <v>0</v>
      </c>
      <c r="Z2945" s="8" t="b">
        <v>0</v>
      </c>
      <c r="AA2945" s="8" t="b">
        <v>0</v>
      </c>
      <c r="AB2945" s="8" t="b">
        <v>0</v>
      </c>
      <c r="AC2945" s="8" t="b">
        <v>0</v>
      </c>
      <c r="AD2945" s="8" t="b">
        <v>0</v>
      </c>
      <c r="AE2945" s="8" t="b">
        <v>0</v>
      </c>
      <c r="AG2945" s="11" t="b" cm="1">
        <f t="array" ref="AG2945">IF(OR(Y2945:AA2945="TRUE", AE2945="true"), "Threatened")</f>
        <v>0</v>
      </c>
      <c r="AH2945" s="11" t="s">
        <v>7206</v>
      </c>
      <c r="AI2945" s="8" t="b">
        <v>1</v>
      </c>
    </row>
    <row r="2946" spans="1:35" ht="31.2">
      <c r="A2946" s="8">
        <v>-73.964910329999995</v>
      </c>
      <c r="B2946" s="8">
        <v>40.782391390000001</v>
      </c>
      <c r="C2946" s="8" t="s">
        <v>7207</v>
      </c>
      <c r="D2946" s="8" t="s">
        <v>177</v>
      </c>
      <c r="E2946" s="8" t="b">
        <f t="shared" si="45"/>
        <v>0</v>
      </c>
      <c r="F2946" s="8" t="str" cm="1">
        <f t="array" ref="F2946">_xlfn._xlws.FILTER(E2946:E6144, C2946:C6144= "6D-PM-1020-01", "No Squirrels Found")</f>
        <v>No Squirrels Found</v>
      </c>
      <c r="G2946" s="8" t="s">
        <v>34</v>
      </c>
      <c r="H2946" s="10">
        <v>10142018</v>
      </c>
      <c r="I2946" s="10">
        <v>8</v>
      </c>
      <c r="J2946" s="8" t="s">
        <v>39</v>
      </c>
      <c r="K2946" s="8" t="s">
        <v>40</v>
      </c>
      <c r="M2946" s="8" t="s">
        <v>55</v>
      </c>
      <c r="O2946" s="8" t="s">
        <v>50</v>
      </c>
      <c r="P2946" s="8">
        <v>10</v>
      </c>
      <c r="Q2946" s="8" t="s">
        <v>7208</v>
      </c>
      <c r="R2946" s="8" t="b">
        <v>0</v>
      </c>
      <c r="S2946" s="8" t="b">
        <v>0</v>
      </c>
      <c r="T2946" s="8" t="b">
        <v>1</v>
      </c>
      <c r="U2946" s="8" t="b">
        <v>0</v>
      </c>
      <c r="V2946" s="8" t="b">
        <v>0</v>
      </c>
      <c r="X2946" s="8" t="b">
        <v>0</v>
      </c>
      <c r="Y2946" s="8" t="b">
        <v>0</v>
      </c>
      <c r="Z2946" s="8" t="b">
        <v>0</v>
      </c>
      <c r="AA2946" s="8" t="b">
        <v>0</v>
      </c>
      <c r="AB2946" s="8" t="b">
        <v>0</v>
      </c>
      <c r="AC2946" s="8" t="b">
        <v>0</v>
      </c>
      <c r="AD2946" s="8" t="b">
        <v>1</v>
      </c>
      <c r="AE2946" s="8" t="b">
        <v>0</v>
      </c>
      <c r="AG2946" s="11" t="b" cm="1">
        <f t="array" ref="AG2946">IF(OR(Y2946:AA2946="TRUE", AE2946="true"), "Threatened")</f>
        <v>0</v>
      </c>
      <c r="AH2946" s="11" t="s">
        <v>7209</v>
      </c>
      <c r="AI2946" s="8" t="b">
        <v>1</v>
      </c>
    </row>
    <row r="2947" spans="1:35" ht="31.2">
      <c r="A2947" s="8">
        <v>-73.974515100000005</v>
      </c>
      <c r="B2947" s="8">
        <v>40.770065080000002</v>
      </c>
      <c r="C2947" s="8" t="s">
        <v>7210</v>
      </c>
      <c r="D2947" s="8" t="s">
        <v>3052</v>
      </c>
      <c r="E2947" s="8" t="b">
        <f t="shared" ref="E2947:E3010" si="46">OR(D2947 = "05D", D2947 = "07D", D2947 = "06C", D2947 = "06E")</f>
        <v>1</v>
      </c>
      <c r="F2947" s="8" t="str" cm="1">
        <f t="array" ref="F2947">_xlfn._xlws.FILTER(E2947:E6145, C2947:C6145= "6D-PM-1020-01", "No Squirrels Found")</f>
        <v>No Squirrels Found</v>
      </c>
      <c r="G2947" s="8" t="s">
        <v>34</v>
      </c>
      <c r="H2947" s="10">
        <v>10102018</v>
      </c>
      <c r="I2947" s="10">
        <v>3</v>
      </c>
      <c r="J2947" s="8" t="s">
        <v>39</v>
      </c>
      <c r="K2947" s="8" t="s">
        <v>41</v>
      </c>
      <c r="L2947" s="8" t="s">
        <v>84</v>
      </c>
      <c r="M2947" s="8" t="s">
        <v>85</v>
      </c>
      <c r="N2947" s="11" t="s">
        <v>3053</v>
      </c>
      <c r="O2947" s="8" t="s">
        <v>43</v>
      </c>
      <c r="P2947" s="8" t="b">
        <v>0</v>
      </c>
      <c r="Q2947" s="8" t="s">
        <v>3423</v>
      </c>
      <c r="R2947" s="8" t="b">
        <v>0</v>
      </c>
      <c r="S2947" s="8" t="b">
        <v>1</v>
      </c>
      <c r="T2947" s="8" t="b">
        <v>0</v>
      </c>
      <c r="U2947" s="8" t="b">
        <v>1</v>
      </c>
      <c r="V2947" s="8" t="b">
        <v>0</v>
      </c>
      <c r="W2947" s="11" t="s">
        <v>1896</v>
      </c>
      <c r="X2947" s="8" t="b">
        <v>0</v>
      </c>
      <c r="Y2947" s="8" t="b">
        <v>0</v>
      </c>
      <c r="Z2947" s="8" t="b">
        <v>0</v>
      </c>
      <c r="AA2947" s="8" t="b">
        <v>0</v>
      </c>
      <c r="AB2947" s="8" t="b">
        <v>0</v>
      </c>
      <c r="AC2947" s="8" t="b">
        <v>0</v>
      </c>
      <c r="AD2947" s="8" t="b">
        <v>1</v>
      </c>
      <c r="AE2947" s="8" t="b">
        <v>0</v>
      </c>
      <c r="AG2947" s="11" t="b" cm="1">
        <f t="array" ref="AG2947">IF(OR(Y2947:AA2947="TRUE", AE2947="true"), "Threatened")</f>
        <v>0</v>
      </c>
      <c r="AH2947" s="11" t="s">
        <v>7211</v>
      </c>
      <c r="AI2947" s="8" t="b">
        <v>0</v>
      </c>
    </row>
    <row r="2948" spans="1:35" ht="31.2">
      <c r="A2948" s="8">
        <v>-73.960121520000001</v>
      </c>
      <c r="B2948" s="8">
        <v>40.790976980000003</v>
      </c>
      <c r="C2948" s="8" t="s">
        <v>7212</v>
      </c>
      <c r="D2948" s="8" t="s">
        <v>309</v>
      </c>
      <c r="E2948" s="8" t="b">
        <f t="shared" si="46"/>
        <v>0</v>
      </c>
      <c r="F2948" s="8" t="str" cm="1">
        <f t="array" ref="F2948">_xlfn._xlws.FILTER(E2948:E6146, C2948:C6146= "6D-PM-1020-01", "No Squirrels Found")</f>
        <v>No Squirrels Found</v>
      </c>
      <c r="G2948" s="8" t="s">
        <v>34</v>
      </c>
      <c r="H2948" s="10">
        <v>10062018</v>
      </c>
      <c r="I2948" s="10">
        <v>2</v>
      </c>
      <c r="J2948" s="8" t="s">
        <v>39</v>
      </c>
      <c r="K2948" s="8" t="s">
        <v>40</v>
      </c>
      <c r="L2948" s="8" t="s">
        <v>168</v>
      </c>
      <c r="M2948" s="8" t="s">
        <v>169</v>
      </c>
      <c r="O2948" s="8" t="s">
        <v>43</v>
      </c>
      <c r="P2948" s="8" t="b">
        <v>0</v>
      </c>
      <c r="R2948" s="8" t="b">
        <v>1</v>
      </c>
      <c r="S2948" s="8" t="b">
        <v>0</v>
      </c>
      <c r="T2948" s="8" t="b">
        <v>0</v>
      </c>
      <c r="U2948" s="8" t="b">
        <v>1</v>
      </c>
      <c r="V2948" s="8" t="b">
        <v>0</v>
      </c>
      <c r="X2948" s="8" t="b">
        <v>0</v>
      </c>
      <c r="Y2948" s="8" t="b">
        <v>0</v>
      </c>
      <c r="Z2948" s="8" t="b">
        <v>0</v>
      </c>
      <c r="AA2948" s="8" t="b">
        <v>0</v>
      </c>
      <c r="AB2948" s="8" t="b">
        <v>1</v>
      </c>
      <c r="AC2948" s="8" t="b">
        <v>0</v>
      </c>
      <c r="AD2948" s="8" t="b">
        <v>0</v>
      </c>
      <c r="AE2948" s="8" t="b">
        <v>1</v>
      </c>
      <c r="AG2948" s="11" t="b" cm="1">
        <f t="array" ref="AG2948">IF(OR(Y2948:AA2948="TRUE", AE2948="true"), "Threatened")</f>
        <v>0</v>
      </c>
      <c r="AH2948" s="11" t="s">
        <v>7213</v>
      </c>
      <c r="AI2948" s="8" t="b">
        <v>1</v>
      </c>
    </row>
    <row r="2949" spans="1:35" ht="31.2">
      <c r="A2949" s="8">
        <v>-73.954522560000001</v>
      </c>
      <c r="B2949" s="8">
        <v>40.79560747</v>
      </c>
      <c r="C2949" s="8" t="s">
        <v>7214</v>
      </c>
      <c r="D2949" s="8" t="s">
        <v>1066</v>
      </c>
      <c r="E2949" s="8" t="b">
        <f t="shared" si="46"/>
        <v>0</v>
      </c>
      <c r="F2949" s="8" t="str" cm="1">
        <f t="array" ref="F2949">_xlfn._xlws.FILTER(E2949:E6147, C2949:C6147= "6D-PM-1020-01", "No Squirrels Found")</f>
        <v>No Squirrels Found</v>
      </c>
      <c r="G2949" s="8" t="s">
        <v>48</v>
      </c>
      <c r="H2949" s="10">
        <v>10142018</v>
      </c>
      <c r="I2949" s="10">
        <v>3</v>
      </c>
      <c r="J2949" s="8" t="s">
        <v>39</v>
      </c>
      <c r="K2949" s="8" t="s">
        <v>40</v>
      </c>
      <c r="L2949" s="8" t="s">
        <v>41</v>
      </c>
      <c r="M2949" s="8" t="s">
        <v>42</v>
      </c>
      <c r="O2949" s="8" t="s">
        <v>43</v>
      </c>
      <c r="P2949" s="8" t="b">
        <v>0</v>
      </c>
      <c r="R2949" s="8" t="b">
        <v>1</v>
      </c>
      <c r="S2949" s="8" t="b">
        <v>0</v>
      </c>
      <c r="T2949" s="8" t="b">
        <v>0</v>
      </c>
      <c r="U2949" s="8" t="b">
        <v>0</v>
      </c>
      <c r="V2949" s="8" t="b">
        <v>0</v>
      </c>
      <c r="X2949" s="8" t="b">
        <v>0</v>
      </c>
      <c r="Y2949" s="8" t="b">
        <v>0</v>
      </c>
      <c r="Z2949" s="8" t="b">
        <v>0</v>
      </c>
      <c r="AA2949" s="8" t="b">
        <v>0</v>
      </c>
      <c r="AB2949" s="8" t="b">
        <v>0</v>
      </c>
      <c r="AC2949" s="8" t="b">
        <v>0</v>
      </c>
      <c r="AD2949" s="8" t="b">
        <v>0</v>
      </c>
      <c r="AE2949" s="8" t="b">
        <v>1</v>
      </c>
      <c r="AG2949" s="11" t="b" cm="1">
        <f t="array" ref="AG2949">IF(OR(Y2949:AA2949="TRUE", AE2949="true"), "Threatened")</f>
        <v>0</v>
      </c>
      <c r="AH2949" s="11" t="s">
        <v>7215</v>
      </c>
      <c r="AI2949" s="8" t="b">
        <v>1</v>
      </c>
    </row>
    <row r="2950" spans="1:35" ht="31.2">
      <c r="A2950" s="8">
        <v>-73.965120619999993</v>
      </c>
      <c r="B2950" s="8">
        <v>40.778527910000001</v>
      </c>
      <c r="C2950" s="8" t="s">
        <v>7216</v>
      </c>
      <c r="D2950" s="8" t="s">
        <v>520</v>
      </c>
      <c r="E2950" s="8" t="b">
        <f t="shared" si="46"/>
        <v>0</v>
      </c>
      <c r="F2950" s="8" t="str" cm="1">
        <f t="array" ref="F2950">_xlfn._xlws.FILTER(E2950:E6148, C2950:C6148= "6D-PM-1020-01", "No Squirrels Found")</f>
        <v>No Squirrels Found</v>
      </c>
      <c r="G2950" s="8" t="s">
        <v>48</v>
      </c>
      <c r="H2950" s="10">
        <v>10142018</v>
      </c>
      <c r="I2950" s="10">
        <v>2</v>
      </c>
      <c r="J2950" s="8" t="s">
        <v>39</v>
      </c>
      <c r="K2950" s="8" t="s">
        <v>40</v>
      </c>
      <c r="L2950" s="8" t="s">
        <v>84</v>
      </c>
      <c r="M2950" s="8" t="s">
        <v>103</v>
      </c>
      <c r="O2950" s="8" t="s">
        <v>43</v>
      </c>
      <c r="P2950" s="8" t="b">
        <v>0</v>
      </c>
      <c r="R2950" s="8" t="b">
        <v>1</v>
      </c>
      <c r="S2950" s="8" t="b">
        <v>0</v>
      </c>
      <c r="T2950" s="8" t="b">
        <v>0</v>
      </c>
      <c r="U2950" s="8" t="b">
        <v>0</v>
      </c>
      <c r="V2950" s="8" t="b">
        <v>0</v>
      </c>
      <c r="X2950" s="8" t="b">
        <v>0</v>
      </c>
      <c r="Y2950" s="8" t="b">
        <v>0</v>
      </c>
      <c r="Z2950" s="8" t="b">
        <v>0</v>
      </c>
      <c r="AA2950" s="8" t="b">
        <v>0</v>
      </c>
      <c r="AB2950" s="8" t="b">
        <v>0</v>
      </c>
      <c r="AC2950" s="8" t="b">
        <v>0</v>
      </c>
      <c r="AD2950" s="8" t="b">
        <v>1</v>
      </c>
      <c r="AE2950" s="8" t="b">
        <v>0</v>
      </c>
      <c r="AG2950" s="11" t="b" cm="1">
        <f t="array" ref="AG2950">IF(OR(Y2950:AA2950="TRUE", AE2950="true"), "Threatened")</f>
        <v>0</v>
      </c>
      <c r="AH2950" s="11" t="s">
        <v>7217</v>
      </c>
      <c r="AI2950" s="8" t="b">
        <v>1</v>
      </c>
    </row>
    <row r="2951" spans="1:35" ht="31.2">
      <c r="A2951" s="8">
        <v>-73.979098010000001</v>
      </c>
      <c r="B2951" s="8">
        <v>40.768593410000001</v>
      </c>
      <c r="C2951" s="8" t="s">
        <v>7218</v>
      </c>
      <c r="D2951" s="8" t="s">
        <v>219</v>
      </c>
      <c r="E2951" s="8" t="b">
        <f t="shared" si="46"/>
        <v>0</v>
      </c>
      <c r="F2951" s="8" t="str" cm="1">
        <f t="array" ref="F2951">_xlfn._xlws.FILTER(E2951:E6149, C2951:C6149= "6D-PM-1020-01", "No Squirrels Found")</f>
        <v>No Squirrels Found</v>
      </c>
      <c r="G2951" s="8" t="s">
        <v>34</v>
      </c>
      <c r="H2951" s="10">
        <v>10132018</v>
      </c>
      <c r="I2951" s="10">
        <v>8</v>
      </c>
      <c r="J2951" s="8" t="s">
        <v>39</v>
      </c>
      <c r="K2951" s="8" t="s">
        <v>40</v>
      </c>
      <c r="L2951" s="8" t="s">
        <v>84</v>
      </c>
      <c r="M2951" s="8" t="s">
        <v>103</v>
      </c>
      <c r="O2951" s="8" t="s">
        <v>50</v>
      </c>
      <c r="P2951" s="8">
        <v>15</v>
      </c>
      <c r="R2951" s="8" t="b">
        <v>0</v>
      </c>
      <c r="S2951" s="8" t="b">
        <v>0</v>
      </c>
      <c r="T2951" s="8" t="b">
        <v>0</v>
      </c>
      <c r="U2951" s="8" t="b">
        <v>1</v>
      </c>
      <c r="V2951" s="8" t="b">
        <v>0</v>
      </c>
      <c r="X2951" s="8" t="b">
        <v>0</v>
      </c>
      <c r="Y2951" s="8" t="b">
        <v>0</v>
      </c>
      <c r="Z2951" s="8" t="b">
        <v>0</v>
      </c>
      <c r="AA2951" s="8" t="b">
        <v>0</v>
      </c>
      <c r="AB2951" s="8" t="b">
        <v>0</v>
      </c>
      <c r="AC2951" s="8" t="b">
        <v>0</v>
      </c>
      <c r="AD2951" s="8" t="b">
        <v>0</v>
      </c>
      <c r="AE2951" s="8" t="b">
        <v>0</v>
      </c>
      <c r="AG2951" s="11" t="b" cm="1">
        <f t="array" ref="AG2951">IF(OR(Y2951:AA2951="TRUE", AE2951="true"), "Threatened")</f>
        <v>0</v>
      </c>
      <c r="AH2951" s="11" t="s">
        <v>7219</v>
      </c>
      <c r="AI2951" s="8" t="b">
        <v>1</v>
      </c>
    </row>
    <row r="2952" spans="1:35" ht="31.2">
      <c r="A2952" s="8">
        <v>-73.974298599999997</v>
      </c>
      <c r="B2952" s="8">
        <v>40.777045430000001</v>
      </c>
      <c r="C2952" s="8" t="s">
        <v>7220</v>
      </c>
      <c r="D2952" s="8" t="s">
        <v>594</v>
      </c>
      <c r="E2952" s="8" t="b">
        <f t="shared" si="46"/>
        <v>0</v>
      </c>
      <c r="F2952" s="8" t="str" cm="1">
        <f t="array" ref="F2952">_xlfn._xlws.FILTER(E2952:E6150, C2952:C6150= "6D-PM-1020-01", "No Squirrels Found")</f>
        <v>No Squirrels Found</v>
      </c>
      <c r="G2952" s="8" t="s">
        <v>34</v>
      </c>
      <c r="H2952" s="10">
        <v>10142018</v>
      </c>
      <c r="I2952" s="10">
        <v>4</v>
      </c>
      <c r="K2952" s="8" t="s">
        <v>40</v>
      </c>
      <c r="M2952" s="8" t="s">
        <v>55</v>
      </c>
      <c r="O2952" s="8" t="s">
        <v>43</v>
      </c>
      <c r="P2952" s="8" t="b">
        <v>0</v>
      </c>
      <c r="R2952" s="8" t="b">
        <v>0</v>
      </c>
      <c r="S2952" s="8" t="b">
        <v>0</v>
      </c>
      <c r="T2952" s="8" t="b">
        <v>0</v>
      </c>
      <c r="U2952" s="8" t="b">
        <v>1</v>
      </c>
      <c r="V2952" s="8" t="b">
        <v>0</v>
      </c>
      <c r="X2952" s="8" t="b">
        <v>0</v>
      </c>
      <c r="Y2952" s="8" t="b">
        <v>0</v>
      </c>
      <c r="Z2952" s="8" t="b">
        <v>0</v>
      </c>
      <c r="AA2952" s="8" t="b">
        <v>0</v>
      </c>
      <c r="AB2952" s="8" t="b">
        <v>0</v>
      </c>
      <c r="AC2952" s="8" t="b">
        <v>0</v>
      </c>
      <c r="AD2952" s="8" t="b">
        <v>0</v>
      </c>
      <c r="AE2952" s="8" t="b">
        <v>0</v>
      </c>
      <c r="AG2952" s="11" t="b" cm="1">
        <f t="array" ref="AG2952">IF(OR(Y2952:AA2952="TRUE", AE2952="true"), "Threatened")</f>
        <v>0</v>
      </c>
      <c r="AH2952" s="11" t="s">
        <v>7221</v>
      </c>
      <c r="AI2952" s="8" t="b">
        <v>1</v>
      </c>
    </row>
    <row r="2953" spans="1:35" ht="31.2">
      <c r="A2953" s="8">
        <v>-73.976371940000007</v>
      </c>
      <c r="B2953" s="8">
        <v>40.768955140000003</v>
      </c>
      <c r="C2953" s="8" t="s">
        <v>7222</v>
      </c>
      <c r="D2953" s="8" t="s">
        <v>544</v>
      </c>
      <c r="E2953" s="8" t="b">
        <f t="shared" si="46"/>
        <v>0</v>
      </c>
      <c r="F2953" s="8" t="str" cm="1">
        <f t="array" ref="F2953">_xlfn._xlws.FILTER(E2953:E6151, C2953:C6151= "6D-PM-1020-01", "No Squirrels Found")</f>
        <v>No Squirrels Found</v>
      </c>
      <c r="G2953" s="8" t="s">
        <v>34</v>
      </c>
      <c r="H2953" s="10">
        <v>10082018</v>
      </c>
      <c r="I2953" s="10">
        <v>4</v>
      </c>
      <c r="J2953" s="8" t="s">
        <v>39</v>
      </c>
      <c r="K2953" s="8" t="s">
        <v>41</v>
      </c>
      <c r="L2953" s="8" t="s">
        <v>135</v>
      </c>
      <c r="M2953" s="8" t="s">
        <v>136</v>
      </c>
      <c r="O2953" s="8" t="s">
        <v>43</v>
      </c>
      <c r="P2953" s="8" t="b">
        <v>0</v>
      </c>
      <c r="R2953" s="8" t="b">
        <v>0</v>
      </c>
      <c r="S2953" s="8" t="b">
        <v>0</v>
      </c>
      <c r="T2953" s="8" t="b">
        <v>0</v>
      </c>
      <c r="U2953" s="8" t="b">
        <v>0</v>
      </c>
      <c r="V2953" s="8" t="b">
        <v>1</v>
      </c>
      <c r="X2953" s="8" t="b">
        <v>0</v>
      </c>
      <c r="Y2953" s="8" t="b">
        <v>0</v>
      </c>
      <c r="Z2953" s="8" t="b">
        <v>0</v>
      </c>
      <c r="AA2953" s="8" t="b">
        <v>0</v>
      </c>
      <c r="AB2953" s="8" t="b">
        <v>0</v>
      </c>
      <c r="AC2953" s="8" t="b">
        <v>0</v>
      </c>
      <c r="AD2953" s="8" t="b">
        <v>1</v>
      </c>
      <c r="AE2953" s="8" t="b">
        <v>0</v>
      </c>
      <c r="AG2953" s="11" t="b" cm="1">
        <f t="array" ref="AG2953">IF(OR(Y2953:AA2953="TRUE", AE2953="true"), "Threatened")</f>
        <v>0</v>
      </c>
      <c r="AH2953" s="11" t="s">
        <v>7223</v>
      </c>
      <c r="AI2953" s="8" t="b">
        <v>1</v>
      </c>
    </row>
    <row r="2954" spans="1:35" ht="31.2">
      <c r="A2954" s="8">
        <v>-73.958586210000007</v>
      </c>
      <c r="B2954" s="8">
        <v>40.798654929999998</v>
      </c>
      <c r="C2954" s="8" t="s">
        <v>7224</v>
      </c>
      <c r="D2954" s="8" t="s">
        <v>458</v>
      </c>
      <c r="E2954" s="8" t="b">
        <f t="shared" si="46"/>
        <v>0</v>
      </c>
      <c r="F2954" s="8" t="str" cm="1">
        <f t="array" ref="F2954">_xlfn._xlws.FILTER(E2954:E6152, C2954:C6152= "6D-PM-1020-01", "No Squirrels Found")</f>
        <v>No Squirrels Found</v>
      </c>
      <c r="G2954" s="8" t="s">
        <v>34</v>
      </c>
      <c r="H2954" s="10">
        <v>10142018</v>
      </c>
      <c r="I2954" s="10">
        <v>5</v>
      </c>
      <c r="J2954" s="8" t="s">
        <v>39</v>
      </c>
      <c r="K2954" s="8" t="s">
        <v>40</v>
      </c>
      <c r="L2954" s="8" t="s">
        <v>84</v>
      </c>
      <c r="M2954" s="8" t="s">
        <v>103</v>
      </c>
      <c r="O2954" s="8" t="s">
        <v>43</v>
      </c>
      <c r="P2954" s="8" t="b">
        <v>0</v>
      </c>
      <c r="R2954" s="8" t="b">
        <v>0</v>
      </c>
      <c r="S2954" s="8" t="b">
        <v>0</v>
      </c>
      <c r="T2954" s="8" t="b">
        <v>0</v>
      </c>
      <c r="U2954" s="8" t="b">
        <v>1</v>
      </c>
      <c r="V2954" s="8" t="b">
        <v>1</v>
      </c>
      <c r="W2954" s="11" t="s">
        <v>7225</v>
      </c>
      <c r="X2954" s="8" t="b">
        <v>0</v>
      </c>
      <c r="Y2954" s="8" t="b">
        <v>0</v>
      </c>
      <c r="Z2954" s="8" t="b">
        <v>0</v>
      </c>
      <c r="AA2954" s="8" t="b">
        <v>0</v>
      </c>
      <c r="AB2954" s="8" t="b">
        <v>0</v>
      </c>
      <c r="AC2954" s="8" t="b">
        <v>0</v>
      </c>
      <c r="AD2954" s="8" t="b">
        <v>1</v>
      </c>
      <c r="AE2954" s="8" t="b">
        <v>0</v>
      </c>
      <c r="AG2954" s="11" t="b" cm="1">
        <f t="array" ref="AG2954">IF(OR(Y2954:AA2954="TRUE", AE2954="true"), "Threatened")</f>
        <v>0</v>
      </c>
      <c r="AH2954" s="11" t="s">
        <v>7226</v>
      </c>
      <c r="AI2954" s="8" t="b">
        <v>0</v>
      </c>
    </row>
    <row r="2955" spans="1:35" ht="31.2">
      <c r="A2955" s="8">
        <v>-73.967747430000003</v>
      </c>
      <c r="B2955" s="8">
        <v>40.774211919999999</v>
      </c>
      <c r="C2955" s="8" t="s">
        <v>7227</v>
      </c>
      <c r="D2955" s="8" t="s">
        <v>1391</v>
      </c>
      <c r="E2955" s="8" t="b">
        <f t="shared" si="46"/>
        <v>0</v>
      </c>
      <c r="F2955" s="8" t="str" cm="1">
        <f t="array" ref="F2955">_xlfn._xlws.FILTER(E2955:E6153, C2955:C6153= "6D-PM-1020-01", "No Squirrels Found")</f>
        <v>No Squirrels Found</v>
      </c>
      <c r="G2955" s="8" t="s">
        <v>34</v>
      </c>
      <c r="H2955" s="10">
        <v>10072018</v>
      </c>
      <c r="I2955" s="10">
        <v>3</v>
      </c>
      <c r="K2955" s="8" t="s">
        <v>40</v>
      </c>
      <c r="L2955" s="8" t="s">
        <v>41</v>
      </c>
      <c r="M2955" s="8" t="s">
        <v>42</v>
      </c>
      <c r="O2955" s="8" t="s">
        <v>43</v>
      </c>
      <c r="P2955" s="8" t="b">
        <v>0</v>
      </c>
      <c r="R2955" s="8" t="b">
        <v>0</v>
      </c>
      <c r="S2955" s="8" t="b">
        <v>0</v>
      </c>
      <c r="T2955" s="8" t="b">
        <v>0</v>
      </c>
      <c r="U2955" s="8" t="b">
        <v>1</v>
      </c>
      <c r="V2955" s="8" t="b">
        <v>0</v>
      </c>
      <c r="W2955" s="11" t="s">
        <v>1544</v>
      </c>
      <c r="X2955" s="8" t="b">
        <v>0</v>
      </c>
      <c r="Y2955" s="8" t="b">
        <v>0</v>
      </c>
      <c r="Z2955" s="8" t="b">
        <v>0</v>
      </c>
      <c r="AA2955" s="8" t="b">
        <v>0</v>
      </c>
      <c r="AB2955" s="8" t="b">
        <v>0</v>
      </c>
      <c r="AC2955" s="8" t="b">
        <v>0</v>
      </c>
      <c r="AD2955" s="8" t="b">
        <v>1</v>
      </c>
      <c r="AE2955" s="8" t="b">
        <v>0</v>
      </c>
      <c r="AG2955" s="11" t="b" cm="1">
        <f t="array" ref="AG2955">IF(OR(Y2955:AA2955="TRUE", AE2955="true"), "Threatened")</f>
        <v>0</v>
      </c>
      <c r="AH2955" s="11" t="s">
        <v>7228</v>
      </c>
      <c r="AI2955" s="8" t="b">
        <v>0</v>
      </c>
    </row>
    <row r="2956" spans="1:35" ht="31.2">
      <c r="A2956" s="8">
        <v>-73.971166650000001</v>
      </c>
      <c r="B2956" s="8">
        <v>40.776151310000003</v>
      </c>
      <c r="C2956" s="8" t="s">
        <v>7229</v>
      </c>
      <c r="D2956" s="8" t="s">
        <v>426</v>
      </c>
      <c r="E2956" s="8" t="b">
        <f t="shared" si="46"/>
        <v>0</v>
      </c>
      <c r="F2956" s="8" t="str" cm="1">
        <f t="array" ref="F2956">_xlfn._xlws.FILTER(E2956:E6154, C2956:C6154= "6D-PM-1020-01", "No Squirrels Found")</f>
        <v>No Squirrels Found</v>
      </c>
      <c r="G2956" s="8" t="s">
        <v>48</v>
      </c>
      <c r="H2956" s="10">
        <v>10142018</v>
      </c>
      <c r="I2956" s="10">
        <v>2</v>
      </c>
      <c r="J2956" s="8" t="s">
        <v>39</v>
      </c>
      <c r="K2956" s="8" t="s">
        <v>41</v>
      </c>
      <c r="M2956" s="8" t="s">
        <v>49</v>
      </c>
      <c r="O2956" s="8" t="s">
        <v>43</v>
      </c>
      <c r="P2956" s="8" t="b">
        <v>0</v>
      </c>
      <c r="R2956" s="8" t="b">
        <v>0</v>
      </c>
      <c r="S2956" s="8" t="b">
        <v>1</v>
      </c>
      <c r="T2956" s="8" t="b">
        <v>0</v>
      </c>
      <c r="U2956" s="8" t="b">
        <v>0</v>
      </c>
      <c r="V2956" s="8" t="b">
        <v>1</v>
      </c>
      <c r="X2956" s="8" t="b">
        <v>0</v>
      </c>
      <c r="Y2956" s="8" t="b">
        <v>0</v>
      </c>
      <c r="Z2956" s="8" t="b">
        <v>0</v>
      </c>
      <c r="AA2956" s="8" t="b">
        <v>0</v>
      </c>
      <c r="AB2956" s="8" t="b">
        <v>0</v>
      </c>
      <c r="AC2956" s="8" t="b">
        <v>0</v>
      </c>
      <c r="AD2956" s="8" t="b">
        <v>1</v>
      </c>
      <c r="AE2956" s="8" t="b">
        <v>0</v>
      </c>
      <c r="AG2956" s="11" t="b" cm="1">
        <f t="array" ref="AG2956">IF(OR(Y2956:AA2956="TRUE", AE2956="true"), "Threatened")</f>
        <v>0</v>
      </c>
      <c r="AH2956" s="11" t="s">
        <v>7230</v>
      </c>
      <c r="AI2956" s="8" t="b">
        <v>1</v>
      </c>
    </row>
    <row r="2957" spans="1:35" ht="31.2">
      <c r="A2957" s="8">
        <v>-73.965474169999993</v>
      </c>
      <c r="B2957" s="8">
        <v>40.789042790000003</v>
      </c>
      <c r="C2957" s="8" t="s">
        <v>7231</v>
      </c>
      <c r="D2957" s="8" t="s">
        <v>3643</v>
      </c>
      <c r="E2957" s="8" t="b">
        <f t="shared" si="46"/>
        <v>0</v>
      </c>
      <c r="F2957" s="8" t="str" cm="1">
        <f t="array" ref="F2957">_xlfn._xlws.FILTER(E2957:E6155, C2957:C6155= "6D-PM-1020-01", "No Squirrels Found")</f>
        <v>No Squirrels Found</v>
      </c>
      <c r="G2957" s="8" t="s">
        <v>34</v>
      </c>
      <c r="H2957" s="10">
        <v>10102018</v>
      </c>
      <c r="I2957" s="10">
        <v>1</v>
      </c>
      <c r="J2957" s="8" t="s">
        <v>39</v>
      </c>
      <c r="K2957" s="8" t="s">
        <v>40</v>
      </c>
      <c r="L2957" s="8" t="s">
        <v>84</v>
      </c>
      <c r="M2957" s="8" t="s">
        <v>103</v>
      </c>
      <c r="O2957" s="8" t="s">
        <v>50</v>
      </c>
      <c r="P2957" s="8">
        <v>10</v>
      </c>
      <c r="Q2957" s="8" t="s">
        <v>3101</v>
      </c>
      <c r="R2957" s="8" t="b">
        <v>0</v>
      </c>
      <c r="S2957" s="8" t="b">
        <v>0</v>
      </c>
      <c r="T2957" s="8" t="b">
        <v>1</v>
      </c>
      <c r="U2957" s="8" t="b">
        <v>0</v>
      </c>
      <c r="V2957" s="8" t="b">
        <v>0</v>
      </c>
      <c r="X2957" s="8" t="b">
        <v>0</v>
      </c>
      <c r="Y2957" s="8" t="b">
        <v>0</v>
      </c>
      <c r="Z2957" s="8" t="b">
        <v>0</v>
      </c>
      <c r="AA2957" s="8" t="b">
        <v>0</v>
      </c>
      <c r="AB2957" s="8" t="b">
        <v>0</v>
      </c>
      <c r="AC2957" s="8" t="b">
        <v>0</v>
      </c>
      <c r="AD2957" s="8" t="b">
        <v>0</v>
      </c>
      <c r="AE2957" s="8" t="b">
        <v>0</v>
      </c>
      <c r="AG2957" s="11" t="b" cm="1">
        <f t="array" ref="AG2957">IF(OR(Y2957:AA2957="TRUE", AE2957="true"), "Threatened")</f>
        <v>0</v>
      </c>
      <c r="AH2957" s="11" t="s">
        <v>7232</v>
      </c>
      <c r="AI2957" s="8" t="b">
        <v>1</v>
      </c>
    </row>
    <row r="2958" spans="1:35" ht="31.2">
      <c r="A2958" s="8">
        <v>-73.974731320000004</v>
      </c>
      <c r="B2958" s="8">
        <v>40.76538884</v>
      </c>
      <c r="C2958" s="8" t="s">
        <v>7233</v>
      </c>
      <c r="D2958" s="8" t="s">
        <v>966</v>
      </c>
      <c r="E2958" s="8" t="b">
        <f t="shared" si="46"/>
        <v>0</v>
      </c>
      <c r="F2958" s="8" t="str" cm="1">
        <f t="array" ref="F2958">_xlfn._xlws.FILTER(E2958:E6156, C2958:C6156= "6D-PM-1020-01", "No Squirrels Found")</f>
        <v>No Squirrels Found</v>
      </c>
      <c r="G2958" s="8" t="s">
        <v>34</v>
      </c>
      <c r="H2958" s="10">
        <v>10102018</v>
      </c>
      <c r="I2958" s="10">
        <v>3</v>
      </c>
      <c r="J2958" s="8" t="s">
        <v>39</v>
      </c>
      <c r="K2958" s="8" t="s">
        <v>40</v>
      </c>
      <c r="L2958" s="8" t="s">
        <v>41</v>
      </c>
      <c r="M2958" s="8" t="s">
        <v>42</v>
      </c>
      <c r="O2958" s="8" t="s">
        <v>43</v>
      </c>
      <c r="P2958" s="8" t="b">
        <v>0</v>
      </c>
      <c r="R2958" s="8" t="b">
        <v>0</v>
      </c>
      <c r="S2958" s="8" t="b">
        <v>0</v>
      </c>
      <c r="T2958" s="8" t="b">
        <v>0</v>
      </c>
      <c r="U2958" s="8" t="b">
        <v>1</v>
      </c>
      <c r="V2958" s="8" t="b">
        <v>1</v>
      </c>
      <c r="X2958" s="8" t="b">
        <v>0</v>
      </c>
      <c r="Y2958" s="8" t="b">
        <v>0</v>
      </c>
      <c r="Z2958" s="8" t="b">
        <v>0</v>
      </c>
      <c r="AA2958" s="8" t="b">
        <v>0</v>
      </c>
      <c r="AB2958" s="8" t="b">
        <v>0</v>
      </c>
      <c r="AC2958" s="8" t="b">
        <v>1</v>
      </c>
      <c r="AD2958" s="8" t="b">
        <v>0</v>
      </c>
      <c r="AE2958" s="8" t="b">
        <v>0</v>
      </c>
      <c r="AG2958" s="11" t="b" cm="1">
        <f t="array" ref="AG2958">IF(OR(Y2958:AA2958="TRUE", AE2958="true"), "Threatened")</f>
        <v>0</v>
      </c>
      <c r="AH2958" s="11" t="s">
        <v>7234</v>
      </c>
      <c r="AI2958" s="8" t="b">
        <v>1</v>
      </c>
    </row>
    <row r="2959" spans="1:35" ht="31.2">
      <c r="A2959" s="8">
        <v>-73.954174809999998</v>
      </c>
      <c r="B2959" s="8">
        <v>40.795275840000002</v>
      </c>
      <c r="C2959" s="8" t="s">
        <v>7235</v>
      </c>
      <c r="D2959" s="8" t="s">
        <v>1066</v>
      </c>
      <c r="E2959" s="8" t="b">
        <f t="shared" si="46"/>
        <v>0</v>
      </c>
      <c r="F2959" s="8" t="str" cm="1">
        <f t="array" ref="F2959">_xlfn._xlws.FILTER(E2959:E6157, C2959:C6157= "6D-PM-1020-01", "No Squirrels Found")</f>
        <v>No Squirrels Found</v>
      </c>
      <c r="G2959" s="8" t="s">
        <v>34</v>
      </c>
      <c r="H2959" s="10">
        <v>10062018</v>
      </c>
      <c r="I2959" s="10">
        <v>1</v>
      </c>
      <c r="J2959" s="8" t="s">
        <v>39</v>
      </c>
      <c r="K2959" s="8" t="s">
        <v>40</v>
      </c>
      <c r="M2959" s="8" t="s">
        <v>55</v>
      </c>
      <c r="O2959" s="8" t="s">
        <v>43</v>
      </c>
      <c r="P2959" s="8" t="b">
        <v>0</v>
      </c>
      <c r="R2959" s="8" t="b">
        <v>0</v>
      </c>
      <c r="S2959" s="8" t="b">
        <v>0</v>
      </c>
      <c r="T2959" s="8" t="b">
        <v>0</v>
      </c>
      <c r="U2959" s="8" t="b">
        <v>0</v>
      </c>
      <c r="V2959" s="8" t="b">
        <v>1</v>
      </c>
      <c r="W2959" s="11" t="s">
        <v>7236</v>
      </c>
      <c r="X2959" s="8" t="b">
        <v>0</v>
      </c>
      <c r="Y2959" s="8" t="b">
        <v>0</v>
      </c>
      <c r="Z2959" s="8" t="b">
        <v>0</v>
      </c>
      <c r="AA2959" s="8" t="b">
        <v>0</v>
      </c>
      <c r="AB2959" s="8" t="b">
        <v>0</v>
      </c>
      <c r="AC2959" s="8" t="b">
        <v>0</v>
      </c>
      <c r="AD2959" s="8" t="b">
        <v>1</v>
      </c>
      <c r="AE2959" s="8" t="b">
        <v>0</v>
      </c>
      <c r="AG2959" s="11" t="b" cm="1">
        <f t="array" ref="AG2959">IF(OR(Y2959:AA2959="TRUE", AE2959="true"), "Threatened")</f>
        <v>0</v>
      </c>
      <c r="AH2959" s="11" t="s">
        <v>7237</v>
      </c>
      <c r="AI2959" s="8" t="b">
        <v>0</v>
      </c>
    </row>
    <row r="2960" spans="1:35" ht="31.2">
      <c r="A2960" s="8">
        <v>-73.974796319999996</v>
      </c>
      <c r="B2960" s="8">
        <v>40.774502339999998</v>
      </c>
      <c r="C2960" s="8" t="s">
        <v>7238</v>
      </c>
      <c r="D2960" s="8" t="s">
        <v>472</v>
      </c>
      <c r="E2960" s="8" t="b">
        <f t="shared" si="46"/>
        <v>0</v>
      </c>
      <c r="F2960" s="8" t="str" cm="1">
        <f t="array" ref="F2960">_xlfn._xlws.FILTER(E2960:E6158, C2960:C6158= "6D-PM-1020-01", "No Squirrels Found")</f>
        <v>No Squirrels Found</v>
      </c>
      <c r="G2960" s="8" t="s">
        <v>34</v>
      </c>
      <c r="H2960" s="10">
        <v>10142018</v>
      </c>
      <c r="I2960" s="10">
        <v>4</v>
      </c>
      <c r="J2960" s="8" t="s">
        <v>39</v>
      </c>
      <c r="K2960" s="8" t="s">
        <v>40</v>
      </c>
      <c r="L2960" s="8" t="s">
        <v>84</v>
      </c>
      <c r="M2960" s="8" t="s">
        <v>103</v>
      </c>
      <c r="O2960" s="8" t="s">
        <v>43</v>
      </c>
      <c r="P2960" s="8" t="b">
        <v>0</v>
      </c>
      <c r="R2960" s="8" t="b">
        <v>0</v>
      </c>
      <c r="S2960" s="8" t="b">
        <v>0</v>
      </c>
      <c r="T2960" s="8" t="b">
        <v>0</v>
      </c>
      <c r="U2960" s="8" t="b">
        <v>1</v>
      </c>
      <c r="V2960" s="8" t="b">
        <v>1</v>
      </c>
      <c r="X2960" s="8" t="b">
        <v>0</v>
      </c>
      <c r="Y2960" s="8" t="b">
        <v>0</v>
      </c>
      <c r="Z2960" s="8" t="b">
        <v>0</v>
      </c>
      <c r="AA2960" s="8" t="b">
        <v>0</v>
      </c>
      <c r="AB2960" s="8" t="b">
        <v>0</v>
      </c>
      <c r="AC2960" s="8" t="b">
        <v>0</v>
      </c>
      <c r="AD2960" s="8" t="b">
        <v>0</v>
      </c>
      <c r="AE2960" s="8" t="b">
        <v>0</v>
      </c>
      <c r="AF2960" s="11" t="s">
        <v>473</v>
      </c>
      <c r="AG2960" s="11" t="b" cm="1">
        <f t="array" ref="AG2960">IF(OR(Y2960:AA2960="TRUE", AE2960="true"), "Threatened")</f>
        <v>0</v>
      </c>
      <c r="AH2960" s="11" t="s">
        <v>7239</v>
      </c>
      <c r="AI2960" s="8" t="b">
        <v>1</v>
      </c>
    </row>
    <row r="2961" spans="1:35" ht="31.2">
      <c r="A2961" s="8">
        <v>-73.962524810000005</v>
      </c>
      <c r="B2961" s="8">
        <v>40.781002290000004</v>
      </c>
      <c r="C2961" s="8" t="s">
        <v>7240</v>
      </c>
      <c r="D2961" s="8" t="s">
        <v>1662</v>
      </c>
      <c r="E2961" s="8" t="b">
        <f t="shared" si="46"/>
        <v>0</v>
      </c>
      <c r="F2961" s="8" t="str" cm="1">
        <f t="array" ref="F2961">_xlfn._xlws.FILTER(E2961:E6159, C2961:C6159= "6D-PM-1020-01", "No Squirrels Found")</f>
        <v>No Squirrels Found</v>
      </c>
      <c r="G2961" s="8" t="s">
        <v>34</v>
      </c>
      <c r="H2961" s="10">
        <v>10182018</v>
      </c>
      <c r="I2961" s="10">
        <v>3</v>
      </c>
      <c r="J2961" s="8" t="s">
        <v>39</v>
      </c>
      <c r="K2961" s="8" t="s">
        <v>40</v>
      </c>
      <c r="M2961" s="8" t="s">
        <v>55</v>
      </c>
      <c r="O2961" s="8" t="s">
        <v>50</v>
      </c>
      <c r="P2961" s="8">
        <v>25</v>
      </c>
      <c r="R2961" s="8" t="b">
        <v>0</v>
      </c>
      <c r="S2961" s="8" t="b">
        <v>0</v>
      </c>
      <c r="T2961" s="8" t="b">
        <v>1</v>
      </c>
      <c r="U2961" s="8" t="b">
        <v>0</v>
      </c>
      <c r="V2961" s="8" t="b">
        <v>0</v>
      </c>
      <c r="X2961" s="8" t="b">
        <v>1</v>
      </c>
      <c r="Y2961" s="8" t="b">
        <v>0</v>
      </c>
      <c r="Z2961" s="8" t="b">
        <v>0</v>
      </c>
      <c r="AA2961" s="8" t="b">
        <v>0</v>
      </c>
      <c r="AB2961" s="8" t="b">
        <v>0</v>
      </c>
      <c r="AC2961" s="8" t="b">
        <v>0</v>
      </c>
      <c r="AD2961" s="8" t="b">
        <v>1</v>
      </c>
      <c r="AE2961" s="8" t="b">
        <v>0</v>
      </c>
      <c r="AG2961" s="11" t="b" cm="1">
        <f t="array" ref="AG2961">IF(OR(Y2961:AA2961="TRUE", AE2961="true"), "Threatened")</f>
        <v>0</v>
      </c>
      <c r="AH2961" s="11" t="s">
        <v>7241</v>
      </c>
      <c r="AI2961" s="8" t="b">
        <v>1</v>
      </c>
    </row>
    <row r="2962" spans="1:35" ht="31.2">
      <c r="A2962" s="8">
        <v>-73.973623829999994</v>
      </c>
      <c r="B2962" s="8">
        <v>40.768871279999999</v>
      </c>
      <c r="C2962" s="8" t="s">
        <v>7242</v>
      </c>
      <c r="D2962" s="8" t="s">
        <v>264</v>
      </c>
      <c r="E2962" s="8" t="b">
        <f t="shared" si="46"/>
        <v>0</v>
      </c>
      <c r="F2962" s="8" t="str" cm="1">
        <f t="array" ref="F2962">_xlfn._xlws.FILTER(E2962:E6160, C2962:C6160= "6D-PM-1020-01", "No Squirrels Found")</f>
        <v>No Squirrels Found</v>
      </c>
      <c r="G2962" s="8" t="s">
        <v>34</v>
      </c>
      <c r="H2962" s="10">
        <v>10072018</v>
      </c>
      <c r="I2962" s="10">
        <v>4</v>
      </c>
      <c r="J2962" s="8" t="s">
        <v>39</v>
      </c>
      <c r="K2962" s="8" t="s">
        <v>40</v>
      </c>
      <c r="L2962" s="8" t="s">
        <v>41</v>
      </c>
      <c r="M2962" s="8" t="s">
        <v>42</v>
      </c>
      <c r="O2962" s="8" t="s">
        <v>43</v>
      </c>
      <c r="P2962" s="8" t="b">
        <v>0</v>
      </c>
      <c r="R2962" s="8" t="b">
        <v>0</v>
      </c>
      <c r="S2962" s="8" t="b">
        <v>0</v>
      </c>
      <c r="T2962" s="8" t="b">
        <v>0</v>
      </c>
      <c r="U2962" s="8" t="b">
        <v>0</v>
      </c>
      <c r="V2962" s="8" t="b">
        <v>1</v>
      </c>
      <c r="X2962" s="8" t="b">
        <v>0</v>
      </c>
      <c r="Y2962" s="8" t="b">
        <v>0</v>
      </c>
      <c r="Z2962" s="8" t="b">
        <v>0</v>
      </c>
      <c r="AA2962" s="8" t="b">
        <v>0</v>
      </c>
      <c r="AB2962" s="8" t="b">
        <v>1</v>
      </c>
      <c r="AC2962" s="8" t="b">
        <v>0</v>
      </c>
      <c r="AD2962" s="8" t="b">
        <v>1</v>
      </c>
      <c r="AE2962" s="8" t="b">
        <v>0</v>
      </c>
      <c r="AG2962" s="11" t="b" cm="1">
        <f t="array" ref="AG2962">IF(OR(Y2962:AA2962="TRUE", AE2962="true"), "Threatened")</f>
        <v>0</v>
      </c>
      <c r="AH2962" s="11" t="s">
        <v>7243</v>
      </c>
      <c r="AI2962" s="8" t="b">
        <v>1</v>
      </c>
    </row>
    <row r="2963" spans="1:35" ht="31.2">
      <c r="A2963" s="8">
        <v>-73.972253080000002</v>
      </c>
      <c r="B2963" s="8">
        <v>40.766713799999998</v>
      </c>
      <c r="C2963" s="8" t="s">
        <v>7244</v>
      </c>
      <c r="D2963" s="8" t="s">
        <v>988</v>
      </c>
      <c r="E2963" s="8" t="b">
        <f t="shared" si="46"/>
        <v>0</v>
      </c>
      <c r="F2963" s="8" t="str" cm="1">
        <f t="array" ref="F2963">_xlfn._xlws.FILTER(E2963:E6161, C2963:C6161= "6D-PM-1020-01", "No Squirrels Found")</f>
        <v>No Squirrels Found</v>
      </c>
      <c r="G2963" s="8" t="s">
        <v>48</v>
      </c>
      <c r="H2963" s="10">
        <v>10102018</v>
      </c>
      <c r="I2963" s="10">
        <v>5</v>
      </c>
      <c r="J2963" s="8" t="s">
        <v>39</v>
      </c>
      <c r="K2963" s="8" t="s">
        <v>40</v>
      </c>
      <c r="M2963" s="8" t="s">
        <v>55</v>
      </c>
      <c r="O2963" s="8" t="s">
        <v>43</v>
      </c>
      <c r="P2963" s="8" t="b">
        <v>0</v>
      </c>
      <c r="R2963" s="8" t="b">
        <v>0</v>
      </c>
      <c r="S2963" s="8" t="b">
        <v>0</v>
      </c>
      <c r="T2963" s="8" t="b">
        <v>0</v>
      </c>
      <c r="U2963" s="8" t="b">
        <v>0</v>
      </c>
      <c r="V2963" s="8" t="b">
        <v>1</v>
      </c>
      <c r="X2963" s="8" t="b">
        <v>0</v>
      </c>
      <c r="Y2963" s="8" t="b">
        <v>0</v>
      </c>
      <c r="Z2963" s="8" t="b">
        <v>0</v>
      </c>
      <c r="AA2963" s="8" t="b">
        <v>0</v>
      </c>
      <c r="AB2963" s="8" t="b">
        <v>0</v>
      </c>
      <c r="AC2963" s="8" t="b">
        <v>0</v>
      </c>
      <c r="AD2963" s="8" t="b">
        <v>1</v>
      </c>
      <c r="AE2963" s="8" t="b">
        <v>0</v>
      </c>
      <c r="AG2963" s="11" t="b" cm="1">
        <f t="array" ref="AG2963">IF(OR(Y2963:AA2963="TRUE", AE2963="true"), "Threatened")</f>
        <v>0</v>
      </c>
      <c r="AH2963" s="11" t="s">
        <v>7245</v>
      </c>
      <c r="AI2963" s="8" t="b">
        <v>1</v>
      </c>
    </row>
    <row r="2964" spans="1:35" ht="31.2">
      <c r="A2964" s="8">
        <v>-73.96870208</v>
      </c>
      <c r="B2964" s="8">
        <v>40.773590339999998</v>
      </c>
      <c r="C2964" s="8" t="s">
        <v>7246</v>
      </c>
      <c r="D2964" s="8" t="s">
        <v>83</v>
      </c>
      <c r="E2964" s="8" t="b">
        <f t="shared" si="46"/>
        <v>0</v>
      </c>
      <c r="F2964" s="8" t="str" cm="1">
        <f t="array" ref="F2964">_xlfn._xlws.FILTER(E2964:E6162, C2964:C6162= "6D-PM-1020-01", "No Squirrels Found")</f>
        <v>No Squirrels Found</v>
      </c>
      <c r="G2964" s="8" t="s">
        <v>48</v>
      </c>
      <c r="H2964" s="10">
        <v>10102018</v>
      </c>
      <c r="I2964" s="10">
        <v>8</v>
      </c>
      <c r="J2964" s="8" t="s">
        <v>39</v>
      </c>
      <c r="K2964" s="8" t="s">
        <v>40</v>
      </c>
      <c r="L2964" s="8" t="s">
        <v>41</v>
      </c>
      <c r="M2964" s="8" t="s">
        <v>42</v>
      </c>
      <c r="O2964" s="8" t="s">
        <v>43</v>
      </c>
      <c r="P2964" s="8" t="b">
        <v>0</v>
      </c>
      <c r="R2964" s="8" t="b">
        <v>0</v>
      </c>
      <c r="S2964" s="8" t="b">
        <v>0</v>
      </c>
      <c r="T2964" s="8" t="b">
        <v>0</v>
      </c>
      <c r="U2964" s="8" t="b">
        <v>0</v>
      </c>
      <c r="V2964" s="8" t="b">
        <v>1</v>
      </c>
      <c r="X2964" s="8" t="b">
        <v>0</v>
      </c>
      <c r="Y2964" s="8" t="b">
        <v>0</v>
      </c>
      <c r="Z2964" s="8" t="b">
        <v>0</v>
      </c>
      <c r="AA2964" s="8" t="b">
        <v>0</v>
      </c>
      <c r="AB2964" s="8" t="b">
        <v>1</v>
      </c>
      <c r="AC2964" s="8" t="b">
        <v>0</v>
      </c>
      <c r="AD2964" s="8" t="b">
        <v>0</v>
      </c>
      <c r="AE2964" s="8" t="b">
        <v>1</v>
      </c>
      <c r="AG2964" s="11" t="b" cm="1">
        <f t="array" ref="AG2964">IF(OR(Y2964:AA2964="TRUE", AE2964="true"), "Threatened")</f>
        <v>0</v>
      </c>
      <c r="AH2964" s="11" t="s">
        <v>7247</v>
      </c>
      <c r="AI2964" s="8" t="b">
        <v>1</v>
      </c>
    </row>
    <row r="2965" spans="1:35" ht="31.2">
      <c r="A2965" s="8">
        <v>-73.970360450000001</v>
      </c>
      <c r="B2965" s="8">
        <v>40.776269020000001</v>
      </c>
      <c r="C2965" s="8" t="s">
        <v>7248</v>
      </c>
      <c r="D2965" s="8" t="s">
        <v>79</v>
      </c>
      <c r="E2965" s="8" t="b">
        <f t="shared" si="46"/>
        <v>0</v>
      </c>
      <c r="F2965" s="8" t="str" cm="1">
        <f t="array" ref="F2965">_xlfn._xlws.FILTER(E2965:E6163, C2965:C6163= "6D-PM-1020-01", "No Squirrels Found")</f>
        <v>No Squirrels Found</v>
      </c>
      <c r="G2965" s="8" t="s">
        <v>48</v>
      </c>
      <c r="H2965" s="10">
        <v>10172018</v>
      </c>
      <c r="I2965" s="10">
        <v>4</v>
      </c>
      <c r="J2965" s="8" t="s">
        <v>39</v>
      </c>
      <c r="K2965" s="8" t="s">
        <v>40</v>
      </c>
      <c r="M2965" s="8" t="s">
        <v>55</v>
      </c>
      <c r="O2965" s="8" t="s">
        <v>43</v>
      </c>
      <c r="P2965" s="8" t="b">
        <v>0</v>
      </c>
      <c r="R2965" s="8" t="b">
        <v>0</v>
      </c>
      <c r="S2965" s="8" t="b">
        <v>0</v>
      </c>
      <c r="T2965" s="8" t="b">
        <v>0</v>
      </c>
      <c r="U2965" s="8" t="b">
        <v>0</v>
      </c>
      <c r="V2965" s="8" t="b">
        <v>1</v>
      </c>
      <c r="X2965" s="8" t="b">
        <v>0</v>
      </c>
      <c r="Y2965" s="8" t="b">
        <v>0</v>
      </c>
      <c r="Z2965" s="8" t="b">
        <v>0</v>
      </c>
      <c r="AA2965" s="8" t="b">
        <v>0</v>
      </c>
      <c r="AB2965" s="8" t="b">
        <v>0</v>
      </c>
      <c r="AC2965" s="8" t="b">
        <v>0</v>
      </c>
      <c r="AD2965" s="8" t="b">
        <v>0</v>
      </c>
      <c r="AE2965" s="8" t="b">
        <v>0</v>
      </c>
      <c r="AG2965" s="11" t="b" cm="1">
        <f t="array" ref="AG2965">IF(OR(Y2965:AA2965="TRUE", AE2965="true"), "Threatened")</f>
        <v>0</v>
      </c>
      <c r="AH2965" s="11" t="s">
        <v>7249</v>
      </c>
      <c r="AI2965" s="8" t="b">
        <v>1</v>
      </c>
    </row>
    <row r="2966" spans="1:35" ht="31.2">
      <c r="A2966" s="8">
        <v>-73.976738909999995</v>
      </c>
      <c r="B2966" s="8">
        <v>40.768932370000002</v>
      </c>
      <c r="C2966" s="8" t="s">
        <v>7250</v>
      </c>
      <c r="D2966" s="8" t="s">
        <v>544</v>
      </c>
      <c r="E2966" s="8" t="b">
        <f t="shared" si="46"/>
        <v>0</v>
      </c>
      <c r="F2966" s="8" t="str" cm="1">
        <f t="array" ref="F2966">_xlfn._xlws.FILTER(E2966:E6164, C2966:C6164= "6D-PM-1020-01", "No Squirrels Found")</f>
        <v>No Squirrels Found</v>
      </c>
      <c r="G2966" s="8" t="s">
        <v>34</v>
      </c>
      <c r="H2966" s="10">
        <v>10082018</v>
      </c>
      <c r="I2966" s="10">
        <v>10</v>
      </c>
      <c r="J2966" s="8" t="s">
        <v>39</v>
      </c>
      <c r="K2966" s="8" t="s">
        <v>41</v>
      </c>
      <c r="L2966" s="8" t="s">
        <v>135</v>
      </c>
      <c r="M2966" s="8" t="s">
        <v>136</v>
      </c>
      <c r="O2966" s="8" t="s">
        <v>50</v>
      </c>
      <c r="P2966" s="8">
        <v>6</v>
      </c>
      <c r="Q2966" s="8" t="s">
        <v>7251</v>
      </c>
      <c r="R2966" s="8" t="b">
        <v>0</v>
      </c>
      <c r="S2966" s="8" t="b">
        <v>0</v>
      </c>
      <c r="T2966" s="8" t="b">
        <v>1</v>
      </c>
      <c r="U2966" s="8" t="b">
        <v>0</v>
      </c>
      <c r="V2966" s="8" t="b">
        <v>1</v>
      </c>
      <c r="X2966" s="8" t="b">
        <v>0</v>
      </c>
      <c r="Y2966" s="8" t="b">
        <v>0</v>
      </c>
      <c r="Z2966" s="8" t="b">
        <v>0</v>
      </c>
      <c r="AA2966" s="8" t="b">
        <v>0</v>
      </c>
      <c r="AB2966" s="8" t="b">
        <v>0</v>
      </c>
      <c r="AC2966" s="8" t="b">
        <v>1</v>
      </c>
      <c r="AD2966" s="8" t="b">
        <v>0</v>
      </c>
      <c r="AE2966" s="8" t="b">
        <v>0</v>
      </c>
      <c r="AG2966" s="11" t="b" cm="1">
        <f t="array" ref="AG2966">IF(OR(Y2966:AA2966="TRUE", AE2966="true"), "Threatened")</f>
        <v>0</v>
      </c>
      <c r="AH2966" s="11" t="s">
        <v>7252</v>
      </c>
      <c r="AI2966" s="8" t="b">
        <v>1</v>
      </c>
    </row>
    <row r="2967" spans="1:35" ht="31.2">
      <c r="A2967" s="8">
        <v>-73.963059610000002</v>
      </c>
      <c r="B2967" s="8">
        <v>40.792572059999998</v>
      </c>
      <c r="C2967" s="8" t="s">
        <v>7253</v>
      </c>
      <c r="D2967" s="8" t="s">
        <v>125</v>
      </c>
      <c r="E2967" s="8" t="b">
        <f t="shared" si="46"/>
        <v>0</v>
      </c>
      <c r="F2967" s="8" t="str" cm="1">
        <f t="array" ref="F2967">_xlfn._xlws.FILTER(E2967:E6165, C2967:C6165= "6D-PM-1020-01", "No Squirrels Found")</f>
        <v>No Squirrels Found</v>
      </c>
      <c r="G2967" s="8" t="s">
        <v>48</v>
      </c>
      <c r="H2967" s="10">
        <v>10182018</v>
      </c>
      <c r="I2967" s="10">
        <v>4</v>
      </c>
      <c r="J2967" s="8" t="s">
        <v>39</v>
      </c>
      <c r="K2967" s="8" t="s">
        <v>40</v>
      </c>
      <c r="M2967" s="8" t="s">
        <v>55</v>
      </c>
      <c r="O2967" s="8" t="s">
        <v>43</v>
      </c>
      <c r="P2967" s="8" t="b">
        <v>0</v>
      </c>
      <c r="Q2967" s="8" t="s">
        <v>7254</v>
      </c>
      <c r="R2967" s="8" t="b">
        <v>0</v>
      </c>
      <c r="S2967" s="8" t="b">
        <v>0</v>
      </c>
      <c r="T2967" s="8" t="b">
        <v>0</v>
      </c>
      <c r="U2967" s="8" t="b">
        <v>0</v>
      </c>
      <c r="V2967" s="8" t="b">
        <v>1</v>
      </c>
      <c r="X2967" s="8" t="b">
        <v>0</v>
      </c>
      <c r="Y2967" s="8" t="b">
        <v>0</v>
      </c>
      <c r="Z2967" s="8" t="b">
        <v>0</v>
      </c>
      <c r="AA2967" s="8" t="b">
        <v>1</v>
      </c>
      <c r="AB2967" s="8" t="b">
        <v>0</v>
      </c>
      <c r="AC2967" s="8" t="b">
        <v>0</v>
      </c>
      <c r="AD2967" s="8" t="b">
        <v>1</v>
      </c>
      <c r="AE2967" s="8" t="b">
        <v>0</v>
      </c>
      <c r="AG2967" s="11" t="b" cm="1">
        <f t="array" ref="AG2967">IF(OR(Y2967:AA2967="TRUE", AE2967="true"), "Threatened")</f>
        <v>0</v>
      </c>
      <c r="AH2967" s="11" t="s">
        <v>7255</v>
      </c>
      <c r="AI2967" s="8" t="b">
        <v>1</v>
      </c>
    </row>
    <row r="2968" spans="1:35" ht="31.2">
      <c r="A2968" s="8">
        <v>-73.971325759999999</v>
      </c>
      <c r="B2968" s="8">
        <v>40.776271960000003</v>
      </c>
      <c r="C2968" s="8" t="s">
        <v>7256</v>
      </c>
      <c r="D2968" s="8" t="s">
        <v>426</v>
      </c>
      <c r="E2968" s="8" t="b">
        <f t="shared" si="46"/>
        <v>0</v>
      </c>
      <c r="F2968" s="8" t="str" cm="1">
        <f t="array" ref="F2968">_xlfn._xlws.FILTER(E2968:E6166, C2968:C6166= "6D-PM-1020-01", "No Squirrels Found")</f>
        <v>No Squirrels Found</v>
      </c>
      <c r="G2968" s="8" t="s">
        <v>48</v>
      </c>
      <c r="H2968" s="10">
        <v>10142018</v>
      </c>
      <c r="I2968" s="10">
        <v>9</v>
      </c>
      <c r="J2968" s="8" t="s">
        <v>39</v>
      </c>
      <c r="K2968" s="8" t="s">
        <v>40</v>
      </c>
      <c r="L2968" s="8" t="s">
        <v>41</v>
      </c>
      <c r="M2968" s="8" t="s">
        <v>42</v>
      </c>
      <c r="O2968" s="8" t="s">
        <v>43</v>
      </c>
      <c r="P2968" s="8" t="b">
        <v>0</v>
      </c>
      <c r="R2968" s="8" t="b">
        <v>0</v>
      </c>
      <c r="S2968" s="8" t="b">
        <v>0</v>
      </c>
      <c r="T2968" s="8" t="b">
        <v>0</v>
      </c>
      <c r="U2968" s="8" t="b">
        <v>1</v>
      </c>
      <c r="V2968" s="8" t="b">
        <v>1</v>
      </c>
      <c r="X2968" s="8" t="b">
        <v>0</v>
      </c>
      <c r="Y2968" s="8" t="b">
        <v>0</v>
      </c>
      <c r="Z2968" s="8" t="b">
        <v>0</v>
      </c>
      <c r="AA2968" s="8" t="b">
        <v>0</v>
      </c>
      <c r="AB2968" s="8" t="b">
        <v>0</v>
      </c>
      <c r="AC2968" s="8" t="b">
        <v>0</v>
      </c>
      <c r="AD2968" s="8" t="b">
        <v>1</v>
      </c>
      <c r="AE2968" s="8" t="b">
        <v>0</v>
      </c>
      <c r="AG2968" s="11" t="b" cm="1">
        <f t="array" ref="AG2968">IF(OR(Y2968:AA2968="TRUE", AE2968="true"), "Threatened")</f>
        <v>0</v>
      </c>
      <c r="AH2968" s="11" t="s">
        <v>7257</v>
      </c>
      <c r="AI2968" s="8" t="b">
        <v>1</v>
      </c>
    </row>
    <row r="2969" spans="1:35" ht="31.2">
      <c r="A2969" s="8">
        <v>-73.958723660000004</v>
      </c>
      <c r="B2969" s="8">
        <v>40.799185020000003</v>
      </c>
      <c r="C2969" s="8" t="s">
        <v>7258</v>
      </c>
      <c r="D2969" s="8" t="s">
        <v>458</v>
      </c>
      <c r="E2969" s="8" t="b">
        <f t="shared" si="46"/>
        <v>0</v>
      </c>
      <c r="F2969" s="8" t="str" cm="1">
        <f t="array" ref="F2969">_xlfn._xlws.FILTER(E2969:E6167, C2969:C6167= "6D-PM-1020-01", "No Squirrels Found")</f>
        <v>No Squirrels Found</v>
      </c>
      <c r="G2969" s="8" t="s">
        <v>48</v>
      </c>
      <c r="H2969" s="10">
        <v>10102018</v>
      </c>
      <c r="I2969" s="10">
        <v>2</v>
      </c>
      <c r="J2969" s="8" t="s">
        <v>39</v>
      </c>
      <c r="K2969" s="8" t="s">
        <v>40</v>
      </c>
      <c r="L2969" s="8" t="s">
        <v>41</v>
      </c>
      <c r="M2969" s="8" t="s">
        <v>42</v>
      </c>
      <c r="O2969" s="8" t="s">
        <v>43</v>
      </c>
      <c r="P2969" s="8" t="b">
        <v>0</v>
      </c>
      <c r="Q2969" s="8" t="s">
        <v>7259</v>
      </c>
      <c r="R2969" s="8" t="b">
        <v>1</v>
      </c>
      <c r="S2969" s="8" t="b">
        <v>0</v>
      </c>
      <c r="T2969" s="8" t="b">
        <v>1</v>
      </c>
      <c r="U2969" s="8" t="b">
        <v>0</v>
      </c>
      <c r="V2969" s="8" t="b">
        <v>0</v>
      </c>
      <c r="X2969" s="8" t="b">
        <v>0</v>
      </c>
      <c r="Y2969" s="8" t="b">
        <v>0</v>
      </c>
      <c r="Z2969" s="8" t="b">
        <v>0</v>
      </c>
      <c r="AA2969" s="8" t="b">
        <v>1</v>
      </c>
      <c r="AB2969" s="8" t="b">
        <v>0</v>
      </c>
      <c r="AC2969" s="8" t="b">
        <v>0</v>
      </c>
      <c r="AD2969" s="8" t="b">
        <v>0</v>
      </c>
      <c r="AE2969" s="8" t="b">
        <v>1</v>
      </c>
      <c r="AG2969" s="11" t="b" cm="1">
        <f t="array" ref="AG2969">IF(OR(Y2969:AA2969="TRUE", AE2969="true"), "Threatened")</f>
        <v>0</v>
      </c>
      <c r="AH2969" s="11" t="s">
        <v>7260</v>
      </c>
      <c r="AI2969" s="8" t="b">
        <v>1</v>
      </c>
    </row>
    <row r="2970" spans="1:35" ht="31.2">
      <c r="A2970" s="8">
        <v>-73.965440979999997</v>
      </c>
      <c r="B2970" s="8">
        <v>40.790133869999998</v>
      </c>
      <c r="C2970" s="8" t="s">
        <v>7261</v>
      </c>
      <c r="D2970" s="8" t="s">
        <v>3394</v>
      </c>
      <c r="E2970" s="8" t="b">
        <f t="shared" si="46"/>
        <v>0</v>
      </c>
      <c r="F2970" s="8" t="str" cm="1">
        <f t="array" ref="F2970">_xlfn._xlws.FILTER(E2970:E6168, C2970:C6168= "6D-PM-1020-01", "No Squirrels Found")</f>
        <v>No Squirrels Found</v>
      </c>
      <c r="G2970" s="8" t="s">
        <v>48</v>
      </c>
      <c r="H2970" s="10">
        <v>10132018</v>
      </c>
      <c r="I2970" s="10">
        <v>1</v>
      </c>
      <c r="J2970" s="8" t="s">
        <v>39</v>
      </c>
      <c r="K2970" s="8" t="s">
        <v>40</v>
      </c>
      <c r="L2970" s="8" t="s">
        <v>41</v>
      </c>
      <c r="M2970" s="8" t="s">
        <v>42</v>
      </c>
      <c r="O2970" s="8" t="s">
        <v>43</v>
      </c>
      <c r="P2970" s="8" t="b">
        <v>0</v>
      </c>
      <c r="R2970" s="8" t="b">
        <v>0</v>
      </c>
      <c r="S2970" s="8" t="b">
        <v>0</v>
      </c>
      <c r="T2970" s="8" t="b">
        <v>0</v>
      </c>
      <c r="U2970" s="8" t="b">
        <v>0</v>
      </c>
      <c r="V2970" s="8" t="b">
        <v>1</v>
      </c>
      <c r="W2970" s="11" t="s">
        <v>7262</v>
      </c>
      <c r="X2970" s="8" t="b">
        <v>0</v>
      </c>
      <c r="Y2970" s="8" t="b">
        <v>0</v>
      </c>
      <c r="Z2970" s="8" t="b">
        <v>0</v>
      </c>
      <c r="AA2970" s="8" t="b">
        <v>0</v>
      </c>
      <c r="AB2970" s="8" t="b">
        <v>1</v>
      </c>
      <c r="AC2970" s="8" t="b">
        <v>0</v>
      </c>
      <c r="AD2970" s="8" t="b">
        <v>0</v>
      </c>
      <c r="AE2970" s="8" t="b">
        <v>1</v>
      </c>
      <c r="AG2970" s="11" t="b" cm="1">
        <f t="array" ref="AG2970">IF(OR(Y2970:AA2970="TRUE", AE2970="true"), "Threatened")</f>
        <v>0</v>
      </c>
      <c r="AH2970" s="11" t="s">
        <v>7263</v>
      </c>
      <c r="AI2970" s="8" t="b">
        <v>0</v>
      </c>
    </row>
    <row r="2971" spans="1:35" ht="31.2">
      <c r="A2971" s="8">
        <v>-73.961901929999996</v>
      </c>
      <c r="B2971" s="8">
        <v>40.792447639999999</v>
      </c>
      <c r="C2971" s="8" t="s">
        <v>7264</v>
      </c>
      <c r="D2971" s="8" t="s">
        <v>931</v>
      </c>
      <c r="E2971" s="8" t="b">
        <f t="shared" si="46"/>
        <v>0</v>
      </c>
      <c r="F2971" s="8" t="str" cm="1">
        <f t="array" ref="F2971">_xlfn._xlws.FILTER(E2971:E6169, C2971:C6169= "6D-PM-1020-01", "No Squirrels Found")</f>
        <v>No Squirrels Found</v>
      </c>
      <c r="G2971" s="8" t="s">
        <v>34</v>
      </c>
      <c r="H2971" s="10">
        <v>10102018</v>
      </c>
      <c r="I2971" s="10">
        <v>5</v>
      </c>
      <c r="J2971" s="8" t="s">
        <v>39</v>
      </c>
      <c r="K2971" s="8" t="s">
        <v>40</v>
      </c>
      <c r="M2971" s="8" t="s">
        <v>55</v>
      </c>
      <c r="O2971" s="8" t="s">
        <v>43</v>
      </c>
      <c r="P2971" s="8" t="b">
        <v>0</v>
      </c>
      <c r="R2971" s="8" t="b">
        <v>0</v>
      </c>
      <c r="S2971" s="8" t="b">
        <v>0</v>
      </c>
      <c r="T2971" s="8" t="b">
        <v>0</v>
      </c>
      <c r="U2971" s="8" t="b">
        <v>0</v>
      </c>
      <c r="V2971" s="8" t="b">
        <v>0</v>
      </c>
      <c r="X2971" s="8" t="b">
        <v>0</v>
      </c>
      <c r="Y2971" s="8" t="b">
        <v>0</v>
      </c>
      <c r="Z2971" s="8" t="b">
        <v>0</v>
      </c>
      <c r="AA2971" s="8" t="b">
        <v>0</v>
      </c>
      <c r="AB2971" s="8" t="b">
        <v>0</v>
      </c>
      <c r="AC2971" s="8" t="b">
        <v>0</v>
      </c>
      <c r="AD2971" s="8" t="b">
        <v>1</v>
      </c>
      <c r="AE2971" s="8" t="b">
        <v>0</v>
      </c>
      <c r="AG2971" s="11" t="b" cm="1">
        <f t="array" ref="AG2971">IF(OR(Y2971:AA2971="TRUE", AE2971="true"), "Threatened")</f>
        <v>0</v>
      </c>
      <c r="AH2971" s="11" t="s">
        <v>7265</v>
      </c>
      <c r="AI2971" s="8" t="b">
        <v>1</v>
      </c>
    </row>
    <row r="2972" spans="1:35" ht="31.2">
      <c r="A2972" s="8">
        <v>-73.963980140000004</v>
      </c>
      <c r="B2972" s="8">
        <v>40.777892129999998</v>
      </c>
      <c r="C2972" s="8" t="s">
        <v>7266</v>
      </c>
      <c r="D2972" s="8" t="s">
        <v>1144</v>
      </c>
      <c r="E2972" s="8" t="b">
        <f t="shared" si="46"/>
        <v>0</v>
      </c>
      <c r="F2972" s="8" t="str" cm="1">
        <f t="array" ref="F2972">_xlfn._xlws.FILTER(E2972:E6170, C2972:C6170= "6D-PM-1020-01", "No Squirrels Found")</f>
        <v>No Squirrels Found</v>
      </c>
      <c r="G2972" s="8" t="s">
        <v>34</v>
      </c>
      <c r="H2972" s="10">
        <v>10072018</v>
      </c>
      <c r="I2972" s="10">
        <v>4</v>
      </c>
      <c r="J2972" s="8" t="s">
        <v>39</v>
      </c>
      <c r="K2972" s="8" t="s">
        <v>41</v>
      </c>
      <c r="L2972" s="8" t="s">
        <v>40</v>
      </c>
      <c r="M2972" s="8" t="s">
        <v>110</v>
      </c>
      <c r="O2972" s="8" t="s">
        <v>43</v>
      </c>
      <c r="P2972" s="8" t="b">
        <v>0</v>
      </c>
      <c r="R2972" s="8" t="b">
        <v>0</v>
      </c>
      <c r="S2972" s="8" t="b">
        <v>0</v>
      </c>
      <c r="T2972" s="8" t="b">
        <v>0</v>
      </c>
      <c r="U2972" s="8" t="b">
        <v>0</v>
      </c>
      <c r="V2972" s="8" t="b">
        <v>0</v>
      </c>
      <c r="W2972" s="11" t="s">
        <v>7267</v>
      </c>
      <c r="X2972" s="8" t="b">
        <v>0</v>
      </c>
      <c r="Y2972" s="8" t="b">
        <v>0</v>
      </c>
      <c r="Z2972" s="8" t="b">
        <v>0</v>
      </c>
      <c r="AA2972" s="8" t="b">
        <v>0</v>
      </c>
      <c r="AB2972" s="8" t="b">
        <v>0</v>
      </c>
      <c r="AC2972" s="8" t="b">
        <v>0</v>
      </c>
      <c r="AD2972" s="8" t="b">
        <v>0</v>
      </c>
      <c r="AE2972" s="8" t="b">
        <v>1</v>
      </c>
      <c r="AG2972" s="11" t="b" cm="1">
        <f t="array" ref="AG2972">IF(OR(Y2972:AA2972="TRUE", AE2972="true"), "Threatened")</f>
        <v>0</v>
      </c>
      <c r="AH2972" s="11" t="s">
        <v>7268</v>
      </c>
      <c r="AI2972" s="8" t="b">
        <v>0</v>
      </c>
    </row>
    <row r="2973" spans="1:35" ht="31.2">
      <c r="A2973" s="8">
        <v>-73.963146850000001</v>
      </c>
      <c r="B2973" s="8">
        <v>40.792611039999997</v>
      </c>
      <c r="C2973" s="8" t="s">
        <v>7269</v>
      </c>
      <c r="D2973" s="8" t="s">
        <v>125</v>
      </c>
      <c r="E2973" s="8" t="b">
        <f t="shared" si="46"/>
        <v>0</v>
      </c>
      <c r="F2973" s="8" t="str" cm="1">
        <f t="array" ref="F2973">_xlfn._xlws.FILTER(E2973:E6171, C2973:C6171= "6D-PM-1020-01", "No Squirrels Found")</f>
        <v>No Squirrels Found</v>
      </c>
      <c r="G2973" s="8" t="s">
        <v>48</v>
      </c>
      <c r="H2973" s="10">
        <v>10182018</v>
      </c>
      <c r="I2973" s="10">
        <v>3</v>
      </c>
      <c r="J2973" s="8" t="s">
        <v>39</v>
      </c>
      <c r="K2973" s="8" t="s">
        <v>40</v>
      </c>
      <c r="M2973" s="8" t="s">
        <v>55</v>
      </c>
      <c r="O2973" s="8" t="s">
        <v>43</v>
      </c>
      <c r="P2973" s="8" t="b">
        <v>0</v>
      </c>
      <c r="R2973" s="8" t="b">
        <v>0</v>
      </c>
      <c r="S2973" s="8" t="b">
        <v>0</v>
      </c>
      <c r="T2973" s="8" t="b">
        <v>0</v>
      </c>
      <c r="U2973" s="8" t="b">
        <v>0</v>
      </c>
      <c r="V2973" s="8" t="b">
        <v>1</v>
      </c>
      <c r="X2973" s="8" t="b">
        <v>0</v>
      </c>
      <c r="Y2973" s="8" t="b">
        <v>0</v>
      </c>
      <c r="Z2973" s="8" t="b">
        <v>0</v>
      </c>
      <c r="AA2973" s="8" t="b">
        <v>0</v>
      </c>
      <c r="AB2973" s="8" t="b">
        <v>0</v>
      </c>
      <c r="AC2973" s="8" t="b">
        <v>0</v>
      </c>
      <c r="AD2973" s="8" t="b">
        <v>1</v>
      </c>
      <c r="AE2973" s="8" t="b">
        <v>0</v>
      </c>
      <c r="AG2973" s="11" t="b" cm="1">
        <f t="array" ref="AG2973">IF(OR(Y2973:AA2973="TRUE", AE2973="true"), "Threatened")</f>
        <v>0</v>
      </c>
      <c r="AH2973" s="11" t="s">
        <v>7270</v>
      </c>
      <c r="AI2973" s="8" t="b">
        <v>1</v>
      </c>
    </row>
    <row r="2974" spans="1:35" ht="31.2">
      <c r="A2974" s="8">
        <v>-73.976669319999999</v>
      </c>
      <c r="B2974" s="8">
        <v>40.77088792</v>
      </c>
      <c r="C2974" s="8" t="s">
        <v>7271</v>
      </c>
      <c r="D2974" s="8" t="s">
        <v>2799</v>
      </c>
      <c r="E2974" s="8" t="b">
        <f t="shared" si="46"/>
        <v>1</v>
      </c>
      <c r="F2974" s="8" t="str" cm="1">
        <f t="array" ref="F2974">_xlfn._xlws.FILTER(E2974:E6172, C2974:C6172= "6D-PM-1020-01", "No Squirrels Found")</f>
        <v>No Squirrels Found</v>
      </c>
      <c r="G2974" s="8" t="s">
        <v>34</v>
      </c>
      <c r="H2974" s="10">
        <v>10202018</v>
      </c>
      <c r="I2974" s="10">
        <v>1</v>
      </c>
      <c r="J2974" s="8" t="s">
        <v>39</v>
      </c>
      <c r="K2974" s="8" t="s">
        <v>40</v>
      </c>
      <c r="L2974" s="8" t="s">
        <v>84</v>
      </c>
      <c r="M2974" s="8" t="s">
        <v>103</v>
      </c>
      <c r="O2974" s="8" t="s">
        <v>50</v>
      </c>
      <c r="P2974" s="8">
        <v>25</v>
      </c>
      <c r="Q2974" s="8" t="s">
        <v>7272</v>
      </c>
      <c r="R2974" s="8" t="b">
        <v>0</v>
      </c>
      <c r="S2974" s="8" t="b">
        <v>0</v>
      </c>
      <c r="T2974" s="8" t="b">
        <v>1</v>
      </c>
      <c r="U2974" s="8" t="b">
        <v>0</v>
      </c>
      <c r="V2974" s="8" t="b">
        <v>0</v>
      </c>
      <c r="X2974" s="8" t="b">
        <v>0</v>
      </c>
      <c r="Y2974" s="8" t="b">
        <v>0</v>
      </c>
      <c r="Z2974" s="8" t="b">
        <v>0</v>
      </c>
      <c r="AA2974" s="8" t="b">
        <v>0</v>
      </c>
      <c r="AB2974" s="8" t="b">
        <v>0</v>
      </c>
      <c r="AC2974" s="8" t="b">
        <v>0</v>
      </c>
      <c r="AD2974" s="8" t="b">
        <v>1</v>
      </c>
      <c r="AE2974" s="8" t="b">
        <v>0</v>
      </c>
      <c r="AG2974" s="11" t="b" cm="1">
        <f t="array" ref="AG2974">IF(OR(Y2974:AA2974="TRUE", AE2974="true"), "Threatened")</f>
        <v>0</v>
      </c>
      <c r="AH2974" s="11" t="s">
        <v>7273</v>
      </c>
      <c r="AI2974" s="8" t="b">
        <v>1</v>
      </c>
    </row>
    <row r="2975" spans="1:35" ht="31.2">
      <c r="A2975" s="8">
        <v>-73.957579140000007</v>
      </c>
      <c r="B2975" s="8">
        <v>40.795993449999997</v>
      </c>
      <c r="C2975" s="8" t="s">
        <v>7274</v>
      </c>
      <c r="D2975" s="8" t="s">
        <v>841</v>
      </c>
      <c r="E2975" s="8" t="b">
        <f t="shared" si="46"/>
        <v>0</v>
      </c>
      <c r="F2975" s="8" t="str" cm="1">
        <f t="array" ref="F2975">_xlfn._xlws.FILTER(E2975:E6173, C2975:C6173= "6D-PM-1020-01", "No Squirrels Found")</f>
        <v>No Squirrels Found</v>
      </c>
      <c r="G2975" s="8" t="s">
        <v>48</v>
      </c>
      <c r="H2975" s="10">
        <v>10172018</v>
      </c>
      <c r="I2975" s="10">
        <v>6</v>
      </c>
      <c r="J2975" s="8" t="s">
        <v>39</v>
      </c>
      <c r="K2975" s="8" t="s">
        <v>192</v>
      </c>
      <c r="L2975" s="8" t="s">
        <v>41</v>
      </c>
      <c r="M2975" s="8" t="s">
        <v>717</v>
      </c>
      <c r="O2975" s="8" t="s">
        <v>43</v>
      </c>
      <c r="P2975" s="8" t="b">
        <v>0</v>
      </c>
      <c r="R2975" s="8" t="b">
        <v>1</v>
      </c>
      <c r="S2975" s="8" t="b">
        <v>0</v>
      </c>
      <c r="T2975" s="8" t="b">
        <v>0</v>
      </c>
      <c r="U2975" s="8" t="b">
        <v>0</v>
      </c>
      <c r="V2975" s="8" t="b">
        <v>0</v>
      </c>
      <c r="X2975" s="8" t="b">
        <v>0</v>
      </c>
      <c r="Y2975" s="8" t="b">
        <v>0</v>
      </c>
      <c r="Z2975" s="8" t="b">
        <v>0</v>
      </c>
      <c r="AA2975" s="8" t="b">
        <v>0</v>
      </c>
      <c r="AB2975" s="8" t="b">
        <v>0</v>
      </c>
      <c r="AC2975" s="8" t="b">
        <v>0</v>
      </c>
      <c r="AD2975" s="8" t="b">
        <v>0</v>
      </c>
      <c r="AE2975" s="8" t="b">
        <v>1</v>
      </c>
      <c r="AG2975" s="11" t="b" cm="1">
        <f t="array" ref="AG2975">IF(OR(Y2975:AA2975="TRUE", AE2975="true"), "Threatened")</f>
        <v>0</v>
      </c>
      <c r="AH2975" s="11" t="s">
        <v>7275</v>
      </c>
      <c r="AI2975" s="8" t="b">
        <v>1</v>
      </c>
    </row>
    <row r="2976" spans="1:35" ht="31.2">
      <c r="A2976" s="8">
        <v>-73.959412240000006</v>
      </c>
      <c r="B2976" s="8">
        <v>40.791787110000001</v>
      </c>
      <c r="C2976" s="8" t="s">
        <v>7276</v>
      </c>
      <c r="D2976" s="8" t="s">
        <v>1214</v>
      </c>
      <c r="E2976" s="8" t="b">
        <f t="shared" si="46"/>
        <v>0</v>
      </c>
      <c r="F2976" s="8" t="str" cm="1">
        <f t="array" ref="F2976">_xlfn._xlws.FILTER(E2976:E6174, C2976:C6174= "6D-PM-1020-01", "No Squirrels Found")</f>
        <v>No Squirrels Found</v>
      </c>
      <c r="G2976" s="8" t="s">
        <v>48</v>
      </c>
      <c r="H2976" s="10">
        <v>10142018</v>
      </c>
      <c r="I2976" s="10">
        <v>1</v>
      </c>
      <c r="J2976" s="8" t="s">
        <v>39</v>
      </c>
      <c r="K2976" s="8" t="s">
        <v>192</v>
      </c>
      <c r="L2976" s="8" t="s">
        <v>41</v>
      </c>
      <c r="M2976" s="8" t="s">
        <v>717</v>
      </c>
      <c r="O2976" s="8" t="s">
        <v>43</v>
      </c>
      <c r="P2976" s="8" t="b">
        <v>0</v>
      </c>
      <c r="R2976" s="8" t="b">
        <v>0</v>
      </c>
      <c r="S2976" s="8" t="b">
        <v>0</v>
      </c>
      <c r="T2976" s="8" t="b">
        <v>0</v>
      </c>
      <c r="U2976" s="8" t="b">
        <v>0</v>
      </c>
      <c r="V2976" s="8" t="b">
        <v>0</v>
      </c>
      <c r="W2976" s="11" t="s">
        <v>355</v>
      </c>
      <c r="X2976" s="8" t="b">
        <v>0</v>
      </c>
      <c r="Y2976" s="8" t="b">
        <v>0</v>
      </c>
      <c r="Z2976" s="8" t="b">
        <v>0</v>
      </c>
      <c r="AA2976" s="8" t="b">
        <v>0</v>
      </c>
      <c r="AB2976" s="8" t="b">
        <v>0</v>
      </c>
      <c r="AC2976" s="8" t="b">
        <v>0</v>
      </c>
      <c r="AD2976" s="8" t="b">
        <v>0</v>
      </c>
      <c r="AE2976" s="8" t="b">
        <v>1</v>
      </c>
      <c r="AG2976" s="11" t="b" cm="1">
        <f t="array" ref="AG2976">IF(OR(Y2976:AA2976="TRUE", AE2976="true"), "Threatened")</f>
        <v>0</v>
      </c>
      <c r="AH2976" s="11" t="s">
        <v>7277</v>
      </c>
      <c r="AI2976" s="8" t="b">
        <v>0</v>
      </c>
    </row>
    <row r="2977" spans="1:35" ht="31.2">
      <c r="A2977" s="8">
        <v>-73.972408329999993</v>
      </c>
      <c r="B2977" s="8">
        <v>40.774416379999998</v>
      </c>
      <c r="C2977" s="8" t="s">
        <v>7278</v>
      </c>
      <c r="D2977" s="8" t="s">
        <v>98</v>
      </c>
      <c r="E2977" s="8" t="b">
        <f t="shared" si="46"/>
        <v>0</v>
      </c>
      <c r="F2977" s="8" t="str" cm="1">
        <f t="array" ref="F2977">_xlfn._xlws.FILTER(E2977:E6175, C2977:C6175= "6D-PM-1020-01", "No Squirrels Found")</f>
        <v>No Squirrels Found</v>
      </c>
      <c r="G2977" s="8" t="s">
        <v>48</v>
      </c>
      <c r="H2977" s="10">
        <v>10102018</v>
      </c>
      <c r="I2977" s="10">
        <v>8</v>
      </c>
      <c r="J2977" s="8" t="s">
        <v>39</v>
      </c>
      <c r="K2977" s="8" t="s">
        <v>41</v>
      </c>
      <c r="L2977" s="8" t="s">
        <v>135</v>
      </c>
      <c r="M2977" s="8" t="s">
        <v>136</v>
      </c>
      <c r="O2977" s="8" t="s">
        <v>43</v>
      </c>
      <c r="P2977" s="8" t="b">
        <v>0</v>
      </c>
      <c r="R2977" s="8" t="b">
        <v>0</v>
      </c>
      <c r="S2977" s="8" t="b">
        <v>0</v>
      </c>
      <c r="T2977" s="8" t="b">
        <v>0</v>
      </c>
      <c r="U2977" s="8" t="b">
        <v>1</v>
      </c>
      <c r="V2977" s="8" t="b">
        <v>1</v>
      </c>
      <c r="W2977" s="11" t="s">
        <v>7279</v>
      </c>
      <c r="X2977" s="8" t="b">
        <v>0</v>
      </c>
      <c r="Y2977" s="8" t="b">
        <v>0</v>
      </c>
      <c r="Z2977" s="8" t="b">
        <v>0</v>
      </c>
      <c r="AA2977" s="8" t="b">
        <v>0</v>
      </c>
      <c r="AB2977" s="8" t="b">
        <v>0</v>
      </c>
      <c r="AC2977" s="8" t="b">
        <v>1</v>
      </c>
      <c r="AD2977" s="8" t="b">
        <v>0</v>
      </c>
      <c r="AE2977" s="8" t="b">
        <v>0</v>
      </c>
      <c r="AG2977" s="11" t="b" cm="1">
        <f t="array" ref="AG2977">IF(OR(Y2977:AA2977="TRUE", AE2977="true"), "Threatened")</f>
        <v>0</v>
      </c>
      <c r="AH2977" s="11" t="s">
        <v>7280</v>
      </c>
      <c r="AI2977" s="8" t="b">
        <v>0</v>
      </c>
    </row>
    <row r="2978" spans="1:35" ht="31.2">
      <c r="A2978" s="8">
        <v>-73.958068159999996</v>
      </c>
      <c r="B2978" s="8">
        <v>40.799200999999996</v>
      </c>
      <c r="C2978" s="8" t="s">
        <v>7281</v>
      </c>
      <c r="D2978" s="8" t="s">
        <v>382</v>
      </c>
      <c r="E2978" s="8" t="b">
        <f t="shared" si="46"/>
        <v>0</v>
      </c>
      <c r="F2978" s="8" t="str" cm="1">
        <f t="array" ref="F2978">_xlfn._xlws.FILTER(E2978:E6176, C2978:C6176= "6D-PM-1020-01", "No Squirrels Found")</f>
        <v>No Squirrels Found</v>
      </c>
      <c r="G2978" s="8" t="s">
        <v>48</v>
      </c>
      <c r="H2978" s="10">
        <v>10102018</v>
      </c>
      <c r="I2978" s="10">
        <v>1</v>
      </c>
      <c r="J2978" s="8" t="s">
        <v>39</v>
      </c>
      <c r="K2978" s="8" t="s">
        <v>40</v>
      </c>
      <c r="L2978" s="8" t="s">
        <v>117</v>
      </c>
      <c r="M2978" s="8" t="s">
        <v>118</v>
      </c>
      <c r="O2978" s="8" t="s">
        <v>43</v>
      </c>
      <c r="P2978" s="8" t="b">
        <v>0</v>
      </c>
      <c r="R2978" s="8" t="b">
        <v>0</v>
      </c>
      <c r="S2978" s="8" t="b">
        <v>0</v>
      </c>
      <c r="T2978" s="8" t="b">
        <v>0</v>
      </c>
      <c r="U2978" s="8" t="b">
        <v>0</v>
      </c>
      <c r="V2978" s="8" t="b">
        <v>1</v>
      </c>
      <c r="X2978" s="8" t="b">
        <v>0</v>
      </c>
      <c r="Y2978" s="8" t="b">
        <v>0</v>
      </c>
      <c r="Z2978" s="8" t="b">
        <v>0</v>
      </c>
      <c r="AA2978" s="8" t="b">
        <v>0</v>
      </c>
      <c r="AB2978" s="8" t="b">
        <v>0</v>
      </c>
      <c r="AC2978" s="8" t="b">
        <v>0</v>
      </c>
      <c r="AD2978" s="8" t="b">
        <v>0</v>
      </c>
      <c r="AE2978" s="8" t="b">
        <v>0</v>
      </c>
      <c r="AG2978" s="11" t="b" cm="1">
        <f t="array" ref="AG2978">IF(OR(Y2978:AA2978="TRUE", AE2978="true"), "Threatened")</f>
        <v>0</v>
      </c>
      <c r="AH2978" s="11" t="s">
        <v>7282</v>
      </c>
      <c r="AI2978" s="8" t="b">
        <v>1</v>
      </c>
    </row>
    <row r="2979" spans="1:35" ht="31.2">
      <c r="A2979" s="8">
        <v>-73.968881699999997</v>
      </c>
      <c r="B2979" s="8">
        <v>40.782912029999999</v>
      </c>
      <c r="C2979" s="8" t="s">
        <v>7283</v>
      </c>
      <c r="D2979" s="8" t="s">
        <v>102</v>
      </c>
      <c r="E2979" s="8" t="b">
        <f t="shared" si="46"/>
        <v>0</v>
      </c>
      <c r="F2979" s="8" t="str" cm="1">
        <f t="array" ref="F2979">_xlfn._xlws.FILTER(E2979:E6177, C2979:C6177= "6D-PM-1020-01", "No Squirrels Found")</f>
        <v>No Squirrels Found</v>
      </c>
      <c r="G2979" s="8" t="s">
        <v>34</v>
      </c>
      <c r="H2979" s="10">
        <v>10132018</v>
      </c>
      <c r="I2979" s="10">
        <v>9</v>
      </c>
      <c r="J2979" s="8" t="s">
        <v>39</v>
      </c>
      <c r="K2979" s="8" t="s">
        <v>40</v>
      </c>
      <c r="L2979" s="8" t="s">
        <v>84</v>
      </c>
      <c r="M2979" s="8" t="s">
        <v>103</v>
      </c>
      <c r="O2979" s="8" t="s">
        <v>43</v>
      </c>
      <c r="P2979" s="8" t="b">
        <v>0</v>
      </c>
      <c r="R2979" s="8" t="b">
        <v>0</v>
      </c>
      <c r="S2979" s="8" t="b">
        <v>0</v>
      </c>
      <c r="T2979" s="8" t="b">
        <v>0</v>
      </c>
      <c r="U2979" s="8" t="b">
        <v>0</v>
      </c>
      <c r="V2979" s="8" t="b">
        <v>1</v>
      </c>
      <c r="X2979" s="8" t="b">
        <v>0</v>
      </c>
      <c r="Y2979" s="8" t="b">
        <v>0</v>
      </c>
      <c r="Z2979" s="8" t="b">
        <v>0</v>
      </c>
      <c r="AA2979" s="8" t="b">
        <v>0</v>
      </c>
      <c r="AB2979" s="8" t="b">
        <v>0</v>
      </c>
      <c r="AC2979" s="8" t="b">
        <v>0</v>
      </c>
      <c r="AD2979" s="8" t="b">
        <v>1</v>
      </c>
      <c r="AE2979" s="8" t="b">
        <v>0</v>
      </c>
      <c r="AG2979" s="11" t="b" cm="1">
        <f t="array" ref="AG2979">IF(OR(Y2979:AA2979="TRUE", AE2979="true"), "Threatened")</f>
        <v>0</v>
      </c>
      <c r="AH2979" s="11" t="s">
        <v>7284</v>
      </c>
      <c r="AI2979" s="8" t="b">
        <v>1</v>
      </c>
    </row>
    <row r="2980" spans="1:35" ht="31.2">
      <c r="A2980" s="8">
        <v>-73.957180879999996</v>
      </c>
      <c r="B2980" s="8">
        <v>40.793444389999998</v>
      </c>
      <c r="C2980" s="8" t="s">
        <v>7285</v>
      </c>
      <c r="D2980" s="8" t="s">
        <v>493</v>
      </c>
      <c r="E2980" s="8" t="b">
        <f t="shared" si="46"/>
        <v>0</v>
      </c>
      <c r="F2980" s="8" t="str" cm="1">
        <f t="array" ref="F2980">_xlfn._xlws.FILTER(E2980:E6178, C2980:C6178= "6D-PM-1020-01", "No Squirrels Found")</f>
        <v>No Squirrels Found</v>
      </c>
      <c r="G2980" s="8" t="s">
        <v>48</v>
      </c>
      <c r="H2980" s="10">
        <v>10202018</v>
      </c>
      <c r="I2980" s="10">
        <v>2</v>
      </c>
      <c r="J2980" s="8" t="s">
        <v>39</v>
      </c>
      <c r="K2980" s="8" t="s">
        <v>40</v>
      </c>
      <c r="L2980" s="8" t="s">
        <v>41</v>
      </c>
      <c r="M2980" s="8" t="s">
        <v>42</v>
      </c>
      <c r="O2980" s="8" t="s">
        <v>50</v>
      </c>
      <c r="P2980" s="8">
        <v>25</v>
      </c>
      <c r="R2980" s="8" t="b">
        <v>0</v>
      </c>
      <c r="S2980" s="8" t="b">
        <v>0</v>
      </c>
      <c r="T2980" s="8" t="b">
        <v>0</v>
      </c>
      <c r="U2980" s="8" t="b">
        <v>0</v>
      </c>
      <c r="V2980" s="8" t="b">
        <v>0</v>
      </c>
      <c r="W2980" s="11" t="s">
        <v>7286</v>
      </c>
      <c r="X2980" s="8" t="b">
        <v>0</v>
      </c>
      <c r="Y2980" s="8" t="b">
        <v>0</v>
      </c>
      <c r="Z2980" s="8" t="b">
        <v>0</v>
      </c>
      <c r="AA2980" s="8" t="b">
        <v>0</v>
      </c>
      <c r="AB2980" s="8" t="b">
        <v>0</v>
      </c>
      <c r="AC2980" s="8" t="b">
        <v>0</v>
      </c>
      <c r="AD2980" s="8" t="b">
        <v>1</v>
      </c>
      <c r="AE2980" s="8" t="b">
        <v>0</v>
      </c>
      <c r="AG2980" s="11" t="b" cm="1">
        <f t="array" ref="AG2980">IF(OR(Y2980:AA2980="TRUE", AE2980="true"), "Threatened")</f>
        <v>0</v>
      </c>
      <c r="AH2980" s="11" t="s">
        <v>7287</v>
      </c>
      <c r="AI2980" s="8" t="b">
        <v>0</v>
      </c>
    </row>
    <row r="2981" spans="1:35" ht="31.2">
      <c r="A2981" s="8">
        <v>-73.971641460000001</v>
      </c>
      <c r="B2981" s="8">
        <v>40.771760110000002</v>
      </c>
      <c r="C2981" s="8" t="s">
        <v>7288</v>
      </c>
      <c r="D2981" s="8" t="s">
        <v>527</v>
      </c>
      <c r="E2981" s="8" t="b">
        <f t="shared" si="46"/>
        <v>0</v>
      </c>
      <c r="F2981" s="8" t="str" cm="1">
        <f t="array" ref="F2981">_xlfn._xlws.FILTER(E2981:E6179, C2981:C6179= "6D-PM-1020-01", "No Squirrels Found")</f>
        <v>No Squirrels Found</v>
      </c>
      <c r="G2981" s="8" t="s">
        <v>34</v>
      </c>
      <c r="H2981" s="10">
        <v>10142018</v>
      </c>
      <c r="I2981" s="10">
        <v>6</v>
      </c>
      <c r="J2981" s="8" t="s">
        <v>39</v>
      </c>
      <c r="K2981" s="8" t="s">
        <v>40</v>
      </c>
      <c r="L2981" s="8" t="s">
        <v>41</v>
      </c>
      <c r="M2981" s="8" t="s">
        <v>42</v>
      </c>
      <c r="O2981" s="8" t="s">
        <v>43</v>
      </c>
      <c r="P2981" s="8" t="b">
        <v>0</v>
      </c>
      <c r="R2981" s="8" t="b">
        <v>1</v>
      </c>
      <c r="S2981" s="8" t="b">
        <v>0</v>
      </c>
      <c r="T2981" s="8" t="b">
        <v>0</v>
      </c>
      <c r="U2981" s="8" t="b">
        <v>1</v>
      </c>
      <c r="V2981" s="8" t="b">
        <v>0</v>
      </c>
      <c r="W2981" s="11" t="s">
        <v>7289</v>
      </c>
      <c r="X2981" s="8" t="b">
        <v>0</v>
      </c>
      <c r="Y2981" s="8" t="b">
        <v>0</v>
      </c>
      <c r="Z2981" s="8" t="b">
        <v>0</v>
      </c>
      <c r="AA2981" s="8" t="b">
        <v>1</v>
      </c>
      <c r="AB2981" s="8" t="b">
        <v>0</v>
      </c>
      <c r="AC2981" s="8" t="b">
        <v>0</v>
      </c>
      <c r="AD2981" s="8" t="b">
        <v>1</v>
      </c>
      <c r="AE2981" s="8" t="b">
        <v>0</v>
      </c>
      <c r="AG2981" s="11" t="b" cm="1">
        <f t="array" ref="AG2981">IF(OR(Y2981:AA2981="TRUE", AE2981="true"), "Threatened")</f>
        <v>0</v>
      </c>
      <c r="AH2981" s="11" t="s">
        <v>7290</v>
      </c>
      <c r="AI2981" s="8" t="b">
        <v>0</v>
      </c>
    </row>
    <row r="2982" spans="1:35" ht="31.2">
      <c r="A2982" s="8">
        <v>-73.980009480000007</v>
      </c>
      <c r="B2982" s="8">
        <v>40.76777826</v>
      </c>
      <c r="C2982" s="8" t="s">
        <v>7291</v>
      </c>
      <c r="D2982" s="8" t="s">
        <v>855</v>
      </c>
      <c r="E2982" s="8" t="b">
        <f t="shared" si="46"/>
        <v>0</v>
      </c>
      <c r="F2982" s="8" t="str" cm="1">
        <f t="array" ref="F2982">_xlfn._xlws.FILTER(E2982:E6180, C2982:C6180= "6D-PM-1020-01", "No Squirrels Found")</f>
        <v>No Squirrels Found</v>
      </c>
      <c r="G2982" s="8" t="s">
        <v>48</v>
      </c>
      <c r="H2982" s="10">
        <v>10122018</v>
      </c>
      <c r="I2982" s="10">
        <v>4</v>
      </c>
      <c r="K2982" s="8" t="s">
        <v>40</v>
      </c>
      <c r="L2982" s="8" t="s">
        <v>41</v>
      </c>
      <c r="M2982" s="8" t="s">
        <v>42</v>
      </c>
      <c r="O2982" s="8" t="s">
        <v>43</v>
      </c>
      <c r="P2982" s="8" t="b">
        <v>0</v>
      </c>
      <c r="R2982" s="8" t="b">
        <v>1</v>
      </c>
      <c r="S2982" s="8" t="b">
        <v>0</v>
      </c>
      <c r="T2982" s="8" t="b">
        <v>0</v>
      </c>
      <c r="U2982" s="8" t="b">
        <v>1</v>
      </c>
      <c r="V2982" s="8" t="b">
        <v>0</v>
      </c>
      <c r="X2982" s="8" t="b">
        <v>0</v>
      </c>
      <c r="Y2982" s="8" t="b">
        <v>0</v>
      </c>
      <c r="Z2982" s="8" t="b">
        <v>0</v>
      </c>
      <c r="AA2982" s="8" t="b">
        <v>0</v>
      </c>
      <c r="AB2982" s="8" t="b">
        <v>0</v>
      </c>
      <c r="AC2982" s="8" t="b">
        <v>0</v>
      </c>
      <c r="AD2982" s="8" t="b">
        <v>1</v>
      </c>
      <c r="AE2982" s="8" t="b">
        <v>0</v>
      </c>
      <c r="AG2982" s="11" t="b" cm="1">
        <f t="array" ref="AG2982">IF(OR(Y2982:AA2982="TRUE", AE2982="true"), "Threatened")</f>
        <v>0</v>
      </c>
      <c r="AH2982" s="11" t="s">
        <v>7292</v>
      </c>
      <c r="AI2982" s="8" t="b">
        <v>1</v>
      </c>
    </row>
    <row r="2983" spans="1:35" ht="31.2">
      <c r="A2983" s="8">
        <v>-73.951347780000006</v>
      </c>
      <c r="B2983" s="8">
        <v>40.794525960000001</v>
      </c>
      <c r="C2983" s="8" t="s">
        <v>7293</v>
      </c>
      <c r="D2983" s="8" t="s">
        <v>3076</v>
      </c>
      <c r="E2983" s="8" t="b">
        <f t="shared" si="46"/>
        <v>0</v>
      </c>
      <c r="F2983" s="8" t="str" cm="1">
        <f t="array" ref="F2983">_xlfn._xlws.FILTER(E2983:E6181, C2983:C6181= "6D-PM-1020-01", "No Squirrels Found")</f>
        <v>No Squirrels Found</v>
      </c>
      <c r="G2983" s="8" t="s">
        <v>34</v>
      </c>
      <c r="H2983" s="10">
        <v>10132018</v>
      </c>
      <c r="I2983" s="10">
        <v>2</v>
      </c>
      <c r="J2983" s="8" t="s">
        <v>54</v>
      </c>
      <c r="K2983" s="8" t="s">
        <v>40</v>
      </c>
      <c r="M2983" s="8" t="s">
        <v>55</v>
      </c>
      <c r="O2983" s="8" t="s">
        <v>43</v>
      </c>
      <c r="P2983" s="8" t="b">
        <v>0</v>
      </c>
      <c r="Q2983" s="8" t="s">
        <v>2035</v>
      </c>
      <c r="R2983" s="8" t="b">
        <v>0</v>
      </c>
      <c r="S2983" s="8" t="b">
        <v>1</v>
      </c>
      <c r="T2983" s="8" t="b">
        <v>1</v>
      </c>
      <c r="U2983" s="8" t="b">
        <v>0</v>
      </c>
      <c r="V2983" s="8" t="b">
        <v>0</v>
      </c>
      <c r="W2983" s="11" t="s">
        <v>1369</v>
      </c>
      <c r="X2983" s="8" t="b">
        <v>0</v>
      </c>
      <c r="Y2983" s="8" t="b">
        <v>0</v>
      </c>
      <c r="Z2983" s="8" t="b">
        <v>0</v>
      </c>
      <c r="AA2983" s="8" t="b">
        <v>0</v>
      </c>
      <c r="AB2983" s="8" t="b">
        <v>0</v>
      </c>
      <c r="AC2983" s="8" t="b">
        <v>0</v>
      </c>
      <c r="AD2983" s="8" t="b">
        <v>0</v>
      </c>
      <c r="AE2983" s="8" t="b">
        <v>0</v>
      </c>
      <c r="AG2983" s="11" t="b" cm="1">
        <f t="array" ref="AG2983">IF(OR(Y2983:AA2983="TRUE", AE2983="true"), "Threatened")</f>
        <v>0</v>
      </c>
      <c r="AH2983" s="11" t="s">
        <v>7294</v>
      </c>
      <c r="AI2983" s="8" t="b">
        <v>0</v>
      </c>
    </row>
    <row r="2984" spans="1:35" ht="31.2">
      <c r="A2984" s="8">
        <v>-73.968958670000006</v>
      </c>
      <c r="B2984" s="8">
        <v>40.783961390000002</v>
      </c>
      <c r="C2984" s="8" t="s">
        <v>7295</v>
      </c>
      <c r="D2984" s="8" t="s">
        <v>1415</v>
      </c>
      <c r="E2984" s="8" t="b">
        <f t="shared" si="46"/>
        <v>0</v>
      </c>
      <c r="F2984" s="8" t="str" cm="1">
        <f t="array" ref="F2984">_xlfn._xlws.FILTER(E2984:E6182, C2984:C6182= "6D-PM-1020-01", "No Squirrels Found")</f>
        <v>No Squirrels Found</v>
      </c>
      <c r="G2984" s="8" t="s">
        <v>34</v>
      </c>
      <c r="H2984" s="10">
        <v>10172018</v>
      </c>
      <c r="I2984" s="10">
        <v>4</v>
      </c>
      <c r="J2984" s="8" t="s">
        <v>39</v>
      </c>
      <c r="K2984" s="8" t="s">
        <v>40</v>
      </c>
      <c r="L2984" s="8" t="s">
        <v>41</v>
      </c>
      <c r="M2984" s="8" t="s">
        <v>42</v>
      </c>
      <c r="O2984" s="8" t="s">
        <v>43</v>
      </c>
      <c r="P2984" s="8" t="b">
        <v>0</v>
      </c>
      <c r="R2984" s="8" t="b">
        <v>0</v>
      </c>
      <c r="S2984" s="8" t="b">
        <v>0</v>
      </c>
      <c r="T2984" s="8" t="b">
        <v>0</v>
      </c>
      <c r="U2984" s="8" t="b">
        <v>1</v>
      </c>
      <c r="V2984" s="8" t="b">
        <v>1</v>
      </c>
      <c r="X2984" s="8" t="b">
        <v>0</v>
      </c>
      <c r="Y2984" s="8" t="b">
        <v>0</v>
      </c>
      <c r="Z2984" s="8" t="b">
        <v>0</v>
      </c>
      <c r="AA2984" s="8" t="b">
        <v>0</v>
      </c>
      <c r="AB2984" s="8" t="b">
        <v>0</v>
      </c>
      <c r="AC2984" s="8" t="b">
        <v>0</v>
      </c>
      <c r="AD2984" s="8" t="b">
        <v>0</v>
      </c>
      <c r="AE2984" s="8" t="b">
        <v>1</v>
      </c>
      <c r="AG2984" s="11" t="b" cm="1">
        <f t="array" ref="AG2984">IF(OR(Y2984:AA2984="TRUE", AE2984="true"), "Threatened")</f>
        <v>0</v>
      </c>
      <c r="AH2984" s="11" t="s">
        <v>7296</v>
      </c>
      <c r="AI2984" s="8" t="b">
        <v>1</v>
      </c>
    </row>
    <row r="2985" spans="1:35" ht="31.2">
      <c r="A2985" s="8">
        <v>-73.970015889999999</v>
      </c>
      <c r="B2985" s="8">
        <v>40.776235909999997</v>
      </c>
      <c r="C2985" s="8" t="s">
        <v>7297</v>
      </c>
      <c r="D2985" s="8" t="s">
        <v>121</v>
      </c>
      <c r="E2985" s="8" t="b">
        <f t="shared" si="46"/>
        <v>0</v>
      </c>
      <c r="F2985" s="8" t="str" cm="1">
        <f t="array" ref="F2985">_xlfn._xlws.FILTER(E2985:E6183, C2985:C6183= "6D-PM-1020-01", "No Squirrels Found")</f>
        <v>No Squirrels Found</v>
      </c>
      <c r="G2985" s="8" t="s">
        <v>48</v>
      </c>
      <c r="H2985" s="10">
        <v>10082018</v>
      </c>
      <c r="I2985" s="10">
        <v>18</v>
      </c>
      <c r="J2985" s="8" t="s">
        <v>39</v>
      </c>
      <c r="K2985" s="8" t="s">
        <v>40</v>
      </c>
      <c r="M2985" s="8" t="s">
        <v>55</v>
      </c>
      <c r="O2985" s="8" t="s">
        <v>43</v>
      </c>
      <c r="P2985" s="8" t="b">
        <v>0</v>
      </c>
      <c r="R2985" s="8" t="b">
        <v>0</v>
      </c>
      <c r="S2985" s="8" t="b">
        <v>0</v>
      </c>
      <c r="T2985" s="8" t="b">
        <v>0</v>
      </c>
      <c r="U2985" s="8" t="b">
        <v>1</v>
      </c>
      <c r="V2985" s="8" t="b">
        <v>1</v>
      </c>
      <c r="X2985" s="8" t="b">
        <v>0</v>
      </c>
      <c r="Y2985" s="8" t="b">
        <v>0</v>
      </c>
      <c r="Z2985" s="8" t="b">
        <v>0</v>
      </c>
      <c r="AA2985" s="8" t="b">
        <v>0</v>
      </c>
      <c r="AB2985" s="8" t="b">
        <v>0</v>
      </c>
      <c r="AC2985" s="8" t="b">
        <v>0</v>
      </c>
      <c r="AD2985" s="8" t="b">
        <v>1</v>
      </c>
      <c r="AE2985" s="8" t="b">
        <v>0</v>
      </c>
      <c r="AG2985" s="11" t="b" cm="1">
        <f t="array" ref="AG2985">IF(OR(Y2985:AA2985="TRUE", AE2985="true"), "Threatened")</f>
        <v>0</v>
      </c>
      <c r="AH2985" s="11" t="s">
        <v>7298</v>
      </c>
      <c r="AI2985" s="8" t="b">
        <v>1</v>
      </c>
    </row>
    <row r="2986" spans="1:35" ht="31.2">
      <c r="A2986" s="8">
        <v>-73.972115939999995</v>
      </c>
      <c r="B2986" s="8">
        <v>40.766050319999998</v>
      </c>
      <c r="C2986" s="8" t="s">
        <v>7299</v>
      </c>
      <c r="D2986" s="8" t="s">
        <v>988</v>
      </c>
      <c r="E2986" s="8" t="b">
        <f t="shared" si="46"/>
        <v>0</v>
      </c>
      <c r="F2986" s="8" t="str" cm="1">
        <f t="array" ref="F2986">_xlfn._xlws.FILTER(E2986:E6184, C2986:C6184= "6D-PM-1020-01", "No Squirrels Found")</f>
        <v>No Squirrels Found</v>
      </c>
      <c r="G2986" s="8" t="s">
        <v>34</v>
      </c>
      <c r="H2986" s="10">
        <v>10132018</v>
      </c>
      <c r="I2986" s="10">
        <v>3</v>
      </c>
      <c r="J2986" s="8" t="s">
        <v>39</v>
      </c>
      <c r="K2986" s="8" t="s">
        <v>192</v>
      </c>
      <c r="L2986" s="8" t="s">
        <v>41</v>
      </c>
      <c r="M2986" s="8" t="s">
        <v>717</v>
      </c>
      <c r="O2986" s="8" t="s">
        <v>43</v>
      </c>
      <c r="P2986" s="8" t="b">
        <v>0</v>
      </c>
      <c r="R2986" s="8" t="b">
        <v>1</v>
      </c>
      <c r="S2986" s="8" t="b">
        <v>0</v>
      </c>
      <c r="T2986" s="8" t="b">
        <v>1</v>
      </c>
      <c r="U2986" s="8" t="b">
        <v>0</v>
      </c>
      <c r="V2986" s="8" t="b">
        <v>0</v>
      </c>
      <c r="X2986" s="8" t="b">
        <v>0</v>
      </c>
      <c r="Y2986" s="8" t="b">
        <v>0</v>
      </c>
      <c r="Z2986" s="8" t="b">
        <v>0</v>
      </c>
      <c r="AA2986" s="8" t="b">
        <v>0</v>
      </c>
      <c r="AB2986" s="8" t="b">
        <v>0</v>
      </c>
      <c r="AC2986" s="8" t="b">
        <v>0</v>
      </c>
      <c r="AD2986" s="8" t="b">
        <v>0</v>
      </c>
      <c r="AE2986" s="8" t="b">
        <v>1</v>
      </c>
      <c r="AG2986" s="11" t="b" cm="1">
        <f t="array" ref="AG2986">IF(OR(Y2986:AA2986="TRUE", AE2986="true"), "Threatened")</f>
        <v>0</v>
      </c>
      <c r="AH2986" s="11" t="s">
        <v>7300</v>
      </c>
      <c r="AI2986" s="8" t="b">
        <v>1</v>
      </c>
    </row>
    <row r="2987" spans="1:35" ht="31.2">
      <c r="A2987" s="8">
        <v>-73.975653379999997</v>
      </c>
      <c r="B2987" s="8">
        <v>40.773353790000002</v>
      </c>
      <c r="C2987" s="8" t="s">
        <v>7301</v>
      </c>
      <c r="D2987" s="8" t="s">
        <v>249</v>
      </c>
      <c r="E2987" s="8" t="b">
        <f t="shared" si="46"/>
        <v>0</v>
      </c>
      <c r="F2987" s="8" t="str" cm="1">
        <f t="array" ref="F2987">_xlfn._xlws.FILTER(E2987:E6185, C2987:C6185= "6D-PM-1020-01", "No Squirrels Found")</f>
        <v>No Squirrels Found</v>
      </c>
      <c r="G2987" s="8" t="s">
        <v>34</v>
      </c>
      <c r="H2987" s="10">
        <v>10122018</v>
      </c>
      <c r="I2987" s="10">
        <v>7</v>
      </c>
      <c r="J2987" s="8" t="s">
        <v>39</v>
      </c>
      <c r="K2987" s="8" t="s">
        <v>41</v>
      </c>
      <c r="L2987" s="8" t="s">
        <v>135</v>
      </c>
      <c r="M2987" s="8" t="s">
        <v>136</v>
      </c>
      <c r="O2987" s="8" t="s">
        <v>43</v>
      </c>
      <c r="P2987" s="8" t="b">
        <v>0</v>
      </c>
      <c r="R2987" s="8" t="b">
        <v>0</v>
      </c>
      <c r="S2987" s="8" t="b">
        <v>0</v>
      </c>
      <c r="T2987" s="8" t="b">
        <v>0</v>
      </c>
      <c r="U2987" s="8" t="b">
        <v>1</v>
      </c>
      <c r="V2987" s="8" t="b">
        <v>1</v>
      </c>
      <c r="X2987" s="8" t="b">
        <v>0</v>
      </c>
      <c r="Y2987" s="8" t="b">
        <v>0</v>
      </c>
      <c r="Z2987" s="8" t="b">
        <v>0</v>
      </c>
      <c r="AA2987" s="8" t="b">
        <v>0</v>
      </c>
      <c r="AB2987" s="8" t="b">
        <v>0</v>
      </c>
      <c r="AC2987" s="8" t="b">
        <v>0</v>
      </c>
      <c r="AD2987" s="8" t="b">
        <v>1</v>
      </c>
      <c r="AE2987" s="8" t="b">
        <v>0</v>
      </c>
      <c r="AG2987" s="11" t="b" cm="1">
        <f t="array" ref="AG2987">IF(OR(Y2987:AA2987="TRUE", AE2987="true"), "Threatened")</f>
        <v>0</v>
      </c>
      <c r="AH2987" s="11" t="s">
        <v>7302</v>
      </c>
      <c r="AI2987" s="8" t="b">
        <v>1</v>
      </c>
    </row>
    <row r="2988" spans="1:35" ht="31.2">
      <c r="A2988" s="8">
        <v>-73.956372479999999</v>
      </c>
      <c r="B2988" s="8">
        <v>40.78825046</v>
      </c>
      <c r="C2988" s="8" t="s">
        <v>7303</v>
      </c>
      <c r="D2988" s="8" t="s">
        <v>1877</v>
      </c>
      <c r="E2988" s="8" t="b">
        <f t="shared" si="46"/>
        <v>0</v>
      </c>
      <c r="F2988" s="8" t="str" cm="1">
        <f t="array" ref="F2988">_xlfn._xlws.FILTER(E2988:E6186, C2988:C6186= "6D-PM-1020-01", "No Squirrels Found")</f>
        <v>No Squirrels Found</v>
      </c>
      <c r="G2988" s="8" t="s">
        <v>34</v>
      </c>
      <c r="H2988" s="10">
        <v>10192018</v>
      </c>
      <c r="I2988" s="10">
        <v>4</v>
      </c>
      <c r="J2988" s="8" t="s">
        <v>39</v>
      </c>
      <c r="K2988" s="8" t="s">
        <v>40</v>
      </c>
      <c r="M2988" s="8" t="s">
        <v>55</v>
      </c>
      <c r="O2988" s="8" t="s">
        <v>43</v>
      </c>
      <c r="P2988" s="8" t="b">
        <v>0</v>
      </c>
      <c r="R2988" s="8" t="b">
        <v>1</v>
      </c>
      <c r="S2988" s="8" t="b">
        <v>0</v>
      </c>
      <c r="T2988" s="8" t="b">
        <v>0</v>
      </c>
      <c r="U2988" s="8" t="b">
        <v>0</v>
      </c>
      <c r="V2988" s="8" t="b">
        <v>0</v>
      </c>
      <c r="X2988" s="8" t="b">
        <v>0</v>
      </c>
      <c r="Y2988" s="8" t="b">
        <v>0</v>
      </c>
      <c r="Z2988" s="8" t="b">
        <v>0</v>
      </c>
      <c r="AA2988" s="8" t="b">
        <v>0</v>
      </c>
      <c r="AB2988" s="8" t="b">
        <v>0</v>
      </c>
      <c r="AC2988" s="8" t="b">
        <v>0</v>
      </c>
      <c r="AD2988" s="8" t="b">
        <v>1</v>
      </c>
      <c r="AE2988" s="8" t="b">
        <v>0</v>
      </c>
      <c r="AG2988" s="11" t="b" cm="1">
        <f t="array" ref="AG2988">IF(OR(Y2988:AA2988="TRUE", AE2988="true"), "Threatened")</f>
        <v>0</v>
      </c>
      <c r="AH2988" s="11" t="s">
        <v>7304</v>
      </c>
      <c r="AI2988" s="8" t="b">
        <v>1</v>
      </c>
    </row>
    <row r="2989" spans="1:35" ht="31.2">
      <c r="A2989" s="8">
        <v>-73.976634279999999</v>
      </c>
      <c r="B2989" s="8">
        <v>40.76875184</v>
      </c>
      <c r="C2989" s="8" t="s">
        <v>7305</v>
      </c>
      <c r="D2989" s="8" t="s">
        <v>544</v>
      </c>
      <c r="E2989" s="8" t="b">
        <f t="shared" si="46"/>
        <v>0</v>
      </c>
      <c r="F2989" s="8" t="str" cm="1">
        <f t="array" ref="F2989">_xlfn._xlws.FILTER(E2989:E6187, C2989:C6187= "6D-PM-1020-01", "No Squirrels Found")</f>
        <v>No Squirrels Found</v>
      </c>
      <c r="G2989" s="8" t="s">
        <v>48</v>
      </c>
      <c r="H2989" s="10">
        <v>10122018</v>
      </c>
      <c r="I2989" s="10">
        <v>4</v>
      </c>
      <c r="J2989" s="8" t="s">
        <v>39</v>
      </c>
      <c r="K2989" s="8" t="s">
        <v>40</v>
      </c>
      <c r="M2989" s="8" t="s">
        <v>55</v>
      </c>
      <c r="O2989" s="8" t="s">
        <v>50</v>
      </c>
      <c r="P2989" s="8">
        <v>3</v>
      </c>
      <c r="Q2989" s="8" t="s">
        <v>856</v>
      </c>
      <c r="R2989" s="8" t="b">
        <v>0</v>
      </c>
      <c r="S2989" s="8" t="b">
        <v>1</v>
      </c>
      <c r="T2989" s="8" t="b">
        <v>1</v>
      </c>
      <c r="U2989" s="8" t="b">
        <v>0</v>
      </c>
      <c r="V2989" s="8" t="b">
        <v>0</v>
      </c>
      <c r="X2989" s="8" t="b">
        <v>0</v>
      </c>
      <c r="Y2989" s="8" t="b">
        <v>0</v>
      </c>
      <c r="Z2989" s="8" t="b">
        <v>0</v>
      </c>
      <c r="AA2989" s="8" t="b">
        <v>0</v>
      </c>
      <c r="AB2989" s="8" t="b">
        <v>1</v>
      </c>
      <c r="AC2989" s="8" t="b">
        <v>0</v>
      </c>
      <c r="AD2989" s="8" t="b">
        <v>1</v>
      </c>
      <c r="AE2989" s="8" t="b">
        <v>0</v>
      </c>
      <c r="AG2989" s="11" t="b" cm="1">
        <f t="array" ref="AG2989">IF(OR(Y2989:AA2989="TRUE", AE2989="true"), "Threatened")</f>
        <v>0</v>
      </c>
      <c r="AH2989" s="11" t="s">
        <v>7306</v>
      </c>
      <c r="AI2989" s="8" t="b">
        <v>1</v>
      </c>
    </row>
    <row r="2990" spans="1:35" ht="46.8">
      <c r="A2990" s="8">
        <v>-73.964353819999999</v>
      </c>
      <c r="B2990" s="8">
        <v>40.791756560000003</v>
      </c>
      <c r="C2990" s="8" t="s">
        <v>7307</v>
      </c>
      <c r="D2990" s="8" t="s">
        <v>398</v>
      </c>
      <c r="E2990" s="8" t="b">
        <f t="shared" si="46"/>
        <v>0</v>
      </c>
      <c r="F2990" s="8" t="str" cm="1">
        <f t="array" ref="F2990">_xlfn._xlws.FILTER(E2990:E6188, C2990:C6188= "6D-PM-1020-01", "No Squirrels Found")</f>
        <v>No Squirrels Found</v>
      </c>
      <c r="G2990" s="8" t="s">
        <v>34</v>
      </c>
      <c r="H2990" s="10">
        <v>10172018</v>
      </c>
      <c r="I2990" s="10">
        <v>1</v>
      </c>
      <c r="J2990" s="8" t="s">
        <v>54</v>
      </c>
      <c r="K2990" s="8" t="s">
        <v>41</v>
      </c>
      <c r="L2990" s="8" t="s">
        <v>135</v>
      </c>
      <c r="M2990" s="8" t="s">
        <v>136</v>
      </c>
      <c r="N2990" s="11" t="s">
        <v>7308</v>
      </c>
      <c r="O2990" s="8" t="s">
        <v>43</v>
      </c>
      <c r="P2990" s="8" t="b">
        <v>0</v>
      </c>
      <c r="R2990" s="8" t="b">
        <v>0</v>
      </c>
      <c r="S2990" s="8" t="b">
        <v>0</v>
      </c>
      <c r="T2990" s="8" t="b">
        <v>0</v>
      </c>
      <c r="U2990" s="8" t="b">
        <v>0</v>
      </c>
      <c r="V2990" s="8" t="b">
        <v>1</v>
      </c>
      <c r="X2990" s="8" t="b">
        <v>0</v>
      </c>
      <c r="Y2990" s="8" t="b">
        <v>0</v>
      </c>
      <c r="Z2990" s="8" t="b">
        <v>0</v>
      </c>
      <c r="AA2990" s="8" t="b">
        <v>0</v>
      </c>
      <c r="AB2990" s="8" t="b">
        <v>1</v>
      </c>
      <c r="AC2990" s="8" t="b">
        <v>0</v>
      </c>
      <c r="AD2990" s="8" t="b">
        <v>0</v>
      </c>
      <c r="AE2990" s="8" t="b">
        <v>0</v>
      </c>
      <c r="AG2990" s="11" t="b" cm="1">
        <f t="array" ref="AG2990">IF(OR(Y2990:AA2990="TRUE", AE2990="true"), "Threatened")</f>
        <v>0</v>
      </c>
      <c r="AH2990" s="11" t="s">
        <v>7309</v>
      </c>
      <c r="AI2990" s="8" t="b">
        <v>1</v>
      </c>
    </row>
    <row r="2991" spans="1:35" ht="31.2">
      <c r="A2991" s="8">
        <v>-73.976601209999998</v>
      </c>
      <c r="B2991" s="8">
        <v>40.771231069999999</v>
      </c>
      <c r="C2991" s="8" t="s">
        <v>7310</v>
      </c>
      <c r="D2991" s="8" t="s">
        <v>2799</v>
      </c>
      <c r="E2991" s="8" t="b">
        <f t="shared" si="46"/>
        <v>1</v>
      </c>
      <c r="F2991" s="8" t="str" cm="1">
        <f t="array" ref="F2991">_xlfn._xlws.FILTER(E2991:E6189, C2991:C6189= "6D-PM-1020-01", "No Squirrels Found")</f>
        <v>No Squirrels Found</v>
      </c>
      <c r="G2991" s="8" t="s">
        <v>48</v>
      </c>
      <c r="H2991" s="10">
        <v>10072018</v>
      </c>
      <c r="I2991" s="10">
        <v>5</v>
      </c>
      <c r="J2991" s="8" t="s">
        <v>39</v>
      </c>
      <c r="K2991" s="8" t="s">
        <v>40</v>
      </c>
      <c r="M2991" s="8" t="s">
        <v>55</v>
      </c>
      <c r="O2991" s="8" t="s">
        <v>50</v>
      </c>
      <c r="P2991" s="8">
        <v>20</v>
      </c>
      <c r="R2991" s="8" t="b">
        <v>0</v>
      </c>
      <c r="S2991" s="8" t="b">
        <v>1</v>
      </c>
      <c r="T2991" s="8" t="b">
        <v>1</v>
      </c>
      <c r="U2991" s="8" t="b">
        <v>0</v>
      </c>
      <c r="V2991" s="8" t="b">
        <v>0</v>
      </c>
      <c r="W2991" s="11" t="s">
        <v>1896</v>
      </c>
      <c r="X2991" s="8" t="b">
        <v>0</v>
      </c>
      <c r="Y2991" s="8" t="b">
        <v>0</v>
      </c>
      <c r="Z2991" s="8" t="b">
        <v>0</v>
      </c>
      <c r="AA2991" s="8" t="b">
        <v>0</v>
      </c>
      <c r="AB2991" s="8" t="b">
        <v>0</v>
      </c>
      <c r="AC2991" s="8" t="b">
        <v>0</v>
      </c>
      <c r="AD2991" s="8" t="b">
        <v>1</v>
      </c>
      <c r="AE2991" s="8" t="b">
        <v>0</v>
      </c>
      <c r="AG2991" s="11" t="b" cm="1">
        <f t="array" ref="AG2991">IF(OR(Y2991:AA2991="TRUE", AE2991="true"), "Threatened")</f>
        <v>0</v>
      </c>
      <c r="AH2991" s="11" t="s">
        <v>7311</v>
      </c>
      <c r="AI2991" s="8" t="b">
        <v>0</v>
      </c>
    </row>
    <row r="2992" spans="1:35" ht="31.2">
      <c r="A2992" s="8">
        <v>-73.968463270000001</v>
      </c>
      <c r="B2992" s="8">
        <v>40.784890949999998</v>
      </c>
      <c r="C2992" s="8" t="s">
        <v>7312</v>
      </c>
      <c r="D2992" s="8" t="s">
        <v>2867</v>
      </c>
      <c r="E2992" s="8" t="b">
        <f t="shared" si="46"/>
        <v>0</v>
      </c>
      <c r="F2992" s="8" t="str" cm="1">
        <f t="array" ref="F2992">_xlfn._xlws.FILTER(E2992:E6190, C2992:C6190= "6D-PM-1020-01", "No Squirrels Found")</f>
        <v>No Squirrels Found</v>
      </c>
      <c r="G2992" s="8" t="s">
        <v>48</v>
      </c>
      <c r="H2992" s="10">
        <v>10182018</v>
      </c>
      <c r="I2992" s="10">
        <v>5</v>
      </c>
      <c r="J2992" s="8" t="s">
        <v>39</v>
      </c>
      <c r="K2992" s="8" t="s">
        <v>40</v>
      </c>
      <c r="M2992" s="8" t="s">
        <v>55</v>
      </c>
      <c r="O2992" s="8" t="s">
        <v>43</v>
      </c>
      <c r="P2992" s="8" t="b">
        <v>0</v>
      </c>
      <c r="R2992" s="8" t="b">
        <v>1</v>
      </c>
      <c r="S2992" s="8" t="b">
        <v>0</v>
      </c>
      <c r="T2992" s="8" t="b">
        <v>0</v>
      </c>
      <c r="U2992" s="8" t="b">
        <v>0</v>
      </c>
      <c r="V2992" s="8" t="b">
        <v>0</v>
      </c>
      <c r="X2992" s="8" t="b">
        <v>0</v>
      </c>
      <c r="Y2992" s="8" t="b">
        <v>0</v>
      </c>
      <c r="Z2992" s="8" t="b">
        <v>0</v>
      </c>
      <c r="AA2992" s="8" t="b">
        <v>0</v>
      </c>
      <c r="AB2992" s="8" t="b">
        <v>0</v>
      </c>
      <c r="AC2992" s="8" t="b">
        <v>0</v>
      </c>
      <c r="AD2992" s="8" t="b">
        <v>0</v>
      </c>
      <c r="AE2992" s="8" t="b">
        <v>1</v>
      </c>
      <c r="AG2992" s="11" t="b" cm="1">
        <f t="array" ref="AG2992">IF(OR(Y2992:AA2992="TRUE", AE2992="true"), "Threatened")</f>
        <v>0</v>
      </c>
      <c r="AH2992" s="11" t="s">
        <v>7313</v>
      </c>
      <c r="AI2992" s="8" t="b">
        <v>1</v>
      </c>
    </row>
    <row r="2993" spans="1:35" ht="31.2">
      <c r="A2993" s="8">
        <v>-73.97460633</v>
      </c>
      <c r="B2993" s="8">
        <v>40.768765420000001</v>
      </c>
      <c r="C2993" s="8" t="s">
        <v>7314</v>
      </c>
      <c r="D2993" s="8" t="s">
        <v>914</v>
      </c>
      <c r="E2993" s="8" t="b">
        <f t="shared" si="46"/>
        <v>0</v>
      </c>
      <c r="F2993" s="8" t="str" cm="1">
        <f t="array" ref="F2993">_xlfn._xlws.FILTER(E2993:E6191, C2993:C6191= "6D-PM-1020-01", "No Squirrels Found")</f>
        <v>No Squirrels Found</v>
      </c>
      <c r="G2993" s="8" t="s">
        <v>34</v>
      </c>
      <c r="H2993" s="10">
        <v>10132018</v>
      </c>
      <c r="I2993" s="10">
        <v>3</v>
      </c>
      <c r="J2993" s="8" t="s">
        <v>54</v>
      </c>
      <c r="K2993" s="8" t="s">
        <v>41</v>
      </c>
      <c r="L2993" s="8" t="s">
        <v>40</v>
      </c>
      <c r="M2993" s="8" t="s">
        <v>110</v>
      </c>
      <c r="O2993" s="8" t="s">
        <v>43</v>
      </c>
      <c r="P2993" s="8" t="b">
        <v>0</v>
      </c>
      <c r="R2993" s="8" t="b">
        <v>0</v>
      </c>
      <c r="S2993" s="8" t="b">
        <v>0</v>
      </c>
      <c r="T2993" s="8" t="b">
        <v>0</v>
      </c>
      <c r="U2993" s="8" t="b">
        <v>0</v>
      </c>
      <c r="V2993" s="8" t="b">
        <v>1</v>
      </c>
      <c r="X2993" s="8" t="b">
        <v>0</v>
      </c>
      <c r="Y2993" s="8" t="b">
        <v>0</v>
      </c>
      <c r="Z2993" s="8" t="b">
        <v>0</v>
      </c>
      <c r="AA2993" s="8" t="b">
        <v>1</v>
      </c>
      <c r="AB2993" s="8" t="b">
        <v>0</v>
      </c>
      <c r="AC2993" s="8" t="b">
        <v>0</v>
      </c>
      <c r="AD2993" s="8" t="b">
        <v>0</v>
      </c>
      <c r="AE2993" s="8" t="b">
        <v>1</v>
      </c>
      <c r="AG2993" s="11" t="b" cm="1">
        <f t="array" ref="AG2993">IF(OR(Y2993:AA2993="TRUE", AE2993="true"), "Threatened")</f>
        <v>0</v>
      </c>
      <c r="AH2993" s="11" t="s">
        <v>7315</v>
      </c>
      <c r="AI2993" s="8" t="b">
        <v>1</v>
      </c>
    </row>
    <row r="2994" spans="1:35" ht="31.2">
      <c r="A2994" s="8">
        <v>-73.957072229999994</v>
      </c>
      <c r="B2994" s="8">
        <v>40.798570609999999</v>
      </c>
      <c r="C2994" s="8" t="s">
        <v>7316</v>
      </c>
      <c r="D2994" s="8" t="s">
        <v>1248</v>
      </c>
      <c r="E2994" s="8" t="b">
        <f t="shared" si="46"/>
        <v>0</v>
      </c>
      <c r="F2994" s="8" t="str" cm="1">
        <f t="array" ref="F2994">_xlfn._xlws.FILTER(E2994:E6192, C2994:C6192= "6D-PM-1020-01", "No Squirrels Found")</f>
        <v>No Squirrels Found</v>
      </c>
      <c r="G2994" s="8" t="s">
        <v>48</v>
      </c>
      <c r="H2994" s="10">
        <v>10172018</v>
      </c>
      <c r="I2994" s="10">
        <v>4</v>
      </c>
      <c r="J2994" s="8" t="s">
        <v>39</v>
      </c>
      <c r="K2994" s="8" t="s">
        <v>40</v>
      </c>
      <c r="L2994" s="8" t="s">
        <v>41</v>
      </c>
      <c r="M2994" s="8" t="s">
        <v>42</v>
      </c>
      <c r="O2994" s="8" t="s">
        <v>43</v>
      </c>
      <c r="P2994" s="8" t="b">
        <v>0</v>
      </c>
      <c r="R2994" s="8" t="b">
        <v>0</v>
      </c>
      <c r="S2994" s="8" t="b">
        <v>1</v>
      </c>
      <c r="T2994" s="8" t="b">
        <v>0</v>
      </c>
      <c r="U2994" s="8" t="b">
        <v>1</v>
      </c>
      <c r="V2994" s="8" t="b">
        <v>1</v>
      </c>
      <c r="W2994" s="11" t="s">
        <v>3473</v>
      </c>
      <c r="X2994" s="8" t="b">
        <v>0</v>
      </c>
      <c r="Y2994" s="8" t="b">
        <v>0</v>
      </c>
      <c r="Z2994" s="8" t="b">
        <v>0</v>
      </c>
      <c r="AA2994" s="8" t="b">
        <v>0</v>
      </c>
      <c r="AB2994" s="8" t="b">
        <v>0</v>
      </c>
      <c r="AC2994" s="8" t="b">
        <v>0</v>
      </c>
      <c r="AD2994" s="8" t="b">
        <v>1</v>
      </c>
      <c r="AE2994" s="8" t="b">
        <v>0</v>
      </c>
      <c r="AG2994" s="11" t="b" cm="1">
        <f t="array" ref="AG2994">IF(OR(Y2994:AA2994="TRUE", AE2994="true"), "Threatened")</f>
        <v>0</v>
      </c>
      <c r="AH2994" s="11" t="s">
        <v>7317</v>
      </c>
      <c r="AI2994" s="8" t="b">
        <v>0</v>
      </c>
    </row>
    <row r="2995" spans="1:35" ht="31.2">
      <c r="A2995" s="8">
        <v>-73.961720709999994</v>
      </c>
      <c r="B2995" s="8">
        <v>40.792283900000001</v>
      </c>
      <c r="C2995" s="8" t="s">
        <v>7318</v>
      </c>
      <c r="D2995" s="8" t="s">
        <v>931</v>
      </c>
      <c r="E2995" s="8" t="b">
        <f t="shared" si="46"/>
        <v>0</v>
      </c>
      <c r="F2995" s="8" t="str" cm="1">
        <f t="array" ref="F2995">_xlfn._xlws.FILTER(E2995:E6193, C2995:C6193= "6D-PM-1020-01", "No Squirrels Found")</f>
        <v>No Squirrels Found</v>
      </c>
      <c r="G2995" s="8" t="s">
        <v>48</v>
      </c>
      <c r="H2995" s="10">
        <v>10102018</v>
      </c>
      <c r="I2995" s="10">
        <v>1</v>
      </c>
      <c r="J2995" s="8" t="s">
        <v>39</v>
      </c>
      <c r="K2995" s="8" t="s">
        <v>40</v>
      </c>
      <c r="M2995" s="8" t="s">
        <v>55</v>
      </c>
      <c r="O2995" s="8" t="s">
        <v>43</v>
      </c>
      <c r="P2995" s="8" t="b">
        <v>0</v>
      </c>
      <c r="R2995" s="8" t="b">
        <v>0</v>
      </c>
      <c r="S2995" s="8" t="b">
        <v>0</v>
      </c>
      <c r="T2995" s="8" t="b">
        <v>0</v>
      </c>
      <c r="U2995" s="8" t="b">
        <v>0</v>
      </c>
      <c r="V2995" s="8" t="b">
        <v>1</v>
      </c>
      <c r="W2995" s="11" t="s">
        <v>355</v>
      </c>
      <c r="X2995" s="8" t="b">
        <v>0</v>
      </c>
      <c r="Y2995" s="8" t="b">
        <v>0</v>
      </c>
      <c r="Z2995" s="8" t="b">
        <v>0</v>
      </c>
      <c r="AA2995" s="8" t="b">
        <v>0</v>
      </c>
      <c r="AB2995" s="8" t="b">
        <v>0</v>
      </c>
      <c r="AC2995" s="8" t="b">
        <v>0</v>
      </c>
      <c r="AD2995" s="8" t="b">
        <v>1</v>
      </c>
      <c r="AE2995" s="8" t="b">
        <v>0</v>
      </c>
      <c r="AG2995" s="11" t="b" cm="1">
        <f t="array" ref="AG2995">IF(OR(Y2995:AA2995="TRUE", AE2995="true"), "Threatened")</f>
        <v>0</v>
      </c>
      <c r="AH2995" s="11" t="s">
        <v>7319</v>
      </c>
      <c r="AI2995" s="8" t="b">
        <v>0</v>
      </c>
    </row>
    <row r="2996" spans="1:35" ht="31.2">
      <c r="A2996" s="8">
        <v>-73.966844269999996</v>
      </c>
      <c r="B2996" s="8">
        <v>40.787078100000002</v>
      </c>
      <c r="C2996" s="8" t="s">
        <v>7320</v>
      </c>
      <c r="D2996" s="8" t="s">
        <v>6090</v>
      </c>
      <c r="E2996" s="8" t="b">
        <f t="shared" si="46"/>
        <v>0</v>
      </c>
      <c r="F2996" s="8" t="str" cm="1">
        <f t="array" ref="F2996">_xlfn._xlws.FILTER(E2996:E6194, C2996:C6194= "6D-PM-1020-01", "No Squirrels Found")</f>
        <v>No Squirrels Found</v>
      </c>
      <c r="G2996" s="8" t="s">
        <v>34</v>
      </c>
      <c r="H2996" s="10">
        <v>10072018</v>
      </c>
      <c r="I2996" s="10">
        <v>1</v>
      </c>
      <c r="K2996" s="8" t="s">
        <v>40</v>
      </c>
      <c r="L2996" s="8" t="s">
        <v>41</v>
      </c>
      <c r="M2996" s="8" t="s">
        <v>42</v>
      </c>
      <c r="O2996" s="8" t="s">
        <v>43</v>
      </c>
      <c r="P2996" s="8" t="b">
        <v>0</v>
      </c>
      <c r="R2996" s="8" t="b">
        <v>0</v>
      </c>
      <c r="S2996" s="8" t="b">
        <v>0</v>
      </c>
      <c r="T2996" s="8" t="b">
        <v>0</v>
      </c>
      <c r="U2996" s="8" t="b">
        <v>1</v>
      </c>
      <c r="V2996" s="8" t="b">
        <v>1</v>
      </c>
      <c r="X2996" s="8" t="b">
        <v>0</v>
      </c>
      <c r="Y2996" s="8" t="b">
        <v>0</v>
      </c>
      <c r="Z2996" s="8" t="b">
        <v>0</v>
      </c>
      <c r="AA2996" s="8" t="b">
        <v>0</v>
      </c>
      <c r="AB2996" s="8" t="b">
        <v>0</v>
      </c>
      <c r="AC2996" s="8" t="b">
        <v>0</v>
      </c>
      <c r="AD2996" s="8" t="b">
        <v>1</v>
      </c>
      <c r="AE2996" s="8" t="b">
        <v>0</v>
      </c>
      <c r="AG2996" s="11" t="b" cm="1">
        <f t="array" ref="AG2996">IF(OR(Y2996:AA2996="TRUE", AE2996="true"), "Threatened")</f>
        <v>0</v>
      </c>
      <c r="AH2996" s="11" t="s">
        <v>7321</v>
      </c>
      <c r="AI2996" s="8" t="b">
        <v>1</v>
      </c>
    </row>
    <row r="2997" spans="1:35" ht="31.2">
      <c r="A2997" s="8">
        <v>-73.970033349999994</v>
      </c>
      <c r="B2997" s="8">
        <v>40.777259389999998</v>
      </c>
      <c r="C2997" s="8" t="s">
        <v>7322</v>
      </c>
      <c r="D2997" s="8" t="s">
        <v>150</v>
      </c>
      <c r="E2997" s="8" t="b">
        <f t="shared" si="46"/>
        <v>0</v>
      </c>
      <c r="F2997" s="8" t="str" cm="1">
        <f t="array" ref="F2997">_xlfn._xlws.FILTER(E2997:E6195, C2997:C6195= "6D-PM-1020-01", "No Squirrels Found")</f>
        <v>No Squirrels Found</v>
      </c>
      <c r="G2997" s="8" t="s">
        <v>34</v>
      </c>
      <c r="H2997" s="10">
        <v>10082018</v>
      </c>
      <c r="I2997" s="10">
        <v>8</v>
      </c>
      <c r="J2997" s="8" t="s">
        <v>39</v>
      </c>
      <c r="K2997" s="8" t="s">
        <v>40</v>
      </c>
      <c r="M2997" s="8" t="s">
        <v>55</v>
      </c>
      <c r="O2997" s="8" t="s">
        <v>43</v>
      </c>
      <c r="P2997" s="8" t="b">
        <v>0</v>
      </c>
      <c r="R2997" s="8" t="b">
        <v>0</v>
      </c>
      <c r="S2997" s="8" t="b">
        <v>0</v>
      </c>
      <c r="T2997" s="8" t="b">
        <v>0</v>
      </c>
      <c r="U2997" s="8" t="b">
        <v>1</v>
      </c>
      <c r="V2997" s="8" t="b">
        <v>0</v>
      </c>
      <c r="X2997" s="8" t="b">
        <v>0</v>
      </c>
      <c r="Y2997" s="8" t="b">
        <v>0</v>
      </c>
      <c r="Z2997" s="8" t="b">
        <v>0</v>
      </c>
      <c r="AA2997" s="8" t="b">
        <v>0</v>
      </c>
      <c r="AB2997" s="8" t="b">
        <v>0</v>
      </c>
      <c r="AC2997" s="8" t="b">
        <v>0</v>
      </c>
      <c r="AD2997" s="8" t="b">
        <v>1</v>
      </c>
      <c r="AE2997" s="8" t="b">
        <v>0</v>
      </c>
      <c r="AG2997" s="11" t="b" cm="1">
        <f t="array" ref="AG2997">IF(OR(Y2997:AA2997="TRUE", AE2997="true"), "Threatened")</f>
        <v>0</v>
      </c>
      <c r="AH2997" s="11" t="s">
        <v>7323</v>
      </c>
      <c r="AI2997" s="8" t="b">
        <v>1</v>
      </c>
    </row>
    <row r="2998" spans="1:35" ht="31.2">
      <c r="A2998" s="8">
        <v>-73.961973540000002</v>
      </c>
      <c r="B2998" s="8">
        <v>40.794466800000002</v>
      </c>
      <c r="C2998" s="8" t="s">
        <v>7324</v>
      </c>
      <c r="D2998" s="8" t="s">
        <v>301</v>
      </c>
      <c r="E2998" s="8" t="b">
        <f t="shared" si="46"/>
        <v>0</v>
      </c>
      <c r="F2998" s="8" t="str" cm="1">
        <f t="array" ref="F2998">_xlfn._xlws.FILTER(E2998:E6196, C2998:C6196= "6D-PM-1020-01", "No Squirrels Found")</f>
        <v>No Squirrels Found</v>
      </c>
      <c r="G2998" s="8" t="s">
        <v>34</v>
      </c>
      <c r="H2998" s="10">
        <v>10132018</v>
      </c>
      <c r="I2998" s="10">
        <v>1</v>
      </c>
      <c r="J2998" s="8" t="s">
        <v>39</v>
      </c>
      <c r="K2998" s="8" t="s">
        <v>40</v>
      </c>
      <c r="L2998" s="8" t="s">
        <v>84</v>
      </c>
      <c r="M2998" s="8" t="s">
        <v>103</v>
      </c>
      <c r="O2998" s="8" t="s">
        <v>43</v>
      </c>
      <c r="P2998" s="8" t="b">
        <v>0</v>
      </c>
      <c r="R2998" s="8" t="b">
        <v>0</v>
      </c>
      <c r="S2998" s="8" t="b">
        <v>0</v>
      </c>
      <c r="T2998" s="8" t="b">
        <v>0</v>
      </c>
      <c r="U2998" s="8" t="b">
        <v>0</v>
      </c>
      <c r="V2998" s="8" t="b">
        <v>1</v>
      </c>
      <c r="X2998" s="8" t="b">
        <v>0</v>
      </c>
      <c r="Y2998" s="8" t="b">
        <v>0</v>
      </c>
      <c r="Z2998" s="8" t="b">
        <v>0</v>
      </c>
      <c r="AA2998" s="8" t="b">
        <v>0</v>
      </c>
      <c r="AB2998" s="8" t="b">
        <v>0</v>
      </c>
      <c r="AC2998" s="8" t="b">
        <v>0</v>
      </c>
      <c r="AD2998" s="8" t="b">
        <v>0</v>
      </c>
      <c r="AE2998" s="8" t="b">
        <v>1</v>
      </c>
      <c r="AG2998" s="11" t="b" cm="1">
        <f t="array" ref="AG2998">IF(OR(Y2998:AA2998="TRUE", AE2998="true"), "Threatened")</f>
        <v>0</v>
      </c>
      <c r="AH2998" s="11" t="s">
        <v>7325</v>
      </c>
      <c r="AI2998" s="8" t="b">
        <v>1</v>
      </c>
    </row>
    <row r="2999" spans="1:35" ht="31.2">
      <c r="A2999" s="8">
        <v>-73.975207920000003</v>
      </c>
      <c r="B2999" s="8">
        <v>40.775537700000001</v>
      </c>
      <c r="C2999" s="8" t="s">
        <v>7326</v>
      </c>
      <c r="D2999" s="8" t="s">
        <v>268</v>
      </c>
      <c r="E2999" s="8" t="b">
        <f t="shared" si="46"/>
        <v>0</v>
      </c>
      <c r="F2999" s="8" t="str" cm="1">
        <f t="array" ref="F2999">_xlfn._xlws.FILTER(E2999:E6197, C2999:C6197= "6D-PM-1020-01", "No Squirrels Found")</f>
        <v>No Squirrels Found</v>
      </c>
      <c r="G2999" s="8" t="s">
        <v>48</v>
      </c>
      <c r="H2999" s="10">
        <v>10072018</v>
      </c>
      <c r="I2999" s="10">
        <v>1</v>
      </c>
      <c r="J2999" s="8" t="s">
        <v>39</v>
      </c>
      <c r="K2999" s="8" t="s">
        <v>41</v>
      </c>
      <c r="L2999" s="8" t="s">
        <v>40</v>
      </c>
      <c r="M2999" s="8" t="s">
        <v>110</v>
      </c>
      <c r="O2999" s="8" t="s">
        <v>43</v>
      </c>
      <c r="P2999" s="8" t="b">
        <v>0</v>
      </c>
      <c r="R2999" s="8" t="b">
        <v>1</v>
      </c>
      <c r="S2999" s="8" t="b">
        <v>0</v>
      </c>
      <c r="T2999" s="8" t="b">
        <v>0</v>
      </c>
      <c r="U2999" s="8" t="b">
        <v>0</v>
      </c>
      <c r="V2999" s="8" t="b">
        <v>0</v>
      </c>
      <c r="X2999" s="8" t="b">
        <v>0</v>
      </c>
      <c r="Y2999" s="8" t="b">
        <v>0</v>
      </c>
      <c r="Z2999" s="8" t="b">
        <v>0</v>
      </c>
      <c r="AA2999" s="8" t="b">
        <v>0</v>
      </c>
      <c r="AB2999" s="8" t="b">
        <v>1</v>
      </c>
      <c r="AC2999" s="8" t="b">
        <v>1</v>
      </c>
      <c r="AD2999" s="8" t="b">
        <v>0</v>
      </c>
      <c r="AE2999" s="8" t="b">
        <v>0</v>
      </c>
      <c r="AG2999" s="11" t="b" cm="1">
        <f t="array" ref="AG2999">IF(OR(Y2999:AA2999="TRUE", AE2999="true"), "Threatened")</f>
        <v>0</v>
      </c>
      <c r="AH2999" s="11" t="s">
        <v>7327</v>
      </c>
      <c r="AI2999" s="8" t="b">
        <v>1</v>
      </c>
    </row>
    <row r="3000" spans="1:35" ht="31.2">
      <c r="A3000" s="8">
        <v>-73.972415179999999</v>
      </c>
      <c r="B3000" s="8">
        <v>40.773080460000003</v>
      </c>
      <c r="C3000" s="8" t="s">
        <v>7328</v>
      </c>
      <c r="D3000" s="8" t="s">
        <v>6022</v>
      </c>
      <c r="E3000" s="8" t="b">
        <f t="shared" si="46"/>
        <v>0</v>
      </c>
      <c r="F3000" s="8" t="str" cm="1">
        <f t="array" ref="F3000">_xlfn._xlws.FILTER(E3000:E6198, C3000:C6198= "6D-PM-1020-01", "No Squirrels Found")</f>
        <v>No Squirrels Found</v>
      </c>
      <c r="G3000" s="8" t="s">
        <v>48</v>
      </c>
      <c r="H3000" s="10">
        <v>10102018</v>
      </c>
      <c r="I3000" s="10">
        <v>2</v>
      </c>
      <c r="J3000" s="8" t="s">
        <v>39</v>
      </c>
      <c r="K3000" s="8" t="s">
        <v>192</v>
      </c>
      <c r="L3000" s="8" t="s">
        <v>40</v>
      </c>
      <c r="M3000" s="8" t="s">
        <v>1236</v>
      </c>
      <c r="O3000" s="8" t="s">
        <v>43</v>
      </c>
      <c r="P3000" s="8" t="b">
        <v>0</v>
      </c>
      <c r="R3000" s="8" t="b">
        <v>1</v>
      </c>
      <c r="S3000" s="8" t="b">
        <v>0</v>
      </c>
      <c r="T3000" s="8" t="b">
        <v>0</v>
      </c>
      <c r="U3000" s="8" t="b">
        <v>0</v>
      </c>
      <c r="V3000" s="8" t="b">
        <v>1</v>
      </c>
      <c r="X3000" s="8" t="b">
        <v>0</v>
      </c>
      <c r="Y3000" s="8" t="b">
        <v>0</v>
      </c>
      <c r="Z3000" s="8" t="b">
        <v>0</v>
      </c>
      <c r="AA3000" s="8" t="b">
        <v>0</v>
      </c>
      <c r="AB3000" s="8" t="b">
        <v>1</v>
      </c>
      <c r="AC3000" s="8" t="b">
        <v>0</v>
      </c>
      <c r="AD3000" s="8" t="b">
        <v>1</v>
      </c>
      <c r="AE3000" s="8" t="b">
        <v>0</v>
      </c>
      <c r="AG3000" s="11" t="b" cm="1">
        <f t="array" ref="AG3000">IF(OR(Y3000:AA3000="TRUE", AE3000="true"), "Threatened")</f>
        <v>0</v>
      </c>
      <c r="AH3000" s="11" t="s">
        <v>7329</v>
      </c>
      <c r="AI3000" s="8" t="b">
        <v>1</v>
      </c>
    </row>
    <row r="3001" spans="1:35" ht="31.2">
      <c r="A3001" s="8">
        <v>-73.968829339999999</v>
      </c>
      <c r="B3001" s="8">
        <v>40.773895799999998</v>
      </c>
      <c r="C3001" s="8" t="s">
        <v>7330</v>
      </c>
      <c r="D3001" s="8" t="s">
        <v>991</v>
      </c>
      <c r="E3001" s="8" t="b">
        <f t="shared" si="46"/>
        <v>0</v>
      </c>
      <c r="F3001" s="8" t="str" cm="1">
        <f t="array" ref="F3001">_xlfn._xlws.FILTER(E3001:E6199, C3001:C6199= "6D-PM-1020-01", "No Squirrels Found")</f>
        <v>No Squirrels Found</v>
      </c>
      <c r="G3001" s="8" t="s">
        <v>48</v>
      </c>
      <c r="H3001" s="10">
        <v>10122018</v>
      </c>
      <c r="I3001" s="10">
        <v>4</v>
      </c>
      <c r="J3001" s="8" t="s">
        <v>39</v>
      </c>
      <c r="K3001" s="8" t="s">
        <v>40</v>
      </c>
      <c r="L3001" s="8" t="s">
        <v>117</v>
      </c>
      <c r="M3001" s="8" t="s">
        <v>118</v>
      </c>
      <c r="O3001" s="8" t="s">
        <v>43</v>
      </c>
      <c r="P3001" s="8" t="b">
        <v>0</v>
      </c>
      <c r="R3001" s="8" t="b">
        <v>0</v>
      </c>
      <c r="S3001" s="8" t="b">
        <v>0</v>
      </c>
      <c r="T3001" s="8" t="b">
        <v>0</v>
      </c>
      <c r="U3001" s="8" t="b">
        <v>0</v>
      </c>
      <c r="V3001" s="8" t="b">
        <v>1</v>
      </c>
      <c r="X3001" s="8" t="b">
        <v>0</v>
      </c>
      <c r="Y3001" s="8" t="b">
        <v>0</v>
      </c>
      <c r="Z3001" s="8" t="b">
        <v>0</v>
      </c>
      <c r="AA3001" s="8" t="b">
        <v>0</v>
      </c>
      <c r="AB3001" s="8" t="b">
        <v>1</v>
      </c>
      <c r="AC3001" s="8" t="b">
        <v>0</v>
      </c>
      <c r="AD3001" s="8" t="b">
        <v>1</v>
      </c>
      <c r="AE3001" s="8" t="b">
        <v>0</v>
      </c>
      <c r="AG3001" s="11" t="b" cm="1">
        <f t="array" ref="AG3001">IF(OR(Y3001:AA3001="TRUE", AE3001="true"), "Threatened")</f>
        <v>0</v>
      </c>
      <c r="AH3001" s="11" t="s">
        <v>7331</v>
      </c>
      <c r="AI3001" s="8" t="b">
        <v>1</v>
      </c>
    </row>
    <row r="3002" spans="1:35" ht="31.2">
      <c r="A3002" s="8">
        <v>-73.977559220000003</v>
      </c>
      <c r="B3002" s="8">
        <v>40.766848529999997</v>
      </c>
      <c r="C3002" s="8" t="s">
        <v>7332</v>
      </c>
      <c r="D3002" s="8" t="s">
        <v>1278</v>
      </c>
      <c r="E3002" s="8" t="b">
        <f t="shared" si="46"/>
        <v>0</v>
      </c>
      <c r="F3002" s="8" t="str" cm="1">
        <f t="array" ref="F3002">_xlfn._xlws.FILTER(E3002:E6200, C3002:C6200= "6D-PM-1020-01", "No Squirrels Found")</f>
        <v>No Squirrels Found</v>
      </c>
      <c r="G3002" s="8" t="s">
        <v>34</v>
      </c>
      <c r="H3002" s="10">
        <v>10072018</v>
      </c>
      <c r="I3002" s="10">
        <v>1</v>
      </c>
      <c r="J3002" s="8" t="s">
        <v>39</v>
      </c>
      <c r="K3002" s="8" t="s">
        <v>40</v>
      </c>
      <c r="L3002" s="8" t="s">
        <v>117</v>
      </c>
      <c r="M3002" s="8" t="s">
        <v>118</v>
      </c>
      <c r="O3002" s="8" t="s">
        <v>43</v>
      </c>
      <c r="P3002" s="8" t="b">
        <v>0</v>
      </c>
      <c r="R3002" s="8" t="b">
        <v>0</v>
      </c>
      <c r="S3002" s="8" t="b">
        <v>0</v>
      </c>
      <c r="T3002" s="8" t="b">
        <v>0</v>
      </c>
      <c r="U3002" s="8" t="b">
        <v>0</v>
      </c>
      <c r="V3002" s="8" t="b">
        <v>1</v>
      </c>
      <c r="X3002" s="8" t="b">
        <v>0</v>
      </c>
      <c r="Y3002" s="8" t="b">
        <v>0</v>
      </c>
      <c r="Z3002" s="8" t="b">
        <v>0</v>
      </c>
      <c r="AA3002" s="8" t="b">
        <v>0</v>
      </c>
      <c r="AB3002" s="8" t="b">
        <v>0</v>
      </c>
      <c r="AC3002" s="8" t="b">
        <v>0</v>
      </c>
      <c r="AD3002" s="8" t="b">
        <v>1</v>
      </c>
      <c r="AE3002" s="8" t="b">
        <v>0</v>
      </c>
      <c r="AG3002" s="11" t="b" cm="1">
        <f t="array" ref="AG3002">IF(OR(Y3002:AA3002="TRUE", AE3002="true"), "Threatened")</f>
        <v>0</v>
      </c>
      <c r="AH3002" s="11" t="s">
        <v>7333</v>
      </c>
      <c r="AI3002" s="8" t="b">
        <v>1</v>
      </c>
    </row>
    <row r="3003" spans="1:35" ht="31.2">
      <c r="A3003" s="8">
        <v>-73.971099179999996</v>
      </c>
      <c r="B3003" s="8">
        <v>40.768982780000002</v>
      </c>
      <c r="C3003" s="8" t="s">
        <v>7334</v>
      </c>
      <c r="D3003" s="8" t="s">
        <v>549</v>
      </c>
      <c r="E3003" s="8" t="b">
        <f t="shared" si="46"/>
        <v>0</v>
      </c>
      <c r="F3003" s="8" t="str" cm="1">
        <f t="array" ref="F3003">_xlfn._xlws.FILTER(E3003:E6201, C3003:C6201= "6D-PM-1020-01", "No Squirrels Found")</f>
        <v>No Squirrels Found</v>
      </c>
      <c r="G3003" s="8" t="s">
        <v>34</v>
      </c>
      <c r="H3003" s="10">
        <v>10202018</v>
      </c>
      <c r="I3003" s="10">
        <v>1</v>
      </c>
      <c r="J3003" s="8" t="s">
        <v>39</v>
      </c>
      <c r="K3003" s="8" t="s">
        <v>40</v>
      </c>
      <c r="L3003" s="8" t="s">
        <v>117</v>
      </c>
      <c r="M3003" s="8" t="s">
        <v>118</v>
      </c>
      <c r="O3003" s="8" t="s">
        <v>43</v>
      </c>
      <c r="P3003" s="8" t="b">
        <v>0</v>
      </c>
      <c r="R3003" s="8" t="b">
        <v>0</v>
      </c>
      <c r="S3003" s="8" t="b">
        <v>0</v>
      </c>
      <c r="T3003" s="8" t="b">
        <v>0</v>
      </c>
      <c r="U3003" s="8" t="b">
        <v>0</v>
      </c>
      <c r="V3003" s="8" t="b">
        <v>1</v>
      </c>
      <c r="X3003" s="8" t="b">
        <v>0</v>
      </c>
      <c r="Y3003" s="8" t="b">
        <v>0</v>
      </c>
      <c r="Z3003" s="8" t="b">
        <v>0</v>
      </c>
      <c r="AA3003" s="8" t="b">
        <v>0</v>
      </c>
      <c r="AB3003" s="8" t="b">
        <v>0</v>
      </c>
      <c r="AC3003" s="8" t="b">
        <v>0</v>
      </c>
      <c r="AD3003" s="8" t="b">
        <v>1</v>
      </c>
      <c r="AE3003" s="8" t="b">
        <v>0</v>
      </c>
      <c r="AG3003" s="11" t="b" cm="1">
        <f t="array" ref="AG3003">IF(OR(Y3003:AA3003="TRUE", AE3003="true"), "Threatened")</f>
        <v>0</v>
      </c>
      <c r="AH3003" s="11" t="s">
        <v>7335</v>
      </c>
      <c r="AI3003" s="8" t="b">
        <v>1</v>
      </c>
    </row>
    <row r="3004" spans="1:35" ht="31.2">
      <c r="A3004" s="8">
        <v>-73.969866390000007</v>
      </c>
      <c r="B3004" s="8">
        <v>40.773999709999998</v>
      </c>
      <c r="C3004" s="8" t="s">
        <v>7336</v>
      </c>
      <c r="D3004" s="8" t="s">
        <v>655</v>
      </c>
      <c r="E3004" s="8" t="b">
        <f t="shared" si="46"/>
        <v>0</v>
      </c>
      <c r="F3004" s="8" t="str" cm="1">
        <f t="array" ref="F3004">_xlfn._xlws.FILTER(E3004:E6202, C3004:C6202= "6D-PM-1020-01", "No Squirrels Found")</f>
        <v>No Squirrels Found</v>
      </c>
      <c r="G3004" s="8" t="s">
        <v>34</v>
      </c>
      <c r="H3004" s="10">
        <v>10072018</v>
      </c>
      <c r="I3004" s="10">
        <v>9</v>
      </c>
      <c r="J3004" s="8" t="s">
        <v>39</v>
      </c>
      <c r="K3004" s="8" t="s">
        <v>41</v>
      </c>
      <c r="L3004" s="8" t="s">
        <v>40</v>
      </c>
      <c r="M3004" s="8" t="s">
        <v>110</v>
      </c>
      <c r="O3004" s="8" t="s">
        <v>43</v>
      </c>
      <c r="P3004" s="8" t="b">
        <v>0</v>
      </c>
      <c r="R3004" s="8" t="b">
        <v>1</v>
      </c>
      <c r="S3004" s="8" t="b">
        <v>0</v>
      </c>
      <c r="T3004" s="8" t="b">
        <v>0</v>
      </c>
      <c r="U3004" s="8" t="b">
        <v>0</v>
      </c>
      <c r="V3004" s="8" t="b">
        <v>1</v>
      </c>
      <c r="X3004" s="8" t="b">
        <v>0</v>
      </c>
      <c r="Y3004" s="8" t="b">
        <v>0</v>
      </c>
      <c r="Z3004" s="8" t="b">
        <v>0</v>
      </c>
      <c r="AA3004" s="8" t="b">
        <v>0</v>
      </c>
      <c r="AB3004" s="8" t="b">
        <v>0</v>
      </c>
      <c r="AC3004" s="8" t="b">
        <v>0</v>
      </c>
      <c r="AD3004" s="8" t="b">
        <v>1</v>
      </c>
      <c r="AE3004" s="8" t="b">
        <v>0</v>
      </c>
      <c r="AG3004" s="11" t="b" cm="1">
        <f t="array" ref="AG3004">IF(OR(Y3004:AA3004="TRUE", AE3004="true"), "Threatened")</f>
        <v>0</v>
      </c>
      <c r="AH3004" s="11" t="s">
        <v>7337</v>
      </c>
      <c r="AI3004" s="8" t="b">
        <v>1</v>
      </c>
    </row>
    <row r="3005" spans="1:35" ht="31.2">
      <c r="A3005" s="8">
        <v>-73.952848290000006</v>
      </c>
      <c r="B3005" s="8">
        <v>40.792205619999997</v>
      </c>
      <c r="C3005" s="8" t="s">
        <v>7338</v>
      </c>
      <c r="D3005" s="8" t="s">
        <v>106</v>
      </c>
      <c r="E3005" s="8" t="b">
        <f t="shared" si="46"/>
        <v>0</v>
      </c>
      <c r="F3005" s="8" t="str" cm="1">
        <f t="array" ref="F3005">_xlfn._xlws.FILTER(E3005:E6203, C3005:C6203= "6D-PM-1020-01", "No Squirrels Found")</f>
        <v>No Squirrels Found</v>
      </c>
      <c r="G3005" s="8" t="s">
        <v>34</v>
      </c>
      <c r="H3005" s="10">
        <v>10072018</v>
      </c>
      <c r="I3005" s="10">
        <v>8</v>
      </c>
      <c r="J3005" s="8" t="s">
        <v>54</v>
      </c>
      <c r="K3005" s="8" t="s">
        <v>41</v>
      </c>
      <c r="L3005" s="8" t="s">
        <v>40</v>
      </c>
      <c r="M3005" s="8" t="s">
        <v>110</v>
      </c>
      <c r="O3005" s="8" t="s">
        <v>43</v>
      </c>
      <c r="P3005" s="8" t="b">
        <v>0</v>
      </c>
      <c r="R3005" s="8" t="b">
        <v>0</v>
      </c>
      <c r="S3005" s="8" t="b">
        <v>0</v>
      </c>
      <c r="T3005" s="8" t="b">
        <v>0</v>
      </c>
      <c r="U3005" s="8" t="b">
        <v>1</v>
      </c>
      <c r="V3005" s="8" t="b">
        <v>0</v>
      </c>
      <c r="X3005" s="8" t="b">
        <v>0</v>
      </c>
      <c r="Y3005" s="8" t="b">
        <v>0</v>
      </c>
      <c r="Z3005" s="8" t="b">
        <v>0</v>
      </c>
      <c r="AA3005" s="8" t="b">
        <v>0</v>
      </c>
      <c r="AB3005" s="8" t="b">
        <v>1</v>
      </c>
      <c r="AC3005" s="8" t="b">
        <v>0</v>
      </c>
      <c r="AD3005" s="8" t="b">
        <v>1</v>
      </c>
      <c r="AE3005" s="8" t="b">
        <v>0</v>
      </c>
      <c r="AG3005" s="11" t="b" cm="1">
        <f t="array" ref="AG3005">IF(OR(Y3005:AA3005="TRUE", AE3005="true"), "Threatened")</f>
        <v>0</v>
      </c>
      <c r="AH3005" s="11" t="s">
        <v>7339</v>
      </c>
      <c r="AI3005" s="8" t="b">
        <v>1</v>
      </c>
    </row>
    <row r="3006" spans="1:35" ht="31.2">
      <c r="A3006" s="8">
        <v>-73.961614119999993</v>
      </c>
      <c r="B3006" s="8">
        <v>40.792180330000001</v>
      </c>
      <c r="C3006" s="8" t="s">
        <v>7340</v>
      </c>
      <c r="D3006" s="8" t="s">
        <v>290</v>
      </c>
      <c r="E3006" s="8" t="b">
        <f t="shared" si="46"/>
        <v>0</v>
      </c>
      <c r="F3006" s="8" t="str" cm="1">
        <f t="array" ref="F3006">_xlfn._xlws.FILTER(E3006:E6204, C3006:C6204= "6D-PM-1020-01", "No Squirrels Found")</f>
        <v>No Squirrels Found</v>
      </c>
      <c r="G3006" s="8" t="s">
        <v>34</v>
      </c>
      <c r="H3006" s="10">
        <v>10072018</v>
      </c>
      <c r="I3006" s="10">
        <v>4</v>
      </c>
      <c r="J3006" s="8" t="s">
        <v>39</v>
      </c>
      <c r="K3006" s="8" t="s">
        <v>40</v>
      </c>
      <c r="L3006" s="8" t="s">
        <v>84</v>
      </c>
      <c r="M3006" s="8" t="s">
        <v>103</v>
      </c>
      <c r="O3006" s="8" t="s">
        <v>43</v>
      </c>
      <c r="P3006" s="8" t="b">
        <v>0</v>
      </c>
      <c r="R3006" s="8" t="b">
        <v>0</v>
      </c>
      <c r="S3006" s="8" t="b">
        <v>0</v>
      </c>
      <c r="T3006" s="8" t="b">
        <v>0</v>
      </c>
      <c r="U3006" s="8" t="b">
        <v>0</v>
      </c>
      <c r="V3006" s="8" t="b">
        <v>1</v>
      </c>
      <c r="X3006" s="8" t="b">
        <v>0</v>
      </c>
      <c r="Y3006" s="8" t="b">
        <v>0</v>
      </c>
      <c r="Z3006" s="8" t="b">
        <v>0</v>
      </c>
      <c r="AA3006" s="8" t="b">
        <v>0</v>
      </c>
      <c r="AB3006" s="8" t="b">
        <v>0</v>
      </c>
      <c r="AC3006" s="8" t="b">
        <v>0</v>
      </c>
      <c r="AD3006" s="8" t="b">
        <v>0</v>
      </c>
      <c r="AE3006" s="8" t="b">
        <v>1</v>
      </c>
      <c r="AG3006" s="11" t="b" cm="1">
        <f t="array" ref="AG3006">IF(OR(Y3006:AA3006="TRUE", AE3006="true"), "Threatened")</f>
        <v>0</v>
      </c>
      <c r="AH3006" s="11" t="s">
        <v>7341</v>
      </c>
      <c r="AI3006" s="8" t="b">
        <v>1</v>
      </c>
    </row>
    <row r="3007" spans="1:35" ht="31.2">
      <c r="A3007" s="8">
        <v>-73.974439020000005</v>
      </c>
      <c r="B3007" s="8">
        <v>40.766316840000002</v>
      </c>
      <c r="C3007" s="8" t="s">
        <v>7342</v>
      </c>
      <c r="D3007" s="8" t="s">
        <v>2892</v>
      </c>
      <c r="E3007" s="8" t="b">
        <f t="shared" si="46"/>
        <v>0</v>
      </c>
      <c r="F3007" s="8" t="str" cm="1">
        <f t="array" ref="F3007">_xlfn._xlws.FILTER(E3007:E6205, C3007:C6205= "6D-PM-1020-01", "No Squirrels Found")</f>
        <v>No Squirrels Found</v>
      </c>
      <c r="G3007" s="8" t="s">
        <v>48</v>
      </c>
      <c r="H3007" s="10">
        <v>10102018</v>
      </c>
      <c r="I3007" s="10">
        <v>2</v>
      </c>
      <c r="J3007" s="8" t="s">
        <v>39</v>
      </c>
      <c r="K3007" s="8" t="s">
        <v>40</v>
      </c>
      <c r="M3007" s="8" t="s">
        <v>55</v>
      </c>
      <c r="O3007" s="8" t="s">
        <v>43</v>
      </c>
      <c r="P3007" s="8" t="b">
        <v>0</v>
      </c>
      <c r="R3007" s="8" t="b">
        <v>0</v>
      </c>
      <c r="S3007" s="8" t="b">
        <v>0</v>
      </c>
      <c r="T3007" s="8" t="b">
        <v>0</v>
      </c>
      <c r="U3007" s="8" t="b">
        <v>1</v>
      </c>
      <c r="V3007" s="8" t="b">
        <v>0</v>
      </c>
      <c r="X3007" s="8" t="b">
        <v>0</v>
      </c>
      <c r="Y3007" s="8" t="b">
        <v>0</v>
      </c>
      <c r="Z3007" s="8" t="b">
        <v>0</v>
      </c>
      <c r="AA3007" s="8" t="b">
        <v>0</v>
      </c>
      <c r="AB3007" s="8" t="b">
        <v>0</v>
      </c>
      <c r="AC3007" s="8" t="b">
        <v>0</v>
      </c>
      <c r="AD3007" s="8" t="b">
        <v>1</v>
      </c>
      <c r="AE3007" s="8" t="b">
        <v>0</v>
      </c>
      <c r="AG3007" s="11" t="b" cm="1">
        <f t="array" ref="AG3007">IF(OR(Y3007:AA3007="TRUE", AE3007="true"), "Threatened")</f>
        <v>0</v>
      </c>
      <c r="AH3007" s="11" t="s">
        <v>7343</v>
      </c>
      <c r="AI3007" s="8" t="b">
        <v>1</v>
      </c>
    </row>
    <row r="3008" spans="1:35" ht="31.2">
      <c r="A3008" s="8">
        <v>-73.963514040000007</v>
      </c>
      <c r="B3008" s="8">
        <v>40.791280800000003</v>
      </c>
      <c r="C3008" s="8" t="s">
        <v>7344</v>
      </c>
      <c r="D3008" s="8" t="s">
        <v>2508</v>
      </c>
      <c r="E3008" s="8" t="b">
        <f t="shared" si="46"/>
        <v>0</v>
      </c>
      <c r="F3008" s="8" t="str" cm="1">
        <f t="array" ref="F3008">_xlfn._xlws.FILTER(E3008:E6206, C3008:C6206= "6D-PM-1020-01", "No Squirrels Found")</f>
        <v>No Squirrels Found</v>
      </c>
      <c r="G3008" s="8" t="s">
        <v>48</v>
      </c>
      <c r="H3008" s="10">
        <v>10172018</v>
      </c>
      <c r="I3008" s="10">
        <v>1</v>
      </c>
      <c r="J3008" s="8" t="s">
        <v>39</v>
      </c>
      <c r="K3008" s="8" t="s">
        <v>40</v>
      </c>
      <c r="M3008" s="8" t="s">
        <v>55</v>
      </c>
      <c r="O3008" s="8" t="s">
        <v>43</v>
      </c>
      <c r="P3008" s="8" t="b">
        <v>0</v>
      </c>
      <c r="R3008" s="8" t="b">
        <v>0</v>
      </c>
      <c r="S3008" s="8" t="b">
        <v>0</v>
      </c>
      <c r="T3008" s="8" t="b">
        <v>0</v>
      </c>
      <c r="U3008" s="8" t="b">
        <v>1</v>
      </c>
      <c r="V3008" s="8" t="b">
        <v>0</v>
      </c>
      <c r="X3008" s="8" t="b">
        <v>0</v>
      </c>
      <c r="Y3008" s="8" t="b">
        <v>0</v>
      </c>
      <c r="Z3008" s="8" t="b">
        <v>0</v>
      </c>
      <c r="AA3008" s="8" t="b">
        <v>0</v>
      </c>
      <c r="AB3008" s="8" t="b">
        <v>0</v>
      </c>
      <c r="AC3008" s="8" t="b">
        <v>0</v>
      </c>
      <c r="AD3008" s="8" t="b">
        <v>1</v>
      </c>
      <c r="AE3008" s="8" t="b">
        <v>0</v>
      </c>
      <c r="AG3008" s="11" t="b" cm="1">
        <f t="array" ref="AG3008">IF(OR(Y3008:AA3008="TRUE", AE3008="true"), "Threatened")</f>
        <v>0</v>
      </c>
      <c r="AH3008" s="11" t="s">
        <v>7345</v>
      </c>
      <c r="AI3008" s="8" t="b">
        <v>1</v>
      </c>
    </row>
    <row r="3009" spans="1:35" ht="31.2">
      <c r="A3009" s="8">
        <v>-73.950353329999999</v>
      </c>
      <c r="B3009" s="8">
        <v>40.797654360000003</v>
      </c>
      <c r="C3009" s="8" t="s">
        <v>7346</v>
      </c>
      <c r="D3009" s="8" t="s">
        <v>686</v>
      </c>
      <c r="E3009" s="8" t="b">
        <f t="shared" si="46"/>
        <v>0</v>
      </c>
      <c r="F3009" s="8" t="str" cm="1">
        <f t="array" ref="F3009">_xlfn._xlws.FILTER(E3009:E6207, C3009:C6207= "6D-PM-1020-01", "No Squirrels Found")</f>
        <v>No Squirrels Found</v>
      </c>
      <c r="G3009" s="8" t="s">
        <v>34</v>
      </c>
      <c r="H3009" s="10">
        <v>10142018</v>
      </c>
      <c r="I3009" s="10">
        <v>4</v>
      </c>
      <c r="J3009" s="8" t="s">
        <v>39</v>
      </c>
      <c r="K3009" s="8" t="s">
        <v>40</v>
      </c>
      <c r="L3009" s="8" t="s">
        <v>41</v>
      </c>
      <c r="M3009" s="8" t="s">
        <v>42</v>
      </c>
      <c r="O3009" s="8" t="s">
        <v>50</v>
      </c>
      <c r="P3009" s="8">
        <v>15</v>
      </c>
      <c r="R3009" s="8" t="b">
        <v>1</v>
      </c>
      <c r="S3009" s="8" t="b">
        <v>1</v>
      </c>
      <c r="T3009" s="8" t="b">
        <v>0</v>
      </c>
      <c r="U3009" s="8" t="b">
        <v>0</v>
      </c>
      <c r="V3009" s="8" t="b">
        <v>0</v>
      </c>
      <c r="X3009" s="8" t="b">
        <v>0</v>
      </c>
      <c r="Y3009" s="8" t="b">
        <v>0</v>
      </c>
      <c r="Z3009" s="8" t="b">
        <v>0</v>
      </c>
      <c r="AA3009" s="8" t="b">
        <v>0</v>
      </c>
      <c r="AB3009" s="8" t="b">
        <v>1</v>
      </c>
      <c r="AC3009" s="8" t="b">
        <v>0</v>
      </c>
      <c r="AD3009" s="8" t="b">
        <v>0</v>
      </c>
      <c r="AE3009" s="8" t="b">
        <v>1</v>
      </c>
      <c r="AG3009" s="11" t="b" cm="1">
        <f t="array" ref="AG3009">IF(OR(Y3009:AA3009="TRUE", AE3009="true"), "Threatened")</f>
        <v>0</v>
      </c>
      <c r="AH3009" s="11" t="s">
        <v>7347</v>
      </c>
      <c r="AI3009" s="8" t="b">
        <v>1</v>
      </c>
    </row>
    <row r="3010" spans="1:35" ht="31.2">
      <c r="A3010" s="8">
        <v>-73.96756379</v>
      </c>
      <c r="B3010" s="8">
        <v>40.782388070000003</v>
      </c>
      <c r="C3010" s="8" t="s">
        <v>7348</v>
      </c>
      <c r="D3010" s="8" t="s">
        <v>469</v>
      </c>
      <c r="E3010" s="8" t="b">
        <f t="shared" si="46"/>
        <v>0</v>
      </c>
      <c r="F3010" s="8" t="str" cm="1">
        <f t="array" ref="F3010">_xlfn._xlws.FILTER(E3010:E6208, C3010:C6208= "6D-PM-1020-01", "No Squirrels Found")</f>
        <v>No Squirrels Found</v>
      </c>
      <c r="G3010" s="8" t="s">
        <v>34</v>
      </c>
      <c r="H3010" s="10">
        <v>10082018</v>
      </c>
      <c r="I3010" s="10">
        <v>2</v>
      </c>
      <c r="K3010" s="8" t="s">
        <v>40</v>
      </c>
      <c r="L3010" s="8" t="s">
        <v>84</v>
      </c>
      <c r="M3010" s="8" t="s">
        <v>103</v>
      </c>
      <c r="O3010" s="8" t="s">
        <v>43</v>
      </c>
      <c r="P3010" s="8" t="b">
        <v>0</v>
      </c>
      <c r="R3010" s="8" t="b">
        <v>0</v>
      </c>
      <c r="S3010" s="8" t="b">
        <v>0</v>
      </c>
      <c r="T3010" s="8" t="b">
        <v>0</v>
      </c>
      <c r="U3010" s="8" t="b">
        <v>0</v>
      </c>
      <c r="V3010" s="8" t="b">
        <v>1</v>
      </c>
      <c r="X3010" s="8" t="b">
        <v>0</v>
      </c>
      <c r="Y3010" s="8" t="b">
        <v>0</v>
      </c>
      <c r="Z3010" s="8" t="b">
        <v>0</v>
      </c>
      <c r="AA3010" s="8" t="b">
        <v>0</v>
      </c>
      <c r="AB3010" s="8" t="b">
        <v>0</v>
      </c>
      <c r="AC3010" s="8" t="b">
        <v>0</v>
      </c>
      <c r="AD3010" s="8" t="b">
        <v>0</v>
      </c>
      <c r="AE3010" s="8" t="b">
        <v>0</v>
      </c>
      <c r="AG3010" s="11" t="b" cm="1">
        <f t="array" ref="AG3010">IF(OR(Y3010:AA3010="TRUE", AE3010="true"), "Threatened")</f>
        <v>0</v>
      </c>
      <c r="AH3010" s="11" t="s">
        <v>7349</v>
      </c>
      <c r="AI3010" s="8" t="b">
        <v>1</v>
      </c>
    </row>
    <row r="3011" spans="1:35" ht="31.2">
      <c r="A3011" s="8">
        <v>-73.958090679999998</v>
      </c>
      <c r="B3011" s="8">
        <v>40.794840409999999</v>
      </c>
      <c r="C3011" s="8" t="s">
        <v>7350</v>
      </c>
      <c r="D3011" s="8" t="s">
        <v>405</v>
      </c>
      <c r="E3011" s="8" t="b">
        <f t="shared" ref="E3011:E3024" si="47">OR(D3011 = "05D", D3011 = "07D", D3011 = "06C", D3011 = "06E")</f>
        <v>0</v>
      </c>
      <c r="F3011" s="8" t="str" cm="1">
        <f t="array" ref="F3011">_xlfn._xlws.FILTER(E3011:E6209, C3011:C6209= "6D-PM-1020-01", "No Squirrels Found")</f>
        <v>No Squirrels Found</v>
      </c>
      <c r="G3011" s="8" t="s">
        <v>34</v>
      </c>
      <c r="H3011" s="10">
        <v>10142018</v>
      </c>
      <c r="I3011" s="10">
        <v>1</v>
      </c>
      <c r="J3011" s="8" t="s">
        <v>39</v>
      </c>
      <c r="K3011" s="8" t="s">
        <v>40</v>
      </c>
      <c r="L3011" s="8" t="s">
        <v>41</v>
      </c>
      <c r="M3011" s="8" t="s">
        <v>42</v>
      </c>
      <c r="O3011" s="8" t="s">
        <v>43</v>
      </c>
      <c r="P3011" s="8" t="b">
        <v>0</v>
      </c>
      <c r="R3011" s="8" t="b">
        <v>0</v>
      </c>
      <c r="S3011" s="8" t="b">
        <v>0</v>
      </c>
      <c r="T3011" s="8" t="b">
        <v>0</v>
      </c>
      <c r="U3011" s="8" t="b">
        <v>0</v>
      </c>
      <c r="V3011" s="8" t="b">
        <v>1</v>
      </c>
      <c r="X3011" s="8" t="b">
        <v>0</v>
      </c>
      <c r="Y3011" s="8" t="b">
        <v>0</v>
      </c>
      <c r="Z3011" s="8" t="b">
        <v>0</v>
      </c>
      <c r="AA3011" s="8" t="b">
        <v>0</v>
      </c>
      <c r="AB3011" s="8" t="b">
        <v>0</v>
      </c>
      <c r="AC3011" s="8" t="b">
        <v>0</v>
      </c>
      <c r="AD3011" s="8" t="b">
        <v>0</v>
      </c>
      <c r="AE3011" s="8" t="b">
        <v>1</v>
      </c>
      <c r="AF3011" s="11" t="s">
        <v>7351</v>
      </c>
      <c r="AG3011" s="11" t="b" cm="1">
        <f t="array" ref="AG3011">IF(OR(Y3011:AA3011="TRUE", AE3011="true"), "Threatened")</f>
        <v>0</v>
      </c>
      <c r="AH3011" s="11" t="s">
        <v>7352</v>
      </c>
      <c r="AI3011" s="8" t="b">
        <v>1</v>
      </c>
    </row>
    <row r="3012" spans="1:35" ht="31.2">
      <c r="A3012" s="8">
        <v>-73.967883130000004</v>
      </c>
      <c r="B3012" s="8">
        <v>40.784760599999998</v>
      </c>
      <c r="C3012" s="8" t="s">
        <v>7353</v>
      </c>
      <c r="D3012" s="8" t="s">
        <v>2184</v>
      </c>
      <c r="E3012" s="8" t="b">
        <f t="shared" si="47"/>
        <v>0</v>
      </c>
      <c r="F3012" s="8" t="str" cm="1">
        <f t="array" ref="F3012">_xlfn._xlws.FILTER(E3012:E6210, C3012:C6210= "6D-PM-1020-01", "No Squirrels Found")</f>
        <v>No Squirrels Found</v>
      </c>
      <c r="G3012" s="8" t="s">
        <v>34</v>
      </c>
      <c r="H3012" s="10">
        <v>10122018</v>
      </c>
      <c r="I3012" s="10">
        <v>6</v>
      </c>
      <c r="J3012" s="8" t="s">
        <v>39</v>
      </c>
      <c r="K3012" s="8" t="s">
        <v>40</v>
      </c>
      <c r="M3012" s="8" t="s">
        <v>55</v>
      </c>
      <c r="O3012" s="8" t="s">
        <v>50</v>
      </c>
      <c r="P3012" s="8">
        <v>30</v>
      </c>
      <c r="R3012" s="8" t="b">
        <v>0</v>
      </c>
      <c r="S3012" s="8" t="b">
        <v>0</v>
      </c>
      <c r="T3012" s="8" t="b">
        <v>0</v>
      </c>
      <c r="U3012" s="8" t="b">
        <v>0</v>
      </c>
      <c r="V3012" s="8" t="b">
        <v>0</v>
      </c>
      <c r="X3012" s="8" t="b">
        <v>1</v>
      </c>
      <c r="Y3012" s="8" t="b">
        <v>0</v>
      </c>
      <c r="Z3012" s="8" t="b">
        <v>0</v>
      </c>
      <c r="AA3012" s="8" t="b">
        <v>0</v>
      </c>
      <c r="AB3012" s="8" t="b">
        <v>0</v>
      </c>
      <c r="AC3012" s="8" t="b">
        <v>0</v>
      </c>
      <c r="AD3012" s="8" t="b">
        <v>0</v>
      </c>
      <c r="AE3012" s="8" t="b">
        <v>0</v>
      </c>
      <c r="AF3012" s="11" t="s">
        <v>7354</v>
      </c>
      <c r="AG3012" s="11" t="b" cm="1">
        <f t="array" ref="AG3012">IF(OR(Y3012:AA3012="TRUE", AE3012="true"), "Threatened")</f>
        <v>0</v>
      </c>
      <c r="AH3012" s="11" t="s">
        <v>7355</v>
      </c>
      <c r="AI3012" s="8" t="b">
        <v>1</v>
      </c>
    </row>
    <row r="3013" spans="1:35" ht="31.2">
      <c r="A3013" s="8">
        <v>-73.961370200000005</v>
      </c>
      <c r="B3013" s="8">
        <v>40.794336319999999</v>
      </c>
      <c r="C3013" s="8" t="s">
        <v>7356</v>
      </c>
      <c r="D3013" s="8" t="s">
        <v>434</v>
      </c>
      <c r="E3013" s="8" t="b">
        <f t="shared" si="47"/>
        <v>0</v>
      </c>
      <c r="F3013" s="8" t="str" cm="1">
        <f t="array" ref="F3013">_xlfn._xlws.FILTER(E3013:E6211, C3013:C6211= "6D-PM-1020-01", "No Squirrels Found")</f>
        <v>No Squirrels Found</v>
      </c>
      <c r="G3013" s="8" t="s">
        <v>34</v>
      </c>
      <c r="H3013" s="10">
        <v>10132018</v>
      </c>
      <c r="I3013" s="10">
        <v>4</v>
      </c>
      <c r="J3013" s="8" t="s">
        <v>39</v>
      </c>
      <c r="K3013" s="8" t="s">
        <v>40</v>
      </c>
      <c r="M3013" s="8" t="s">
        <v>55</v>
      </c>
      <c r="O3013" s="8" t="s">
        <v>43</v>
      </c>
      <c r="P3013" s="8" t="b">
        <v>0</v>
      </c>
      <c r="R3013" s="8" t="b">
        <v>1</v>
      </c>
      <c r="S3013" s="8" t="b">
        <v>0</v>
      </c>
      <c r="T3013" s="8" t="b">
        <v>1</v>
      </c>
      <c r="U3013" s="8" t="b">
        <v>0</v>
      </c>
      <c r="V3013" s="8" t="b">
        <v>1</v>
      </c>
      <c r="W3013" s="11" t="s">
        <v>7357</v>
      </c>
      <c r="X3013" s="8" t="b">
        <v>0</v>
      </c>
      <c r="Y3013" s="8" t="b">
        <v>0</v>
      </c>
      <c r="Z3013" s="8" t="b">
        <v>0</v>
      </c>
      <c r="AA3013" s="8" t="b">
        <v>0</v>
      </c>
      <c r="AB3013" s="8" t="b">
        <v>0</v>
      </c>
      <c r="AC3013" s="8" t="b">
        <v>0</v>
      </c>
      <c r="AD3013" s="8" t="b">
        <v>0</v>
      </c>
      <c r="AE3013" s="8" t="b">
        <v>1</v>
      </c>
      <c r="AF3013" s="11" t="s">
        <v>1294</v>
      </c>
      <c r="AG3013" s="11" t="b" cm="1">
        <f t="array" ref="AG3013">IF(OR(Y3013:AA3013="TRUE", AE3013="true"), "Threatened")</f>
        <v>0</v>
      </c>
      <c r="AH3013" s="11" t="s">
        <v>7358</v>
      </c>
      <c r="AI3013" s="8" t="b">
        <v>0</v>
      </c>
    </row>
    <row r="3014" spans="1:35" ht="31.2">
      <c r="A3014" s="8">
        <v>-73.964661340000006</v>
      </c>
      <c r="B3014" s="8">
        <v>40.776978550000003</v>
      </c>
      <c r="C3014" s="8" t="s">
        <v>7359</v>
      </c>
      <c r="D3014" s="8" t="s">
        <v>2373</v>
      </c>
      <c r="E3014" s="8" t="b">
        <f t="shared" si="47"/>
        <v>0</v>
      </c>
      <c r="F3014" s="8" t="str" cm="1">
        <f t="array" ref="F3014">_xlfn._xlws.FILTER(E3014:E6212, C3014:C6212= "6D-PM-1020-01", "No Squirrels Found")</f>
        <v>No Squirrels Found</v>
      </c>
      <c r="G3014" s="8" t="s">
        <v>48</v>
      </c>
      <c r="H3014" s="10">
        <v>10142018</v>
      </c>
      <c r="I3014" s="10">
        <v>3</v>
      </c>
      <c r="J3014" s="8" t="s">
        <v>39</v>
      </c>
      <c r="K3014" s="8" t="s">
        <v>40</v>
      </c>
      <c r="L3014" s="8" t="s">
        <v>117</v>
      </c>
      <c r="M3014" s="8" t="s">
        <v>118</v>
      </c>
      <c r="N3014" s="11" t="s">
        <v>7360</v>
      </c>
      <c r="O3014" s="8" t="s">
        <v>50</v>
      </c>
      <c r="P3014" s="8">
        <v>10</v>
      </c>
      <c r="R3014" s="8" t="b">
        <v>0</v>
      </c>
      <c r="S3014" s="8" t="b">
        <v>0</v>
      </c>
      <c r="T3014" s="8" t="b">
        <v>1</v>
      </c>
      <c r="U3014" s="8" t="b">
        <v>0</v>
      </c>
      <c r="V3014" s="8" t="b">
        <v>0</v>
      </c>
      <c r="W3014" s="11" t="s">
        <v>7361</v>
      </c>
      <c r="X3014" s="8" t="b">
        <v>0</v>
      </c>
      <c r="Y3014" s="8" t="b">
        <v>0</v>
      </c>
      <c r="Z3014" s="8" t="b">
        <v>0</v>
      </c>
      <c r="AA3014" s="8" t="b">
        <v>0</v>
      </c>
      <c r="AB3014" s="8" t="b">
        <v>0</v>
      </c>
      <c r="AC3014" s="8" t="b">
        <v>0</v>
      </c>
      <c r="AD3014" s="8" t="b">
        <v>1</v>
      </c>
      <c r="AE3014" s="8" t="b">
        <v>0</v>
      </c>
      <c r="AG3014" s="11" t="b" cm="1">
        <f t="array" ref="AG3014">IF(OR(Y3014:AA3014="TRUE", AE3014="true"), "Threatened")</f>
        <v>0</v>
      </c>
      <c r="AH3014" s="11" t="s">
        <v>7362</v>
      </c>
      <c r="AI3014" s="8" t="b">
        <v>0</v>
      </c>
    </row>
    <row r="3015" spans="1:35" ht="31.2">
      <c r="A3015" s="8">
        <v>-73.966557199999997</v>
      </c>
      <c r="B3015" s="8">
        <v>40.780434749999998</v>
      </c>
      <c r="C3015" s="8" t="s">
        <v>7363</v>
      </c>
      <c r="D3015" s="8" t="s">
        <v>2083</v>
      </c>
      <c r="E3015" s="8" t="b">
        <f t="shared" si="47"/>
        <v>0</v>
      </c>
      <c r="F3015" s="8" t="str" cm="1">
        <f t="array" ref="F3015">_xlfn._xlws.FILTER(E3015:E6213, C3015:C6213= "6D-PM-1020-01", "No Squirrels Found")</f>
        <v>No Squirrels Found</v>
      </c>
      <c r="G3015" s="8" t="s">
        <v>34</v>
      </c>
      <c r="H3015" s="10">
        <v>10182018</v>
      </c>
      <c r="I3015" s="10">
        <v>4</v>
      </c>
      <c r="K3015" s="8" t="s">
        <v>40</v>
      </c>
      <c r="M3015" s="8" t="s">
        <v>55</v>
      </c>
      <c r="O3015" s="8" t="s">
        <v>43</v>
      </c>
      <c r="P3015" s="8" t="b">
        <v>0</v>
      </c>
      <c r="R3015" s="8" t="b">
        <v>0</v>
      </c>
      <c r="S3015" s="8" t="b">
        <v>0</v>
      </c>
      <c r="T3015" s="8" t="b">
        <v>0</v>
      </c>
      <c r="U3015" s="8" t="b">
        <v>1</v>
      </c>
      <c r="V3015" s="8" t="b">
        <v>0</v>
      </c>
      <c r="X3015" s="8" t="b">
        <v>0</v>
      </c>
      <c r="Y3015" s="8" t="b">
        <v>0</v>
      </c>
      <c r="Z3015" s="8" t="b">
        <v>0</v>
      </c>
      <c r="AA3015" s="8" t="b">
        <v>0</v>
      </c>
      <c r="AB3015" s="8" t="b">
        <v>0</v>
      </c>
      <c r="AC3015" s="8" t="b">
        <v>0</v>
      </c>
      <c r="AD3015" s="8" t="b">
        <v>1</v>
      </c>
      <c r="AE3015" s="8" t="b">
        <v>0</v>
      </c>
      <c r="AG3015" s="11" t="b" cm="1">
        <f t="array" ref="AG3015">IF(OR(Y3015:AA3015="TRUE", AE3015="true"), "Threatened")</f>
        <v>0</v>
      </c>
      <c r="AH3015" s="11" t="s">
        <v>7364</v>
      </c>
      <c r="AI3015" s="8" t="b">
        <v>1</v>
      </c>
    </row>
    <row r="3016" spans="1:35" ht="31.2">
      <c r="A3016" s="8">
        <v>-73.975916330000004</v>
      </c>
      <c r="B3016" s="8">
        <v>40.773618079999999</v>
      </c>
      <c r="C3016" s="8" t="s">
        <v>7365</v>
      </c>
      <c r="D3016" s="8" t="s">
        <v>802</v>
      </c>
      <c r="E3016" s="8" t="b">
        <f t="shared" si="47"/>
        <v>0</v>
      </c>
      <c r="F3016" s="8" t="str" cm="1">
        <f t="array" ref="F3016">_xlfn._xlws.FILTER(E3016:E6214, C3016:C6214= "6D-PM-1020-01", "No Squirrels Found")</f>
        <v>No Squirrels Found</v>
      </c>
      <c r="G3016" s="8" t="s">
        <v>48</v>
      </c>
      <c r="H3016" s="10">
        <v>10102018</v>
      </c>
      <c r="I3016" s="10">
        <v>8</v>
      </c>
      <c r="J3016" s="8" t="s">
        <v>39</v>
      </c>
      <c r="K3016" s="8" t="s">
        <v>40</v>
      </c>
      <c r="L3016" s="8" t="s">
        <v>117</v>
      </c>
      <c r="M3016" s="8" t="s">
        <v>118</v>
      </c>
      <c r="N3016" s="11" t="s">
        <v>7366</v>
      </c>
      <c r="O3016" s="8" t="s">
        <v>43</v>
      </c>
      <c r="P3016" s="8" t="b">
        <v>0</v>
      </c>
      <c r="R3016" s="8" t="b">
        <v>0</v>
      </c>
      <c r="S3016" s="8" t="b">
        <v>0</v>
      </c>
      <c r="T3016" s="8" t="b">
        <v>0</v>
      </c>
      <c r="U3016" s="8" t="b">
        <v>1</v>
      </c>
      <c r="V3016" s="8" t="b">
        <v>1</v>
      </c>
      <c r="X3016" s="8" t="b">
        <v>0</v>
      </c>
      <c r="Y3016" s="8" t="b">
        <v>0</v>
      </c>
      <c r="Z3016" s="8" t="b">
        <v>0</v>
      </c>
      <c r="AA3016" s="8" t="b">
        <v>0</v>
      </c>
      <c r="AB3016" s="8" t="b">
        <v>1</v>
      </c>
      <c r="AC3016" s="8" t="b">
        <v>0</v>
      </c>
      <c r="AD3016" s="8" t="b">
        <v>0</v>
      </c>
      <c r="AE3016" s="8" t="b">
        <v>0</v>
      </c>
      <c r="AG3016" s="11" t="b" cm="1">
        <f t="array" ref="AG3016">IF(OR(Y3016:AA3016="TRUE", AE3016="true"), "Threatened")</f>
        <v>0</v>
      </c>
      <c r="AH3016" s="11" t="s">
        <v>7367</v>
      </c>
      <c r="AI3016" s="8" t="b">
        <v>1</v>
      </c>
    </row>
    <row r="3017" spans="1:35" ht="31.2">
      <c r="A3017" s="8">
        <v>-73.975645760000006</v>
      </c>
      <c r="B3017" s="8">
        <v>40.770355979999998</v>
      </c>
      <c r="C3017" s="8" t="s">
        <v>7368</v>
      </c>
      <c r="D3017" s="8" t="s">
        <v>734</v>
      </c>
      <c r="E3017" s="8" t="b">
        <f t="shared" si="47"/>
        <v>0</v>
      </c>
      <c r="F3017" s="8" t="str" cm="1">
        <f t="array" ref="F3017">_xlfn._xlws.FILTER(E3017:E6215, C3017:C6215= "6D-PM-1020-01", "No Squirrels Found")</f>
        <v>No Squirrels Found</v>
      </c>
      <c r="G3017" s="8" t="s">
        <v>34</v>
      </c>
      <c r="H3017" s="10">
        <v>10202018</v>
      </c>
      <c r="I3017" s="10">
        <v>2</v>
      </c>
      <c r="J3017" s="8" t="s">
        <v>54</v>
      </c>
      <c r="K3017" s="8" t="s">
        <v>40</v>
      </c>
      <c r="M3017" s="8" t="s">
        <v>55</v>
      </c>
      <c r="O3017" s="8" t="s">
        <v>43</v>
      </c>
      <c r="P3017" s="8" t="b">
        <v>0</v>
      </c>
      <c r="R3017" s="8" t="b">
        <v>0</v>
      </c>
      <c r="S3017" s="8" t="b">
        <v>1</v>
      </c>
      <c r="T3017" s="8" t="b">
        <v>0</v>
      </c>
      <c r="U3017" s="8" t="b">
        <v>0</v>
      </c>
      <c r="V3017" s="8" t="b">
        <v>0</v>
      </c>
      <c r="X3017" s="8" t="b">
        <v>0</v>
      </c>
      <c r="Y3017" s="8" t="b">
        <v>0</v>
      </c>
      <c r="Z3017" s="8" t="b">
        <v>0</v>
      </c>
      <c r="AA3017" s="8" t="b">
        <v>0</v>
      </c>
      <c r="AB3017" s="8" t="b">
        <v>1</v>
      </c>
      <c r="AC3017" s="8" t="b">
        <v>0</v>
      </c>
      <c r="AD3017" s="8" t="b">
        <v>0</v>
      </c>
      <c r="AE3017" s="8" t="b">
        <v>1</v>
      </c>
      <c r="AG3017" s="11" t="b" cm="1">
        <f t="array" ref="AG3017">IF(OR(Y3017:AA3017="TRUE", AE3017="true"), "Threatened")</f>
        <v>0</v>
      </c>
      <c r="AH3017" s="11" t="s">
        <v>7369</v>
      </c>
      <c r="AI3017" s="8" t="b">
        <v>1</v>
      </c>
    </row>
    <row r="3018" spans="1:35" ht="31.2">
      <c r="A3018" s="8">
        <v>-73.966289509999996</v>
      </c>
      <c r="B3018" s="8">
        <v>40.784330079999997</v>
      </c>
      <c r="C3018" s="8" t="s">
        <v>7370</v>
      </c>
      <c r="D3018" s="8" t="s">
        <v>286</v>
      </c>
      <c r="E3018" s="8" t="b">
        <f t="shared" si="47"/>
        <v>0</v>
      </c>
      <c r="F3018" s="8" t="str" cm="1">
        <f t="array" ref="F3018">_xlfn._xlws.FILTER(E3018:E6216, C3018:C6216= "6D-PM-1020-01", "No Squirrels Found")</f>
        <v>No Squirrels Found</v>
      </c>
      <c r="G3018" s="8" t="s">
        <v>48</v>
      </c>
      <c r="H3018" s="10">
        <v>10192018</v>
      </c>
      <c r="I3018" s="10">
        <v>1</v>
      </c>
      <c r="J3018" s="8" t="s">
        <v>39</v>
      </c>
      <c r="K3018" s="8" t="s">
        <v>40</v>
      </c>
      <c r="L3018" s="8" t="s">
        <v>117</v>
      </c>
      <c r="M3018" s="8" t="s">
        <v>118</v>
      </c>
      <c r="N3018" s="11" t="s">
        <v>7371</v>
      </c>
      <c r="O3018" s="8" t="s">
        <v>50</v>
      </c>
      <c r="P3018" s="8">
        <v>7</v>
      </c>
      <c r="R3018" s="8" t="b">
        <v>0</v>
      </c>
      <c r="S3018" s="8" t="b">
        <v>0</v>
      </c>
      <c r="T3018" s="8" t="b">
        <v>1</v>
      </c>
      <c r="U3018" s="8" t="b">
        <v>1</v>
      </c>
      <c r="V3018" s="8" t="b">
        <v>0</v>
      </c>
      <c r="W3018" s="11" t="s">
        <v>7372</v>
      </c>
      <c r="X3018" s="8" t="b">
        <v>1</v>
      </c>
      <c r="Y3018" s="8" t="b">
        <v>0</v>
      </c>
      <c r="Z3018" s="8" t="b">
        <v>0</v>
      </c>
      <c r="AA3018" s="8" t="b">
        <v>0</v>
      </c>
      <c r="AB3018" s="8" t="b">
        <v>0</v>
      </c>
      <c r="AC3018" s="8" t="b">
        <v>0</v>
      </c>
      <c r="AD3018" s="8" t="b">
        <v>1</v>
      </c>
      <c r="AE3018" s="8" t="b">
        <v>0</v>
      </c>
      <c r="AG3018" s="11" t="b" cm="1">
        <f t="array" ref="AG3018">IF(OR(Y3018:AA3018="TRUE", AE3018="true"), "Threatened")</f>
        <v>0</v>
      </c>
      <c r="AH3018" s="11" t="s">
        <v>7373</v>
      </c>
      <c r="AI3018" s="8" t="b">
        <v>0</v>
      </c>
    </row>
    <row r="3019" spans="1:35" ht="31.2">
      <c r="A3019" s="8">
        <v>-73.964543739999996</v>
      </c>
      <c r="B3019" s="8">
        <v>40.781159989999999</v>
      </c>
      <c r="C3019" s="8" t="s">
        <v>7374</v>
      </c>
      <c r="D3019" s="8" t="s">
        <v>1202</v>
      </c>
      <c r="E3019" s="8" t="b">
        <f t="shared" si="47"/>
        <v>0</v>
      </c>
      <c r="F3019" s="8" t="str" cm="1">
        <f t="array" ref="F3019">_xlfn._xlws.FILTER(E3019:E6217, C3019:C6217= "6D-PM-1020-01", "No Squirrels Found")</f>
        <v>No Squirrels Found</v>
      </c>
      <c r="G3019" s="8" t="s">
        <v>34</v>
      </c>
      <c r="H3019" s="10">
        <v>10182018</v>
      </c>
      <c r="I3019" s="10">
        <v>2</v>
      </c>
      <c r="J3019" s="8" t="s">
        <v>54</v>
      </c>
      <c r="K3019" s="8" t="s">
        <v>41</v>
      </c>
      <c r="L3019" s="8" t="s">
        <v>40</v>
      </c>
      <c r="M3019" s="8" t="s">
        <v>110</v>
      </c>
      <c r="O3019" s="8" t="s">
        <v>43</v>
      </c>
      <c r="P3019" s="8" t="b">
        <v>0</v>
      </c>
      <c r="R3019" s="8" t="b">
        <v>0</v>
      </c>
      <c r="S3019" s="8" t="b">
        <v>0</v>
      </c>
      <c r="T3019" s="8" t="b">
        <v>0</v>
      </c>
      <c r="U3019" s="8" t="b">
        <v>0</v>
      </c>
      <c r="V3019" s="8" t="b">
        <v>1</v>
      </c>
      <c r="X3019" s="8" t="b">
        <v>0</v>
      </c>
      <c r="Y3019" s="8" t="b">
        <v>0</v>
      </c>
      <c r="Z3019" s="8" t="b">
        <v>0</v>
      </c>
      <c r="AA3019" s="8" t="b">
        <v>0</v>
      </c>
      <c r="AB3019" s="8" t="b">
        <v>0</v>
      </c>
      <c r="AC3019" s="8" t="b">
        <v>0</v>
      </c>
      <c r="AD3019" s="8" t="b">
        <v>0</v>
      </c>
      <c r="AE3019" s="8" t="b">
        <v>1</v>
      </c>
      <c r="AG3019" s="11" t="b" cm="1">
        <f t="array" ref="AG3019">IF(OR(Y3019:AA3019="TRUE", AE3019="true"), "Threatened")</f>
        <v>0</v>
      </c>
      <c r="AH3019" s="11" t="s">
        <v>7375</v>
      </c>
      <c r="AI3019" s="8" t="b">
        <v>1</v>
      </c>
    </row>
    <row r="3020" spans="1:35" ht="31.2">
      <c r="A3020" s="8">
        <v>-73.963943139999998</v>
      </c>
      <c r="B3020" s="8">
        <v>40.790867740000003</v>
      </c>
      <c r="C3020" s="8" t="s">
        <v>7376</v>
      </c>
      <c r="D3020" s="8" t="s">
        <v>911</v>
      </c>
      <c r="E3020" s="8" t="b">
        <f t="shared" si="47"/>
        <v>0</v>
      </c>
      <c r="F3020" s="8" t="str" cm="1">
        <f t="array" ref="F3020">_xlfn._xlws.FILTER(E3020:E6218, C3020:C6218= "6D-PM-1020-01", "No Squirrels Found")</f>
        <v>No Squirrels Found</v>
      </c>
      <c r="G3020" s="8" t="s">
        <v>48</v>
      </c>
      <c r="H3020" s="10">
        <v>10072018</v>
      </c>
      <c r="I3020" s="10">
        <v>4</v>
      </c>
      <c r="J3020" s="8" t="s">
        <v>39</v>
      </c>
      <c r="K3020" s="8" t="s">
        <v>40</v>
      </c>
      <c r="M3020" s="8" t="s">
        <v>55</v>
      </c>
      <c r="O3020" s="8" t="s">
        <v>43</v>
      </c>
      <c r="P3020" s="8" t="b">
        <v>0</v>
      </c>
      <c r="R3020" s="8" t="b">
        <v>0</v>
      </c>
      <c r="S3020" s="8" t="b">
        <v>0</v>
      </c>
      <c r="T3020" s="8" t="b">
        <v>0</v>
      </c>
      <c r="U3020" s="8" t="b">
        <v>1</v>
      </c>
      <c r="V3020" s="8" t="b">
        <v>1</v>
      </c>
      <c r="X3020" s="8" t="b">
        <v>0</v>
      </c>
      <c r="Y3020" s="8" t="b">
        <v>0</v>
      </c>
      <c r="Z3020" s="8" t="b">
        <v>0</v>
      </c>
      <c r="AA3020" s="8" t="b">
        <v>0</v>
      </c>
      <c r="AB3020" s="8" t="b">
        <v>0</v>
      </c>
      <c r="AC3020" s="8" t="b">
        <v>0</v>
      </c>
      <c r="AD3020" s="8" t="b">
        <v>0</v>
      </c>
      <c r="AE3020" s="8" t="b">
        <v>1</v>
      </c>
      <c r="AG3020" s="11" t="b" cm="1">
        <f t="array" ref="AG3020">IF(OR(Y3020:AA3020="TRUE", AE3020="true"), "Threatened")</f>
        <v>0</v>
      </c>
      <c r="AH3020" s="11" t="s">
        <v>7377</v>
      </c>
      <c r="AI3020" s="8" t="b">
        <v>1</v>
      </c>
    </row>
    <row r="3021" spans="1:35" ht="31.2">
      <c r="A3021" s="8">
        <v>-73.970401589999994</v>
      </c>
      <c r="B3021" s="8">
        <v>40.782560009999997</v>
      </c>
      <c r="C3021" s="8" t="s">
        <v>7378</v>
      </c>
      <c r="D3021" s="8" t="s">
        <v>2662</v>
      </c>
      <c r="E3021" s="8" t="b">
        <f t="shared" si="47"/>
        <v>0</v>
      </c>
      <c r="F3021" s="8" t="str" cm="1">
        <f t="array" ref="F3021">_xlfn._xlws.FILTER(E3021:E6219, C3021:C6219= "6D-PM-1020-01", "No Squirrels Found")</f>
        <v>No Squirrels Found</v>
      </c>
      <c r="G3021" s="8" t="s">
        <v>34</v>
      </c>
      <c r="H3021" s="10">
        <v>10132018</v>
      </c>
      <c r="I3021" s="10">
        <v>5</v>
      </c>
      <c r="J3021" s="8" t="s">
        <v>39</v>
      </c>
      <c r="K3021" s="8" t="s">
        <v>40</v>
      </c>
      <c r="L3021" s="8" t="s">
        <v>84</v>
      </c>
      <c r="M3021" s="8" t="s">
        <v>103</v>
      </c>
      <c r="O3021" s="8" t="s">
        <v>43</v>
      </c>
      <c r="P3021" s="8" t="b">
        <v>0</v>
      </c>
      <c r="R3021" s="8" t="b">
        <v>0</v>
      </c>
      <c r="S3021" s="8" t="b">
        <v>0</v>
      </c>
      <c r="T3021" s="8" t="b">
        <v>0</v>
      </c>
      <c r="U3021" s="8" t="b">
        <v>0</v>
      </c>
      <c r="V3021" s="8" t="b">
        <v>1</v>
      </c>
      <c r="X3021" s="8" t="b">
        <v>0</v>
      </c>
      <c r="Y3021" s="8" t="b">
        <v>0</v>
      </c>
      <c r="Z3021" s="8" t="b">
        <v>0</v>
      </c>
      <c r="AA3021" s="8" t="b">
        <v>0</v>
      </c>
      <c r="AB3021" s="8" t="b">
        <v>0</v>
      </c>
      <c r="AC3021" s="8" t="b">
        <v>0</v>
      </c>
      <c r="AD3021" s="8" t="b">
        <v>1</v>
      </c>
      <c r="AE3021" s="8" t="b">
        <v>0</v>
      </c>
      <c r="AG3021" s="11" t="b" cm="1">
        <f t="array" ref="AG3021">IF(OR(Y3021:AA3021="TRUE", AE3021="true"), "Threatened")</f>
        <v>0</v>
      </c>
      <c r="AH3021" s="11" t="s">
        <v>7379</v>
      </c>
      <c r="AI3021" s="8" t="b">
        <v>1</v>
      </c>
    </row>
    <row r="3022" spans="1:35" ht="31.2">
      <c r="A3022" s="8">
        <v>-73.966587200000006</v>
      </c>
      <c r="B3022" s="8">
        <v>40.783677509999997</v>
      </c>
      <c r="C3022" s="8" t="s">
        <v>7380</v>
      </c>
      <c r="D3022" s="8" t="s">
        <v>748</v>
      </c>
      <c r="E3022" s="8" t="b">
        <f t="shared" si="47"/>
        <v>0</v>
      </c>
      <c r="F3022" s="8" t="str" cm="1">
        <f t="array" ref="F3022">_xlfn._xlws.FILTER(E3022:E6220, C3022:C6220= "6D-PM-1020-01", "No Squirrels Found")</f>
        <v>No Squirrels Found</v>
      </c>
      <c r="G3022" s="8" t="s">
        <v>34</v>
      </c>
      <c r="H3022" s="10">
        <v>10122018</v>
      </c>
      <c r="I3022" s="10">
        <v>7</v>
      </c>
      <c r="J3022" s="8" t="s">
        <v>39</v>
      </c>
      <c r="K3022" s="8" t="s">
        <v>40</v>
      </c>
      <c r="L3022" s="8" t="s">
        <v>168</v>
      </c>
      <c r="M3022" s="8" t="s">
        <v>169</v>
      </c>
      <c r="O3022" s="8" t="s">
        <v>43</v>
      </c>
      <c r="P3022" s="8" t="b">
        <v>0</v>
      </c>
      <c r="R3022" s="8" t="b">
        <v>0</v>
      </c>
      <c r="S3022" s="8" t="b">
        <v>0</v>
      </c>
      <c r="T3022" s="8" t="b">
        <v>0</v>
      </c>
      <c r="U3022" s="8" t="b">
        <v>1</v>
      </c>
      <c r="V3022" s="8" t="b">
        <v>1</v>
      </c>
      <c r="X3022" s="8" t="b">
        <v>0</v>
      </c>
      <c r="Y3022" s="8" t="b">
        <v>0</v>
      </c>
      <c r="Z3022" s="8" t="b">
        <v>0</v>
      </c>
      <c r="AA3022" s="8" t="b">
        <v>0</v>
      </c>
      <c r="AB3022" s="8" t="b">
        <v>0</v>
      </c>
      <c r="AC3022" s="8" t="b">
        <v>0</v>
      </c>
      <c r="AD3022" s="8" t="b">
        <v>1</v>
      </c>
      <c r="AE3022" s="8" t="b">
        <v>0</v>
      </c>
      <c r="AG3022" s="11" t="b" cm="1">
        <f t="array" ref="AG3022">IF(OR(Y3022:AA3022="TRUE", AE3022="true"), "Threatened")</f>
        <v>0</v>
      </c>
      <c r="AH3022" s="11" t="s">
        <v>7381</v>
      </c>
      <c r="AI3022" s="8" t="b">
        <v>1</v>
      </c>
    </row>
    <row r="3023" spans="1:35" ht="31.2">
      <c r="A3023" s="8">
        <v>-73.963994119999995</v>
      </c>
      <c r="B3023" s="8">
        <v>40.789915229999998</v>
      </c>
      <c r="C3023" s="8" t="s">
        <v>7382</v>
      </c>
      <c r="D3023" s="8" t="s">
        <v>1136</v>
      </c>
      <c r="E3023" s="8" t="b">
        <f t="shared" si="47"/>
        <v>0</v>
      </c>
      <c r="F3023" s="8" t="str" cm="1">
        <f t="array" ref="F3023">_xlfn._xlws.FILTER(E3023:E6221, C3023:C6221= "6D-PM-1020-01", "No Squirrels Found")</f>
        <v>No Squirrels Found</v>
      </c>
      <c r="G3023" s="8" t="s">
        <v>34</v>
      </c>
      <c r="H3023" s="10">
        <v>10102018</v>
      </c>
      <c r="I3023" s="10">
        <v>2</v>
      </c>
      <c r="K3023" s="8" t="s">
        <v>40</v>
      </c>
      <c r="L3023" s="8" t="s">
        <v>117</v>
      </c>
      <c r="M3023" s="8" t="s">
        <v>118</v>
      </c>
      <c r="O3023" s="8" t="s">
        <v>43</v>
      </c>
      <c r="P3023" s="8" t="b">
        <v>0</v>
      </c>
      <c r="R3023" s="8" t="b">
        <v>0</v>
      </c>
      <c r="S3023" s="8" t="b">
        <v>0</v>
      </c>
      <c r="T3023" s="8" t="b">
        <v>0</v>
      </c>
      <c r="U3023" s="8" t="b">
        <v>1</v>
      </c>
      <c r="V3023" s="8" t="b">
        <v>0</v>
      </c>
      <c r="X3023" s="8" t="b">
        <v>0</v>
      </c>
      <c r="Y3023" s="8" t="b">
        <v>0</v>
      </c>
      <c r="Z3023" s="8" t="b">
        <v>0</v>
      </c>
      <c r="AA3023" s="8" t="b">
        <v>0</v>
      </c>
      <c r="AB3023" s="8" t="b">
        <v>0</v>
      </c>
      <c r="AC3023" s="8" t="b">
        <v>0</v>
      </c>
      <c r="AD3023" s="8" t="b">
        <v>1</v>
      </c>
      <c r="AE3023" s="8" t="b">
        <v>0</v>
      </c>
      <c r="AG3023" s="11" t="b" cm="1">
        <f t="array" ref="AG3023">IF(OR(Y3023:AA3023="TRUE", AE3023="true"), "Threatened")</f>
        <v>0</v>
      </c>
      <c r="AH3023" s="11" t="s">
        <v>7383</v>
      </c>
      <c r="AI3023" s="8" t="b">
        <v>1</v>
      </c>
    </row>
    <row r="3024" spans="1:35" ht="31.2">
      <c r="A3024" s="8">
        <v>-73.975479419999999</v>
      </c>
      <c r="B3024" s="8">
        <v>40.769640449999997</v>
      </c>
      <c r="C3024" s="8" t="s">
        <v>7384</v>
      </c>
      <c r="D3024" s="8" t="s">
        <v>259</v>
      </c>
      <c r="E3024" s="8" t="b">
        <f t="shared" si="47"/>
        <v>0</v>
      </c>
      <c r="F3024" s="8" t="str" cm="1">
        <f t="array" ref="F3024">_xlfn._xlws.FILTER(E3024:E6222, C3024:C6222= "6D-PM-1020-01", "No Squirrels Found")</f>
        <v>No Squirrels Found</v>
      </c>
      <c r="G3024" s="8" t="s">
        <v>34</v>
      </c>
      <c r="H3024" s="10">
        <v>10122018</v>
      </c>
      <c r="I3024" s="10">
        <v>1</v>
      </c>
      <c r="J3024" s="8" t="s">
        <v>39</v>
      </c>
      <c r="K3024" s="8" t="s">
        <v>41</v>
      </c>
      <c r="L3024" s="8" t="s">
        <v>135</v>
      </c>
      <c r="M3024" s="8" t="s">
        <v>136</v>
      </c>
      <c r="O3024" s="8" t="s">
        <v>43</v>
      </c>
      <c r="P3024" s="8" t="b">
        <v>0</v>
      </c>
      <c r="R3024" s="8" t="b">
        <v>0</v>
      </c>
      <c r="S3024" s="8" t="b">
        <v>0</v>
      </c>
      <c r="T3024" s="8" t="b">
        <v>0</v>
      </c>
      <c r="U3024" s="8" t="b">
        <v>1</v>
      </c>
      <c r="V3024" s="8" t="b">
        <v>1</v>
      </c>
      <c r="X3024" s="8" t="b">
        <v>0</v>
      </c>
      <c r="Y3024" s="8" t="b">
        <v>0</v>
      </c>
      <c r="Z3024" s="8" t="b">
        <v>0</v>
      </c>
      <c r="AA3024" s="8" t="b">
        <v>0</v>
      </c>
      <c r="AB3024" s="8" t="b">
        <v>0</v>
      </c>
      <c r="AC3024" s="8" t="b">
        <v>1</v>
      </c>
      <c r="AD3024" s="8" t="b">
        <v>0</v>
      </c>
      <c r="AE3024" s="8" t="b">
        <v>0</v>
      </c>
      <c r="AG3024" s="11" t="b" cm="1">
        <f t="array" ref="AG3024">IF(OR(Y3024:AA3024="TRUE", AE3024="true"), "Threatened")</f>
        <v>0</v>
      </c>
      <c r="AH3024" s="11" t="s">
        <v>7385</v>
      </c>
      <c r="AI3024" s="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topLeftCell="A15" workbookViewId="0">
      <selection activeCell="B5" sqref="B5"/>
    </sheetView>
  </sheetViews>
  <sheetFormatPr defaultRowHeight="15.6"/>
  <cols>
    <col min="1" max="1" width="68.69921875" customWidth="1"/>
    <col min="2" max="2" width="106.398437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8.2">
      <c r="A4" s="1" t="s">
        <v>2</v>
      </c>
      <c r="B4" s="3" t="s">
        <v>7389</v>
      </c>
    </row>
    <row r="5" spans="1:2" ht="28.2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8.2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8.2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8.2">
      <c r="A24" s="1" t="s">
        <v>22</v>
      </c>
      <c r="B24" s="3" t="s">
        <v>7409</v>
      </c>
    </row>
    <row r="25" spans="1:2" ht="28.2">
      <c r="A25" s="1" t="s">
        <v>23</v>
      </c>
      <c r="B25" s="3" t="s">
        <v>7410</v>
      </c>
    </row>
    <row r="26" spans="1:2" ht="28.2">
      <c r="A26" s="1" t="s">
        <v>24</v>
      </c>
      <c r="B26" s="3" t="s">
        <v>7411</v>
      </c>
    </row>
    <row r="27" spans="1:2" ht="28.2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2018_Central_Park_Squirrel_Cens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Michelle Ruppert</cp:lastModifiedBy>
  <cp:revision/>
  <dcterms:created xsi:type="dcterms:W3CDTF">2020-03-19T12:45:01Z</dcterms:created>
  <dcterms:modified xsi:type="dcterms:W3CDTF">2026-01-14T19:51:47Z</dcterms:modified>
  <cp:category/>
  <cp:contentStatus/>
</cp:coreProperties>
</file>