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cki\workspace\excel\individual-projects\exercises\"/>
    </mc:Choice>
  </mc:AlternateContent>
  <xr:revisionPtr revIDLastSave="0" documentId="13_ncr:1_{6839F64A-35E0-4FA1-BD2F-2465E3F5CB27}" xr6:coauthVersionLast="47" xr6:coauthVersionMax="47" xr10:uidLastSave="{00000000-0000-0000-0000-000000000000}"/>
  <bookViews>
    <workbookView xWindow="28680" yWindow="1590" windowWidth="29040" windowHeight="15720" xr2:uid="{00000000-000D-0000-FFFF-FFFF00000000}"/>
  </bookViews>
  <sheets>
    <sheet name="starwars" sheetId="1" r:id="rId1"/>
    <sheet name="data_dictionary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8" i="1" l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N2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T9" i="1"/>
  <c r="T10" i="1"/>
  <c r="T11" i="1"/>
  <c r="T3" i="1"/>
  <c r="T4" i="1"/>
  <c r="T5" i="1"/>
  <c r="T6" i="1"/>
  <c r="T7" i="1"/>
  <c r="T8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2" i="1"/>
  <c r="Q3" i="1"/>
  <c r="Q2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G34" i="1"/>
  <c r="G37" i="1"/>
  <c r="G38" i="1"/>
  <c r="G39" i="1"/>
  <c r="G41" i="1"/>
  <c r="G42" i="1"/>
  <c r="G44" i="1"/>
  <c r="G47" i="1"/>
  <c r="G52" i="1"/>
  <c r="G54" i="1"/>
  <c r="G55" i="1"/>
  <c r="G57" i="1"/>
  <c r="G59" i="1"/>
  <c r="G60" i="1"/>
  <c r="G64" i="1"/>
  <c r="G66" i="1"/>
  <c r="G71" i="1"/>
  <c r="G72" i="1"/>
  <c r="G74" i="1"/>
  <c r="G76" i="1"/>
  <c r="G83" i="1"/>
  <c r="G84" i="1"/>
  <c r="G85" i="1"/>
  <c r="G86" i="1"/>
  <c r="G87" i="1"/>
  <c r="G28" i="1"/>
  <c r="G29" i="1"/>
  <c r="G13" i="1"/>
  <c r="D3" i="1"/>
  <c r="G3" i="1" s="1"/>
  <c r="D4" i="1"/>
  <c r="G4" i="1" s="1"/>
  <c r="D5" i="1"/>
  <c r="G5" i="1" s="1"/>
  <c r="D6" i="1"/>
  <c r="G6" i="1" s="1"/>
  <c r="D7" i="1"/>
  <c r="G7" i="1" s="1"/>
  <c r="D8" i="1"/>
  <c r="G8" i="1" s="1"/>
  <c r="D9" i="1"/>
  <c r="G9" i="1" s="1"/>
  <c r="D10" i="1"/>
  <c r="G10" i="1" s="1"/>
  <c r="D11" i="1"/>
  <c r="G11" i="1" s="1"/>
  <c r="D12" i="1"/>
  <c r="G12" i="1" s="1"/>
  <c r="D13" i="1"/>
  <c r="D14" i="1"/>
  <c r="G14" i="1" s="1"/>
  <c r="D15" i="1"/>
  <c r="G15" i="1" s="1"/>
  <c r="D16" i="1"/>
  <c r="G16" i="1" s="1"/>
  <c r="D17" i="1"/>
  <c r="G17" i="1" s="1"/>
  <c r="D18" i="1"/>
  <c r="G18" i="1" s="1"/>
  <c r="D19" i="1"/>
  <c r="G19" i="1" s="1"/>
  <c r="D20" i="1"/>
  <c r="G20" i="1" s="1"/>
  <c r="D21" i="1"/>
  <c r="G21" i="1" s="1"/>
  <c r="D22" i="1"/>
  <c r="G22" i="1" s="1"/>
  <c r="D23" i="1"/>
  <c r="G23" i="1" s="1"/>
  <c r="D24" i="1"/>
  <c r="G24" i="1" s="1"/>
  <c r="D25" i="1"/>
  <c r="G25" i="1" s="1"/>
  <c r="D26" i="1"/>
  <c r="G26" i="1" s="1"/>
  <c r="D27" i="1"/>
  <c r="G27" i="1" s="1"/>
  <c r="D28" i="1"/>
  <c r="D29" i="1"/>
  <c r="D30" i="1"/>
  <c r="G30" i="1" s="1"/>
  <c r="D31" i="1"/>
  <c r="G31" i="1" s="1"/>
  <c r="D32" i="1"/>
  <c r="G32" i="1" s="1"/>
  <c r="D33" i="1"/>
  <c r="G33" i="1" s="1"/>
  <c r="D34" i="1"/>
  <c r="D35" i="1"/>
  <c r="G35" i="1" s="1"/>
  <c r="D36" i="1"/>
  <c r="G36" i="1" s="1"/>
  <c r="D37" i="1"/>
  <c r="D38" i="1"/>
  <c r="D39" i="1"/>
  <c r="D40" i="1"/>
  <c r="G40" i="1" s="1"/>
  <c r="D41" i="1"/>
  <c r="D42" i="1"/>
  <c r="D43" i="1"/>
  <c r="G43" i="1" s="1"/>
  <c r="D44" i="1"/>
  <c r="D45" i="1"/>
  <c r="G45" i="1" s="1"/>
  <c r="D46" i="1"/>
  <c r="G46" i="1" s="1"/>
  <c r="D47" i="1"/>
  <c r="D48" i="1"/>
  <c r="G48" i="1" s="1"/>
  <c r="D49" i="1"/>
  <c r="G49" i="1" s="1"/>
  <c r="D50" i="1"/>
  <c r="G50" i="1" s="1"/>
  <c r="D51" i="1"/>
  <c r="G51" i="1" s="1"/>
  <c r="D52" i="1"/>
  <c r="D53" i="1"/>
  <c r="G53" i="1" s="1"/>
  <c r="D54" i="1"/>
  <c r="D55" i="1"/>
  <c r="D56" i="1"/>
  <c r="G56" i="1" s="1"/>
  <c r="D57" i="1"/>
  <c r="D58" i="1"/>
  <c r="G58" i="1" s="1"/>
  <c r="D59" i="1"/>
  <c r="D60" i="1"/>
  <c r="D61" i="1"/>
  <c r="G61" i="1" s="1"/>
  <c r="D62" i="1"/>
  <c r="G62" i="1" s="1"/>
  <c r="D63" i="1"/>
  <c r="G63" i="1" s="1"/>
  <c r="D64" i="1"/>
  <c r="D65" i="1"/>
  <c r="G65" i="1" s="1"/>
  <c r="D66" i="1"/>
  <c r="D67" i="1"/>
  <c r="G67" i="1" s="1"/>
  <c r="D68" i="1"/>
  <c r="G68" i="1" s="1"/>
  <c r="D69" i="1"/>
  <c r="G69" i="1" s="1"/>
  <c r="D70" i="1"/>
  <c r="G70" i="1" s="1"/>
  <c r="D71" i="1"/>
  <c r="D72" i="1"/>
  <c r="D73" i="1"/>
  <c r="G73" i="1" s="1"/>
  <c r="D74" i="1"/>
  <c r="D75" i="1"/>
  <c r="G75" i="1" s="1"/>
  <c r="D76" i="1"/>
  <c r="D77" i="1"/>
  <c r="G77" i="1" s="1"/>
  <c r="D78" i="1"/>
  <c r="G78" i="1" s="1"/>
  <c r="D79" i="1"/>
  <c r="G79" i="1" s="1"/>
  <c r="D80" i="1"/>
  <c r="G80" i="1" s="1"/>
  <c r="D81" i="1"/>
  <c r="G81" i="1" s="1"/>
  <c r="D82" i="1"/>
  <c r="G82" i="1" s="1"/>
  <c r="D83" i="1"/>
  <c r="D84" i="1"/>
  <c r="D85" i="1"/>
  <c r="D86" i="1"/>
  <c r="D87" i="1"/>
  <c r="D88" i="1"/>
  <c r="G88" i="1" s="1"/>
  <c r="D2" i="1"/>
  <c r="G2" i="1" s="1"/>
  <c r="I69" i="1" l="1"/>
  <c r="I75" i="1"/>
  <c r="I82" i="1"/>
  <c r="I83" i="1"/>
  <c r="I84" i="1"/>
  <c r="I85" i="1"/>
  <c r="I86" i="1"/>
  <c r="I66" i="1"/>
  <c r="I68" i="1"/>
  <c r="I72" i="1"/>
  <c r="I4" i="1"/>
  <c r="H33" i="1"/>
  <c r="H32" i="1"/>
  <c r="H31" i="1"/>
  <c r="H30" i="1"/>
  <c r="H27" i="1"/>
  <c r="H26" i="1"/>
  <c r="H24" i="1"/>
  <c r="H12" i="1"/>
  <c r="H11" i="1"/>
  <c r="H10" i="1"/>
  <c r="H9" i="1"/>
  <c r="H8" i="1"/>
  <c r="H7" i="1"/>
  <c r="H6" i="1"/>
  <c r="I88" i="1"/>
  <c r="I87" i="1"/>
  <c r="I74" i="1"/>
  <c r="I76" i="1"/>
  <c r="I77" i="1"/>
  <c r="I78" i="1"/>
  <c r="I79" i="1"/>
  <c r="I80" i="1"/>
  <c r="I81" i="1"/>
  <c r="I59" i="1"/>
  <c r="I70" i="1"/>
  <c r="I28" i="1"/>
  <c r="I3" i="1"/>
  <c r="I5" i="1"/>
  <c r="I8" i="1"/>
  <c r="I9" i="1"/>
  <c r="I13" i="1"/>
  <c r="I16" i="1"/>
  <c r="I19" i="1"/>
  <c r="I22" i="1"/>
  <c r="I24" i="1"/>
  <c r="I30" i="1"/>
  <c r="I34" i="1"/>
  <c r="I45" i="1"/>
  <c r="I55" i="1"/>
  <c r="I37" i="1"/>
  <c r="I73" i="1"/>
  <c r="I12" i="1"/>
  <c r="I7" i="1"/>
  <c r="I11" i="1"/>
  <c r="I14" i="1"/>
  <c r="I20" i="1"/>
  <c r="I23" i="1"/>
  <c r="I26" i="1"/>
  <c r="I31" i="1"/>
  <c r="I35" i="1"/>
  <c r="I44" i="1"/>
  <c r="I49" i="1"/>
  <c r="I52" i="1"/>
  <c r="I61" i="1"/>
  <c r="I64" i="1"/>
  <c r="I33" i="1"/>
  <c r="I36" i="1"/>
  <c r="I38" i="1"/>
  <c r="I40" i="1"/>
  <c r="I41" i="1"/>
  <c r="I43" i="1"/>
  <c r="I46" i="1"/>
  <c r="I51" i="1"/>
  <c r="I53" i="1"/>
  <c r="I54" i="1"/>
  <c r="I56" i="1"/>
  <c r="I58" i="1"/>
  <c r="I63" i="1"/>
  <c r="I65" i="1"/>
  <c r="I71" i="1"/>
  <c r="I27" i="1"/>
  <c r="I6" i="1"/>
  <c r="I10" i="1"/>
  <c r="I15" i="1"/>
  <c r="I18" i="1"/>
  <c r="I21" i="1"/>
  <c r="I25" i="1"/>
  <c r="I32" i="1"/>
  <c r="I39" i="1"/>
  <c r="I42" i="1"/>
  <c r="I48" i="1"/>
  <c r="I50" i="1"/>
  <c r="I60" i="1"/>
  <c r="I62" i="1"/>
  <c r="I29" i="1"/>
  <c r="I17" i="1"/>
  <c r="I47" i="1"/>
  <c r="I57" i="1"/>
  <c r="I67" i="1"/>
  <c r="H25" i="1"/>
  <c r="I2" i="1"/>
  <c r="H28" i="1"/>
  <c r="H34" i="1"/>
  <c r="H15" i="1"/>
  <c r="H17" i="1"/>
  <c r="H18" i="1"/>
  <c r="H19" i="1"/>
  <c r="H21" i="1"/>
  <c r="H23" i="1"/>
  <c r="H29" i="1"/>
  <c r="H14" i="1"/>
  <c r="H16" i="1"/>
  <c r="H20" i="1"/>
  <c r="H22" i="1"/>
  <c r="H13" i="1"/>
  <c r="H3" i="1"/>
  <c r="H4" i="1"/>
  <c r="H5" i="1"/>
  <c r="H88" i="1"/>
  <c r="H2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</calcChain>
</file>

<file path=xl/sharedStrings.xml><?xml version="1.0" encoding="utf-8"?>
<sst xmlns="http://schemas.openxmlformats.org/spreadsheetml/2006/main" count="728" uniqueCount="278">
  <si>
    <t>name</t>
  </si>
  <si>
    <t>height</t>
  </si>
  <si>
    <t>mass</t>
  </si>
  <si>
    <t>hair_color</t>
  </si>
  <si>
    <t>skin_color</t>
  </si>
  <si>
    <t>eye_color</t>
  </si>
  <si>
    <t>age</t>
  </si>
  <si>
    <t>homeworld</t>
  </si>
  <si>
    <t>species</t>
  </si>
  <si>
    <t>films</t>
  </si>
  <si>
    <t>Luke Skywalker</t>
  </si>
  <si>
    <t>blond</t>
  </si>
  <si>
    <t>fair</t>
  </si>
  <si>
    <t>blue</t>
  </si>
  <si>
    <t>Tatooine</t>
  </si>
  <si>
    <t>Human</t>
  </si>
  <si>
    <t xml:space="preserve">Revenge of the Sith ,  Return of the Jedi ,  The Empire Strikes Back ,  A New Hope ,  The Force Awakens  </t>
  </si>
  <si>
    <t>C-3PO</t>
  </si>
  <si>
    <t>NA</t>
  </si>
  <si>
    <t>gold</t>
  </si>
  <si>
    <t>yellow</t>
  </si>
  <si>
    <t>Droid</t>
  </si>
  <si>
    <t xml:space="preserve">Attack of the Clones ,  The Phantom Menace ,  Revenge of the Sith ,  Return of the Jedi ,  The Empire Strikes Back ,  A New Hope </t>
  </si>
  <si>
    <t>R2-D2</t>
  </si>
  <si>
    <t>white, blue</t>
  </si>
  <si>
    <t>red</t>
  </si>
  <si>
    <t>Naboo</t>
  </si>
  <si>
    <t xml:space="preserve">Attack of the Clones ,  The Phantom Menace ,  Revenge of the Sith ,  Return of the Jedi ,  The Empire Strikes Back ,  A New Hope ,  The Force Awakens </t>
  </si>
  <si>
    <t>Darth Vader</t>
  </si>
  <si>
    <t>none</t>
  </si>
  <si>
    <t>white</t>
  </si>
  <si>
    <t xml:space="preserve">Revenge of the Sith ,  Return of the Jedi ,  The Empire Strikes Back ,  A New Hope </t>
  </si>
  <si>
    <t>Leia Organa</t>
  </si>
  <si>
    <t>brown</t>
  </si>
  <si>
    <t>light</t>
  </si>
  <si>
    <t>Alderaan</t>
  </si>
  <si>
    <t xml:space="preserve">Revenge of the Sith ,  Return of the Jedi ,  The Empire Strikes Back ,  A New Hope ,  The Force Awakens </t>
  </si>
  <si>
    <t>Owen Lars</t>
  </si>
  <si>
    <t>brown, grey</t>
  </si>
  <si>
    <t xml:space="preserve">Attack of the Clones ,  Revenge of the Sith ,  A New Hope </t>
  </si>
  <si>
    <t>Beru Whitesun lars</t>
  </si>
  <si>
    <t>R5-D4</t>
  </si>
  <si>
    <t>white, red</t>
  </si>
  <si>
    <t>A New Hope</t>
  </si>
  <si>
    <t>Biggs Darklighter</t>
  </si>
  <si>
    <t>black</t>
  </si>
  <si>
    <t>Obi-Wan Kenobi</t>
  </si>
  <si>
    <t>auburn, white</t>
  </si>
  <si>
    <t>blue-gray</t>
  </si>
  <si>
    <t>Stewjon</t>
  </si>
  <si>
    <t>Anakin Skywalker</t>
  </si>
  <si>
    <t xml:space="preserve">Attack of the Clones ,  The Phantom Menace ,  Revenge of the Sith </t>
  </si>
  <si>
    <t>Wilhuff Tarkin</t>
  </si>
  <si>
    <t>auburn, grey</t>
  </si>
  <si>
    <t>Eriadu</t>
  </si>
  <si>
    <t xml:space="preserve">Revenge of the Sith ,  A New Hope </t>
  </si>
  <si>
    <t>Chewbacca</t>
  </si>
  <si>
    <t>unknown</t>
  </si>
  <si>
    <t>Kashyyyk</t>
  </si>
  <si>
    <t>Wookiee</t>
  </si>
  <si>
    <t>Han Solo</t>
  </si>
  <si>
    <t>Corellia</t>
  </si>
  <si>
    <t xml:space="preserve">Return of the Jedi ,  The Empire Strikes Back ,  A New Hope ,  The Force Awakens </t>
  </si>
  <si>
    <t>Greedo</t>
  </si>
  <si>
    <t>green</t>
  </si>
  <si>
    <t>Rodia</t>
  </si>
  <si>
    <t>Rodian</t>
  </si>
  <si>
    <t>Jabba Desilijic Tiure</t>
  </si>
  <si>
    <t>green-tan, brown</t>
  </si>
  <si>
    <t>orange</t>
  </si>
  <si>
    <t>Nal Hutta</t>
  </si>
  <si>
    <t>Hutt</t>
  </si>
  <si>
    <t xml:space="preserve">The Phantom Menace ,  Return of the Jedi ,  A New Hope </t>
  </si>
  <si>
    <t>Wedge Antilles</t>
  </si>
  <si>
    <t>hazel</t>
  </si>
  <si>
    <t xml:space="preserve">Return of the Jedi ,  The Empire Strikes Back ,  A New Hope </t>
  </si>
  <si>
    <t>Jek Tono Porkins</t>
  </si>
  <si>
    <t>Bestine IV</t>
  </si>
  <si>
    <t>Yoda</t>
  </si>
  <si>
    <t>Yoda's species</t>
  </si>
  <si>
    <t xml:space="preserve">Attack of the Clones ,  The Phantom Menace ,  Revenge of the Sith ,  Return of the Jedi ,  The Empire Strikes Back </t>
  </si>
  <si>
    <t>Palpatine</t>
  </si>
  <si>
    <t>grey</t>
  </si>
  <si>
    <t>pale</t>
  </si>
  <si>
    <t xml:space="preserve"> Attack of the Clones ,  The Phantom Menace ,  Revenge of the Sith ,  Return of the Jedi ,  The Empire Strikes Back </t>
  </si>
  <si>
    <t>Boba Fett</t>
  </si>
  <si>
    <t>Kamino</t>
  </si>
  <si>
    <t xml:space="preserve">Attack of the Clones ,  Return of the Jedi ,  The Empire Strikes Back </t>
  </si>
  <si>
    <t>IG-88</t>
  </si>
  <si>
    <t>metal</t>
  </si>
  <si>
    <t>The Empire Strikes Back</t>
  </si>
  <si>
    <t>Bossk</t>
  </si>
  <si>
    <t>Trandosha</t>
  </si>
  <si>
    <t>Trandoshan</t>
  </si>
  <si>
    <t>Lando Calrissian</t>
  </si>
  <si>
    <t>dark</t>
  </si>
  <si>
    <t>Socorro</t>
  </si>
  <si>
    <t xml:space="preserve">Return of the Jedi ,  The Empire Strikes Back </t>
  </si>
  <si>
    <t>Lobot</t>
  </si>
  <si>
    <t>Bespin</t>
  </si>
  <si>
    <t>Ackbar</t>
  </si>
  <si>
    <t>brown mottle</t>
  </si>
  <si>
    <t>Mon Cala</t>
  </si>
  <si>
    <t>Mon Calamari</t>
  </si>
  <si>
    <t xml:space="preserve">Return of the Jedi ,  The Force Awakens </t>
  </si>
  <si>
    <t>Mon Mothma</t>
  </si>
  <si>
    <t>auburn</t>
  </si>
  <si>
    <t>Chandrila</t>
  </si>
  <si>
    <t>Return of the Jedi</t>
  </si>
  <si>
    <t>Arvel Crynyd</t>
  </si>
  <si>
    <t>Wicket Systri Warrick</t>
  </si>
  <si>
    <t>Endor</t>
  </si>
  <si>
    <t>Ewok</t>
  </si>
  <si>
    <t>Nien Nunb</t>
  </si>
  <si>
    <t>Sullust</t>
  </si>
  <si>
    <t>Sullustan</t>
  </si>
  <si>
    <t>Qui-Gon Jinn</t>
  </si>
  <si>
    <t>The Phantom Menace</t>
  </si>
  <si>
    <t>Nute Gunray</t>
  </si>
  <si>
    <t>mottled green</t>
  </si>
  <si>
    <t>Cato Neimoidia</t>
  </si>
  <si>
    <t>Neimodian</t>
  </si>
  <si>
    <t>Finis Valorum</t>
  </si>
  <si>
    <t>Coruscant</t>
  </si>
  <si>
    <t>Jar Jar Binks</t>
  </si>
  <si>
    <t>Gungan</t>
  </si>
  <si>
    <t xml:space="preserve">Attack of the Clones ,  The Phantom Menace </t>
  </si>
  <si>
    <t>Roos Tarpals</t>
  </si>
  <si>
    <t>Rugor Nass</t>
  </si>
  <si>
    <t>Ric Olié</t>
  </si>
  <si>
    <t>Watto</t>
  </si>
  <si>
    <t>blue, grey</t>
  </si>
  <si>
    <t>Toydaria</t>
  </si>
  <si>
    <t>Toydarian</t>
  </si>
  <si>
    <t xml:space="preserve"> Attack of the Clones ,  The Phantom Menace </t>
  </si>
  <si>
    <t>Sebulba</t>
  </si>
  <si>
    <t>grey, red</t>
  </si>
  <si>
    <t>Malastare</t>
  </si>
  <si>
    <t>Dug</t>
  </si>
  <si>
    <t>Quarsh Panaka</t>
  </si>
  <si>
    <t>Shmi Skywalker</t>
  </si>
  <si>
    <t>Darth Maul</t>
  </si>
  <si>
    <t>Dathomir</t>
  </si>
  <si>
    <t>Zabrak</t>
  </si>
  <si>
    <t>Bib Fortuna</t>
  </si>
  <si>
    <t>pink</t>
  </si>
  <si>
    <t>Ryloth</t>
  </si>
  <si>
    <t>Twi'lek</t>
  </si>
  <si>
    <t>Ayla Secura</t>
  </si>
  <si>
    <t xml:space="preserve"> Attack of the Clones ,  The Phantom Menace ,  Revenge of the Sith </t>
  </si>
  <si>
    <t>Dud Bolt</t>
  </si>
  <si>
    <t>Vulpter</t>
  </si>
  <si>
    <t>Vulptereen</t>
  </si>
  <si>
    <t>Gasgano</t>
  </si>
  <si>
    <t>Troiken</t>
  </si>
  <si>
    <t>Xexto</t>
  </si>
  <si>
    <t>Ben Quadinaros</t>
  </si>
  <si>
    <t>grey, green, yellow</t>
  </si>
  <si>
    <t>Tund</t>
  </si>
  <si>
    <t>Toong</t>
  </si>
  <si>
    <t>Mace Windu</t>
  </si>
  <si>
    <t>Haruun Kal</t>
  </si>
  <si>
    <t>Ki-Adi-Mundi</t>
  </si>
  <si>
    <t>Cerea</t>
  </si>
  <si>
    <t>Cerean</t>
  </si>
  <si>
    <t>Kit Fisto</t>
  </si>
  <si>
    <t>Glee Anselm</t>
  </si>
  <si>
    <t>Nautolan</t>
  </si>
  <si>
    <t>Eeth Koth</t>
  </si>
  <si>
    <t>Iridonia</t>
  </si>
  <si>
    <t xml:space="preserve">The Phantom Menace ,  Revenge of the Sith </t>
  </si>
  <si>
    <t>Adi Gallia</t>
  </si>
  <si>
    <t>Tholothian</t>
  </si>
  <si>
    <t>Saesee Tiin</t>
  </si>
  <si>
    <t>Iktotch</t>
  </si>
  <si>
    <t>Iktotchi</t>
  </si>
  <si>
    <t>Yarael Poof</t>
  </si>
  <si>
    <t>Quermia</t>
  </si>
  <si>
    <t>Quermian</t>
  </si>
  <si>
    <t>Plo Koon</t>
  </si>
  <si>
    <t>Dorin</t>
  </si>
  <si>
    <t>Kel Dor</t>
  </si>
  <si>
    <t>Mas Amedda</t>
  </si>
  <si>
    <t>Champala</t>
  </si>
  <si>
    <t>Chagrian</t>
  </si>
  <si>
    <t>Gregar Typho</t>
  </si>
  <si>
    <t>Attack of the Clones</t>
  </si>
  <si>
    <t>Cordé</t>
  </si>
  <si>
    <t>Cliegg Lars</t>
  </si>
  <si>
    <t>Poggle the Lesser</t>
  </si>
  <si>
    <t>Geonosis</t>
  </si>
  <si>
    <t>Geonosian</t>
  </si>
  <si>
    <t xml:space="preserve">Attack of the Clones ,  Revenge of the Sith </t>
  </si>
  <si>
    <t>Luminara Unduli</t>
  </si>
  <si>
    <t>Mirial</t>
  </si>
  <si>
    <t>Mirialan</t>
  </si>
  <si>
    <t>Barriss Offee</t>
  </si>
  <si>
    <t>Dormé</t>
  </si>
  <si>
    <t>Dooku</t>
  </si>
  <si>
    <t>Serenno</t>
  </si>
  <si>
    <t>Bail Prestor Organa</t>
  </si>
  <si>
    <t>tan</t>
  </si>
  <si>
    <t>Jango Fett</t>
  </si>
  <si>
    <t>Concord Dawn</t>
  </si>
  <si>
    <t>Zam Wesell</t>
  </si>
  <si>
    <t>blonde</t>
  </si>
  <si>
    <t>fair, green, yellow</t>
  </si>
  <si>
    <t>Zolan</t>
  </si>
  <si>
    <t>Clawdite</t>
  </si>
  <si>
    <t>Dexter Jettster</t>
  </si>
  <si>
    <t>Ojom</t>
  </si>
  <si>
    <t>Besalisk</t>
  </si>
  <si>
    <t>Lama Su</t>
  </si>
  <si>
    <t>Kaminoan</t>
  </si>
  <si>
    <t>Taun We</t>
  </si>
  <si>
    <t>Jocasta Nu</t>
  </si>
  <si>
    <t>Ratts Tyerell</t>
  </si>
  <si>
    <t>grey, blue</t>
  </si>
  <si>
    <t>Aleen Minor</t>
  </si>
  <si>
    <t>Aleena</t>
  </si>
  <si>
    <t>R4-P17</t>
  </si>
  <si>
    <t>silver, red</t>
  </si>
  <si>
    <t>red, blue</t>
  </si>
  <si>
    <t>Wat Tambor</t>
  </si>
  <si>
    <t>green, grey</t>
  </si>
  <si>
    <t>Skako</t>
  </si>
  <si>
    <t>Skakoan</t>
  </si>
  <si>
    <t>San Hill</t>
  </si>
  <si>
    <t>Muunilinst</t>
  </si>
  <si>
    <t>Muun</t>
  </si>
  <si>
    <t>Shaak Ti</t>
  </si>
  <si>
    <t>red, blue, white</t>
  </si>
  <si>
    <t>Shili</t>
  </si>
  <si>
    <t>Togruta</t>
  </si>
  <si>
    <t>Grievous</t>
  </si>
  <si>
    <t>brown, white</t>
  </si>
  <si>
    <t>green, yellow</t>
  </si>
  <si>
    <t>Kalee</t>
  </si>
  <si>
    <t>Kaleesh</t>
  </si>
  <si>
    <t>Revenge of the Sith</t>
  </si>
  <si>
    <t>Tarfful</t>
  </si>
  <si>
    <t>Raymus Antilles</t>
  </si>
  <si>
    <t>Sly Moore</t>
  </si>
  <si>
    <t>Umbara</t>
  </si>
  <si>
    <t>Tion Medon</t>
  </si>
  <si>
    <t>Utapau</t>
  </si>
  <si>
    <t>Pau'an</t>
  </si>
  <si>
    <t>Finn</t>
  </si>
  <si>
    <t>The Force Awakens</t>
  </si>
  <si>
    <t>Rey</t>
  </si>
  <si>
    <t>Poe Dameron</t>
  </si>
  <si>
    <t>BB8</t>
  </si>
  <si>
    <t>Captain Phasma</t>
  </si>
  <si>
    <t>Padmé Amidala</t>
  </si>
  <si>
    <t>The character's name</t>
  </si>
  <si>
    <t>Height in cm, NA if unknown</t>
  </si>
  <si>
    <t>Mass in kg, NA if unknown</t>
  </si>
  <si>
    <t>Hair color(s)</t>
  </si>
  <si>
    <t>Skin color(s)</t>
  </si>
  <si>
    <t>Eye color(s)</t>
  </si>
  <si>
    <t>Age in (Earth) years</t>
  </si>
  <si>
    <t>Planet of origin, NA if unknown</t>
  </si>
  <si>
    <t>Species name</t>
  </si>
  <si>
    <t>Films the character appears in</t>
  </si>
  <si>
    <t>height cm</t>
  </si>
  <si>
    <t>mass kg</t>
  </si>
  <si>
    <t>height_m</t>
  </si>
  <si>
    <t>BMI</t>
  </si>
  <si>
    <t>compare_BMI_DV</t>
  </si>
  <si>
    <t>BMI_Rank</t>
  </si>
  <si>
    <t>Age_in_days</t>
  </si>
  <si>
    <t>Birthdate</t>
  </si>
  <si>
    <t>First_Film</t>
  </si>
  <si>
    <t>My age</t>
  </si>
  <si>
    <t xml:space="preserve">A New Hope </t>
  </si>
  <si>
    <t>height_in</t>
  </si>
  <si>
    <t>mass_lbs</t>
  </si>
  <si>
    <t>age_number_check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</si>
</sst>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</font>
    <font>
      <sz val="12"/>
      <color rgb="FF000000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19" fillId="0" borderId="0" xfId="0" applyFont="1"/>
    <xf numFmtId="0" fontId="18" fillId="0" borderId="0" xfId="0" applyFont="1"/>
    <xf numFmtId="0" fontId="0" fillId="0" borderId="0" xfId="0" applyAlignment="1">
      <alignment horizontal="center"/>
    </xf>
    <xf numFmtId="0" fontId="0" fillId="33" borderId="0" xfId="0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88"/>
  <sheetViews>
    <sheetView tabSelected="1" workbookViewId="0">
      <selection activeCell="F17" sqref="F17"/>
    </sheetView>
  </sheetViews>
  <sheetFormatPr defaultColWidth="11" defaultRowHeight="15.6" x14ac:dyDescent="0.3"/>
  <cols>
    <col min="1" max="1" width="18.3984375" bestFit="1" customWidth="1"/>
    <col min="2" max="4" width="11.09765625" style="3" customWidth="1"/>
    <col min="5" max="5" width="9.19921875" style="3" customWidth="1"/>
    <col min="6" max="6" width="17.59765625" style="3" customWidth="1"/>
    <col min="7" max="7" width="12.796875" customWidth="1"/>
    <col min="8" max="8" width="15.8984375" bestFit="1" customWidth="1"/>
    <col min="9" max="9" width="15.8984375" style="3" customWidth="1"/>
    <col min="13" max="13" width="11" style="3"/>
    <col min="14" max="14" width="17.19921875" bestFit="1" customWidth="1"/>
    <col min="17" max="17" width="7" style="3" customWidth="1"/>
    <col min="19" max="19" width="12.5" bestFit="1" customWidth="1"/>
    <col min="20" max="20" width="20.8984375" customWidth="1"/>
    <col min="21" max="21" width="125.19921875" bestFit="1" customWidth="1"/>
  </cols>
  <sheetData>
    <row r="1" spans="1:21" x14ac:dyDescent="0.3">
      <c r="A1" t="s">
        <v>0</v>
      </c>
      <c r="B1" s="3" t="s">
        <v>264</v>
      </c>
      <c r="C1" s="3" t="s">
        <v>275</v>
      </c>
      <c r="D1" s="3" t="s">
        <v>266</v>
      </c>
      <c r="E1" s="3" t="s">
        <v>265</v>
      </c>
      <c r="F1" s="3" t="s">
        <v>276</v>
      </c>
      <c r="G1" t="s">
        <v>267</v>
      </c>
      <c r="H1" t="s">
        <v>268</v>
      </c>
      <c r="I1" s="3" t="s">
        <v>269</v>
      </c>
      <c r="J1" t="s">
        <v>3</v>
      </c>
      <c r="K1" t="s">
        <v>4</v>
      </c>
      <c r="L1" t="s">
        <v>5</v>
      </c>
      <c r="M1" s="3" t="s">
        <v>6</v>
      </c>
      <c r="N1" t="s">
        <v>277</v>
      </c>
      <c r="O1" t="s">
        <v>270</v>
      </c>
      <c r="P1" t="s">
        <v>271</v>
      </c>
      <c r="Q1" s="3" t="s">
        <v>273</v>
      </c>
      <c r="R1" t="s">
        <v>7</v>
      </c>
      <c r="S1" t="s">
        <v>8</v>
      </c>
      <c r="T1" t="s">
        <v>272</v>
      </c>
      <c r="U1" t="s">
        <v>9</v>
      </c>
    </row>
    <row r="2" spans="1:21" x14ac:dyDescent="0.3">
      <c r="A2" t="s">
        <v>10</v>
      </c>
      <c r="B2" s="3">
        <v>172</v>
      </c>
      <c r="C2" s="3">
        <f>FLOOR(CONVERT(B2, "cm", "in"), 0.5)</f>
        <v>67.5</v>
      </c>
      <c r="D2" s="3">
        <f>(B2/100)</f>
        <v>1.72</v>
      </c>
      <c r="E2" s="3">
        <v>77</v>
      </c>
      <c r="F2" s="3">
        <f>CEILING(CONVERT(E2, "kg", "lbm"), 0.25)</f>
        <v>170</v>
      </c>
      <c r="G2">
        <f>IF(E2="NA",0,1*(E2/D2^2))</f>
        <v>26.027582477014604</v>
      </c>
      <c r="H2" t="b">
        <f>$G$5&lt;=G2</f>
        <v>0</v>
      </c>
      <c r="I2" s="3">
        <f>RANK(G3, G2:G88)</f>
        <v>14</v>
      </c>
      <c r="J2" t="s">
        <v>11</v>
      </c>
      <c r="K2" t="s">
        <v>12</v>
      </c>
      <c r="L2" t="s">
        <v>13</v>
      </c>
      <c r="M2" s="3">
        <v>19</v>
      </c>
      <c r="N2" t="b">
        <f>ISNUMBER(M2)</f>
        <v>1</v>
      </c>
      <c r="Q2" s="3">
        <f>VLOOKUP(44, M$2:M$88, 1,)</f>
        <v>44</v>
      </c>
      <c r="R2" t="s">
        <v>14</v>
      </c>
      <c r="S2" t="s">
        <v>15</v>
      </c>
      <c r="T2" t="str">
        <f>_xlfn.TEXTBEFORE(U2, " ", 1)</f>
        <v>Revenge of the Sith</v>
      </c>
      <c r="U2" t="s">
        <v>16</v>
      </c>
    </row>
    <row r="3" spans="1:21" x14ac:dyDescent="0.3">
      <c r="A3" t="s">
        <v>17</v>
      </c>
      <c r="B3" s="3">
        <v>167</v>
      </c>
      <c r="C3" s="3">
        <f t="shared" ref="C3:C66" si="0">FLOOR(CONVERT(B3, "cm", "in"), 0.5)</f>
        <v>65.5</v>
      </c>
      <c r="D3" s="3">
        <f t="shared" ref="D3:D66" si="1">(B3/100)</f>
        <v>1.67</v>
      </c>
      <c r="E3" s="3">
        <v>75</v>
      </c>
      <c r="F3" s="3">
        <f t="shared" ref="F3:F66" si="2">CEILING(CONVERT(E3, "kg", "lbm"), 0.25)</f>
        <v>165.5</v>
      </c>
      <c r="G3">
        <f>IF(E3="NA",0,1*(E3/D3^2))</f>
        <v>26.892323138154829</v>
      </c>
      <c r="H3" t="b">
        <f t="shared" ref="H3:H66" si="3">$G$5&lt;=G3</f>
        <v>0</v>
      </c>
      <c r="I3" s="3">
        <f t="shared" ref="I3:I66" si="4">RANK(G4, G3:G89)</f>
        <v>6</v>
      </c>
      <c r="J3" t="s">
        <v>18</v>
      </c>
      <c r="K3" t="s">
        <v>19</v>
      </c>
      <c r="L3" t="s">
        <v>20</v>
      </c>
      <c r="M3" s="3">
        <v>112</v>
      </c>
      <c r="N3" t="b">
        <f t="shared" ref="N3:N66" si="5">ISNUMBER(M3)</f>
        <v>1</v>
      </c>
      <c r="Q3" s="3">
        <f>VLOOKUP(44, M$2:M$88, 1,)</f>
        <v>44</v>
      </c>
      <c r="R3" t="s">
        <v>14</v>
      </c>
      <c r="S3" t="s">
        <v>21</v>
      </c>
      <c r="T3" t="str">
        <f t="shared" ref="T3:T66" si="6">_xlfn.TEXTBEFORE(U3, " ", 1)</f>
        <v>Attack of the Clones</v>
      </c>
      <c r="U3" t="s">
        <v>22</v>
      </c>
    </row>
    <row r="4" spans="1:21" x14ac:dyDescent="0.3">
      <c r="A4" t="s">
        <v>23</v>
      </c>
      <c r="B4" s="3">
        <v>96</v>
      </c>
      <c r="C4" s="3">
        <f t="shared" si="0"/>
        <v>37.5</v>
      </c>
      <c r="D4" s="3">
        <f t="shared" si="1"/>
        <v>0.96</v>
      </c>
      <c r="E4" s="3">
        <v>32</v>
      </c>
      <c r="F4" s="3">
        <f t="shared" si="2"/>
        <v>70.75</v>
      </c>
      <c r="G4">
        <f>IF(E4="NA",0,1*(E4/D4^2))</f>
        <v>34.722222222222221</v>
      </c>
      <c r="H4" t="b">
        <f t="shared" si="3"/>
        <v>1</v>
      </c>
      <c r="I4" s="3">
        <f t="shared" si="4"/>
        <v>10</v>
      </c>
      <c r="J4" t="s">
        <v>18</v>
      </c>
      <c r="K4" t="s">
        <v>24</v>
      </c>
      <c r="L4" t="s">
        <v>25</v>
      </c>
      <c r="M4" s="3">
        <v>33</v>
      </c>
      <c r="N4" t="b">
        <f t="shared" si="5"/>
        <v>1</v>
      </c>
      <c r="Q4" s="3">
        <f t="shared" ref="Q4:Q66" si="7">VLOOKUP(44, M$2:M$88, 1,)</f>
        <v>44</v>
      </c>
      <c r="R4" t="s">
        <v>26</v>
      </c>
      <c r="S4" t="s">
        <v>21</v>
      </c>
      <c r="T4" t="str">
        <f t="shared" si="6"/>
        <v>Attack of the Clones</v>
      </c>
      <c r="U4" t="s">
        <v>27</v>
      </c>
    </row>
    <row r="5" spans="1:21" x14ac:dyDescent="0.3">
      <c r="A5" t="s">
        <v>28</v>
      </c>
      <c r="B5" s="3">
        <v>202</v>
      </c>
      <c r="C5" s="3">
        <f t="shared" si="0"/>
        <v>79.5</v>
      </c>
      <c r="D5" s="3">
        <f t="shared" si="1"/>
        <v>2.02</v>
      </c>
      <c r="E5" s="3">
        <v>136</v>
      </c>
      <c r="F5" s="3">
        <f t="shared" si="2"/>
        <v>300</v>
      </c>
      <c r="G5">
        <f>IF(E5="NA",0,1*(E5/D5^2))</f>
        <v>33.330065679835307</v>
      </c>
      <c r="H5" t="b">
        <f t="shared" si="3"/>
        <v>1</v>
      </c>
      <c r="I5" s="3">
        <f t="shared" si="4"/>
        <v>40</v>
      </c>
      <c r="J5" t="s">
        <v>29</v>
      </c>
      <c r="K5" t="s">
        <v>30</v>
      </c>
      <c r="L5" t="s">
        <v>20</v>
      </c>
      <c r="M5" s="3">
        <v>41.9</v>
      </c>
      <c r="N5" t="b">
        <f t="shared" si="5"/>
        <v>1</v>
      </c>
      <c r="Q5" s="3">
        <f t="shared" si="7"/>
        <v>44</v>
      </c>
      <c r="R5" t="s">
        <v>14</v>
      </c>
      <c r="S5" t="s">
        <v>15</v>
      </c>
      <c r="T5" t="str">
        <f t="shared" si="6"/>
        <v>Revenge of the Sith</v>
      </c>
      <c r="U5" t="s">
        <v>31</v>
      </c>
    </row>
    <row r="6" spans="1:21" x14ac:dyDescent="0.3">
      <c r="A6" t="s">
        <v>32</v>
      </c>
      <c r="B6" s="3">
        <v>150</v>
      </c>
      <c r="C6" s="3">
        <f t="shared" si="0"/>
        <v>59</v>
      </c>
      <c r="D6" s="3">
        <f t="shared" si="1"/>
        <v>1.5</v>
      </c>
      <c r="E6" s="3">
        <v>49</v>
      </c>
      <c r="F6" s="3">
        <f t="shared" si="2"/>
        <v>108.25</v>
      </c>
      <c r="G6">
        <f>IF(E6="NA",0,1*(E6/D6^2))</f>
        <v>21.777777777777779</v>
      </c>
      <c r="H6" t="b">
        <f t="shared" si="3"/>
        <v>0</v>
      </c>
      <c r="I6" s="3">
        <f t="shared" si="4"/>
        <v>4</v>
      </c>
      <c r="J6" t="s">
        <v>33</v>
      </c>
      <c r="K6" t="s">
        <v>34</v>
      </c>
      <c r="L6" t="s">
        <v>33</v>
      </c>
      <c r="M6" s="3">
        <v>19</v>
      </c>
      <c r="N6" t="b">
        <f t="shared" si="5"/>
        <v>1</v>
      </c>
      <c r="Q6" s="3">
        <f t="shared" si="7"/>
        <v>44</v>
      </c>
      <c r="R6" t="s">
        <v>35</v>
      </c>
      <c r="S6" t="s">
        <v>15</v>
      </c>
      <c r="T6" t="str">
        <f t="shared" si="6"/>
        <v>Revenge of the Sith</v>
      </c>
      <c r="U6" t="s">
        <v>36</v>
      </c>
    </row>
    <row r="7" spans="1:21" x14ac:dyDescent="0.3">
      <c r="A7" t="s">
        <v>37</v>
      </c>
      <c r="B7" s="3">
        <v>178</v>
      </c>
      <c r="C7" s="3">
        <f t="shared" si="0"/>
        <v>70</v>
      </c>
      <c r="D7" s="3">
        <f t="shared" si="1"/>
        <v>1.78</v>
      </c>
      <c r="E7" s="3">
        <v>120</v>
      </c>
      <c r="F7" s="3">
        <f t="shared" si="2"/>
        <v>264.75</v>
      </c>
      <c r="G7">
        <f>IF(E7="NA",0,1*(E7/D7^2))</f>
        <v>37.874005807347558</v>
      </c>
      <c r="H7" t="b">
        <f t="shared" si="3"/>
        <v>1</v>
      </c>
      <c r="I7" s="3">
        <f t="shared" si="4"/>
        <v>11</v>
      </c>
      <c r="J7" t="s">
        <v>38</v>
      </c>
      <c r="K7" t="s">
        <v>34</v>
      </c>
      <c r="L7" t="s">
        <v>13</v>
      </c>
      <c r="M7" s="3">
        <v>52</v>
      </c>
      <c r="N7" t="b">
        <f t="shared" si="5"/>
        <v>1</v>
      </c>
      <c r="Q7" s="3">
        <f t="shared" si="7"/>
        <v>44</v>
      </c>
      <c r="R7" t="s">
        <v>14</v>
      </c>
      <c r="S7" t="s">
        <v>15</v>
      </c>
      <c r="T7" t="str">
        <f t="shared" si="6"/>
        <v>Attack of the Clones</v>
      </c>
      <c r="U7" t="s">
        <v>39</v>
      </c>
    </row>
    <row r="8" spans="1:21" x14ac:dyDescent="0.3">
      <c r="A8" t="s">
        <v>40</v>
      </c>
      <c r="B8" s="3">
        <v>165</v>
      </c>
      <c r="C8" s="3">
        <f t="shared" si="0"/>
        <v>64.5</v>
      </c>
      <c r="D8" s="3">
        <f t="shared" si="1"/>
        <v>1.65</v>
      </c>
      <c r="E8" s="3">
        <v>75</v>
      </c>
      <c r="F8" s="3">
        <f t="shared" si="2"/>
        <v>165.5</v>
      </c>
      <c r="G8">
        <f>IF(E8="NA",0,1*(E8/D8^2))</f>
        <v>27.548209366391188</v>
      </c>
      <c r="H8" t="b">
        <f t="shared" si="3"/>
        <v>0</v>
      </c>
      <c r="I8" s="3">
        <f t="shared" si="4"/>
        <v>6</v>
      </c>
      <c r="J8" t="s">
        <v>33</v>
      </c>
      <c r="K8" t="s">
        <v>34</v>
      </c>
      <c r="L8" t="s">
        <v>13</v>
      </c>
      <c r="M8" s="3">
        <v>47</v>
      </c>
      <c r="N8" t="b">
        <f t="shared" si="5"/>
        <v>1</v>
      </c>
      <c r="Q8" s="3">
        <f t="shared" si="7"/>
        <v>44</v>
      </c>
      <c r="R8" t="s">
        <v>14</v>
      </c>
      <c r="S8" t="s">
        <v>15</v>
      </c>
      <c r="T8" t="str">
        <f t="shared" si="6"/>
        <v>Attack of the Clones</v>
      </c>
      <c r="U8" t="s">
        <v>39</v>
      </c>
    </row>
    <row r="9" spans="1:21" x14ac:dyDescent="0.3">
      <c r="A9" t="s">
        <v>41</v>
      </c>
      <c r="B9" s="3">
        <v>97</v>
      </c>
      <c r="C9" s="3">
        <f t="shared" si="0"/>
        <v>38</v>
      </c>
      <c r="D9" s="3">
        <f t="shared" si="1"/>
        <v>0.97</v>
      </c>
      <c r="E9" s="3">
        <v>32</v>
      </c>
      <c r="F9" s="3">
        <f t="shared" si="2"/>
        <v>70.75</v>
      </c>
      <c r="G9">
        <f>IF(E9="NA",0,1*(E9/D9^2))</f>
        <v>34.009990434690195</v>
      </c>
      <c r="H9" t="b">
        <f t="shared" si="3"/>
        <v>1</v>
      </c>
      <c r="I9" s="3">
        <f t="shared" si="4"/>
        <v>19</v>
      </c>
      <c r="J9" t="s">
        <v>18</v>
      </c>
      <c r="K9" t="s">
        <v>42</v>
      </c>
      <c r="L9" t="s">
        <v>25</v>
      </c>
      <c r="M9" s="3" t="s">
        <v>18</v>
      </c>
      <c r="N9" t="b">
        <f t="shared" si="5"/>
        <v>0</v>
      </c>
      <c r="Q9" s="3">
        <f t="shared" si="7"/>
        <v>44</v>
      </c>
      <c r="R9" t="s">
        <v>14</v>
      </c>
      <c r="S9" t="s">
        <v>21</v>
      </c>
      <c r="T9" t="str">
        <f t="shared" si="6"/>
        <v>A New Hope</v>
      </c>
      <c r="U9" t="s">
        <v>274</v>
      </c>
    </row>
    <row r="10" spans="1:21" x14ac:dyDescent="0.3">
      <c r="A10" t="s">
        <v>44</v>
      </c>
      <c r="B10" s="3">
        <v>183</v>
      </c>
      <c r="C10" s="3">
        <f t="shared" si="0"/>
        <v>72</v>
      </c>
      <c r="D10" s="3">
        <f t="shared" si="1"/>
        <v>1.83</v>
      </c>
      <c r="E10" s="3">
        <v>84</v>
      </c>
      <c r="F10" s="3">
        <f t="shared" si="2"/>
        <v>185.25</v>
      </c>
      <c r="G10">
        <f>IF(E10="NA",0,1*(E10/D10^2))</f>
        <v>25.082863029651524</v>
      </c>
      <c r="H10" t="b">
        <f t="shared" si="3"/>
        <v>0</v>
      </c>
      <c r="I10" s="3">
        <f t="shared" si="4"/>
        <v>32</v>
      </c>
      <c r="J10" t="s">
        <v>45</v>
      </c>
      <c r="K10" t="s">
        <v>34</v>
      </c>
      <c r="L10" t="s">
        <v>33</v>
      </c>
      <c r="M10" s="3">
        <v>24</v>
      </c>
      <c r="N10" t="b">
        <f t="shared" si="5"/>
        <v>1</v>
      </c>
      <c r="Q10" s="3">
        <f t="shared" si="7"/>
        <v>44</v>
      </c>
      <c r="R10" t="s">
        <v>14</v>
      </c>
      <c r="S10" t="s">
        <v>15</v>
      </c>
      <c r="T10" t="str">
        <f t="shared" si="6"/>
        <v>A New Hope</v>
      </c>
      <c r="U10" t="s">
        <v>274</v>
      </c>
    </row>
    <row r="11" spans="1:21" x14ac:dyDescent="0.3">
      <c r="A11" t="s">
        <v>46</v>
      </c>
      <c r="B11" s="3">
        <v>182</v>
      </c>
      <c r="C11" s="3">
        <f t="shared" si="0"/>
        <v>71.5</v>
      </c>
      <c r="D11" s="3">
        <f t="shared" si="1"/>
        <v>1.82</v>
      </c>
      <c r="E11" s="3">
        <v>77</v>
      </c>
      <c r="F11" s="3">
        <f t="shared" si="2"/>
        <v>170</v>
      </c>
      <c r="G11">
        <f>IF(E11="NA",0,1*(E11/D11^2))</f>
        <v>23.245984784446321</v>
      </c>
      <c r="H11" t="b">
        <f t="shared" si="3"/>
        <v>0</v>
      </c>
      <c r="I11" s="3">
        <f t="shared" si="4"/>
        <v>27</v>
      </c>
      <c r="J11" t="s">
        <v>47</v>
      </c>
      <c r="K11" t="s">
        <v>12</v>
      </c>
      <c r="L11" t="s">
        <v>48</v>
      </c>
      <c r="M11" s="3">
        <v>57</v>
      </c>
      <c r="N11" t="b">
        <f t="shared" si="5"/>
        <v>1</v>
      </c>
      <c r="Q11" s="3">
        <f t="shared" si="7"/>
        <v>44</v>
      </c>
      <c r="R11" t="s">
        <v>49</v>
      </c>
      <c r="S11" t="s">
        <v>15</v>
      </c>
      <c r="T11" t="str">
        <f t="shared" si="6"/>
        <v>Attack of the Clones</v>
      </c>
      <c r="U11" t="s">
        <v>22</v>
      </c>
    </row>
    <row r="12" spans="1:21" x14ac:dyDescent="0.3">
      <c r="A12" t="s">
        <v>50</v>
      </c>
      <c r="B12" s="3">
        <v>188</v>
      </c>
      <c r="C12" s="3">
        <f t="shared" si="0"/>
        <v>74</v>
      </c>
      <c r="D12" s="3">
        <f t="shared" si="1"/>
        <v>1.88</v>
      </c>
      <c r="E12" s="3">
        <v>84</v>
      </c>
      <c r="F12" s="3">
        <f t="shared" si="2"/>
        <v>185.25</v>
      </c>
      <c r="G12">
        <f>IF(E12="NA",0,1*(E12/D12^2))</f>
        <v>23.766410140334994</v>
      </c>
      <c r="H12" t="b">
        <f t="shared" si="3"/>
        <v>0</v>
      </c>
      <c r="I12" s="3">
        <f t="shared" si="4"/>
        <v>50</v>
      </c>
      <c r="J12" t="s">
        <v>11</v>
      </c>
      <c r="K12" t="s">
        <v>12</v>
      </c>
      <c r="L12" t="s">
        <v>13</v>
      </c>
      <c r="M12" s="3">
        <v>41.9</v>
      </c>
      <c r="N12" t="b">
        <f t="shared" si="5"/>
        <v>1</v>
      </c>
      <c r="Q12" s="3">
        <f t="shared" si="7"/>
        <v>44</v>
      </c>
      <c r="R12" t="s">
        <v>14</v>
      </c>
      <c r="S12" t="s">
        <v>15</v>
      </c>
      <c r="T12" t="str">
        <f t="shared" si="6"/>
        <v>Attack of the Clones</v>
      </c>
      <c r="U12" t="s">
        <v>51</v>
      </c>
    </row>
    <row r="13" spans="1:21" x14ac:dyDescent="0.3">
      <c r="A13" t="s">
        <v>52</v>
      </c>
      <c r="B13" s="3">
        <v>180</v>
      </c>
      <c r="C13" s="3">
        <f t="shared" si="0"/>
        <v>70.5</v>
      </c>
      <c r="D13" s="3">
        <f t="shared" si="1"/>
        <v>1.8</v>
      </c>
      <c r="E13" s="3" t="s">
        <v>18</v>
      </c>
      <c r="F13" s="3" t="e">
        <f t="shared" si="2"/>
        <v>#VALUE!</v>
      </c>
      <c r="G13">
        <f>IF(E13="NA",0,1*(E13/D13^2))</f>
        <v>0</v>
      </c>
      <c r="H13" t="b">
        <f t="shared" si="3"/>
        <v>0</v>
      </c>
      <c r="I13" s="3">
        <f t="shared" si="4"/>
        <v>33</v>
      </c>
      <c r="J13" t="s">
        <v>53</v>
      </c>
      <c r="K13" t="s">
        <v>12</v>
      </c>
      <c r="L13" t="s">
        <v>13</v>
      </c>
      <c r="M13" s="3">
        <v>64</v>
      </c>
      <c r="N13" t="b">
        <f t="shared" si="5"/>
        <v>1</v>
      </c>
      <c r="Q13" s="3">
        <f t="shared" si="7"/>
        <v>44</v>
      </c>
      <c r="R13" t="s">
        <v>54</v>
      </c>
      <c r="S13" t="s">
        <v>15</v>
      </c>
      <c r="T13" t="str">
        <f t="shared" si="6"/>
        <v>Revenge of the Sith</v>
      </c>
      <c r="U13" t="s">
        <v>55</v>
      </c>
    </row>
    <row r="14" spans="1:21" x14ac:dyDescent="0.3">
      <c r="A14" t="s">
        <v>56</v>
      </c>
      <c r="B14" s="3">
        <v>228</v>
      </c>
      <c r="C14" s="3">
        <f t="shared" si="0"/>
        <v>89.5</v>
      </c>
      <c r="D14" s="3">
        <f t="shared" si="1"/>
        <v>2.2799999999999998</v>
      </c>
      <c r="E14" s="3">
        <v>112</v>
      </c>
      <c r="F14" s="3">
        <f t="shared" si="2"/>
        <v>247</v>
      </c>
      <c r="G14">
        <f>IF(E14="NA",0,1*(E14/D14^2))</f>
        <v>21.545090797168363</v>
      </c>
      <c r="H14" t="b">
        <f t="shared" si="3"/>
        <v>0</v>
      </c>
      <c r="I14" s="3">
        <f t="shared" si="4"/>
        <v>21</v>
      </c>
      <c r="J14" t="s">
        <v>33</v>
      </c>
      <c r="K14" t="s">
        <v>57</v>
      </c>
      <c r="L14" t="s">
        <v>13</v>
      </c>
      <c r="M14" s="3">
        <v>200</v>
      </c>
      <c r="N14" t="b">
        <f t="shared" si="5"/>
        <v>1</v>
      </c>
      <c r="Q14" s="3">
        <f t="shared" si="7"/>
        <v>44</v>
      </c>
      <c r="R14" t="s">
        <v>58</v>
      </c>
      <c r="S14" t="s">
        <v>59</v>
      </c>
      <c r="T14" t="str">
        <f t="shared" si="6"/>
        <v>Revenge of the Sith</v>
      </c>
      <c r="U14" t="s">
        <v>36</v>
      </c>
    </row>
    <row r="15" spans="1:21" x14ac:dyDescent="0.3">
      <c r="A15" t="s">
        <v>60</v>
      </c>
      <c r="B15" s="3">
        <v>180</v>
      </c>
      <c r="C15" s="3">
        <f t="shared" si="0"/>
        <v>70.5</v>
      </c>
      <c r="D15" s="3">
        <f t="shared" si="1"/>
        <v>1.8</v>
      </c>
      <c r="E15" s="3">
        <v>80</v>
      </c>
      <c r="F15" s="3">
        <f t="shared" si="2"/>
        <v>176.5</v>
      </c>
      <c r="G15">
        <f>IF(E15="NA",0,1*(E15/D15^2))</f>
        <v>24.691358024691358</v>
      </c>
      <c r="H15" t="b">
        <f t="shared" si="3"/>
        <v>0</v>
      </c>
      <c r="I15" s="3">
        <f t="shared" si="4"/>
        <v>20</v>
      </c>
      <c r="J15" t="s">
        <v>33</v>
      </c>
      <c r="K15" t="s">
        <v>12</v>
      </c>
      <c r="L15" t="s">
        <v>33</v>
      </c>
      <c r="M15" s="3">
        <v>29</v>
      </c>
      <c r="N15" t="b">
        <f t="shared" si="5"/>
        <v>1</v>
      </c>
      <c r="Q15" s="3">
        <f t="shared" si="7"/>
        <v>44</v>
      </c>
      <c r="R15" t="s">
        <v>61</v>
      </c>
      <c r="S15" t="s">
        <v>15</v>
      </c>
      <c r="T15" t="str">
        <f t="shared" si="6"/>
        <v>Return of the Jedi</v>
      </c>
      <c r="U15" t="s">
        <v>62</v>
      </c>
    </row>
    <row r="16" spans="1:21" x14ac:dyDescent="0.3">
      <c r="A16" t="s">
        <v>63</v>
      </c>
      <c r="B16" s="3">
        <v>173</v>
      </c>
      <c r="C16" s="3">
        <f t="shared" si="0"/>
        <v>68</v>
      </c>
      <c r="D16" s="3">
        <f t="shared" si="1"/>
        <v>1.73</v>
      </c>
      <c r="E16" s="3">
        <v>74</v>
      </c>
      <c r="F16" s="3">
        <f t="shared" si="2"/>
        <v>163.25</v>
      </c>
      <c r="G16">
        <f>IF(E16="NA",0,1*(E16/D16^2))</f>
        <v>24.725182932941294</v>
      </c>
      <c r="H16" t="b">
        <f t="shared" si="3"/>
        <v>0</v>
      </c>
      <c r="I16" s="3">
        <f t="shared" si="4"/>
        <v>1</v>
      </c>
      <c r="J16" t="s">
        <v>18</v>
      </c>
      <c r="K16" t="s">
        <v>64</v>
      </c>
      <c r="L16" t="s">
        <v>45</v>
      </c>
      <c r="M16" s="3">
        <v>44</v>
      </c>
      <c r="N16" t="b">
        <f t="shared" si="5"/>
        <v>1</v>
      </c>
      <c r="Q16" s="3">
        <f t="shared" si="7"/>
        <v>44</v>
      </c>
      <c r="R16" t="s">
        <v>65</v>
      </c>
      <c r="S16" t="s">
        <v>66</v>
      </c>
      <c r="T16" t="e">
        <f t="shared" si="6"/>
        <v>#N/A</v>
      </c>
      <c r="U16" t="s">
        <v>43</v>
      </c>
    </row>
    <row r="17" spans="1:21" x14ac:dyDescent="0.3">
      <c r="A17" t="s">
        <v>67</v>
      </c>
      <c r="B17" s="3">
        <v>175</v>
      </c>
      <c r="C17" s="3">
        <f t="shared" si="0"/>
        <v>68.5</v>
      </c>
      <c r="D17" s="3">
        <f t="shared" si="1"/>
        <v>1.75</v>
      </c>
      <c r="E17" s="3">
        <v>1358</v>
      </c>
      <c r="F17" s="4">
        <f t="shared" si="2"/>
        <v>2994</v>
      </c>
      <c r="G17">
        <f>IF(E17="NA",0,1*(E17/D17^2))</f>
        <v>443.42857142857144</v>
      </c>
      <c r="H17" t="b">
        <f t="shared" si="3"/>
        <v>1</v>
      </c>
      <c r="I17" s="3">
        <f t="shared" si="4"/>
        <v>9</v>
      </c>
      <c r="J17" t="s">
        <v>18</v>
      </c>
      <c r="K17" t="s">
        <v>68</v>
      </c>
      <c r="L17" t="s">
        <v>69</v>
      </c>
      <c r="M17" s="3">
        <v>600</v>
      </c>
      <c r="N17" t="b">
        <f t="shared" si="5"/>
        <v>1</v>
      </c>
      <c r="Q17" s="3">
        <f t="shared" si="7"/>
        <v>44</v>
      </c>
      <c r="R17" t="s">
        <v>70</v>
      </c>
      <c r="S17" t="s">
        <v>71</v>
      </c>
      <c r="T17" t="str">
        <f t="shared" si="6"/>
        <v>The Phantom Menace</v>
      </c>
      <c r="U17" t="s">
        <v>72</v>
      </c>
    </row>
    <row r="18" spans="1:21" x14ac:dyDescent="0.3">
      <c r="A18" t="s">
        <v>73</v>
      </c>
      <c r="B18" s="3">
        <v>170</v>
      </c>
      <c r="C18" s="3">
        <f t="shared" si="0"/>
        <v>66.5</v>
      </c>
      <c r="D18" s="3">
        <f t="shared" si="1"/>
        <v>1.7</v>
      </c>
      <c r="E18" s="3">
        <v>77</v>
      </c>
      <c r="F18" s="3">
        <f t="shared" si="2"/>
        <v>170</v>
      </c>
      <c r="G18">
        <f>IF(E18="NA",0,1*(E18/D18^2))</f>
        <v>26.643598615916957</v>
      </c>
      <c r="H18" t="b">
        <f t="shared" si="3"/>
        <v>0</v>
      </c>
      <c r="I18" s="3">
        <f t="shared" si="4"/>
        <v>5</v>
      </c>
      <c r="J18" t="s">
        <v>33</v>
      </c>
      <c r="K18" t="s">
        <v>12</v>
      </c>
      <c r="L18" t="s">
        <v>74</v>
      </c>
      <c r="M18" s="3">
        <v>21</v>
      </c>
      <c r="N18" t="b">
        <f t="shared" si="5"/>
        <v>1</v>
      </c>
      <c r="Q18" s="3">
        <f t="shared" si="7"/>
        <v>44</v>
      </c>
      <c r="R18" t="s">
        <v>61</v>
      </c>
      <c r="S18" t="s">
        <v>15</v>
      </c>
      <c r="T18" t="str">
        <f t="shared" si="6"/>
        <v>Return of the Jedi</v>
      </c>
      <c r="U18" t="s">
        <v>75</v>
      </c>
    </row>
    <row r="19" spans="1:21" x14ac:dyDescent="0.3">
      <c r="A19" t="s">
        <v>76</v>
      </c>
      <c r="B19" s="3">
        <v>180</v>
      </c>
      <c r="C19" s="3">
        <f t="shared" si="0"/>
        <v>70.5</v>
      </c>
      <c r="D19" s="3">
        <f t="shared" si="1"/>
        <v>1.8</v>
      </c>
      <c r="E19" s="3">
        <v>110</v>
      </c>
      <c r="F19" s="3">
        <f t="shared" si="2"/>
        <v>242.75</v>
      </c>
      <c r="G19">
        <f>IF(E19="NA",0,1*(E19/D19^2))</f>
        <v>33.950617283950614</v>
      </c>
      <c r="H19" t="b">
        <f t="shared" si="3"/>
        <v>1</v>
      </c>
      <c r="I19" s="3">
        <f t="shared" si="4"/>
        <v>2</v>
      </c>
      <c r="J19" t="s">
        <v>33</v>
      </c>
      <c r="K19" t="s">
        <v>12</v>
      </c>
      <c r="L19" t="s">
        <v>13</v>
      </c>
      <c r="M19" s="3" t="s">
        <v>18</v>
      </c>
      <c r="N19" t="b">
        <f t="shared" si="5"/>
        <v>0</v>
      </c>
      <c r="Q19" s="3">
        <f t="shared" si="7"/>
        <v>44</v>
      </c>
      <c r="R19" t="s">
        <v>77</v>
      </c>
      <c r="S19" t="s">
        <v>15</v>
      </c>
      <c r="T19" t="e">
        <f t="shared" si="6"/>
        <v>#N/A</v>
      </c>
      <c r="U19" t="s">
        <v>43</v>
      </c>
    </row>
    <row r="20" spans="1:21" x14ac:dyDescent="0.3">
      <c r="A20" t="s">
        <v>78</v>
      </c>
      <c r="B20" s="3">
        <v>66</v>
      </c>
      <c r="C20" s="3">
        <f t="shared" si="0"/>
        <v>25.5</v>
      </c>
      <c r="D20" s="3">
        <f t="shared" si="1"/>
        <v>0.66</v>
      </c>
      <c r="E20" s="3">
        <v>17</v>
      </c>
      <c r="F20" s="3">
        <f t="shared" si="2"/>
        <v>37.5</v>
      </c>
      <c r="G20">
        <f>IF(E20="NA",0,1*(E20/D20^2))</f>
        <v>39.026629935720841</v>
      </c>
      <c r="H20" t="b">
        <f t="shared" si="3"/>
        <v>1</v>
      </c>
      <c r="I20" s="3">
        <f t="shared" si="4"/>
        <v>10</v>
      </c>
      <c r="J20" t="s">
        <v>30</v>
      </c>
      <c r="K20" t="s">
        <v>64</v>
      </c>
      <c r="L20" t="s">
        <v>33</v>
      </c>
      <c r="M20" s="3">
        <v>896</v>
      </c>
      <c r="N20" t="b">
        <f t="shared" si="5"/>
        <v>1</v>
      </c>
      <c r="Q20" s="3">
        <f t="shared" si="7"/>
        <v>44</v>
      </c>
      <c r="R20" t="s">
        <v>18</v>
      </c>
      <c r="S20" t="s">
        <v>79</v>
      </c>
      <c r="T20" t="str">
        <f t="shared" si="6"/>
        <v>Attack of the Clones</v>
      </c>
      <c r="U20" t="s">
        <v>80</v>
      </c>
    </row>
    <row r="21" spans="1:21" x14ac:dyDescent="0.3">
      <c r="A21" t="s">
        <v>81</v>
      </c>
      <c r="B21" s="3">
        <v>170</v>
      </c>
      <c r="C21" s="3">
        <f t="shared" si="0"/>
        <v>66.5</v>
      </c>
      <c r="D21" s="3">
        <f t="shared" si="1"/>
        <v>1.7</v>
      </c>
      <c r="E21" s="3">
        <v>75</v>
      </c>
      <c r="F21" s="3">
        <f t="shared" si="2"/>
        <v>165.5</v>
      </c>
      <c r="G21">
        <f>IF(E21="NA",0,1*(E21/D21^2))</f>
        <v>25.95155709342561</v>
      </c>
      <c r="H21" t="b">
        <f t="shared" si="3"/>
        <v>0</v>
      </c>
      <c r="I21" s="3">
        <f t="shared" si="4"/>
        <v>23</v>
      </c>
      <c r="J21" t="s">
        <v>82</v>
      </c>
      <c r="K21" t="s">
        <v>83</v>
      </c>
      <c r="L21" t="s">
        <v>20</v>
      </c>
      <c r="M21" s="3">
        <v>82</v>
      </c>
      <c r="N21" t="b">
        <f t="shared" si="5"/>
        <v>1</v>
      </c>
      <c r="Q21" s="3">
        <f t="shared" si="7"/>
        <v>44</v>
      </c>
      <c r="R21" t="s">
        <v>26</v>
      </c>
      <c r="S21" t="s">
        <v>15</v>
      </c>
      <c r="T21" t="str">
        <f t="shared" si="6"/>
        <v/>
      </c>
      <c r="U21" t="s">
        <v>84</v>
      </c>
    </row>
    <row r="22" spans="1:21" x14ac:dyDescent="0.3">
      <c r="A22" t="s">
        <v>85</v>
      </c>
      <c r="B22" s="3">
        <v>183</v>
      </c>
      <c r="C22" s="3">
        <f t="shared" si="0"/>
        <v>72</v>
      </c>
      <c r="D22" s="3">
        <f t="shared" si="1"/>
        <v>1.83</v>
      </c>
      <c r="E22" s="3">
        <v>78.2</v>
      </c>
      <c r="F22" s="3">
        <f t="shared" si="2"/>
        <v>172.5</v>
      </c>
      <c r="G22">
        <f>IF(E22="NA",0,1*(E22/D22^2))</f>
        <v>23.350951058556539</v>
      </c>
      <c r="H22" t="b">
        <f t="shared" si="3"/>
        <v>0</v>
      </c>
      <c r="I22" s="3">
        <f t="shared" si="4"/>
        <v>2</v>
      </c>
      <c r="J22" t="s">
        <v>45</v>
      </c>
      <c r="K22" t="s">
        <v>12</v>
      </c>
      <c r="L22" t="s">
        <v>33</v>
      </c>
      <c r="M22" s="3">
        <v>31.5</v>
      </c>
      <c r="N22" t="b">
        <f t="shared" si="5"/>
        <v>1</v>
      </c>
      <c r="Q22" s="3">
        <f t="shared" si="7"/>
        <v>44</v>
      </c>
      <c r="R22" t="s">
        <v>86</v>
      </c>
      <c r="S22" t="s">
        <v>15</v>
      </c>
      <c r="T22" t="str">
        <f t="shared" si="6"/>
        <v>Attack of the Clones</v>
      </c>
      <c r="U22" t="s">
        <v>87</v>
      </c>
    </row>
    <row r="23" spans="1:21" x14ac:dyDescent="0.3">
      <c r="A23" t="s">
        <v>88</v>
      </c>
      <c r="B23" s="3">
        <v>200</v>
      </c>
      <c r="C23" s="3">
        <f t="shared" si="0"/>
        <v>78.5</v>
      </c>
      <c r="D23" s="3">
        <f t="shared" si="1"/>
        <v>2</v>
      </c>
      <c r="E23" s="3">
        <v>140</v>
      </c>
      <c r="F23" s="3">
        <f t="shared" si="2"/>
        <v>308.75</v>
      </c>
      <c r="G23">
        <f>IF(E23="NA",0,1*(E23/D23^2))</f>
        <v>35</v>
      </c>
      <c r="H23" t="b">
        <f t="shared" si="3"/>
        <v>1</v>
      </c>
      <c r="I23" s="3">
        <f t="shared" si="4"/>
        <v>5</v>
      </c>
      <c r="J23" t="s">
        <v>29</v>
      </c>
      <c r="K23" t="s">
        <v>89</v>
      </c>
      <c r="L23" t="s">
        <v>25</v>
      </c>
      <c r="M23" s="3">
        <v>15</v>
      </c>
      <c r="N23" t="b">
        <f t="shared" si="5"/>
        <v>1</v>
      </c>
      <c r="Q23" s="3">
        <f t="shared" si="7"/>
        <v>44</v>
      </c>
      <c r="R23" t="s">
        <v>18</v>
      </c>
      <c r="S23" t="s">
        <v>21</v>
      </c>
      <c r="T23" t="e">
        <f t="shared" si="6"/>
        <v>#N/A</v>
      </c>
      <c r="U23" t="s">
        <v>90</v>
      </c>
    </row>
    <row r="24" spans="1:21" x14ac:dyDescent="0.3">
      <c r="A24" t="s">
        <v>91</v>
      </c>
      <c r="B24" s="3">
        <v>190</v>
      </c>
      <c r="C24" s="3">
        <f t="shared" si="0"/>
        <v>74.5</v>
      </c>
      <c r="D24" s="3">
        <f t="shared" si="1"/>
        <v>1.9</v>
      </c>
      <c r="E24" s="3">
        <v>113</v>
      </c>
      <c r="F24" s="3">
        <f t="shared" si="2"/>
        <v>249.25</v>
      </c>
      <c r="G24">
        <f>IF(E24="NA",0,1*(E24/D24^2))</f>
        <v>31.301939058171747</v>
      </c>
      <c r="H24" t="b">
        <f t="shared" si="3"/>
        <v>0</v>
      </c>
      <c r="I24" s="3">
        <f t="shared" si="4"/>
        <v>11</v>
      </c>
      <c r="J24" t="s">
        <v>29</v>
      </c>
      <c r="K24" t="s">
        <v>64</v>
      </c>
      <c r="L24" t="s">
        <v>25</v>
      </c>
      <c r="M24" s="3">
        <v>53</v>
      </c>
      <c r="N24" t="b">
        <f t="shared" si="5"/>
        <v>1</v>
      </c>
      <c r="Q24" s="3">
        <f t="shared" si="7"/>
        <v>44</v>
      </c>
      <c r="R24" t="s">
        <v>92</v>
      </c>
      <c r="S24" t="s">
        <v>93</v>
      </c>
      <c r="T24" t="e">
        <f t="shared" si="6"/>
        <v>#N/A</v>
      </c>
      <c r="U24" t="s">
        <v>90</v>
      </c>
    </row>
    <row r="25" spans="1:21" x14ac:dyDescent="0.3">
      <c r="A25" t="s">
        <v>94</v>
      </c>
      <c r="B25" s="3">
        <v>177</v>
      </c>
      <c r="C25" s="3">
        <f t="shared" si="0"/>
        <v>69.5</v>
      </c>
      <c r="D25" s="3">
        <f t="shared" si="1"/>
        <v>1.77</v>
      </c>
      <c r="E25" s="3">
        <v>79</v>
      </c>
      <c r="F25" s="3">
        <f t="shared" si="2"/>
        <v>174.25</v>
      </c>
      <c r="G25">
        <f>IF(E25="NA",0,1*(E25/D25^2))</f>
        <v>25.216253311628201</v>
      </c>
      <c r="H25" t="b">
        <f t="shared" si="3"/>
        <v>0</v>
      </c>
      <c r="I25" s="3">
        <f t="shared" si="4"/>
        <v>8</v>
      </c>
      <c r="J25" t="s">
        <v>45</v>
      </c>
      <c r="K25" t="s">
        <v>95</v>
      </c>
      <c r="L25" t="s">
        <v>33</v>
      </c>
      <c r="M25" s="3">
        <v>31</v>
      </c>
      <c r="N25" t="b">
        <f t="shared" si="5"/>
        <v>1</v>
      </c>
      <c r="Q25" s="3">
        <f t="shared" si="7"/>
        <v>44</v>
      </c>
      <c r="R25" t="s">
        <v>96</v>
      </c>
      <c r="S25" t="s">
        <v>15</v>
      </c>
      <c r="T25" t="str">
        <f t="shared" si="6"/>
        <v>Return of the Jedi</v>
      </c>
      <c r="U25" t="s">
        <v>97</v>
      </c>
    </row>
    <row r="26" spans="1:21" x14ac:dyDescent="0.3">
      <c r="A26" t="s">
        <v>98</v>
      </c>
      <c r="B26" s="3">
        <v>175</v>
      </c>
      <c r="C26" s="3">
        <f t="shared" si="0"/>
        <v>68.5</v>
      </c>
      <c r="D26" s="3">
        <f t="shared" si="1"/>
        <v>1.75</v>
      </c>
      <c r="E26" s="3">
        <v>79</v>
      </c>
      <c r="F26" s="3">
        <f t="shared" si="2"/>
        <v>174.25</v>
      </c>
      <c r="G26">
        <f>IF(E26="NA",0,1*(E26/D26^2))</f>
        <v>25.795918367346939</v>
      </c>
      <c r="H26" t="b">
        <f t="shared" si="3"/>
        <v>0</v>
      </c>
      <c r="I26" s="3">
        <f t="shared" si="4"/>
        <v>9</v>
      </c>
      <c r="J26" t="s">
        <v>29</v>
      </c>
      <c r="K26" t="s">
        <v>34</v>
      </c>
      <c r="L26" t="s">
        <v>13</v>
      </c>
      <c r="M26" s="3">
        <v>37</v>
      </c>
      <c r="N26" t="b">
        <f t="shared" si="5"/>
        <v>1</v>
      </c>
      <c r="Q26" s="3">
        <f t="shared" si="7"/>
        <v>44</v>
      </c>
      <c r="R26" t="s">
        <v>99</v>
      </c>
      <c r="S26" t="s">
        <v>15</v>
      </c>
      <c r="T26" t="e">
        <f t="shared" si="6"/>
        <v>#N/A</v>
      </c>
      <c r="U26" t="s">
        <v>90</v>
      </c>
    </row>
    <row r="27" spans="1:21" x14ac:dyDescent="0.3">
      <c r="A27" t="s">
        <v>100</v>
      </c>
      <c r="B27" s="3">
        <v>180</v>
      </c>
      <c r="C27" s="3">
        <f t="shared" si="0"/>
        <v>70.5</v>
      </c>
      <c r="D27" s="3">
        <f t="shared" si="1"/>
        <v>1.8</v>
      </c>
      <c r="E27" s="3">
        <v>83</v>
      </c>
      <c r="F27" s="3">
        <f t="shared" si="2"/>
        <v>183</v>
      </c>
      <c r="G27">
        <f>IF(E27="NA",0,1*(E27/D27^2))</f>
        <v>25.617283950617281</v>
      </c>
      <c r="H27" t="b">
        <f t="shared" si="3"/>
        <v>0</v>
      </c>
      <c r="I27" s="3">
        <f t="shared" si="4"/>
        <v>36</v>
      </c>
      <c r="J27" t="s">
        <v>29</v>
      </c>
      <c r="K27" t="s">
        <v>101</v>
      </c>
      <c r="L27" t="s">
        <v>69</v>
      </c>
      <c r="M27" s="3">
        <v>41</v>
      </c>
      <c r="N27" t="b">
        <f t="shared" si="5"/>
        <v>1</v>
      </c>
      <c r="Q27" s="3">
        <f t="shared" si="7"/>
        <v>44</v>
      </c>
      <c r="R27" t="s">
        <v>102</v>
      </c>
      <c r="S27" t="s">
        <v>103</v>
      </c>
      <c r="T27" t="str">
        <f t="shared" si="6"/>
        <v>Return of the Jedi</v>
      </c>
      <c r="U27" t="s">
        <v>104</v>
      </c>
    </row>
    <row r="28" spans="1:21" x14ac:dyDescent="0.3">
      <c r="A28" t="s">
        <v>105</v>
      </c>
      <c r="B28" s="3">
        <v>150</v>
      </c>
      <c r="C28" s="3">
        <f t="shared" si="0"/>
        <v>59</v>
      </c>
      <c r="D28" s="3">
        <f t="shared" si="1"/>
        <v>1.5</v>
      </c>
      <c r="E28" s="3" t="s">
        <v>18</v>
      </c>
      <c r="F28" s="3" t="e">
        <f t="shared" si="2"/>
        <v>#VALUE!</v>
      </c>
      <c r="G28">
        <f>IF(E28="NA",0,1*(E28/D28^2))</f>
        <v>0</v>
      </c>
      <c r="H28" t="b">
        <f t="shared" si="3"/>
        <v>0</v>
      </c>
      <c r="I28" s="3">
        <f t="shared" si="4"/>
        <v>35</v>
      </c>
      <c r="J28" t="s">
        <v>106</v>
      </c>
      <c r="K28" t="s">
        <v>12</v>
      </c>
      <c r="L28" t="s">
        <v>13</v>
      </c>
      <c r="M28" s="3">
        <v>48</v>
      </c>
      <c r="N28" t="b">
        <f t="shared" si="5"/>
        <v>1</v>
      </c>
      <c r="Q28" s="3">
        <f t="shared" si="7"/>
        <v>44</v>
      </c>
      <c r="R28" t="s">
        <v>107</v>
      </c>
      <c r="S28" t="s">
        <v>15</v>
      </c>
      <c r="T28" t="e">
        <f t="shared" si="6"/>
        <v>#N/A</v>
      </c>
      <c r="U28" t="s">
        <v>108</v>
      </c>
    </row>
    <row r="29" spans="1:21" x14ac:dyDescent="0.3">
      <c r="A29" t="s">
        <v>109</v>
      </c>
      <c r="B29" s="3" t="s">
        <v>18</v>
      </c>
      <c r="C29" s="3" t="e">
        <f t="shared" si="0"/>
        <v>#VALUE!</v>
      </c>
      <c r="D29" s="3" t="e">
        <f t="shared" si="1"/>
        <v>#VALUE!</v>
      </c>
      <c r="E29" s="3" t="s">
        <v>18</v>
      </c>
      <c r="F29" s="3" t="e">
        <f t="shared" si="2"/>
        <v>#VALUE!</v>
      </c>
      <c r="G29">
        <f>IF(E29="NA",0,1*(E29/D29^2))</f>
        <v>0</v>
      </c>
      <c r="H29" t="b">
        <f t="shared" si="3"/>
        <v>0</v>
      </c>
      <c r="I29" s="3">
        <f t="shared" si="4"/>
        <v>7</v>
      </c>
      <c r="J29" t="s">
        <v>33</v>
      </c>
      <c r="K29" t="s">
        <v>12</v>
      </c>
      <c r="L29" t="s">
        <v>33</v>
      </c>
      <c r="M29" s="3" t="s">
        <v>18</v>
      </c>
      <c r="N29" t="b">
        <f t="shared" si="5"/>
        <v>0</v>
      </c>
      <c r="Q29" s="3">
        <f t="shared" si="7"/>
        <v>44</v>
      </c>
      <c r="R29" t="s">
        <v>18</v>
      </c>
      <c r="S29" t="s">
        <v>15</v>
      </c>
      <c r="T29" t="e">
        <f t="shared" si="6"/>
        <v>#N/A</v>
      </c>
      <c r="U29" t="s">
        <v>108</v>
      </c>
    </row>
    <row r="30" spans="1:21" x14ac:dyDescent="0.3">
      <c r="A30" t="s">
        <v>110</v>
      </c>
      <c r="B30" s="3">
        <v>88</v>
      </c>
      <c r="C30" s="3">
        <f t="shared" si="0"/>
        <v>34.5</v>
      </c>
      <c r="D30" s="3">
        <f t="shared" si="1"/>
        <v>0.88</v>
      </c>
      <c r="E30" s="3">
        <v>20</v>
      </c>
      <c r="F30" s="3">
        <f t="shared" si="2"/>
        <v>44.25</v>
      </c>
      <c r="G30">
        <f>IF(E30="NA",0,1*(E30/D30^2))</f>
        <v>25.826446280991735</v>
      </c>
      <c r="H30" t="b">
        <f t="shared" si="3"/>
        <v>0</v>
      </c>
      <c r="I30" s="3">
        <f t="shared" si="4"/>
        <v>4</v>
      </c>
      <c r="J30" t="s">
        <v>33</v>
      </c>
      <c r="K30" t="s">
        <v>33</v>
      </c>
      <c r="L30" t="s">
        <v>33</v>
      </c>
      <c r="M30" s="3">
        <v>8</v>
      </c>
      <c r="N30" t="b">
        <f t="shared" si="5"/>
        <v>1</v>
      </c>
      <c r="Q30" s="3">
        <f t="shared" si="7"/>
        <v>44</v>
      </c>
      <c r="R30" t="s">
        <v>111</v>
      </c>
      <c r="S30" t="s">
        <v>112</v>
      </c>
      <c r="T30" t="e">
        <f t="shared" si="6"/>
        <v>#N/A</v>
      </c>
      <c r="U30" t="s">
        <v>108</v>
      </c>
    </row>
    <row r="31" spans="1:21" x14ac:dyDescent="0.3">
      <c r="A31" t="s">
        <v>113</v>
      </c>
      <c r="B31" s="3">
        <v>160</v>
      </c>
      <c r="C31" s="3">
        <f t="shared" si="0"/>
        <v>62.5</v>
      </c>
      <c r="D31" s="3">
        <f t="shared" si="1"/>
        <v>1.6</v>
      </c>
      <c r="E31" s="3">
        <v>68</v>
      </c>
      <c r="F31" s="3">
        <f t="shared" si="2"/>
        <v>150</v>
      </c>
      <c r="G31">
        <f>IF(E31="NA",0,1*(E31/D31^2))</f>
        <v>26.562499999999996</v>
      </c>
      <c r="H31" t="b">
        <f t="shared" si="3"/>
        <v>0</v>
      </c>
      <c r="I31" s="3">
        <f t="shared" si="4"/>
        <v>12</v>
      </c>
      <c r="J31" t="s">
        <v>29</v>
      </c>
      <c r="K31" t="s">
        <v>82</v>
      </c>
      <c r="L31" t="s">
        <v>45</v>
      </c>
      <c r="M31" s="3" t="s">
        <v>18</v>
      </c>
      <c r="N31" t="b">
        <f t="shared" si="5"/>
        <v>0</v>
      </c>
      <c r="Q31" s="3">
        <f t="shared" si="7"/>
        <v>44</v>
      </c>
      <c r="R31" t="s">
        <v>114</v>
      </c>
      <c r="S31" t="s">
        <v>115</v>
      </c>
      <c r="T31" t="e">
        <f t="shared" si="6"/>
        <v>#N/A</v>
      </c>
      <c r="U31" t="s">
        <v>108</v>
      </c>
    </row>
    <row r="32" spans="1:21" x14ac:dyDescent="0.3">
      <c r="A32" t="s">
        <v>116</v>
      </c>
      <c r="B32" s="3">
        <v>193</v>
      </c>
      <c r="C32" s="3">
        <f t="shared" si="0"/>
        <v>75.5</v>
      </c>
      <c r="D32" s="3">
        <f t="shared" si="1"/>
        <v>1.93</v>
      </c>
      <c r="E32" s="3">
        <v>89</v>
      </c>
      <c r="F32" s="3">
        <f t="shared" si="2"/>
        <v>196.25</v>
      </c>
      <c r="G32">
        <f>IF(E32="NA",0,1*(E32/D32^2))</f>
        <v>23.893258879433006</v>
      </c>
      <c r="H32" t="b">
        <f t="shared" si="3"/>
        <v>0</v>
      </c>
      <c r="I32" s="3">
        <f t="shared" si="4"/>
        <v>8</v>
      </c>
      <c r="J32" t="s">
        <v>33</v>
      </c>
      <c r="K32" t="s">
        <v>12</v>
      </c>
      <c r="L32" t="s">
        <v>13</v>
      </c>
      <c r="M32" s="3">
        <v>92</v>
      </c>
      <c r="N32" t="b">
        <f t="shared" si="5"/>
        <v>1</v>
      </c>
      <c r="Q32" s="3">
        <f t="shared" si="7"/>
        <v>44</v>
      </c>
      <c r="R32" t="s">
        <v>18</v>
      </c>
      <c r="S32" t="s">
        <v>15</v>
      </c>
      <c r="T32" t="e">
        <f t="shared" si="6"/>
        <v>#N/A</v>
      </c>
      <c r="U32" t="s">
        <v>117</v>
      </c>
    </row>
    <row r="33" spans="1:21" x14ac:dyDescent="0.3">
      <c r="A33" t="s">
        <v>118</v>
      </c>
      <c r="B33" s="3">
        <v>191</v>
      </c>
      <c r="C33" s="3">
        <f t="shared" si="0"/>
        <v>75</v>
      </c>
      <c r="D33" s="3">
        <f t="shared" si="1"/>
        <v>1.91</v>
      </c>
      <c r="E33" s="3">
        <v>90</v>
      </c>
      <c r="F33" s="3">
        <f t="shared" si="2"/>
        <v>198.5</v>
      </c>
      <c r="G33">
        <f>IF(E33="NA",0,1*(E33/D33^2))</f>
        <v>24.670376360297141</v>
      </c>
      <c r="H33" t="b">
        <f t="shared" si="3"/>
        <v>0</v>
      </c>
      <c r="I33" s="3">
        <f t="shared" si="4"/>
        <v>32</v>
      </c>
      <c r="J33" t="s">
        <v>29</v>
      </c>
      <c r="K33" t="s">
        <v>119</v>
      </c>
      <c r="L33" t="s">
        <v>25</v>
      </c>
      <c r="M33" s="3" t="s">
        <v>18</v>
      </c>
      <c r="N33" t="b">
        <f t="shared" si="5"/>
        <v>0</v>
      </c>
      <c r="Q33" s="3">
        <f t="shared" si="7"/>
        <v>44</v>
      </c>
      <c r="R33" t="s">
        <v>120</v>
      </c>
      <c r="S33" t="s">
        <v>121</v>
      </c>
      <c r="T33" t="str">
        <f t="shared" si="6"/>
        <v>Attack of the Clones</v>
      </c>
      <c r="U33" t="s">
        <v>51</v>
      </c>
    </row>
    <row r="34" spans="1:21" x14ac:dyDescent="0.3">
      <c r="A34" t="s">
        <v>122</v>
      </c>
      <c r="B34" s="3">
        <v>170</v>
      </c>
      <c r="C34" s="3">
        <f t="shared" si="0"/>
        <v>66.5</v>
      </c>
      <c r="D34" s="3">
        <f t="shared" si="1"/>
        <v>1.7</v>
      </c>
      <c r="E34" s="3" t="s">
        <v>18</v>
      </c>
      <c r="F34" s="3" t="e">
        <f t="shared" si="2"/>
        <v>#VALUE!</v>
      </c>
      <c r="G34">
        <f>IF(E34="NA",0,1*(E34/D34^2))</f>
        <v>0</v>
      </c>
      <c r="H34" t="b">
        <f t="shared" si="3"/>
        <v>0</v>
      </c>
      <c r="I34" s="3">
        <f t="shared" si="4"/>
        <v>24</v>
      </c>
      <c r="J34" t="s">
        <v>11</v>
      </c>
      <c r="K34" t="s">
        <v>12</v>
      </c>
      <c r="L34" t="s">
        <v>13</v>
      </c>
      <c r="M34" s="3">
        <v>91</v>
      </c>
      <c r="N34" t="b">
        <f t="shared" si="5"/>
        <v>1</v>
      </c>
      <c r="Q34" s="3">
        <f t="shared" si="7"/>
        <v>44</v>
      </c>
      <c r="R34" t="s">
        <v>123</v>
      </c>
      <c r="S34" t="s">
        <v>15</v>
      </c>
      <c r="T34" t="e">
        <f t="shared" si="6"/>
        <v>#N/A</v>
      </c>
      <c r="U34" t="s">
        <v>117</v>
      </c>
    </row>
    <row r="35" spans="1:21" x14ac:dyDescent="0.3">
      <c r="A35" t="s">
        <v>124</v>
      </c>
      <c r="B35" s="3">
        <v>196</v>
      </c>
      <c r="C35" s="3">
        <f t="shared" si="0"/>
        <v>77</v>
      </c>
      <c r="D35" s="3">
        <f t="shared" si="1"/>
        <v>1.96</v>
      </c>
      <c r="E35" s="3">
        <v>66</v>
      </c>
      <c r="F35" s="3">
        <f t="shared" si="2"/>
        <v>145.75</v>
      </c>
      <c r="G35">
        <f>IF(E35="NA",0,1*(E35/D35^2))</f>
        <v>17.180341524364849</v>
      </c>
      <c r="H35" t="b">
        <f t="shared" si="3"/>
        <v>0</v>
      </c>
      <c r="I35" s="3">
        <f t="shared" si="4"/>
        <v>27</v>
      </c>
      <c r="J35" t="s">
        <v>29</v>
      </c>
      <c r="K35" t="s">
        <v>69</v>
      </c>
      <c r="L35" t="s">
        <v>69</v>
      </c>
      <c r="M35" s="3">
        <v>52</v>
      </c>
      <c r="N35" t="b">
        <f t="shared" si="5"/>
        <v>1</v>
      </c>
      <c r="Q35" s="3">
        <f t="shared" si="7"/>
        <v>44</v>
      </c>
      <c r="R35" t="s">
        <v>26</v>
      </c>
      <c r="S35" t="s">
        <v>125</v>
      </c>
      <c r="T35" t="str">
        <f t="shared" si="6"/>
        <v>Attack of the Clones</v>
      </c>
      <c r="U35" t="s">
        <v>126</v>
      </c>
    </row>
    <row r="36" spans="1:21" x14ac:dyDescent="0.3">
      <c r="A36" t="s">
        <v>127</v>
      </c>
      <c r="B36" s="3">
        <v>224</v>
      </c>
      <c r="C36" s="3">
        <f t="shared" si="0"/>
        <v>88</v>
      </c>
      <c r="D36" s="3">
        <f t="shared" si="1"/>
        <v>2.2400000000000002</v>
      </c>
      <c r="E36" s="3">
        <v>82</v>
      </c>
      <c r="F36" s="3">
        <f t="shared" si="2"/>
        <v>181</v>
      </c>
      <c r="G36">
        <f>IF(E36="NA",0,1*(E36/D36^2))</f>
        <v>16.342474489795915</v>
      </c>
      <c r="H36" t="b">
        <f t="shared" si="3"/>
        <v>0</v>
      </c>
      <c r="I36" s="3">
        <f t="shared" si="4"/>
        <v>30</v>
      </c>
      <c r="J36" t="s">
        <v>29</v>
      </c>
      <c r="K36" t="s">
        <v>82</v>
      </c>
      <c r="L36" t="s">
        <v>69</v>
      </c>
      <c r="M36" s="3" t="s">
        <v>18</v>
      </c>
      <c r="N36" t="b">
        <f t="shared" si="5"/>
        <v>0</v>
      </c>
      <c r="Q36" s="3">
        <f t="shared" si="7"/>
        <v>44</v>
      </c>
      <c r="R36" t="s">
        <v>26</v>
      </c>
      <c r="S36" t="s">
        <v>125</v>
      </c>
      <c r="T36" t="e">
        <f t="shared" si="6"/>
        <v>#N/A</v>
      </c>
      <c r="U36" t="s">
        <v>117</v>
      </c>
    </row>
    <row r="37" spans="1:21" x14ac:dyDescent="0.3">
      <c r="A37" t="s">
        <v>128</v>
      </c>
      <c r="B37" s="3">
        <v>206</v>
      </c>
      <c r="C37" s="3">
        <f t="shared" si="0"/>
        <v>81</v>
      </c>
      <c r="D37" s="3">
        <f t="shared" si="1"/>
        <v>2.06</v>
      </c>
      <c r="E37" s="3" t="s">
        <v>18</v>
      </c>
      <c r="F37" s="3" t="e">
        <f t="shared" si="2"/>
        <v>#VALUE!</v>
      </c>
      <c r="G37">
        <f>IF(E37="NA",0,1*(E37/D37^2))</f>
        <v>0</v>
      </c>
      <c r="H37" t="b">
        <f t="shared" si="3"/>
        <v>0</v>
      </c>
      <c r="I37" s="3">
        <f t="shared" si="4"/>
        <v>29</v>
      </c>
      <c r="J37" t="s">
        <v>29</v>
      </c>
      <c r="K37" t="s">
        <v>64</v>
      </c>
      <c r="L37" t="s">
        <v>69</v>
      </c>
      <c r="M37" s="3" t="s">
        <v>18</v>
      </c>
      <c r="N37" t="b">
        <f t="shared" si="5"/>
        <v>0</v>
      </c>
      <c r="Q37" s="3">
        <f t="shared" si="7"/>
        <v>44</v>
      </c>
      <c r="R37" t="s">
        <v>26</v>
      </c>
      <c r="S37" t="s">
        <v>125</v>
      </c>
      <c r="T37" t="e">
        <f t="shared" si="6"/>
        <v>#N/A</v>
      </c>
      <c r="U37" t="s">
        <v>117</v>
      </c>
    </row>
    <row r="38" spans="1:21" x14ac:dyDescent="0.3">
      <c r="A38" t="s">
        <v>129</v>
      </c>
      <c r="B38" s="3">
        <v>183</v>
      </c>
      <c r="C38" s="3">
        <f t="shared" si="0"/>
        <v>72</v>
      </c>
      <c r="D38" s="3">
        <f t="shared" si="1"/>
        <v>1.83</v>
      </c>
      <c r="E38" s="3" t="s">
        <v>18</v>
      </c>
      <c r="F38" s="3" t="e">
        <f t="shared" si="2"/>
        <v>#VALUE!</v>
      </c>
      <c r="G38">
        <f>IF(E38="NA",0,1*(E38/D38^2))</f>
        <v>0</v>
      </c>
      <c r="H38" t="b">
        <f t="shared" si="3"/>
        <v>0</v>
      </c>
      <c r="I38" s="3">
        <f t="shared" si="4"/>
        <v>29</v>
      </c>
      <c r="J38" t="s">
        <v>33</v>
      </c>
      <c r="K38" t="s">
        <v>12</v>
      </c>
      <c r="L38" t="s">
        <v>13</v>
      </c>
      <c r="M38" s="3" t="s">
        <v>18</v>
      </c>
      <c r="N38" t="b">
        <f t="shared" si="5"/>
        <v>0</v>
      </c>
      <c r="Q38" s="3">
        <f t="shared" si="7"/>
        <v>44</v>
      </c>
      <c r="R38" t="s">
        <v>26</v>
      </c>
      <c r="S38" t="s">
        <v>18</v>
      </c>
      <c r="T38" t="e">
        <f t="shared" si="6"/>
        <v>#N/A</v>
      </c>
      <c r="U38" t="s">
        <v>117</v>
      </c>
    </row>
    <row r="39" spans="1:21" x14ac:dyDescent="0.3">
      <c r="A39" t="s">
        <v>130</v>
      </c>
      <c r="B39" s="3">
        <v>137</v>
      </c>
      <c r="C39" s="3">
        <f t="shared" si="0"/>
        <v>53.5</v>
      </c>
      <c r="D39" s="3">
        <f t="shared" si="1"/>
        <v>1.37</v>
      </c>
      <c r="E39" s="3" t="s">
        <v>18</v>
      </c>
      <c r="F39" s="3" t="e">
        <f t="shared" si="2"/>
        <v>#VALUE!</v>
      </c>
      <c r="G39">
        <f>IF(E39="NA",0,1*(E39/D39^2))</f>
        <v>0</v>
      </c>
      <c r="H39" t="b">
        <f t="shared" si="3"/>
        <v>0</v>
      </c>
      <c r="I39" s="3">
        <f t="shared" si="4"/>
        <v>3</v>
      </c>
      <c r="J39" t="s">
        <v>45</v>
      </c>
      <c r="K39" t="s">
        <v>131</v>
      </c>
      <c r="L39" t="s">
        <v>20</v>
      </c>
      <c r="M39" s="3" t="s">
        <v>18</v>
      </c>
      <c r="N39" t="b">
        <f t="shared" si="5"/>
        <v>0</v>
      </c>
      <c r="Q39" s="3">
        <f t="shared" si="7"/>
        <v>44</v>
      </c>
      <c r="R39" t="s">
        <v>132</v>
      </c>
      <c r="S39" t="s">
        <v>133</v>
      </c>
      <c r="T39" t="str">
        <f t="shared" si="6"/>
        <v/>
      </c>
      <c r="U39" t="s">
        <v>134</v>
      </c>
    </row>
    <row r="40" spans="1:21" x14ac:dyDescent="0.3">
      <c r="A40" t="s">
        <v>135</v>
      </c>
      <c r="B40" s="3">
        <v>112</v>
      </c>
      <c r="C40" s="3">
        <f t="shared" si="0"/>
        <v>44</v>
      </c>
      <c r="D40" s="3">
        <f t="shared" si="1"/>
        <v>1.1200000000000001</v>
      </c>
      <c r="E40" s="3">
        <v>40</v>
      </c>
      <c r="F40" s="3">
        <f t="shared" si="2"/>
        <v>88.25</v>
      </c>
      <c r="G40">
        <f>IF(E40="NA",0,1*(E40/D40^2))</f>
        <v>31.887755102040813</v>
      </c>
      <c r="H40" t="b">
        <f t="shared" si="3"/>
        <v>0</v>
      </c>
      <c r="I40" s="3">
        <f t="shared" si="4"/>
        <v>29</v>
      </c>
      <c r="J40" t="s">
        <v>29</v>
      </c>
      <c r="K40" t="s">
        <v>136</v>
      </c>
      <c r="L40" t="s">
        <v>69</v>
      </c>
      <c r="M40" s="3" t="s">
        <v>18</v>
      </c>
      <c r="N40" t="b">
        <f t="shared" si="5"/>
        <v>0</v>
      </c>
      <c r="Q40" s="3">
        <f t="shared" si="7"/>
        <v>44</v>
      </c>
      <c r="R40" t="s">
        <v>137</v>
      </c>
      <c r="S40" t="s">
        <v>138</v>
      </c>
      <c r="T40" t="e">
        <f t="shared" si="6"/>
        <v>#N/A</v>
      </c>
      <c r="U40" t="s">
        <v>117</v>
      </c>
    </row>
    <row r="41" spans="1:21" x14ac:dyDescent="0.3">
      <c r="A41" t="s">
        <v>139</v>
      </c>
      <c r="B41" s="3">
        <v>183</v>
      </c>
      <c r="C41" s="3">
        <f t="shared" si="0"/>
        <v>72</v>
      </c>
      <c r="D41" s="3">
        <f t="shared" si="1"/>
        <v>1.83</v>
      </c>
      <c r="E41" s="3" t="s">
        <v>18</v>
      </c>
      <c r="F41" s="3" t="e">
        <f t="shared" si="2"/>
        <v>#VALUE!</v>
      </c>
      <c r="G41">
        <f>IF(E41="NA",0,1*(E41/D41^2))</f>
        <v>0</v>
      </c>
      <c r="H41" t="b">
        <f t="shared" si="3"/>
        <v>0</v>
      </c>
      <c r="I41" s="3">
        <f t="shared" si="4"/>
        <v>28</v>
      </c>
      <c r="J41" t="s">
        <v>45</v>
      </c>
      <c r="K41" t="s">
        <v>95</v>
      </c>
      <c r="L41" t="s">
        <v>33</v>
      </c>
      <c r="M41" s="3">
        <v>62</v>
      </c>
      <c r="N41" t="b">
        <f t="shared" si="5"/>
        <v>1</v>
      </c>
      <c r="Q41" s="3">
        <f t="shared" si="7"/>
        <v>44</v>
      </c>
      <c r="R41" t="s">
        <v>26</v>
      </c>
      <c r="S41" t="s">
        <v>18</v>
      </c>
      <c r="T41" t="e">
        <f t="shared" si="6"/>
        <v>#N/A</v>
      </c>
      <c r="U41" t="s">
        <v>117</v>
      </c>
    </row>
    <row r="42" spans="1:21" x14ac:dyDescent="0.3">
      <c r="A42" t="s">
        <v>140</v>
      </c>
      <c r="B42" s="3">
        <v>163</v>
      </c>
      <c r="C42" s="3">
        <f t="shared" si="0"/>
        <v>64</v>
      </c>
      <c r="D42" s="3">
        <f t="shared" si="1"/>
        <v>1.63</v>
      </c>
      <c r="E42" s="3" t="s">
        <v>18</v>
      </c>
      <c r="F42" s="3" t="e">
        <f t="shared" si="2"/>
        <v>#VALUE!</v>
      </c>
      <c r="G42">
        <f>IF(E42="NA",0,1*(E42/D42^2))</f>
        <v>0</v>
      </c>
      <c r="H42" t="b">
        <f t="shared" si="3"/>
        <v>0</v>
      </c>
      <c r="I42" s="3">
        <f t="shared" si="4"/>
        <v>3</v>
      </c>
      <c r="J42" t="s">
        <v>45</v>
      </c>
      <c r="K42" t="s">
        <v>12</v>
      </c>
      <c r="L42" t="s">
        <v>33</v>
      </c>
      <c r="M42" s="3">
        <v>72</v>
      </c>
      <c r="N42" t="b">
        <f t="shared" si="5"/>
        <v>1</v>
      </c>
      <c r="Q42" s="3">
        <f t="shared" si="7"/>
        <v>44</v>
      </c>
      <c r="R42" t="s">
        <v>14</v>
      </c>
      <c r="S42" t="s">
        <v>15</v>
      </c>
      <c r="T42" t="str">
        <f t="shared" si="6"/>
        <v/>
      </c>
      <c r="U42" t="s">
        <v>134</v>
      </c>
    </row>
    <row r="43" spans="1:21" x14ac:dyDescent="0.3">
      <c r="A43" t="s">
        <v>141</v>
      </c>
      <c r="B43" s="3">
        <v>175</v>
      </c>
      <c r="C43" s="3">
        <f t="shared" si="0"/>
        <v>68.5</v>
      </c>
      <c r="D43" s="3">
        <f t="shared" si="1"/>
        <v>1.75</v>
      </c>
      <c r="E43" s="3">
        <v>80</v>
      </c>
      <c r="F43" s="3">
        <f t="shared" si="2"/>
        <v>176.5</v>
      </c>
      <c r="G43">
        <f>IF(E43="NA",0,1*(E43/D43^2))</f>
        <v>26.122448979591837</v>
      </c>
      <c r="H43" t="b">
        <f t="shared" si="3"/>
        <v>0</v>
      </c>
      <c r="I43" s="3">
        <f t="shared" si="4"/>
        <v>28</v>
      </c>
      <c r="J43" t="s">
        <v>29</v>
      </c>
      <c r="K43" t="s">
        <v>25</v>
      </c>
      <c r="L43" t="s">
        <v>20</v>
      </c>
      <c r="M43" s="3">
        <v>54</v>
      </c>
      <c r="N43" t="b">
        <f t="shared" si="5"/>
        <v>1</v>
      </c>
      <c r="Q43" s="3">
        <f t="shared" si="7"/>
        <v>44</v>
      </c>
      <c r="R43" t="s">
        <v>142</v>
      </c>
      <c r="S43" t="s">
        <v>143</v>
      </c>
      <c r="T43" t="e">
        <f t="shared" si="6"/>
        <v>#N/A</v>
      </c>
      <c r="U43" t="s">
        <v>117</v>
      </c>
    </row>
    <row r="44" spans="1:21" x14ac:dyDescent="0.3">
      <c r="A44" t="s">
        <v>144</v>
      </c>
      <c r="B44" s="3">
        <v>180</v>
      </c>
      <c r="C44" s="3">
        <f t="shared" si="0"/>
        <v>70.5</v>
      </c>
      <c r="D44" s="3">
        <f t="shared" si="1"/>
        <v>1.8</v>
      </c>
      <c r="E44" s="3" t="s">
        <v>18</v>
      </c>
      <c r="F44" s="3" t="e">
        <f t="shared" si="2"/>
        <v>#VALUE!</v>
      </c>
      <c r="G44">
        <f>IF(E44="NA",0,1*(E44/D44^2))</f>
        <v>0</v>
      </c>
      <c r="H44" t="b">
        <f t="shared" si="3"/>
        <v>0</v>
      </c>
      <c r="I44" s="3">
        <f t="shared" si="4"/>
        <v>21</v>
      </c>
      <c r="J44" t="s">
        <v>29</v>
      </c>
      <c r="K44" t="s">
        <v>83</v>
      </c>
      <c r="L44" t="s">
        <v>145</v>
      </c>
      <c r="M44" s="3" t="s">
        <v>18</v>
      </c>
      <c r="N44" t="b">
        <f t="shared" si="5"/>
        <v>0</v>
      </c>
      <c r="Q44" s="3">
        <f t="shared" si="7"/>
        <v>44</v>
      </c>
      <c r="R44" t="s">
        <v>146</v>
      </c>
      <c r="S44" t="s">
        <v>147</v>
      </c>
      <c r="T44" t="e">
        <f t="shared" si="6"/>
        <v>#N/A</v>
      </c>
      <c r="U44" t="s">
        <v>108</v>
      </c>
    </row>
    <row r="45" spans="1:21" x14ac:dyDescent="0.3">
      <c r="A45" t="s">
        <v>148</v>
      </c>
      <c r="B45" s="3">
        <v>178</v>
      </c>
      <c r="C45" s="3">
        <f t="shared" si="0"/>
        <v>70</v>
      </c>
      <c r="D45" s="3">
        <f t="shared" si="1"/>
        <v>1.78</v>
      </c>
      <c r="E45" s="3">
        <v>55</v>
      </c>
      <c r="F45" s="3">
        <f t="shared" si="2"/>
        <v>121.5</v>
      </c>
      <c r="G45">
        <f>IF(E45="NA",0,1*(E45/D45^2))</f>
        <v>17.35891932836763</v>
      </c>
      <c r="H45" t="b">
        <f t="shared" si="3"/>
        <v>0</v>
      </c>
      <c r="I45" s="3">
        <f t="shared" si="4"/>
        <v>1</v>
      </c>
      <c r="J45" t="s">
        <v>29</v>
      </c>
      <c r="K45" t="s">
        <v>13</v>
      </c>
      <c r="L45" t="s">
        <v>74</v>
      </c>
      <c r="M45" s="3">
        <v>48</v>
      </c>
      <c r="N45" t="b">
        <f t="shared" si="5"/>
        <v>1</v>
      </c>
      <c r="Q45" s="3">
        <f t="shared" si="7"/>
        <v>44</v>
      </c>
      <c r="R45" t="s">
        <v>146</v>
      </c>
      <c r="S45" t="s">
        <v>147</v>
      </c>
      <c r="T45" t="str">
        <f t="shared" si="6"/>
        <v/>
      </c>
      <c r="U45" t="s">
        <v>149</v>
      </c>
    </row>
    <row r="46" spans="1:21" x14ac:dyDescent="0.3">
      <c r="A46" t="s">
        <v>150</v>
      </c>
      <c r="B46" s="3">
        <v>94</v>
      </c>
      <c r="C46" s="3">
        <f t="shared" si="0"/>
        <v>37</v>
      </c>
      <c r="D46" s="3">
        <f t="shared" si="1"/>
        <v>0.94</v>
      </c>
      <c r="E46" s="3">
        <v>45</v>
      </c>
      <c r="F46" s="3">
        <f t="shared" si="2"/>
        <v>99.25</v>
      </c>
      <c r="G46">
        <f>IF(E46="NA",0,1*(E46/D46^2))</f>
        <v>50.928021729289277</v>
      </c>
      <c r="H46" t="b">
        <f t="shared" si="3"/>
        <v>1</v>
      </c>
      <c r="I46" s="3">
        <f t="shared" si="4"/>
        <v>26</v>
      </c>
      <c r="J46" t="s">
        <v>29</v>
      </c>
      <c r="K46" t="s">
        <v>131</v>
      </c>
      <c r="L46" t="s">
        <v>20</v>
      </c>
      <c r="M46" s="3" t="s">
        <v>18</v>
      </c>
      <c r="N46" t="b">
        <f t="shared" si="5"/>
        <v>0</v>
      </c>
      <c r="Q46" s="3">
        <f t="shared" si="7"/>
        <v>44</v>
      </c>
      <c r="R46" t="s">
        <v>151</v>
      </c>
      <c r="S46" t="s">
        <v>152</v>
      </c>
      <c r="T46" t="e">
        <f t="shared" si="6"/>
        <v>#N/A</v>
      </c>
      <c r="U46" t="s">
        <v>117</v>
      </c>
    </row>
    <row r="47" spans="1:21" x14ac:dyDescent="0.3">
      <c r="A47" t="s">
        <v>153</v>
      </c>
      <c r="B47" s="3">
        <v>122</v>
      </c>
      <c r="C47" s="3">
        <f t="shared" si="0"/>
        <v>48</v>
      </c>
      <c r="D47" s="3">
        <f t="shared" si="1"/>
        <v>1.22</v>
      </c>
      <c r="E47" s="3" t="s">
        <v>18</v>
      </c>
      <c r="F47" s="3" t="e">
        <f t="shared" si="2"/>
        <v>#VALUE!</v>
      </c>
      <c r="G47">
        <f>IF(E47="NA",0,1*(E47/D47^2))</f>
        <v>0</v>
      </c>
      <c r="H47" t="b">
        <f t="shared" si="3"/>
        <v>0</v>
      </c>
      <c r="I47" s="3">
        <f t="shared" si="4"/>
        <v>5</v>
      </c>
      <c r="J47" t="s">
        <v>29</v>
      </c>
      <c r="K47" t="s">
        <v>24</v>
      </c>
      <c r="L47" t="s">
        <v>45</v>
      </c>
      <c r="M47" s="3" t="s">
        <v>18</v>
      </c>
      <c r="N47" t="b">
        <f t="shared" si="5"/>
        <v>0</v>
      </c>
      <c r="Q47" s="3">
        <f t="shared" si="7"/>
        <v>44</v>
      </c>
      <c r="R47" t="s">
        <v>154</v>
      </c>
      <c r="S47" t="s">
        <v>155</v>
      </c>
      <c r="T47" t="e">
        <f t="shared" si="6"/>
        <v>#N/A</v>
      </c>
      <c r="U47" t="s">
        <v>117</v>
      </c>
    </row>
    <row r="48" spans="1:21" x14ac:dyDescent="0.3">
      <c r="A48" t="s">
        <v>156</v>
      </c>
      <c r="B48" s="3">
        <v>163</v>
      </c>
      <c r="C48" s="3">
        <f t="shared" si="0"/>
        <v>64</v>
      </c>
      <c r="D48" s="3">
        <f t="shared" si="1"/>
        <v>1.63</v>
      </c>
      <c r="E48" s="3">
        <v>65</v>
      </c>
      <c r="F48" s="3">
        <f t="shared" si="2"/>
        <v>143.5</v>
      </c>
      <c r="G48">
        <f>IF(E48="NA",0,1*(E48/D48^2))</f>
        <v>24.464601603372351</v>
      </c>
      <c r="H48" t="b">
        <f t="shared" si="3"/>
        <v>0</v>
      </c>
      <c r="I48" s="3">
        <f t="shared" si="4"/>
        <v>8</v>
      </c>
      <c r="J48" t="s">
        <v>29</v>
      </c>
      <c r="K48" t="s">
        <v>157</v>
      </c>
      <c r="L48" t="s">
        <v>69</v>
      </c>
      <c r="M48" s="3" t="s">
        <v>18</v>
      </c>
      <c r="N48" t="b">
        <f t="shared" si="5"/>
        <v>0</v>
      </c>
      <c r="Q48" s="3">
        <f t="shared" si="7"/>
        <v>44</v>
      </c>
      <c r="R48" t="s">
        <v>158</v>
      </c>
      <c r="S48" t="s">
        <v>159</v>
      </c>
      <c r="T48" t="e">
        <f t="shared" si="6"/>
        <v>#N/A</v>
      </c>
      <c r="U48" t="s">
        <v>117</v>
      </c>
    </row>
    <row r="49" spans="1:21" x14ac:dyDescent="0.3">
      <c r="A49" t="s">
        <v>160</v>
      </c>
      <c r="B49" s="3">
        <v>188</v>
      </c>
      <c r="C49" s="3">
        <f t="shared" si="0"/>
        <v>74</v>
      </c>
      <c r="D49" s="3">
        <f t="shared" si="1"/>
        <v>1.88</v>
      </c>
      <c r="E49" s="3">
        <v>84</v>
      </c>
      <c r="F49" s="3">
        <f t="shared" si="2"/>
        <v>185.25</v>
      </c>
      <c r="G49">
        <f>IF(E49="NA",0,1*(E49/D49^2))</f>
        <v>23.766410140334994</v>
      </c>
      <c r="H49" t="b">
        <f t="shared" si="3"/>
        <v>0</v>
      </c>
      <c r="I49" s="3">
        <f t="shared" si="4"/>
        <v>13</v>
      </c>
      <c r="J49" t="s">
        <v>29</v>
      </c>
      <c r="K49" t="s">
        <v>95</v>
      </c>
      <c r="L49" t="s">
        <v>33</v>
      </c>
      <c r="M49" s="3">
        <v>72</v>
      </c>
      <c r="N49" t="b">
        <f t="shared" si="5"/>
        <v>1</v>
      </c>
      <c r="Q49" s="3">
        <f t="shared" si="7"/>
        <v>44</v>
      </c>
      <c r="R49" t="s">
        <v>161</v>
      </c>
      <c r="S49" t="s">
        <v>15</v>
      </c>
      <c r="T49" t="str">
        <f t="shared" si="6"/>
        <v>Attack of the Clones</v>
      </c>
      <c r="U49" t="s">
        <v>51</v>
      </c>
    </row>
    <row r="50" spans="1:21" x14ac:dyDescent="0.3">
      <c r="A50" t="s">
        <v>162</v>
      </c>
      <c r="B50" s="3">
        <v>198</v>
      </c>
      <c r="C50" s="3">
        <f t="shared" si="0"/>
        <v>77.5</v>
      </c>
      <c r="D50" s="3">
        <f t="shared" si="1"/>
        <v>1.98</v>
      </c>
      <c r="E50" s="3">
        <v>82</v>
      </c>
      <c r="F50" s="3">
        <f t="shared" si="2"/>
        <v>181</v>
      </c>
      <c r="G50">
        <f>IF(E50="NA",0,1*(E50/D50^2))</f>
        <v>20.91623303744516</v>
      </c>
      <c r="H50" t="b">
        <f t="shared" si="3"/>
        <v>0</v>
      </c>
      <c r="I50" s="3">
        <f t="shared" si="4"/>
        <v>8</v>
      </c>
      <c r="J50" t="s">
        <v>30</v>
      </c>
      <c r="K50" t="s">
        <v>83</v>
      </c>
      <c r="L50" t="s">
        <v>20</v>
      </c>
      <c r="M50" s="3">
        <v>92</v>
      </c>
      <c r="N50" t="b">
        <f t="shared" si="5"/>
        <v>1</v>
      </c>
      <c r="Q50" s="3">
        <f t="shared" si="7"/>
        <v>44</v>
      </c>
      <c r="R50" t="s">
        <v>163</v>
      </c>
      <c r="S50" t="s">
        <v>164</v>
      </c>
      <c r="T50" t="str">
        <f t="shared" si="6"/>
        <v>Attack of the Clones</v>
      </c>
      <c r="U50" t="s">
        <v>51</v>
      </c>
    </row>
    <row r="51" spans="1:21" x14ac:dyDescent="0.3">
      <c r="A51" t="s">
        <v>165</v>
      </c>
      <c r="B51" s="3">
        <v>196</v>
      </c>
      <c r="C51" s="3">
        <f t="shared" si="0"/>
        <v>77</v>
      </c>
      <c r="D51" s="3">
        <f t="shared" si="1"/>
        <v>1.96</v>
      </c>
      <c r="E51" s="3">
        <v>87</v>
      </c>
      <c r="F51" s="3">
        <f t="shared" si="2"/>
        <v>192</v>
      </c>
      <c r="G51">
        <f>IF(E51="NA",0,1*(E51/D51^2))</f>
        <v>22.646813827571847</v>
      </c>
      <c r="H51" t="b">
        <f t="shared" si="3"/>
        <v>0</v>
      </c>
      <c r="I51" s="3">
        <f t="shared" si="4"/>
        <v>22</v>
      </c>
      <c r="J51" t="s">
        <v>29</v>
      </c>
      <c r="K51" t="s">
        <v>64</v>
      </c>
      <c r="L51" t="s">
        <v>45</v>
      </c>
      <c r="M51" s="3" t="s">
        <v>18</v>
      </c>
      <c r="N51" t="b">
        <f t="shared" si="5"/>
        <v>0</v>
      </c>
      <c r="Q51" s="3">
        <f t="shared" si="7"/>
        <v>44</v>
      </c>
      <c r="R51" t="s">
        <v>166</v>
      </c>
      <c r="S51" t="s">
        <v>167</v>
      </c>
      <c r="T51" t="str">
        <f t="shared" si="6"/>
        <v>Attack of the Clones</v>
      </c>
      <c r="U51" t="s">
        <v>51</v>
      </c>
    </row>
    <row r="52" spans="1:21" x14ac:dyDescent="0.3">
      <c r="A52" t="s">
        <v>168</v>
      </c>
      <c r="B52" s="3">
        <v>171</v>
      </c>
      <c r="C52" s="3">
        <f t="shared" si="0"/>
        <v>67</v>
      </c>
      <c r="D52" s="3">
        <f t="shared" si="1"/>
        <v>1.71</v>
      </c>
      <c r="E52" s="3" t="s">
        <v>18</v>
      </c>
      <c r="F52" s="3" t="e">
        <f t="shared" si="2"/>
        <v>#VALUE!</v>
      </c>
      <c r="G52">
        <f>IF(E52="NA",0,1*(E52/D52^2))</f>
        <v>0</v>
      </c>
      <c r="H52" t="b">
        <f t="shared" si="3"/>
        <v>0</v>
      </c>
      <c r="I52" s="3">
        <f t="shared" si="4"/>
        <v>19</v>
      </c>
      <c r="J52" t="s">
        <v>45</v>
      </c>
      <c r="K52" t="s">
        <v>33</v>
      </c>
      <c r="L52" t="s">
        <v>33</v>
      </c>
      <c r="M52" s="3" t="s">
        <v>18</v>
      </c>
      <c r="N52" t="b">
        <f t="shared" si="5"/>
        <v>0</v>
      </c>
      <c r="Q52" s="3">
        <f t="shared" si="7"/>
        <v>44</v>
      </c>
      <c r="R52" t="s">
        <v>169</v>
      </c>
      <c r="S52" t="s">
        <v>143</v>
      </c>
      <c r="T52" t="str">
        <f t="shared" si="6"/>
        <v>The Phantom Menace</v>
      </c>
      <c r="U52" t="s">
        <v>170</v>
      </c>
    </row>
    <row r="53" spans="1:21" x14ac:dyDescent="0.3">
      <c r="A53" t="s">
        <v>171</v>
      </c>
      <c r="B53" s="3">
        <v>184</v>
      </c>
      <c r="C53" s="3">
        <f t="shared" si="0"/>
        <v>72</v>
      </c>
      <c r="D53" s="3">
        <f t="shared" si="1"/>
        <v>1.84</v>
      </c>
      <c r="E53" s="3">
        <v>50</v>
      </c>
      <c r="F53" s="3">
        <f t="shared" si="2"/>
        <v>110.25</v>
      </c>
      <c r="G53">
        <f>IF(E53="NA",0,1*(E53/D53^2))</f>
        <v>14.768431001890358</v>
      </c>
      <c r="H53" t="b">
        <f t="shared" si="3"/>
        <v>0</v>
      </c>
      <c r="I53" s="3">
        <f t="shared" si="4"/>
        <v>21</v>
      </c>
      <c r="J53" t="s">
        <v>29</v>
      </c>
      <c r="K53" t="s">
        <v>95</v>
      </c>
      <c r="L53" t="s">
        <v>13</v>
      </c>
      <c r="M53" s="3" t="s">
        <v>18</v>
      </c>
      <c r="N53" t="b">
        <f t="shared" si="5"/>
        <v>0</v>
      </c>
      <c r="Q53" s="3">
        <f t="shared" si="7"/>
        <v>44</v>
      </c>
      <c r="R53" t="s">
        <v>123</v>
      </c>
      <c r="S53" t="s">
        <v>172</v>
      </c>
      <c r="T53" t="str">
        <f t="shared" si="6"/>
        <v>The Phantom Menace</v>
      </c>
      <c r="U53" t="s">
        <v>170</v>
      </c>
    </row>
    <row r="54" spans="1:21" x14ac:dyDescent="0.3">
      <c r="A54" t="s">
        <v>173</v>
      </c>
      <c r="B54" s="3">
        <v>188</v>
      </c>
      <c r="C54" s="3">
        <f t="shared" si="0"/>
        <v>74</v>
      </c>
      <c r="D54" s="3">
        <f t="shared" si="1"/>
        <v>1.88</v>
      </c>
      <c r="E54" s="3" t="s">
        <v>18</v>
      </c>
      <c r="F54" s="3" t="e">
        <f t="shared" si="2"/>
        <v>#VALUE!</v>
      </c>
      <c r="G54">
        <f>IF(E54="NA",0,1*(E54/D54^2))</f>
        <v>0</v>
      </c>
      <c r="H54" t="b">
        <f t="shared" si="3"/>
        <v>0</v>
      </c>
      <c r="I54" s="3">
        <f t="shared" si="4"/>
        <v>20</v>
      </c>
      <c r="J54" t="s">
        <v>29</v>
      </c>
      <c r="K54" t="s">
        <v>83</v>
      </c>
      <c r="L54" t="s">
        <v>69</v>
      </c>
      <c r="M54" s="3" t="s">
        <v>18</v>
      </c>
      <c r="N54" t="b">
        <f t="shared" si="5"/>
        <v>0</v>
      </c>
      <c r="Q54" s="3">
        <f t="shared" si="7"/>
        <v>44</v>
      </c>
      <c r="R54" t="s">
        <v>174</v>
      </c>
      <c r="S54" t="s">
        <v>175</v>
      </c>
      <c r="T54" t="str">
        <f t="shared" si="6"/>
        <v>The Phantom Menace</v>
      </c>
      <c r="U54" t="s">
        <v>170</v>
      </c>
    </row>
    <row r="55" spans="1:21" x14ac:dyDescent="0.3">
      <c r="A55" t="s">
        <v>176</v>
      </c>
      <c r="B55" s="3">
        <v>264</v>
      </c>
      <c r="C55" s="3">
        <f t="shared" si="0"/>
        <v>103.5</v>
      </c>
      <c r="D55" s="3">
        <f t="shared" si="1"/>
        <v>2.64</v>
      </c>
      <c r="E55" s="3" t="s">
        <v>18</v>
      </c>
      <c r="F55" s="3" t="e">
        <f t="shared" si="2"/>
        <v>#VALUE!</v>
      </c>
      <c r="G55">
        <f>IF(E55="NA",0,1*(E55/D55^2))</f>
        <v>0</v>
      </c>
      <c r="H55" t="b">
        <f t="shared" si="3"/>
        <v>0</v>
      </c>
      <c r="I55" s="3">
        <f t="shared" si="4"/>
        <v>8</v>
      </c>
      <c r="J55" t="s">
        <v>29</v>
      </c>
      <c r="K55" t="s">
        <v>30</v>
      </c>
      <c r="L55" t="s">
        <v>20</v>
      </c>
      <c r="M55" s="3" t="s">
        <v>18</v>
      </c>
      <c r="N55" t="b">
        <f t="shared" si="5"/>
        <v>0</v>
      </c>
      <c r="Q55" s="3">
        <f t="shared" si="7"/>
        <v>44</v>
      </c>
      <c r="R55" t="s">
        <v>177</v>
      </c>
      <c r="S55" t="s">
        <v>178</v>
      </c>
      <c r="T55" t="e">
        <f t="shared" si="6"/>
        <v>#N/A</v>
      </c>
      <c r="U55" t="s">
        <v>117</v>
      </c>
    </row>
    <row r="56" spans="1:21" x14ac:dyDescent="0.3">
      <c r="A56" t="s">
        <v>179</v>
      </c>
      <c r="B56" s="3">
        <v>188</v>
      </c>
      <c r="C56" s="3">
        <f t="shared" si="0"/>
        <v>74</v>
      </c>
      <c r="D56" s="3">
        <f t="shared" si="1"/>
        <v>1.88</v>
      </c>
      <c r="E56" s="3">
        <v>80</v>
      </c>
      <c r="F56" s="3">
        <f t="shared" si="2"/>
        <v>176.5</v>
      </c>
      <c r="G56">
        <f>IF(E56="NA",0,1*(E56/D56^2))</f>
        <v>22.634676324128566</v>
      </c>
      <c r="H56" t="b">
        <f t="shared" si="3"/>
        <v>0</v>
      </c>
      <c r="I56" s="3">
        <f t="shared" si="4"/>
        <v>20</v>
      </c>
      <c r="J56" t="s">
        <v>29</v>
      </c>
      <c r="K56" t="s">
        <v>69</v>
      </c>
      <c r="L56" t="s">
        <v>45</v>
      </c>
      <c r="M56" s="3">
        <v>22</v>
      </c>
      <c r="N56" t="b">
        <f t="shared" si="5"/>
        <v>1</v>
      </c>
      <c r="Q56" s="3">
        <f t="shared" si="7"/>
        <v>44</v>
      </c>
      <c r="R56" t="s">
        <v>180</v>
      </c>
      <c r="S56" t="s">
        <v>181</v>
      </c>
      <c r="T56" t="str">
        <f t="shared" si="6"/>
        <v>Attack of the Clones</v>
      </c>
      <c r="U56" t="s">
        <v>51</v>
      </c>
    </row>
    <row r="57" spans="1:21" x14ac:dyDescent="0.3">
      <c r="A57" t="s">
        <v>182</v>
      </c>
      <c r="B57" s="3">
        <v>196</v>
      </c>
      <c r="C57" s="3">
        <f t="shared" si="0"/>
        <v>77</v>
      </c>
      <c r="D57" s="3">
        <f t="shared" si="1"/>
        <v>1.96</v>
      </c>
      <c r="E57" s="3" t="s">
        <v>18</v>
      </c>
      <c r="F57" s="3" t="e">
        <f t="shared" si="2"/>
        <v>#VALUE!</v>
      </c>
      <c r="G57">
        <f>IF(E57="NA",0,1*(E57/D57^2))</f>
        <v>0</v>
      </c>
      <c r="H57" t="b">
        <f t="shared" si="3"/>
        <v>0</v>
      </c>
      <c r="I57" s="3">
        <f t="shared" si="4"/>
        <v>4</v>
      </c>
      <c r="J57" t="s">
        <v>29</v>
      </c>
      <c r="K57" t="s">
        <v>13</v>
      </c>
      <c r="L57" t="s">
        <v>13</v>
      </c>
      <c r="M57" s="3" t="s">
        <v>18</v>
      </c>
      <c r="N57" t="b">
        <f t="shared" si="5"/>
        <v>0</v>
      </c>
      <c r="Q57" s="3">
        <f t="shared" si="7"/>
        <v>44</v>
      </c>
      <c r="R57" t="s">
        <v>183</v>
      </c>
      <c r="S57" t="s">
        <v>184</v>
      </c>
      <c r="T57" t="str">
        <f t="shared" si="6"/>
        <v>Attack of the Clones</v>
      </c>
      <c r="U57" t="s">
        <v>126</v>
      </c>
    </row>
    <row r="58" spans="1:21" x14ac:dyDescent="0.3">
      <c r="A58" t="s">
        <v>185</v>
      </c>
      <c r="B58" s="3">
        <v>185</v>
      </c>
      <c r="C58" s="3">
        <f t="shared" si="0"/>
        <v>72.5</v>
      </c>
      <c r="D58" s="3">
        <f t="shared" si="1"/>
        <v>1.85</v>
      </c>
      <c r="E58" s="3">
        <v>85</v>
      </c>
      <c r="F58" s="3">
        <f t="shared" si="2"/>
        <v>187.5</v>
      </c>
      <c r="G58">
        <f>IF(E58="NA",0,1*(E58/D58^2))</f>
        <v>24.835646457268076</v>
      </c>
      <c r="H58" t="b">
        <f t="shared" si="3"/>
        <v>0</v>
      </c>
      <c r="I58" s="3">
        <f t="shared" si="4"/>
        <v>19</v>
      </c>
      <c r="J58" t="s">
        <v>45</v>
      </c>
      <c r="K58" t="s">
        <v>95</v>
      </c>
      <c r="L58" t="s">
        <v>33</v>
      </c>
      <c r="M58" s="3" t="s">
        <v>18</v>
      </c>
      <c r="N58" t="b">
        <f t="shared" si="5"/>
        <v>0</v>
      </c>
      <c r="Q58" s="3">
        <f t="shared" si="7"/>
        <v>44</v>
      </c>
      <c r="R58" t="s">
        <v>26</v>
      </c>
      <c r="S58" t="s">
        <v>15</v>
      </c>
      <c r="T58" t="e">
        <f t="shared" si="6"/>
        <v>#N/A</v>
      </c>
      <c r="U58" t="s">
        <v>186</v>
      </c>
    </row>
    <row r="59" spans="1:21" x14ac:dyDescent="0.3">
      <c r="A59" t="s">
        <v>187</v>
      </c>
      <c r="B59" s="3">
        <v>157</v>
      </c>
      <c r="C59" s="3">
        <f t="shared" si="0"/>
        <v>61.5</v>
      </c>
      <c r="D59" s="3">
        <f t="shared" si="1"/>
        <v>1.57</v>
      </c>
      <c r="E59" s="3" t="s">
        <v>18</v>
      </c>
      <c r="F59" s="3" t="e">
        <f t="shared" si="2"/>
        <v>#VALUE!</v>
      </c>
      <c r="G59">
        <f>IF(E59="NA",0,1*(E59/D59^2))</f>
        <v>0</v>
      </c>
      <c r="H59" t="b">
        <f t="shared" si="3"/>
        <v>0</v>
      </c>
      <c r="I59" s="3">
        <f t="shared" si="4"/>
        <v>18</v>
      </c>
      <c r="J59" t="s">
        <v>33</v>
      </c>
      <c r="K59" t="s">
        <v>34</v>
      </c>
      <c r="L59" t="s">
        <v>33</v>
      </c>
      <c r="M59" s="3" t="s">
        <v>18</v>
      </c>
      <c r="N59" t="b">
        <f t="shared" si="5"/>
        <v>0</v>
      </c>
      <c r="Q59" s="3">
        <f t="shared" si="7"/>
        <v>44</v>
      </c>
      <c r="R59" t="s">
        <v>26</v>
      </c>
      <c r="S59" t="s">
        <v>15</v>
      </c>
      <c r="T59" t="e">
        <f t="shared" si="6"/>
        <v>#N/A</v>
      </c>
      <c r="U59" t="s">
        <v>186</v>
      </c>
    </row>
    <row r="60" spans="1:21" x14ac:dyDescent="0.3">
      <c r="A60" t="s">
        <v>188</v>
      </c>
      <c r="B60" s="3">
        <v>183</v>
      </c>
      <c r="C60" s="3">
        <f t="shared" si="0"/>
        <v>72</v>
      </c>
      <c r="D60" s="3">
        <f t="shared" si="1"/>
        <v>1.83</v>
      </c>
      <c r="E60" s="3" t="s">
        <v>18</v>
      </c>
      <c r="F60" s="3" t="e">
        <f t="shared" si="2"/>
        <v>#VALUE!</v>
      </c>
      <c r="G60">
        <f>IF(E60="NA",0,1*(E60/D60^2))</f>
        <v>0</v>
      </c>
      <c r="H60" t="b">
        <f t="shared" si="3"/>
        <v>0</v>
      </c>
      <c r="I60" s="3">
        <f t="shared" si="4"/>
        <v>5</v>
      </c>
      <c r="J60" t="s">
        <v>33</v>
      </c>
      <c r="K60" t="s">
        <v>12</v>
      </c>
      <c r="L60" t="s">
        <v>13</v>
      </c>
      <c r="M60" s="3">
        <v>82</v>
      </c>
      <c r="N60" t="b">
        <f t="shared" si="5"/>
        <v>1</v>
      </c>
      <c r="Q60" s="3">
        <f t="shared" si="7"/>
        <v>44</v>
      </c>
      <c r="R60" t="s">
        <v>14</v>
      </c>
      <c r="S60" t="s">
        <v>15</v>
      </c>
      <c r="T60" t="e">
        <f t="shared" si="6"/>
        <v>#N/A</v>
      </c>
      <c r="U60" t="s">
        <v>186</v>
      </c>
    </row>
    <row r="61" spans="1:21" x14ac:dyDescent="0.3">
      <c r="A61" t="s">
        <v>189</v>
      </c>
      <c r="B61" s="3">
        <v>183</v>
      </c>
      <c r="C61" s="3">
        <f t="shared" si="0"/>
        <v>72</v>
      </c>
      <c r="D61" s="3">
        <f t="shared" si="1"/>
        <v>1.83</v>
      </c>
      <c r="E61" s="3">
        <v>80</v>
      </c>
      <c r="F61" s="3">
        <f t="shared" si="2"/>
        <v>176.5</v>
      </c>
      <c r="G61">
        <f>IF(E61="NA",0,1*(E61/D61^2))</f>
        <v>23.888440980620498</v>
      </c>
      <c r="H61" t="b">
        <f t="shared" si="3"/>
        <v>0</v>
      </c>
      <c r="I61" s="3">
        <f t="shared" si="4"/>
        <v>10</v>
      </c>
      <c r="J61" t="s">
        <v>29</v>
      </c>
      <c r="K61" t="s">
        <v>64</v>
      </c>
      <c r="L61" t="s">
        <v>20</v>
      </c>
      <c r="M61" s="3" t="s">
        <v>18</v>
      </c>
      <c r="N61" t="b">
        <f t="shared" si="5"/>
        <v>0</v>
      </c>
      <c r="Q61" s="3">
        <f t="shared" si="7"/>
        <v>44</v>
      </c>
      <c r="R61" t="s">
        <v>190</v>
      </c>
      <c r="S61" t="s">
        <v>191</v>
      </c>
      <c r="T61" t="str">
        <f t="shared" si="6"/>
        <v>Attack of the Clones</v>
      </c>
      <c r="U61" t="s">
        <v>192</v>
      </c>
    </row>
    <row r="62" spans="1:21" x14ac:dyDescent="0.3">
      <c r="A62" t="s">
        <v>193</v>
      </c>
      <c r="B62" s="3">
        <v>170</v>
      </c>
      <c r="C62" s="3">
        <f t="shared" si="0"/>
        <v>66.5</v>
      </c>
      <c r="D62" s="3">
        <f t="shared" si="1"/>
        <v>1.7</v>
      </c>
      <c r="E62" s="3">
        <v>56.2</v>
      </c>
      <c r="F62" s="3">
        <f t="shared" si="2"/>
        <v>124</v>
      </c>
      <c r="G62">
        <f>IF(E62="NA",0,1*(E62/D62^2))</f>
        <v>19.446366782006923</v>
      </c>
      <c r="H62" t="b">
        <f t="shared" si="3"/>
        <v>0</v>
      </c>
      <c r="I62" s="3">
        <f t="shared" si="4"/>
        <v>11</v>
      </c>
      <c r="J62" t="s">
        <v>45</v>
      </c>
      <c r="K62" t="s">
        <v>20</v>
      </c>
      <c r="L62" t="s">
        <v>13</v>
      </c>
      <c r="M62" s="3">
        <v>58</v>
      </c>
      <c r="N62" t="b">
        <f t="shared" si="5"/>
        <v>1</v>
      </c>
      <c r="Q62" s="3">
        <f t="shared" si="7"/>
        <v>44</v>
      </c>
      <c r="R62" t="s">
        <v>194</v>
      </c>
      <c r="S62" t="s">
        <v>195</v>
      </c>
      <c r="T62" t="str">
        <f t="shared" si="6"/>
        <v>Attack of the Clones</v>
      </c>
      <c r="U62" t="s">
        <v>192</v>
      </c>
    </row>
    <row r="63" spans="1:21" x14ac:dyDescent="0.3">
      <c r="A63" t="s">
        <v>196</v>
      </c>
      <c r="B63" s="3">
        <v>166</v>
      </c>
      <c r="C63" s="3">
        <f t="shared" si="0"/>
        <v>65</v>
      </c>
      <c r="D63" s="3">
        <f t="shared" si="1"/>
        <v>1.66</v>
      </c>
      <c r="E63" s="3">
        <v>50</v>
      </c>
      <c r="F63" s="3">
        <f t="shared" si="2"/>
        <v>110.25</v>
      </c>
      <c r="G63">
        <f>IF(E63="NA",0,1*(E63/D63^2))</f>
        <v>18.144868631151112</v>
      </c>
      <c r="H63" t="b">
        <f t="shared" si="3"/>
        <v>0</v>
      </c>
      <c r="I63" s="3">
        <f t="shared" si="4"/>
        <v>16</v>
      </c>
      <c r="J63" t="s">
        <v>45</v>
      </c>
      <c r="K63" t="s">
        <v>20</v>
      </c>
      <c r="L63" t="s">
        <v>13</v>
      </c>
      <c r="M63" s="3">
        <v>40</v>
      </c>
      <c r="N63" t="b">
        <f t="shared" si="5"/>
        <v>1</v>
      </c>
      <c r="Q63" s="3">
        <f t="shared" si="7"/>
        <v>44</v>
      </c>
      <c r="R63" t="s">
        <v>194</v>
      </c>
      <c r="S63" t="s">
        <v>195</v>
      </c>
      <c r="T63" t="e">
        <f t="shared" si="6"/>
        <v>#N/A</v>
      </c>
      <c r="U63" t="s">
        <v>186</v>
      </c>
    </row>
    <row r="64" spans="1:21" x14ac:dyDescent="0.3">
      <c r="A64" t="s">
        <v>197</v>
      </c>
      <c r="B64" s="3">
        <v>165</v>
      </c>
      <c r="C64" s="3">
        <f t="shared" si="0"/>
        <v>64.5</v>
      </c>
      <c r="D64" s="3">
        <f t="shared" si="1"/>
        <v>1.65</v>
      </c>
      <c r="E64" s="3" t="s">
        <v>18</v>
      </c>
      <c r="F64" s="3" t="e">
        <f t="shared" si="2"/>
        <v>#VALUE!</v>
      </c>
      <c r="G64">
        <f>IF(E64="NA",0,1*(E64/D64^2))</f>
        <v>0</v>
      </c>
      <c r="H64" t="b">
        <f t="shared" si="3"/>
        <v>0</v>
      </c>
      <c r="I64" s="3">
        <f t="shared" si="4"/>
        <v>7</v>
      </c>
      <c r="J64" t="s">
        <v>33</v>
      </c>
      <c r="K64" t="s">
        <v>34</v>
      </c>
      <c r="L64" t="s">
        <v>33</v>
      </c>
      <c r="M64" s="3" t="s">
        <v>18</v>
      </c>
      <c r="N64" t="b">
        <f t="shared" si="5"/>
        <v>0</v>
      </c>
      <c r="Q64" s="3">
        <f t="shared" si="7"/>
        <v>44</v>
      </c>
      <c r="R64" t="s">
        <v>26</v>
      </c>
      <c r="S64" t="s">
        <v>15</v>
      </c>
      <c r="T64" t="e">
        <f t="shared" si="6"/>
        <v>#N/A</v>
      </c>
      <c r="U64" t="s">
        <v>186</v>
      </c>
    </row>
    <row r="65" spans="1:21" x14ac:dyDescent="0.3">
      <c r="A65" t="s">
        <v>198</v>
      </c>
      <c r="B65" s="3">
        <v>193</v>
      </c>
      <c r="C65" s="3">
        <f t="shared" si="0"/>
        <v>75.5</v>
      </c>
      <c r="D65" s="3">
        <f t="shared" si="1"/>
        <v>1.93</v>
      </c>
      <c r="E65" s="3">
        <v>80</v>
      </c>
      <c r="F65" s="3">
        <f t="shared" si="2"/>
        <v>176.5</v>
      </c>
      <c r="G65">
        <f>IF(E65="NA",0,1*(E65/D65^2))</f>
        <v>21.477086633198208</v>
      </c>
      <c r="H65" t="b">
        <f t="shared" si="3"/>
        <v>0</v>
      </c>
      <c r="I65" s="3">
        <f t="shared" si="4"/>
        <v>15</v>
      </c>
      <c r="J65" t="s">
        <v>30</v>
      </c>
      <c r="K65" t="s">
        <v>12</v>
      </c>
      <c r="L65" t="s">
        <v>33</v>
      </c>
      <c r="M65" s="3">
        <v>102</v>
      </c>
      <c r="N65" t="b">
        <f t="shared" si="5"/>
        <v>1</v>
      </c>
      <c r="Q65" s="3">
        <f t="shared" si="7"/>
        <v>44</v>
      </c>
      <c r="R65" t="s">
        <v>199</v>
      </c>
      <c r="S65" t="s">
        <v>15</v>
      </c>
      <c r="T65" t="str">
        <f t="shared" si="6"/>
        <v>Attack of the Clones</v>
      </c>
      <c r="U65" t="s">
        <v>192</v>
      </c>
    </row>
    <row r="66" spans="1:21" x14ac:dyDescent="0.3">
      <c r="A66" t="s">
        <v>200</v>
      </c>
      <c r="B66" s="3">
        <v>191</v>
      </c>
      <c r="C66" s="3">
        <f t="shared" si="0"/>
        <v>75</v>
      </c>
      <c r="D66" s="3">
        <f t="shared" si="1"/>
        <v>1.91</v>
      </c>
      <c r="E66" s="3" t="s">
        <v>18</v>
      </c>
      <c r="F66" s="3" t="e">
        <f t="shared" si="2"/>
        <v>#VALUE!</v>
      </c>
      <c r="G66">
        <f>IF(E66="NA",0,1*(E66/D66^2))</f>
        <v>0</v>
      </c>
      <c r="H66" t="b">
        <f t="shared" si="3"/>
        <v>0</v>
      </c>
      <c r="I66" s="3">
        <f t="shared" si="4"/>
        <v>5</v>
      </c>
      <c r="J66" t="s">
        <v>45</v>
      </c>
      <c r="K66" t="s">
        <v>201</v>
      </c>
      <c r="L66" t="s">
        <v>33</v>
      </c>
      <c r="M66" s="3">
        <v>67</v>
      </c>
      <c r="N66" t="b">
        <f t="shared" si="5"/>
        <v>1</v>
      </c>
      <c r="Q66" s="3">
        <f t="shared" si="7"/>
        <v>44</v>
      </c>
      <c r="R66" t="s">
        <v>35</v>
      </c>
      <c r="S66" t="s">
        <v>15</v>
      </c>
      <c r="T66" t="str">
        <f t="shared" si="6"/>
        <v>Attack of the Clones</v>
      </c>
      <c r="U66" t="s">
        <v>192</v>
      </c>
    </row>
    <row r="67" spans="1:21" x14ac:dyDescent="0.3">
      <c r="A67" t="s">
        <v>202</v>
      </c>
      <c r="B67" s="3">
        <v>183</v>
      </c>
      <c r="C67" s="3">
        <f t="shared" ref="C67:C88" si="8">FLOOR(CONVERT(B67, "cm", "in"), 0.5)</f>
        <v>72</v>
      </c>
      <c r="D67" s="3">
        <f t="shared" ref="D67:D88" si="9">(B67/100)</f>
        <v>1.83</v>
      </c>
      <c r="E67" s="3">
        <v>79</v>
      </c>
      <c r="F67" s="3">
        <f t="shared" ref="F67:F88" si="10">CEILING(CONVERT(E67, "kg", "lbm"), 0.25)</f>
        <v>174.25</v>
      </c>
      <c r="G67">
        <f>IF(E67="NA",0,1*(E67/D67^2))</f>
        <v>23.589835468362743</v>
      </c>
      <c r="H67" t="b">
        <f t="shared" ref="H67:H88" si="11">$G$5&lt;=G67</f>
        <v>0</v>
      </c>
      <c r="I67" s="3">
        <f t="shared" ref="I67:I88" si="12">RANK(G68, G67:G153)</f>
        <v>7</v>
      </c>
      <c r="J67" t="s">
        <v>45</v>
      </c>
      <c r="K67" t="s">
        <v>201</v>
      </c>
      <c r="L67" t="s">
        <v>33</v>
      </c>
      <c r="M67" s="3">
        <v>66</v>
      </c>
      <c r="N67" t="b">
        <f t="shared" ref="N67:N88" si="13">ISNUMBER(M67)</f>
        <v>1</v>
      </c>
      <c r="Q67" s="3">
        <f t="shared" ref="Q67:Q88" si="14">VLOOKUP(44, M$2:M$88, 1,)</f>
        <v>44</v>
      </c>
      <c r="R67" t="s">
        <v>203</v>
      </c>
      <c r="S67" t="s">
        <v>15</v>
      </c>
      <c r="T67" t="e">
        <f t="shared" ref="T67:T88" si="15">_xlfn.TEXTBEFORE(U67, " ", 1)</f>
        <v>#N/A</v>
      </c>
      <c r="U67" t="s">
        <v>186</v>
      </c>
    </row>
    <row r="68" spans="1:21" x14ac:dyDescent="0.3">
      <c r="A68" t="s">
        <v>204</v>
      </c>
      <c r="B68" s="3">
        <v>168</v>
      </c>
      <c r="C68" s="3">
        <f t="shared" si="8"/>
        <v>66</v>
      </c>
      <c r="D68" s="3">
        <f t="shared" si="9"/>
        <v>1.68</v>
      </c>
      <c r="E68" s="3">
        <v>55</v>
      </c>
      <c r="F68" s="3">
        <f t="shared" si="10"/>
        <v>121.5</v>
      </c>
      <c r="G68">
        <f>IF(E68="NA",0,1*(E68/D68^2))</f>
        <v>19.486961451247168</v>
      </c>
      <c r="H68" t="b">
        <f t="shared" si="11"/>
        <v>0</v>
      </c>
      <c r="I68" s="3">
        <f t="shared" si="12"/>
        <v>2</v>
      </c>
      <c r="J68" t="s">
        <v>205</v>
      </c>
      <c r="K68" t="s">
        <v>206</v>
      </c>
      <c r="L68" t="s">
        <v>20</v>
      </c>
      <c r="M68" s="3" t="s">
        <v>18</v>
      </c>
      <c r="N68" t="b">
        <f t="shared" si="13"/>
        <v>0</v>
      </c>
      <c r="Q68" s="3">
        <f t="shared" si="14"/>
        <v>44</v>
      </c>
      <c r="R68" t="s">
        <v>207</v>
      </c>
      <c r="S68" t="s">
        <v>208</v>
      </c>
      <c r="T68" t="e">
        <f t="shared" si="15"/>
        <v>#N/A</v>
      </c>
      <c r="U68" t="s">
        <v>186</v>
      </c>
    </row>
    <row r="69" spans="1:21" x14ac:dyDescent="0.3">
      <c r="A69" t="s">
        <v>209</v>
      </c>
      <c r="B69" s="3">
        <v>198</v>
      </c>
      <c r="C69" s="3">
        <f t="shared" si="8"/>
        <v>77.5</v>
      </c>
      <c r="D69" s="3">
        <f t="shared" si="9"/>
        <v>1.98</v>
      </c>
      <c r="E69" s="3">
        <v>102</v>
      </c>
      <c r="F69" s="3">
        <f t="shared" si="10"/>
        <v>225</v>
      </c>
      <c r="G69">
        <f>IF(E69="NA",0,1*(E69/D69^2))</f>
        <v>26.017753290480563</v>
      </c>
      <c r="H69" t="b">
        <f t="shared" si="11"/>
        <v>0</v>
      </c>
      <c r="I69" s="3">
        <f t="shared" si="12"/>
        <v>8</v>
      </c>
      <c r="J69" t="s">
        <v>29</v>
      </c>
      <c r="K69" t="s">
        <v>33</v>
      </c>
      <c r="L69" t="s">
        <v>20</v>
      </c>
      <c r="M69" s="3" t="s">
        <v>18</v>
      </c>
      <c r="N69" t="b">
        <f t="shared" si="13"/>
        <v>0</v>
      </c>
      <c r="Q69" s="3">
        <f t="shared" si="14"/>
        <v>44</v>
      </c>
      <c r="R69" t="s">
        <v>210</v>
      </c>
      <c r="S69" t="s">
        <v>211</v>
      </c>
      <c r="T69" t="e">
        <f t="shared" si="15"/>
        <v>#N/A</v>
      </c>
      <c r="U69" t="s">
        <v>186</v>
      </c>
    </row>
    <row r="70" spans="1:21" x14ac:dyDescent="0.3">
      <c r="A70" t="s">
        <v>212</v>
      </c>
      <c r="B70" s="3">
        <v>229</v>
      </c>
      <c r="C70" s="3">
        <f t="shared" si="8"/>
        <v>90</v>
      </c>
      <c r="D70" s="3">
        <f t="shared" si="9"/>
        <v>2.29</v>
      </c>
      <c r="E70" s="3">
        <v>88</v>
      </c>
      <c r="F70" s="3">
        <f t="shared" si="10"/>
        <v>194.25</v>
      </c>
      <c r="G70">
        <f>IF(E70="NA",0,1*(E70/D70^2))</f>
        <v>16.780763143342039</v>
      </c>
      <c r="H70" t="b">
        <f t="shared" si="11"/>
        <v>0</v>
      </c>
      <c r="I70" s="3">
        <f t="shared" si="12"/>
        <v>11</v>
      </c>
      <c r="J70" t="s">
        <v>29</v>
      </c>
      <c r="K70" t="s">
        <v>82</v>
      </c>
      <c r="L70" t="s">
        <v>45</v>
      </c>
      <c r="M70" s="3" t="s">
        <v>18</v>
      </c>
      <c r="N70" t="b">
        <f t="shared" si="13"/>
        <v>0</v>
      </c>
      <c r="Q70" s="3">
        <f t="shared" si="14"/>
        <v>44</v>
      </c>
      <c r="R70" t="s">
        <v>86</v>
      </c>
      <c r="S70" t="s">
        <v>213</v>
      </c>
      <c r="T70" t="e">
        <f t="shared" si="15"/>
        <v>#N/A</v>
      </c>
      <c r="U70" t="s">
        <v>186</v>
      </c>
    </row>
    <row r="71" spans="1:21" x14ac:dyDescent="0.3">
      <c r="A71" t="s">
        <v>214</v>
      </c>
      <c r="B71" s="3">
        <v>213</v>
      </c>
      <c r="C71" s="3">
        <f t="shared" si="8"/>
        <v>83.5</v>
      </c>
      <c r="D71" s="3">
        <f t="shared" si="9"/>
        <v>2.13</v>
      </c>
      <c r="E71" s="3" t="s">
        <v>18</v>
      </c>
      <c r="F71" s="3" t="e">
        <f t="shared" si="10"/>
        <v>#VALUE!</v>
      </c>
      <c r="G71">
        <f>IF(E71="NA",0,1*(E71/D71^2))</f>
        <v>0</v>
      </c>
      <c r="H71" t="b">
        <f t="shared" si="11"/>
        <v>0</v>
      </c>
      <c r="I71" s="3">
        <f t="shared" si="12"/>
        <v>10</v>
      </c>
      <c r="J71" t="s">
        <v>29</v>
      </c>
      <c r="K71" t="s">
        <v>82</v>
      </c>
      <c r="L71" t="s">
        <v>45</v>
      </c>
      <c r="M71" s="3" t="s">
        <v>18</v>
      </c>
      <c r="N71" t="b">
        <f t="shared" si="13"/>
        <v>0</v>
      </c>
      <c r="Q71" s="3">
        <f t="shared" si="14"/>
        <v>44</v>
      </c>
      <c r="R71" t="s">
        <v>86</v>
      </c>
      <c r="S71" t="s">
        <v>213</v>
      </c>
      <c r="T71" t="e">
        <f t="shared" si="15"/>
        <v>#N/A</v>
      </c>
      <c r="U71" t="s">
        <v>186</v>
      </c>
    </row>
    <row r="72" spans="1:21" x14ac:dyDescent="0.3">
      <c r="A72" t="s">
        <v>215</v>
      </c>
      <c r="B72" s="3">
        <v>167</v>
      </c>
      <c r="C72" s="3">
        <f t="shared" si="8"/>
        <v>65.5</v>
      </c>
      <c r="D72" s="3">
        <f t="shared" si="9"/>
        <v>1.67</v>
      </c>
      <c r="E72" s="3" t="s">
        <v>18</v>
      </c>
      <c r="F72" s="3" t="e">
        <f t="shared" si="10"/>
        <v>#VALUE!</v>
      </c>
      <c r="G72">
        <f>IF(E72="NA",0,1*(E72/D72^2))</f>
        <v>0</v>
      </c>
      <c r="H72" t="b">
        <f t="shared" si="11"/>
        <v>0</v>
      </c>
      <c r="I72" s="3">
        <f t="shared" si="12"/>
        <v>3</v>
      </c>
      <c r="J72" t="s">
        <v>30</v>
      </c>
      <c r="K72" t="s">
        <v>12</v>
      </c>
      <c r="L72" t="s">
        <v>13</v>
      </c>
      <c r="M72" s="3" t="s">
        <v>18</v>
      </c>
      <c r="N72" t="b">
        <f t="shared" si="13"/>
        <v>0</v>
      </c>
      <c r="Q72" s="3">
        <f t="shared" si="14"/>
        <v>44</v>
      </c>
      <c r="R72" t="s">
        <v>123</v>
      </c>
      <c r="S72" t="s">
        <v>15</v>
      </c>
      <c r="T72" t="e">
        <f t="shared" si="15"/>
        <v>#N/A</v>
      </c>
      <c r="U72" t="s">
        <v>186</v>
      </c>
    </row>
    <row r="73" spans="1:21" x14ac:dyDescent="0.3">
      <c r="A73" t="s">
        <v>216</v>
      </c>
      <c r="B73" s="3">
        <v>79</v>
      </c>
      <c r="C73" s="3">
        <f t="shared" si="8"/>
        <v>31</v>
      </c>
      <c r="D73" s="3">
        <f t="shared" si="9"/>
        <v>0.79</v>
      </c>
      <c r="E73" s="3">
        <v>15</v>
      </c>
      <c r="F73" s="3">
        <f t="shared" si="10"/>
        <v>33.25</v>
      </c>
      <c r="G73">
        <f>IF(E73="NA",0,1*(E73/D73^2))</f>
        <v>24.034609838166958</v>
      </c>
      <c r="H73" t="b">
        <f t="shared" si="11"/>
        <v>0</v>
      </c>
      <c r="I73" s="3">
        <f t="shared" si="12"/>
        <v>10</v>
      </c>
      <c r="J73" t="s">
        <v>29</v>
      </c>
      <c r="K73" t="s">
        <v>217</v>
      </c>
      <c r="L73" t="s">
        <v>57</v>
      </c>
      <c r="M73" s="3" t="s">
        <v>18</v>
      </c>
      <c r="N73" t="b">
        <f t="shared" si="13"/>
        <v>0</v>
      </c>
      <c r="Q73" s="3">
        <f t="shared" si="14"/>
        <v>44</v>
      </c>
      <c r="R73" t="s">
        <v>218</v>
      </c>
      <c r="S73" t="s">
        <v>219</v>
      </c>
      <c r="T73" t="e">
        <f t="shared" si="15"/>
        <v>#N/A</v>
      </c>
      <c r="U73" t="s">
        <v>117</v>
      </c>
    </row>
    <row r="74" spans="1:21" x14ac:dyDescent="0.3">
      <c r="A74" t="s">
        <v>220</v>
      </c>
      <c r="B74" s="3">
        <v>96</v>
      </c>
      <c r="C74" s="3">
        <f t="shared" si="8"/>
        <v>37.5</v>
      </c>
      <c r="D74" s="3">
        <f t="shared" si="9"/>
        <v>0.96</v>
      </c>
      <c r="E74" s="3" t="s">
        <v>18</v>
      </c>
      <c r="F74" s="3" t="e">
        <f t="shared" si="10"/>
        <v>#VALUE!</v>
      </c>
      <c r="G74">
        <f>IF(E74="NA",0,1*(E74/D74^2))</f>
        <v>0</v>
      </c>
      <c r="H74" t="b">
        <f t="shared" si="11"/>
        <v>0</v>
      </c>
      <c r="I74" s="3">
        <f t="shared" si="12"/>
        <v>8</v>
      </c>
      <c r="J74" t="s">
        <v>29</v>
      </c>
      <c r="K74" t="s">
        <v>221</v>
      </c>
      <c r="L74" t="s">
        <v>222</v>
      </c>
      <c r="M74" s="3" t="s">
        <v>18</v>
      </c>
      <c r="N74" t="b">
        <f t="shared" si="13"/>
        <v>0</v>
      </c>
      <c r="Q74" s="3">
        <f t="shared" si="14"/>
        <v>44</v>
      </c>
      <c r="R74" t="s">
        <v>18</v>
      </c>
      <c r="S74" t="s">
        <v>18</v>
      </c>
      <c r="T74" t="str">
        <f t="shared" si="15"/>
        <v>Attack of the Clones</v>
      </c>
      <c r="U74" t="s">
        <v>192</v>
      </c>
    </row>
    <row r="75" spans="1:21" x14ac:dyDescent="0.3">
      <c r="A75" t="s">
        <v>223</v>
      </c>
      <c r="B75" s="3">
        <v>193</v>
      </c>
      <c r="C75" s="3">
        <f t="shared" si="8"/>
        <v>75.5</v>
      </c>
      <c r="D75" s="3">
        <f t="shared" si="9"/>
        <v>1.93</v>
      </c>
      <c r="E75" s="3">
        <v>48</v>
      </c>
      <c r="F75" s="3">
        <f t="shared" si="10"/>
        <v>106</v>
      </c>
      <c r="G75">
        <f>IF(E75="NA",0,1*(E75/D75^2))</f>
        <v>12.886251979918924</v>
      </c>
      <c r="H75" t="b">
        <f t="shared" si="11"/>
        <v>0</v>
      </c>
      <c r="I75" s="3">
        <f t="shared" si="12"/>
        <v>9</v>
      </c>
      <c r="J75" t="s">
        <v>29</v>
      </c>
      <c r="K75" t="s">
        <v>224</v>
      </c>
      <c r="L75" t="s">
        <v>57</v>
      </c>
      <c r="M75" s="3" t="s">
        <v>18</v>
      </c>
      <c r="N75" t="b">
        <f t="shared" si="13"/>
        <v>0</v>
      </c>
      <c r="Q75" s="3">
        <f t="shared" si="14"/>
        <v>44</v>
      </c>
      <c r="R75" t="s">
        <v>225</v>
      </c>
      <c r="S75" t="s">
        <v>226</v>
      </c>
      <c r="T75" t="e">
        <f t="shared" si="15"/>
        <v>#N/A</v>
      </c>
      <c r="U75" t="s">
        <v>186</v>
      </c>
    </row>
    <row r="76" spans="1:21" x14ac:dyDescent="0.3">
      <c r="A76" t="s">
        <v>227</v>
      </c>
      <c r="B76" s="3">
        <v>191</v>
      </c>
      <c r="C76" s="3">
        <f t="shared" si="8"/>
        <v>75</v>
      </c>
      <c r="D76" s="3">
        <f t="shared" si="9"/>
        <v>1.91</v>
      </c>
      <c r="E76" s="3" t="s">
        <v>18</v>
      </c>
      <c r="F76" s="3" t="e">
        <f t="shared" si="10"/>
        <v>#VALUE!</v>
      </c>
      <c r="G76">
        <f>IF(E76="NA",0,1*(E76/D76^2))</f>
        <v>0</v>
      </c>
      <c r="H76" t="b">
        <f t="shared" si="11"/>
        <v>0</v>
      </c>
      <c r="I76" s="3">
        <f t="shared" si="12"/>
        <v>5</v>
      </c>
      <c r="J76" t="s">
        <v>29</v>
      </c>
      <c r="K76" t="s">
        <v>82</v>
      </c>
      <c r="L76" t="s">
        <v>19</v>
      </c>
      <c r="M76" s="3" t="s">
        <v>18</v>
      </c>
      <c r="N76" t="b">
        <f t="shared" si="13"/>
        <v>0</v>
      </c>
      <c r="Q76" s="3">
        <f t="shared" si="14"/>
        <v>44</v>
      </c>
      <c r="R76" t="s">
        <v>228</v>
      </c>
      <c r="S76" t="s">
        <v>229</v>
      </c>
      <c r="T76" t="e">
        <f t="shared" si="15"/>
        <v>#N/A</v>
      </c>
      <c r="U76" t="s">
        <v>186</v>
      </c>
    </row>
    <row r="77" spans="1:21" x14ac:dyDescent="0.3">
      <c r="A77" t="s">
        <v>230</v>
      </c>
      <c r="B77" s="3">
        <v>178</v>
      </c>
      <c r="C77" s="3">
        <f t="shared" si="8"/>
        <v>70</v>
      </c>
      <c r="D77" s="3">
        <f t="shared" si="9"/>
        <v>1.78</v>
      </c>
      <c r="E77" s="3">
        <v>57</v>
      </c>
      <c r="F77" s="3">
        <f t="shared" si="10"/>
        <v>125.75</v>
      </c>
      <c r="G77">
        <f>IF(E77="NA",0,1*(E77/D77^2))</f>
        <v>17.99015275849009</v>
      </c>
      <c r="H77" t="b">
        <f t="shared" si="11"/>
        <v>0</v>
      </c>
      <c r="I77" s="3">
        <f t="shared" si="12"/>
        <v>1</v>
      </c>
      <c r="J77" t="s">
        <v>29</v>
      </c>
      <c r="K77" t="s">
        <v>231</v>
      </c>
      <c r="L77" t="s">
        <v>45</v>
      </c>
      <c r="M77" s="3" t="s">
        <v>18</v>
      </c>
      <c r="N77" t="b">
        <f t="shared" si="13"/>
        <v>0</v>
      </c>
      <c r="Q77" s="3">
        <f t="shared" si="14"/>
        <v>44</v>
      </c>
      <c r="R77" t="s">
        <v>232</v>
      </c>
      <c r="S77" t="s">
        <v>233</v>
      </c>
      <c r="T77" t="str">
        <f t="shared" si="15"/>
        <v>Attack of the Clones</v>
      </c>
      <c r="U77" t="s">
        <v>192</v>
      </c>
    </row>
    <row r="78" spans="1:21" x14ac:dyDescent="0.3">
      <c r="A78" t="s">
        <v>234</v>
      </c>
      <c r="B78" s="3">
        <v>216</v>
      </c>
      <c r="C78" s="3">
        <f t="shared" si="8"/>
        <v>85</v>
      </c>
      <c r="D78" s="3">
        <f t="shared" si="9"/>
        <v>2.16</v>
      </c>
      <c r="E78" s="3">
        <v>159</v>
      </c>
      <c r="F78" s="3">
        <f t="shared" si="10"/>
        <v>350.75</v>
      </c>
      <c r="G78">
        <f>IF(E78="NA",0,1*(E78/D78^2))</f>
        <v>34.079218106995881</v>
      </c>
      <c r="H78" t="b">
        <f t="shared" si="11"/>
        <v>1</v>
      </c>
      <c r="I78" s="3">
        <f t="shared" si="12"/>
        <v>2</v>
      </c>
      <c r="J78" t="s">
        <v>29</v>
      </c>
      <c r="K78" t="s">
        <v>235</v>
      </c>
      <c r="L78" t="s">
        <v>236</v>
      </c>
      <c r="M78" s="3" t="s">
        <v>18</v>
      </c>
      <c r="N78" t="b">
        <f t="shared" si="13"/>
        <v>0</v>
      </c>
      <c r="Q78" s="3">
        <f t="shared" si="14"/>
        <v>44</v>
      </c>
      <c r="R78" t="s">
        <v>237</v>
      </c>
      <c r="S78" t="s">
        <v>238</v>
      </c>
      <c r="T78" t="e">
        <f t="shared" si="15"/>
        <v>#N/A</v>
      </c>
      <c r="U78" t="s">
        <v>239</v>
      </c>
    </row>
    <row r="79" spans="1:21" x14ac:dyDescent="0.3">
      <c r="A79" t="s">
        <v>240</v>
      </c>
      <c r="B79" s="3">
        <v>234</v>
      </c>
      <c r="C79" s="3">
        <f t="shared" si="8"/>
        <v>92</v>
      </c>
      <c r="D79" s="3">
        <f t="shared" si="9"/>
        <v>2.34</v>
      </c>
      <c r="E79" s="3">
        <v>136</v>
      </c>
      <c r="F79" s="3">
        <f t="shared" si="10"/>
        <v>300</v>
      </c>
      <c r="G79">
        <f>IF(E79="NA",0,1*(E79/D79^2))</f>
        <v>24.837460734896638</v>
      </c>
      <c r="H79" t="b">
        <f t="shared" si="11"/>
        <v>0</v>
      </c>
      <c r="I79" s="3">
        <f t="shared" si="12"/>
        <v>2</v>
      </c>
      <c r="J79" t="s">
        <v>33</v>
      </c>
      <c r="K79" t="s">
        <v>33</v>
      </c>
      <c r="L79" t="s">
        <v>13</v>
      </c>
      <c r="M79" s="3" t="s">
        <v>18</v>
      </c>
      <c r="N79" t="b">
        <f t="shared" si="13"/>
        <v>0</v>
      </c>
      <c r="Q79" s="3">
        <f t="shared" si="14"/>
        <v>44</v>
      </c>
      <c r="R79" t="s">
        <v>58</v>
      </c>
      <c r="S79" t="s">
        <v>59</v>
      </c>
      <c r="T79" t="e">
        <f t="shared" si="15"/>
        <v>#N/A</v>
      </c>
      <c r="U79" t="s">
        <v>239</v>
      </c>
    </row>
    <row r="80" spans="1:21" x14ac:dyDescent="0.3">
      <c r="A80" t="s">
        <v>241</v>
      </c>
      <c r="B80" s="3">
        <v>188</v>
      </c>
      <c r="C80" s="3">
        <f t="shared" si="8"/>
        <v>74</v>
      </c>
      <c r="D80" s="3">
        <f t="shared" si="9"/>
        <v>1.88</v>
      </c>
      <c r="E80" s="3">
        <v>79</v>
      </c>
      <c r="F80" s="3">
        <f t="shared" si="10"/>
        <v>174.25</v>
      </c>
      <c r="G80">
        <f>IF(E80="NA",0,1*(E80/D80^2))</f>
        <v>22.351742870076958</v>
      </c>
      <c r="H80" t="b">
        <f t="shared" si="11"/>
        <v>0</v>
      </c>
      <c r="I80" s="3">
        <f t="shared" si="12"/>
        <v>4</v>
      </c>
      <c r="J80" t="s">
        <v>33</v>
      </c>
      <c r="K80" t="s">
        <v>34</v>
      </c>
      <c r="L80" t="s">
        <v>33</v>
      </c>
      <c r="M80" s="3" t="s">
        <v>18</v>
      </c>
      <c r="N80" t="b">
        <f t="shared" si="13"/>
        <v>0</v>
      </c>
      <c r="Q80" s="3">
        <f t="shared" si="14"/>
        <v>44</v>
      </c>
      <c r="R80" t="s">
        <v>35</v>
      </c>
      <c r="S80" t="s">
        <v>15</v>
      </c>
      <c r="T80" t="str">
        <f t="shared" si="15"/>
        <v>Revenge of the Sith</v>
      </c>
      <c r="U80" t="s">
        <v>55</v>
      </c>
    </row>
    <row r="81" spans="1:21" x14ac:dyDescent="0.3">
      <c r="A81" t="s">
        <v>242</v>
      </c>
      <c r="B81" s="3">
        <v>178</v>
      </c>
      <c r="C81" s="3">
        <f t="shared" si="8"/>
        <v>70</v>
      </c>
      <c r="D81" s="3">
        <f t="shared" si="9"/>
        <v>1.78</v>
      </c>
      <c r="E81" s="3">
        <v>48</v>
      </c>
      <c r="F81" s="3">
        <f t="shared" si="10"/>
        <v>106</v>
      </c>
      <c r="G81">
        <f>IF(E81="NA",0,1*(E81/D81^2))</f>
        <v>15.149602322939023</v>
      </c>
      <c r="H81" t="b">
        <f t="shared" si="11"/>
        <v>0</v>
      </c>
      <c r="I81" s="3">
        <f t="shared" si="12"/>
        <v>1</v>
      </c>
      <c r="J81" t="s">
        <v>29</v>
      </c>
      <c r="K81" t="s">
        <v>83</v>
      </c>
      <c r="L81" t="s">
        <v>30</v>
      </c>
      <c r="M81" s="3" t="s">
        <v>18</v>
      </c>
      <c r="N81" t="b">
        <f t="shared" si="13"/>
        <v>0</v>
      </c>
      <c r="Q81" s="3">
        <f t="shared" si="14"/>
        <v>44</v>
      </c>
      <c r="R81" t="s">
        <v>243</v>
      </c>
      <c r="S81" t="s">
        <v>18</v>
      </c>
      <c r="T81" t="str">
        <f t="shared" si="15"/>
        <v>Attack of the Clones</v>
      </c>
      <c r="U81" t="s">
        <v>192</v>
      </c>
    </row>
    <row r="82" spans="1:21" x14ac:dyDescent="0.3">
      <c r="A82" t="s">
        <v>244</v>
      </c>
      <c r="B82" s="3">
        <v>206</v>
      </c>
      <c r="C82" s="3">
        <f t="shared" si="8"/>
        <v>81</v>
      </c>
      <c r="D82" s="3">
        <f t="shared" si="9"/>
        <v>2.06</v>
      </c>
      <c r="E82" s="3">
        <v>80</v>
      </c>
      <c r="F82" s="3">
        <f t="shared" si="10"/>
        <v>176.5</v>
      </c>
      <c r="G82">
        <f>IF(E82="NA",0,1*(E82/D82^2))</f>
        <v>18.851918182675089</v>
      </c>
      <c r="H82" t="b">
        <f t="shared" si="11"/>
        <v>0</v>
      </c>
      <c r="I82" s="3">
        <f t="shared" si="12"/>
        <v>3</v>
      </c>
      <c r="J82" t="s">
        <v>29</v>
      </c>
      <c r="K82" t="s">
        <v>82</v>
      </c>
      <c r="L82" t="s">
        <v>45</v>
      </c>
      <c r="M82" s="3" t="s">
        <v>18</v>
      </c>
      <c r="N82" t="b">
        <f t="shared" si="13"/>
        <v>0</v>
      </c>
      <c r="Q82" s="3">
        <f t="shared" si="14"/>
        <v>44</v>
      </c>
      <c r="R82" t="s">
        <v>245</v>
      </c>
      <c r="S82" t="s">
        <v>246</v>
      </c>
      <c r="T82" t="e">
        <f t="shared" si="15"/>
        <v>#N/A</v>
      </c>
      <c r="U82" t="s">
        <v>239</v>
      </c>
    </row>
    <row r="83" spans="1:21" x14ac:dyDescent="0.3">
      <c r="A83" t="s">
        <v>247</v>
      </c>
      <c r="B83" s="3" t="s">
        <v>18</v>
      </c>
      <c r="C83" s="3" t="e">
        <f t="shared" si="8"/>
        <v>#VALUE!</v>
      </c>
      <c r="D83" s="3" t="e">
        <f t="shared" si="9"/>
        <v>#VALUE!</v>
      </c>
      <c r="E83" s="3" t="s">
        <v>18</v>
      </c>
      <c r="F83" s="3" t="e">
        <f t="shared" si="10"/>
        <v>#VALUE!</v>
      </c>
      <c r="G83">
        <f>IF(E83="NA",0,1*(E83/D83^2))</f>
        <v>0</v>
      </c>
      <c r="H83" t="b">
        <f t="shared" si="11"/>
        <v>0</v>
      </c>
      <c r="I83" s="3">
        <f t="shared" si="12"/>
        <v>2</v>
      </c>
      <c r="J83" t="s">
        <v>45</v>
      </c>
      <c r="K83" t="s">
        <v>95</v>
      </c>
      <c r="L83" t="s">
        <v>95</v>
      </c>
      <c r="M83" s="3" t="s">
        <v>18</v>
      </c>
      <c r="N83" t="b">
        <f t="shared" si="13"/>
        <v>0</v>
      </c>
      <c r="Q83" s="3">
        <f t="shared" si="14"/>
        <v>44</v>
      </c>
      <c r="R83" t="s">
        <v>18</v>
      </c>
      <c r="S83" t="s">
        <v>15</v>
      </c>
      <c r="T83" t="e">
        <f t="shared" si="15"/>
        <v>#N/A</v>
      </c>
      <c r="U83" t="s">
        <v>248</v>
      </c>
    </row>
    <row r="84" spans="1:21" x14ac:dyDescent="0.3">
      <c r="A84" t="s">
        <v>249</v>
      </c>
      <c r="B84" s="3" t="s">
        <v>18</v>
      </c>
      <c r="C84" s="3" t="e">
        <f t="shared" si="8"/>
        <v>#VALUE!</v>
      </c>
      <c r="D84" s="3" t="e">
        <f t="shared" si="9"/>
        <v>#VALUE!</v>
      </c>
      <c r="E84" s="3" t="s">
        <v>18</v>
      </c>
      <c r="F84" s="3" t="e">
        <f t="shared" si="10"/>
        <v>#VALUE!</v>
      </c>
      <c r="G84">
        <f>IF(E84="NA",0,1*(E84/D84^2))</f>
        <v>0</v>
      </c>
      <c r="H84" t="b">
        <f t="shared" si="11"/>
        <v>0</v>
      </c>
      <c r="I84" s="3">
        <f t="shared" si="12"/>
        <v>2</v>
      </c>
      <c r="J84" t="s">
        <v>33</v>
      </c>
      <c r="K84" t="s">
        <v>34</v>
      </c>
      <c r="L84" t="s">
        <v>74</v>
      </c>
      <c r="M84" s="3" t="s">
        <v>18</v>
      </c>
      <c r="N84" t="b">
        <f t="shared" si="13"/>
        <v>0</v>
      </c>
      <c r="Q84" s="3">
        <f t="shared" si="14"/>
        <v>44</v>
      </c>
      <c r="R84" t="s">
        <v>18</v>
      </c>
      <c r="S84" t="s">
        <v>15</v>
      </c>
      <c r="T84" t="e">
        <f t="shared" si="15"/>
        <v>#N/A</v>
      </c>
      <c r="U84" t="s">
        <v>248</v>
      </c>
    </row>
    <row r="85" spans="1:21" x14ac:dyDescent="0.3">
      <c r="A85" t="s">
        <v>250</v>
      </c>
      <c r="B85" s="3" t="s">
        <v>18</v>
      </c>
      <c r="C85" s="3" t="e">
        <f t="shared" si="8"/>
        <v>#VALUE!</v>
      </c>
      <c r="D85" s="3" t="e">
        <f t="shared" si="9"/>
        <v>#VALUE!</v>
      </c>
      <c r="E85" s="3" t="s">
        <v>18</v>
      </c>
      <c r="F85" s="3" t="e">
        <f t="shared" si="10"/>
        <v>#VALUE!</v>
      </c>
      <c r="G85">
        <f>IF(E85="NA",0,1*(E85/D85^2))</f>
        <v>0</v>
      </c>
      <c r="H85" t="b">
        <f t="shared" si="11"/>
        <v>0</v>
      </c>
      <c r="I85" s="3">
        <f t="shared" si="12"/>
        <v>2</v>
      </c>
      <c r="J85" t="s">
        <v>33</v>
      </c>
      <c r="K85" t="s">
        <v>34</v>
      </c>
      <c r="L85" t="s">
        <v>33</v>
      </c>
      <c r="M85" s="3" t="s">
        <v>18</v>
      </c>
      <c r="N85" t="b">
        <f t="shared" si="13"/>
        <v>0</v>
      </c>
      <c r="Q85" s="3">
        <f t="shared" si="14"/>
        <v>44</v>
      </c>
      <c r="R85" t="s">
        <v>18</v>
      </c>
      <c r="S85" t="s">
        <v>15</v>
      </c>
      <c r="T85" t="e">
        <f t="shared" si="15"/>
        <v>#N/A</v>
      </c>
      <c r="U85" t="s">
        <v>248</v>
      </c>
    </row>
    <row r="86" spans="1:21" x14ac:dyDescent="0.3">
      <c r="A86" t="s">
        <v>251</v>
      </c>
      <c r="B86" s="3" t="s">
        <v>18</v>
      </c>
      <c r="C86" s="3" t="e">
        <f t="shared" si="8"/>
        <v>#VALUE!</v>
      </c>
      <c r="D86" s="3" t="e">
        <f t="shared" si="9"/>
        <v>#VALUE!</v>
      </c>
      <c r="E86" s="3" t="s">
        <v>18</v>
      </c>
      <c r="F86" s="3" t="e">
        <f t="shared" si="10"/>
        <v>#VALUE!</v>
      </c>
      <c r="G86">
        <f>IF(E86="NA",0,1*(E86/D86^2))</f>
        <v>0</v>
      </c>
      <c r="H86" t="b">
        <f t="shared" si="11"/>
        <v>0</v>
      </c>
      <c r="I86" s="3">
        <f t="shared" si="12"/>
        <v>2</v>
      </c>
      <c r="J86" t="s">
        <v>29</v>
      </c>
      <c r="K86" t="s">
        <v>29</v>
      </c>
      <c r="L86" t="s">
        <v>45</v>
      </c>
      <c r="M86" s="3" t="s">
        <v>18</v>
      </c>
      <c r="N86" t="b">
        <f t="shared" si="13"/>
        <v>0</v>
      </c>
      <c r="Q86" s="3">
        <f t="shared" si="14"/>
        <v>44</v>
      </c>
      <c r="R86" t="s">
        <v>18</v>
      </c>
      <c r="S86" t="s">
        <v>21</v>
      </c>
      <c r="T86" t="e">
        <f t="shared" si="15"/>
        <v>#N/A</v>
      </c>
      <c r="U86" t="s">
        <v>248</v>
      </c>
    </row>
    <row r="87" spans="1:21" x14ac:dyDescent="0.3">
      <c r="A87" t="s">
        <v>252</v>
      </c>
      <c r="B87" s="3" t="s">
        <v>18</v>
      </c>
      <c r="C87" s="3" t="e">
        <f t="shared" si="8"/>
        <v>#VALUE!</v>
      </c>
      <c r="D87" s="3" t="e">
        <f t="shared" si="9"/>
        <v>#VALUE!</v>
      </c>
      <c r="E87" s="3" t="s">
        <v>18</v>
      </c>
      <c r="F87" s="3" t="e">
        <f t="shared" si="10"/>
        <v>#VALUE!</v>
      </c>
      <c r="G87">
        <f>IF(E87="NA",0,1*(E87/D87^2))</f>
        <v>0</v>
      </c>
      <c r="H87" t="b">
        <f t="shared" si="11"/>
        <v>0</v>
      </c>
      <c r="I87" s="3">
        <f t="shared" si="12"/>
        <v>1</v>
      </c>
      <c r="J87" t="s">
        <v>57</v>
      </c>
      <c r="K87" t="s">
        <v>57</v>
      </c>
      <c r="L87" t="s">
        <v>57</v>
      </c>
      <c r="M87" s="3" t="s">
        <v>18</v>
      </c>
      <c r="N87" t="b">
        <f t="shared" si="13"/>
        <v>0</v>
      </c>
      <c r="Q87" s="3">
        <f t="shared" si="14"/>
        <v>44</v>
      </c>
      <c r="R87" t="s">
        <v>18</v>
      </c>
      <c r="S87" t="s">
        <v>18</v>
      </c>
      <c r="T87" t="e">
        <f t="shared" si="15"/>
        <v>#N/A</v>
      </c>
      <c r="U87" t="s">
        <v>248</v>
      </c>
    </row>
    <row r="88" spans="1:21" x14ac:dyDescent="0.3">
      <c r="A88" t="s">
        <v>253</v>
      </c>
      <c r="B88" s="3">
        <v>165</v>
      </c>
      <c r="C88" s="3">
        <f t="shared" si="8"/>
        <v>64.5</v>
      </c>
      <c r="D88" s="3">
        <f t="shared" si="9"/>
        <v>1.65</v>
      </c>
      <c r="E88" s="3">
        <v>45</v>
      </c>
      <c r="F88" s="3">
        <f t="shared" si="10"/>
        <v>99.25</v>
      </c>
      <c r="G88">
        <f>IF(E88="NA",0,1*(E88/D88^2))</f>
        <v>16.528925619834713</v>
      </c>
      <c r="H88" t="b">
        <f t="shared" si="11"/>
        <v>0</v>
      </c>
      <c r="I88" s="3" t="e">
        <f t="shared" si="12"/>
        <v>#N/A</v>
      </c>
      <c r="J88" t="s">
        <v>33</v>
      </c>
      <c r="K88" t="s">
        <v>34</v>
      </c>
      <c r="L88" t="s">
        <v>33</v>
      </c>
      <c r="M88" s="3">
        <v>46</v>
      </c>
      <c r="N88" t="b">
        <f t="shared" si="13"/>
        <v>1</v>
      </c>
      <c r="Q88" s="3">
        <f t="shared" si="14"/>
        <v>44</v>
      </c>
      <c r="R88" t="s">
        <v>26</v>
      </c>
      <c r="S88" t="s">
        <v>15</v>
      </c>
      <c r="T88" t="str">
        <f t="shared" si="15"/>
        <v>Attack of the Clones</v>
      </c>
      <c r="U88" t="s">
        <v>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9AD6C-192F-4898-AF47-D19C02D8C3A5}">
  <dimension ref="A1:B10"/>
  <sheetViews>
    <sheetView workbookViewId="0">
      <selection activeCell="B35" sqref="B35"/>
    </sheetView>
  </sheetViews>
  <sheetFormatPr defaultRowHeight="15.6" x14ac:dyDescent="0.3"/>
  <cols>
    <col min="1" max="1" width="10.5" bestFit="1" customWidth="1"/>
    <col min="2" max="2" width="27.5" bestFit="1" customWidth="1"/>
  </cols>
  <sheetData>
    <row r="1" spans="1:2" x14ac:dyDescent="0.3">
      <c r="A1" s="1" t="s">
        <v>0</v>
      </c>
      <c r="B1" s="2" t="s">
        <v>254</v>
      </c>
    </row>
    <row r="2" spans="1:2" x14ac:dyDescent="0.3">
      <c r="A2" s="1" t="s">
        <v>1</v>
      </c>
      <c r="B2" s="2" t="s">
        <v>255</v>
      </c>
    </row>
    <row r="3" spans="1:2" x14ac:dyDescent="0.3">
      <c r="A3" s="1" t="s">
        <v>2</v>
      </c>
      <c r="B3" s="2" t="s">
        <v>256</v>
      </c>
    </row>
    <row r="4" spans="1:2" x14ac:dyDescent="0.3">
      <c r="A4" s="1" t="s">
        <v>3</v>
      </c>
      <c r="B4" s="2" t="s">
        <v>257</v>
      </c>
    </row>
    <row r="5" spans="1:2" x14ac:dyDescent="0.3">
      <c r="A5" s="1" t="s">
        <v>4</v>
      </c>
      <c r="B5" s="2" t="s">
        <v>258</v>
      </c>
    </row>
    <row r="6" spans="1:2" x14ac:dyDescent="0.3">
      <c r="A6" s="1" t="s">
        <v>5</v>
      </c>
      <c r="B6" s="2" t="s">
        <v>259</v>
      </c>
    </row>
    <row r="7" spans="1:2" x14ac:dyDescent="0.3">
      <c r="A7" s="1" t="s">
        <v>6</v>
      </c>
      <c r="B7" s="2" t="s">
        <v>260</v>
      </c>
    </row>
    <row r="8" spans="1:2" x14ac:dyDescent="0.3">
      <c r="A8" s="1" t="s">
        <v>7</v>
      </c>
      <c r="B8" s="2" t="s">
        <v>261</v>
      </c>
    </row>
    <row r="9" spans="1:2" x14ac:dyDescent="0.3">
      <c r="A9" s="1" t="s">
        <v>8</v>
      </c>
      <c r="B9" s="2" t="s">
        <v>262</v>
      </c>
    </row>
    <row r="10" spans="1:2" x14ac:dyDescent="0.3">
      <c r="A10" s="1" t="s">
        <v>9</v>
      </c>
      <c r="B10" s="2" t="s">
        <v>263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starwars</vt:lpstr>
      <vt:lpstr>data_dictionary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Mary van Valkenburg</dc:creator>
  <cp:keywords/>
  <dc:description/>
  <cp:lastModifiedBy>Michelle Ruppert</cp:lastModifiedBy>
  <cp:revision/>
  <dcterms:created xsi:type="dcterms:W3CDTF">2020-02-17T22:11:26Z</dcterms:created>
  <dcterms:modified xsi:type="dcterms:W3CDTF">2026-01-14T20:22:42Z</dcterms:modified>
  <cp:category/>
  <cp:contentStatus/>
</cp:coreProperties>
</file>