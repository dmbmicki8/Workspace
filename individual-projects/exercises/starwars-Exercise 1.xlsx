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ki\workspace\excel\individual-projects\exercises\"/>
    </mc:Choice>
  </mc:AlternateContent>
  <xr:revisionPtr revIDLastSave="0" documentId="13_ncr:1_{EC9923E3-9372-4D7D-B858-1240C4A9318C}" xr6:coauthVersionLast="47" xr6:coauthVersionMax="47" xr10:uidLastSave="{00000000-0000-0000-0000-000000000000}"/>
  <bookViews>
    <workbookView xWindow="28680" yWindow="-1830" windowWidth="29040" windowHeight="15720" xr2:uid="{00000000-000D-0000-FFFF-FFFF00000000}"/>
  </bookViews>
  <sheets>
    <sheet name="starwars" sheetId="1" r:id="rId1"/>
    <sheet name="Sheet1" sheetId="3" r:id="rId2"/>
    <sheet name="data_dictionar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3" l="1"/>
  <c r="E93" i="3"/>
  <c r="H93" i="3"/>
  <c r="F84" i="3"/>
  <c r="F93" i="3"/>
  <c r="G93" i="3"/>
  <c r="H84" i="3"/>
  <c r="G84" i="3"/>
  <c r="E86" i="3"/>
  <c r="A2" i="3" a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19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2" i="1"/>
  <c r="H2" i="1"/>
  <c r="J88" i="1"/>
  <c r="C88" i="1"/>
  <c r="D88" i="1"/>
  <c r="G88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G34" i="1"/>
  <c r="G37" i="1"/>
  <c r="G38" i="1"/>
  <c r="G39" i="1"/>
  <c r="G41" i="1"/>
  <c r="G42" i="1"/>
  <c r="G44" i="1"/>
  <c r="G47" i="1"/>
  <c r="G52" i="1"/>
  <c r="G54" i="1"/>
  <c r="G55" i="1"/>
  <c r="G57" i="1"/>
  <c r="G59" i="1"/>
  <c r="G60" i="1"/>
  <c r="G64" i="1"/>
  <c r="G66" i="1"/>
  <c r="G71" i="1"/>
  <c r="G72" i="1"/>
  <c r="G74" i="1"/>
  <c r="G76" i="1"/>
  <c r="G83" i="1"/>
  <c r="G84" i="1"/>
  <c r="G85" i="1"/>
  <c r="G86" i="1"/>
  <c r="G87" i="1"/>
  <c r="G28" i="1"/>
  <c r="G29" i="1"/>
  <c r="G13" i="1"/>
  <c r="D3" i="1"/>
  <c r="G3" i="1" s="1"/>
  <c r="D4" i="1"/>
  <c r="G4" i="1" s="1"/>
  <c r="D5" i="1"/>
  <c r="G5" i="1" s="1"/>
  <c r="D6" i="1"/>
  <c r="G6" i="1" s="1"/>
  <c r="D7" i="1"/>
  <c r="G7" i="1" s="1"/>
  <c r="D8" i="1"/>
  <c r="G8" i="1" s="1"/>
  <c r="D9" i="1"/>
  <c r="G9" i="1" s="1"/>
  <c r="D10" i="1"/>
  <c r="G10" i="1" s="1"/>
  <c r="D11" i="1"/>
  <c r="G11" i="1" s="1"/>
  <c r="D12" i="1"/>
  <c r="G12" i="1" s="1"/>
  <c r="D13" i="1"/>
  <c r="D14" i="1"/>
  <c r="G14" i="1" s="1"/>
  <c r="D15" i="1"/>
  <c r="G15" i="1" s="1"/>
  <c r="D16" i="1"/>
  <c r="G16" i="1" s="1"/>
  <c r="D17" i="1"/>
  <c r="G17" i="1" s="1"/>
  <c r="D18" i="1"/>
  <c r="G18" i="1" s="1"/>
  <c r="D19" i="1"/>
  <c r="G19" i="1" s="1"/>
  <c r="D20" i="1"/>
  <c r="G20" i="1" s="1"/>
  <c r="D21" i="1"/>
  <c r="G21" i="1" s="1"/>
  <c r="D22" i="1"/>
  <c r="G22" i="1" s="1"/>
  <c r="D23" i="1"/>
  <c r="G23" i="1" s="1"/>
  <c r="D24" i="1"/>
  <c r="G24" i="1" s="1"/>
  <c r="D25" i="1"/>
  <c r="G25" i="1" s="1"/>
  <c r="D26" i="1"/>
  <c r="G26" i="1" s="1"/>
  <c r="D27" i="1"/>
  <c r="G27" i="1" s="1"/>
  <c r="D28" i="1"/>
  <c r="D30" i="1"/>
  <c r="G30" i="1" s="1"/>
  <c r="D31" i="1"/>
  <c r="G31" i="1" s="1"/>
  <c r="D32" i="1"/>
  <c r="G32" i="1" s="1"/>
  <c r="D33" i="1"/>
  <c r="G33" i="1" s="1"/>
  <c r="D34" i="1"/>
  <c r="D35" i="1"/>
  <c r="G35" i="1" s="1"/>
  <c r="D36" i="1"/>
  <c r="G36" i="1" s="1"/>
  <c r="D37" i="1"/>
  <c r="D38" i="1"/>
  <c r="D39" i="1"/>
  <c r="D40" i="1"/>
  <c r="G40" i="1" s="1"/>
  <c r="D41" i="1"/>
  <c r="D42" i="1"/>
  <c r="D43" i="1"/>
  <c r="G43" i="1" s="1"/>
  <c r="D44" i="1"/>
  <c r="D45" i="1"/>
  <c r="G45" i="1" s="1"/>
  <c r="D46" i="1"/>
  <c r="G46" i="1" s="1"/>
  <c r="D47" i="1"/>
  <c r="D48" i="1"/>
  <c r="G48" i="1" s="1"/>
  <c r="D49" i="1"/>
  <c r="G49" i="1" s="1"/>
  <c r="D50" i="1"/>
  <c r="G50" i="1" s="1"/>
  <c r="D51" i="1"/>
  <c r="G51" i="1" s="1"/>
  <c r="D52" i="1"/>
  <c r="D53" i="1"/>
  <c r="G53" i="1" s="1"/>
  <c r="D54" i="1"/>
  <c r="D55" i="1"/>
  <c r="D56" i="1"/>
  <c r="G56" i="1" s="1"/>
  <c r="D57" i="1"/>
  <c r="D58" i="1"/>
  <c r="G58" i="1" s="1"/>
  <c r="D59" i="1"/>
  <c r="D60" i="1"/>
  <c r="D61" i="1"/>
  <c r="G61" i="1" s="1"/>
  <c r="D62" i="1"/>
  <c r="G62" i="1" s="1"/>
  <c r="D63" i="1"/>
  <c r="G63" i="1" s="1"/>
  <c r="D64" i="1"/>
  <c r="D65" i="1"/>
  <c r="G65" i="1" s="1"/>
  <c r="D66" i="1"/>
  <c r="D67" i="1"/>
  <c r="G67" i="1" s="1"/>
  <c r="D68" i="1"/>
  <c r="G68" i="1" s="1"/>
  <c r="D69" i="1"/>
  <c r="G69" i="1" s="1"/>
  <c r="D70" i="1"/>
  <c r="G70" i="1" s="1"/>
  <c r="D71" i="1"/>
  <c r="D72" i="1"/>
  <c r="D73" i="1"/>
  <c r="G73" i="1" s="1"/>
  <c r="D74" i="1"/>
  <c r="D75" i="1"/>
  <c r="G75" i="1" s="1"/>
  <c r="D76" i="1"/>
  <c r="D77" i="1"/>
  <c r="G77" i="1" s="1"/>
  <c r="D78" i="1"/>
  <c r="G78" i="1" s="1"/>
  <c r="D79" i="1"/>
  <c r="G79" i="1" s="1"/>
  <c r="D80" i="1"/>
  <c r="G80" i="1" s="1"/>
  <c r="D81" i="1"/>
  <c r="G81" i="1" s="1"/>
  <c r="D82" i="1"/>
  <c r="G82" i="1" s="1"/>
  <c r="D2" i="1"/>
  <c r="G2" i="1" s="1"/>
  <c r="D84" i="3" l="1"/>
  <c r="B85" i="3"/>
  <c r="C85" i="3"/>
  <c r="B84" i="3"/>
  <c r="B86" i="3" s="1"/>
  <c r="G2" i="3" a="1"/>
  <c r="H2" i="3" a="1"/>
  <c r="H2" i="3" s="1"/>
  <c r="F2" i="3" a="1"/>
  <c r="D85" i="3"/>
  <c r="C84" i="3"/>
  <c r="C86" i="3" s="1"/>
  <c r="A2" i="3"/>
  <c r="J69" i="1"/>
  <c r="J75" i="1"/>
  <c r="J82" i="1"/>
  <c r="J83" i="1"/>
  <c r="J84" i="1"/>
  <c r="J85" i="1"/>
  <c r="J86" i="1"/>
  <c r="J66" i="1"/>
  <c r="J68" i="1"/>
  <c r="J72" i="1"/>
  <c r="J4" i="1"/>
  <c r="I33" i="1"/>
  <c r="I32" i="1"/>
  <c r="I31" i="1"/>
  <c r="I30" i="1"/>
  <c r="I27" i="1"/>
  <c r="I26" i="1"/>
  <c r="I24" i="1"/>
  <c r="I12" i="1"/>
  <c r="I11" i="1"/>
  <c r="I10" i="1"/>
  <c r="I9" i="1"/>
  <c r="I8" i="1"/>
  <c r="I7" i="1"/>
  <c r="I6" i="1"/>
  <c r="J87" i="1"/>
  <c r="J74" i="1"/>
  <c r="J76" i="1"/>
  <c r="J77" i="1"/>
  <c r="J78" i="1"/>
  <c r="J79" i="1"/>
  <c r="J80" i="1"/>
  <c r="J81" i="1"/>
  <c r="J59" i="1"/>
  <c r="J70" i="1"/>
  <c r="J28" i="1"/>
  <c r="J3" i="1"/>
  <c r="J5" i="1"/>
  <c r="J8" i="1"/>
  <c r="J9" i="1"/>
  <c r="J13" i="1"/>
  <c r="J16" i="1"/>
  <c r="J19" i="1"/>
  <c r="J22" i="1"/>
  <c r="J24" i="1"/>
  <c r="J30" i="1"/>
  <c r="J34" i="1"/>
  <c r="J45" i="1"/>
  <c r="J55" i="1"/>
  <c r="J37" i="1"/>
  <c r="J73" i="1"/>
  <c r="J12" i="1"/>
  <c r="J7" i="1"/>
  <c r="J11" i="1"/>
  <c r="J14" i="1"/>
  <c r="J20" i="1"/>
  <c r="J23" i="1"/>
  <c r="J26" i="1"/>
  <c r="J31" i="1"/>
  <c r="J35" i="1"/>
  <c r="J44" i="1"/>
  <c r="J49" i="1"/>
  <c r="J52" i="1"/>
  <c r="J61" i="1"/>
  <c r="J64" i="1"/>
  <c r="J33" i="1"/>
  <c r="J36" i="1"/>
  <c r="J38" i="1"/>
  <c r="J40" i="1"/>
  <c r="J41" i="1"/>
  <c r="J43" i="1"/>
  <c r="J46" i="1"/>
  <c r="J51" i="1"/>
  <c r="J53" i="1"/>
  <c r="J54" i="1"/>
  <c r="J56" i="1"/>
  <c r="J58" i="1"/>
  <c r="J63" i="1"/>
  <c r="J65" i="1"/>
  <c r="J71" i="1"/>
  <c r="J27" i="1"/>
  <c r="J6" i="1"/>
  <c r="J10" i="1"/>
  <c r="J15" i="1"/>
  <c r="J18" i="1"/>
  <c r="J21" i="1"/>
  <c r="J25" i="1"/>
  <c r="J32" i="1"/>
  <c r="J39" i="1"/>
  <c r="J42" i="1"/>
  <c r="J48" i="1"/>
  <c r="J50" i="1"/>
  <c r="J60" i="1"/>
  <c r="J62" i="1"/>
  <c r="J29" i="1"/>
  <c r="J17" i="1"/>
  <c r="J47" i="1"/>
  <c r="J57" i="1"/>
  <c r="J67" i="1"/>
  <c r="I25" i="1"/>
  <c r="J2" i="1"/>
  <c r="I28" i="1"/>
  <c r="I34" i="1"/>
  <c r="I15" i="1"/>
  <c r="I17" i="1"/>
  <c r="I18" i="1"/>
  <c r="I19" i="1"/>
  <c r="I21" i="1"/>
  <c r="I23" i="1"/>
  <c r="I29" i="1"/>
  <c r="I14" i="1"/>
  <c r="I16" i="1"/>
  <c r="I20" i="1"/>
  <c r="I22" i="1"/>
  <c r="I13" i="1"/>
  <c r="I3" i="1"/>
  <c r="I4" i="1"/>
  <c r="I5" i="1"/>
  <c r="I88" i="1"/>
  <c r="I2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G2" i="3" l="1"/>
  <c r="F2" i="3"/>
  <c r="D86" i="3"/>
  <c r="G92" i="3"/>
  <c r="G91" i="3"/>
  <c r="G90" i="3"/>
  <c r="F90" i="3" l="1"/>
  <c r="F91" i="3"/>
  <c r="F92" i="3"/>
  <c r="K2" i="3"/>
  <c r="L2" i="3" s="1"/>
  <c r="E91" i="3"/>
  <c r="E92" i="3"/>
  <c r="E90" i="3"/>
  <c r="K72" i="3" l="1"/>
  <c r="L72" i="3" s="1"/>
  <c r="K7" i="3"/>
  <c r="L7" i="3" s="1"/>
  <c r="K40" i="3"/>
  <c r="L40" i="3" s="1"/>
  <c r="K18" i="3"/>
  <c r="L18" i="3" s="1"/>
  <c r="K81" i="3"/>
  <c r="L81" i="3" s="1"/>
  <c r="K19" i="3"/>
  <c r="L19" i="3" s="1"/>
  <c r="K44" i="3"/>
  <c r="L44" i="3" s="1"/>
  <c r="K29" i="3"/>
  <c r="L29" i="3" s="1"/>
  <c r="K63" i="3"/>
  <c r="L63" i="3" s="1"/>
  <c r="K52" i="3"/>
  <c r="L52" i="3" s="1"/>
  <c r="K67" i="3"/>
  <c r="L67" i="3" s="1"/>
  <c r="K70" i="3"/>
  <c r="L70" i="3" s="1"/>
  <c r="K78" i="3"/>
  <c r="L78" i="3" s="1"/>
  <c r="K11" i="3"/>
  <c r="L11" i="3" s="1"/>
  <c r="K14" i="3"/>
  <c r="L14" i="3" s="1"/>
  <c r="K4" i="3"/>
  <c r="L4" i="3" s="1"/>
  <c r="K9" i="3"/>
  <c r="L9" i="3" s="1"/>
  <c r="K32" i="3"/>
  <c r="L32" i="3" s="1"/>
  <c r="K36" i="3"/>
  <c r="L36" i="3" s="1"/>
  <c r="K39" i="3"/>
  <c r="L39" i="3" s="1"/>
  <c r="K43" i="3"/>
  <c r="L43" i="3" s="1"/>
  <c r="K5" i="3"/>
  <c r="L5" i="3" s="1"/>
  <c r="K15" i="3"/>
  <c r="L15" i="3" s="1"/>
  <c r="K20" i="3"/>
  <c r="L20" i="3" s="1"/>
  <c r="K25" i="3"/>
  <c r="L25" i="3" s="1"/>
  <c r="K35" i="3"/>
  <c r="L35" i="3" s="1"/>
  <c r="K41" i="3"/>
  <c r="L41" i="3" s="1"/>
  <c r="K64" i="3"/>
  <c r="L64" i="3" s="1"/>
  <c r="K6" i="3"/>
  <c r="L6" i="3" s="1"/>
  <c r="K13" i="3"/>
  <c r="L13" i="3" s="1"/>
  <c r="K21" i="3"/>
  <c r="L21" i="3" s="1"/>
  <c r="K24" i="3"/>
  <c r="L24" i="3" s="1"/>
  <c r="K33" i="3"/>
  <c r="L33" i="3" s="1"/>
  <c r="K37" i="3"/>
  <c r="L37" i="3" s="1"/>
  <c r="K42" i="3"/>
  <c r="L42" i="3" s="1"/>
  <c r="K46" i="3"/>
  <c r="L46" i="3" s="1"/>
  <c r="K56" i="3"/>
  <c r="L56" i="3" s="1"/>
  <c r="K65" i="3"/>
  <c r="L65" i="3" s="1"/>
  <c r="K74" i="3"/>
  <c r="L74" i="3" s="1"/>
  <c r="K10" i="3"/>
  <c r="L10" i="3" s="1"/>
  <c r="K22" i="3"/>
  <c r="L22" i="3" s="1"/>
  <c r="K26" i="3"/>
  <c r="L26" i="3" s="1"/>
  <c r="K30" i="3"/>
  <c r="L30" i="3" s="1"/>
  <c r="K50" i="3"/>
  <c r="L50" i="3" s="1"/>
  <c r="K53" i="3"/>
  <c r="L53" i="3" s="1"/>
  <c r="K62" i="3"/>
  <c r="L62" i="3" s="1"/>
  <c r="K76" i="3"/>
  <c r="L76" i="3" s="1"/>
  <c r="K80" i="3"/>
  <c r="L80" i="3" s="1"/>
  <c r="K27" i="3"/>
  <c r="L27" i="3" s="1"/>
  <c r="K31" i="3"/>
  <c r="L31" i="3" s="1"/>
  <c r="K49" i="3"/>
  <c r="L49" i="3" s="1"/>
  <c r="K54" i="3"/>
  <c r="L54" i="3" s="1"/>
  <c r="K73" i="3"/>
  <c r="L73" i="3" s="1"/>
  <c r="K77" i="3"/>
  <c r="L77" i="3" s="1"/>
  <c r="K8" i="3"/>
  <c r="L8" i="3" s="1"/>
  <c r="K16" i="3"/>
  <c r="L16" i="3" s="1"/>
  <c r="K23" i="3"/>
  <c r="L23" i="3" s="1"/>
  <c r="K38" i="3"/>
  <c r="L38" i="3" s="1"/>
  <c r="K48" i="3"/>
  <c r="L48" i="3" s="1"/>
  <c r="K57" i="3"/>
  <c r="L57" i="3" s="1"/>
  <c r="K59" i="3"/>
  <c r="L59" i="3" s="1"/>
  <c r="K71" i="3"/>
  <c r="L71" i="3" s="1"/>
  <c r="K75" i="3"/>
  <c r="L75" i="3" s="1"/>
  <c r="K3" i="3"/>
  <c r="L3" i="3" s="1"/>
  <c r="K12" i="3"/>
  <c r="L12" i="3" s="1"/>
  <c r="K17" i="3"/>
  <c r="L17" i="3" s="1"/>
  <c r="K34" i="3"/>
  <c r="L34" i="3" s="1"/>
  <c r="K45" i="3"/>
  <c r="L45" i="3" s="1"/>
  <c r="K47" i="3"/>
  <c r="L47" i="3" s="1"/>
  <c r="K55" i="3"/>
  <c r="L55" i="3" s="1"/>
  <c r="K60" i="3"/>
  <c r="L60" i="3" s="1"/>
  <c r="K68" i="3"/>
  <c r="L68" i="3" s="1"/>
  <c r="K79" i="3"/>
  <c r="L79" i="3" s="1"/>
  <c r="K82" i="3"/>
  <c r="L82" i="3" s="1"/>
  <c r="K28" i="3"/>
  <c r="L28" i="3" s="1"/>
  <c r="K51" i="3"/>
  <c r="L51" i="3" s="1"/>
  <c r="K58" i="3"/>
  <c r="L58" i="3" s="1"/>
  <c r="K61" i="3"/>
  <c r="L61" i="3" s="1"/>
  <c r="K66" i="3"/>
  <c r="L66" i="3" s="1"/>
  <c r="K69" i="3"/>
  <c r="L69" i="3" s="1"/>
  <c r="M2" i="3" l="1"/>
  <c r="M3" i="3"/>
  <c r="M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<sst xmlns="http://schemas.openxmlformats.org/spreadsheetml/2006/main" count="764" uniqueCount="291">
  <si>
    <t>name</t>
  </si>
  <si>
    <t>height</t>
  </si>
  <si>
    <t>mass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</si>
  <si>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</si>
  <si>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</si>
  <si>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</si>
  <si>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</si>
  <si>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</si>
  <si>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</si>
  <si>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</si>
  <si>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</si>
  <si>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</si>
  <si>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</si>
  <si>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</si>
  <si>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</si>
  <si>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</si>
  <si>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</si>
  <si>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</si>
  <si>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</si>
  <si>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</si>
  <si>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</si>
  <si>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</si>
  <si>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</si>
  <si>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</si>
  <si>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</si>
  <si>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</si>
  <si>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</si>
  <si>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</si>
  <si>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</si>
  <si>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</si>
  <si>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</si>
  <si>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</si>
  <si>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</si>
  <si>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</si>
  <si>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</si>
  <si>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</si>
  <si>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</si>
  <si>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</si>
  <si>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</si>
  <si>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</si>
  <si>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</si>
  <si>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</si>
  <si>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</si>
  <si>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</si>
  <si>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</si>
  <si>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</si>
  <si>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</si>
  <si>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</si>
  <si>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</si>
  <si>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</si>
  <si>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</si>
  <si>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</si>
  <si>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</si>
  <si>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</si>
  <si>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</si>
  <si>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</si>
  <si>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</si>
  <si>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</si>
  <si>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</si>
  <si>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</si>
  <si>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</si>
  <si>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</si>
  <si>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</si>
  <si>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</si>
  <si>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</si>
  <si>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</si>
  <si>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</si>
  <si>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</si>
  <si>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</si>
  <si>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</si>
  <si>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</si>
  <si>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</si>
  <si>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</si>
  <si>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</si>
  <si>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</si>
  <si>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</si>
  <si>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</si>
  <si>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</si>
  <si>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</si>
  <si>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</si>
  <si>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</si>
  <si>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</si>
  <si>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</si>
  <si>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</si>
  <si>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</si>
  <si>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</si>
  <si>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</si>
  <si>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</si>
  <si>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</si>
  <si>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</si>
  <si>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</si>
  <si>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</si>
  <si>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</si>
  <si>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</si>
  <si>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</si>
  <si>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</si>
  <si>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</si>
  <si>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</si>
  <si>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</si>
  <si>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</si>
  <si>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</si>
  <si>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</si>
  <si>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</si>
  <si>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</si>
  <si>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</si>
  <si>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</si>
  <si>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</si>
  <si>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</si>
  <si>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</si>
  <si>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</si>
  <si>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</si>
  <si>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</si>
  <si>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</si>
  <si>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</si>
  <si>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</si>
  <si>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</si>
  <si>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</si>
  <si>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</si>
  <si>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</si>
  <si>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</si>
  <si>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</si>
  <si>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</si>
  <si>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</si>
  <si>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</si>
  <si>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</si>
  <si>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</si>
  <si>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</si>
  <si>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</si>
  <si>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</si>
  <si>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</si>
  <si>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</si>
  <si>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</si>
  <si>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</si>
  <si>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</si>
  <si>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</si>
  <si>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</si>
  <si>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</si>
  <si>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</si>
  <si>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</si>
  <si>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</si>
  <si>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</si>
  <si>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</si>
  <si>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</si>
  <si>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</si>
  <si>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</si>
  <si>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</si>
  <si>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</si>
  <si>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</si>
  <si>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</si>
  <si>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</si>
  <si>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</si>
  <si>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</si>
  <si>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</si>
  <si>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</si>
  <si>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</si>
  <si>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</si>
  <si>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</si>
  <si>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</si>
  <si>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</si>
  <si>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</si>
  <si>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</si>
  <si>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</si>
  <si>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</si>
  <si>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</si>
  <si>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</si>
  <si>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</si>
  <si>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</si>
  <si>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</si>
  <si>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</si>
  <si>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</si>
  <si>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</si>
  <si>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</si>
  <si>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</si>
  <si>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</si>
  <si>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</si>
  <si>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</si>
  <si>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</si>
  <si>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</si>
  <si>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</si>
  <si>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</si>
  <si>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</si>
  <si>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</si>
  <si>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</si>
  <si>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</si>
  <si>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</si>
  <si>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</si>
  <si>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</si>
  <si>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</si>
  <si>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</si>
  <si>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</si>
  <si>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</si>
  <si>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</si>
  <si>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</si>
  <si>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</si>
  <si>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</si>
  <si>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</si>
  <si>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</si>
  <si>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</si>
  <si>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</si>
  <si>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</si>
  <si>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</si>
  <si>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</si>
  <si>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</si>
  <si>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</si>
  <si>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</si>
  <si>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</si>
  <si>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</si>
  <si>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</si>
  <si>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</si>
  <si>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</si>
  <si>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</si>
  <si>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</si>
  <si>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</si>
  <si>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</si>
  <si>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</si>
  <si>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</si>
  <si>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</si>
  <si>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</si>
  <si>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</si>
  <si>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</si>
  <si>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</si>
  <si>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</si>
  <si>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</si>
  <si>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</si>
  <si>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</si>
  <si>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</si>
  <si>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</si>
  <si>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</si>
  <si>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</si>
  <si>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</si>
  <si>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</si>
  <si>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</si>
  <si>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</si>
  <si>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</si>
  <si>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</si>
  <si>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</si>
  <si>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</si>
  <si>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</si>
  <si>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</si>
  <si>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</si>
  <si>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</si>
  <si>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</si>
  <si>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</si>
  <si>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</si>
  <si>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</si>
  <si>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</si>
  <si>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</si>
  <si>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</si>
  <si>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</si>
  <si>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</si>
  <si>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</si>
  <si>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</si>
  <si>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</si>
  <si>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</si>
  <si>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</si>
  <si>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</si>
  <si>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</si>
  <si>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</si>
  <si>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</si>
  <si>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</si>
  <si>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</si>
  <si>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</si>
  <si>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</si>
  <si>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</si>
  <si>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height cm</t>
  </si>
  <si>
    <t>mass kg</t>
  </si>
  <si>
    <t>height_m</t>
  </si>
  <si>
    <t>BMI</t>
  </si>
  <si>
    <t>compare_BMI_DV</t>
  </si>
  <si>
    <t>BMI_Rank</t>
  </si>
  <si>
    <t>Age_in_days</t>
  </si>
  <si>
    <t>Birthdate</t>
  </si>
  <si>
    <t>First_Film</t>
  </si>
  <si>
    <t>My age</t>
  </si>
  <si>
    <t xml:space="preserve">A New Hope </t>
  </si>
  <si>
    <t>height_in</t>
  </si>
  <si>
    <t>mass_lbs</t>
  </si>
  <si>
    <t>age_number_check</t>
  </si>
  <si>
    <t>BMI Average</t>
  </si>
  <si>
    <t>MEAN(SUM)</t>
  </si>
  <si>
    <t>MEAN(COUNT)</t>
  </si>
  <si>
    <t>Height Order cm</t>
  </si>
  <si>
    <t>Height Order in</t>
  </si>
  <si>
    <t>Height Order m</t>
  </si>
  <si>
    <t>MODE</t>
  </si>
  <si>
    <t>MEDIAN</t>
  </si>
  <si>
    <t>MEAN</t>
  </si>
  <si>
    <t>diff_mean</t>
  </si>
  <si>
    <t>diff_mean_sqd</t>
  </si>
  <si>
    <t>90th</t>
  </si>
  <si>
    <t>25th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</si>
</sst>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3F3F76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0" borderId="0" xfId="0" applyFont="1"/>
    <xf numFmtId="0" fontId="18" fillId="0" borderId="0" xfId="0" applyFont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11" fillId="6" borderId="4" xfId="11" applyAlignment="1">
      <alignment horizontal="center"/>
    </xf>
    <xf numFmtId="1" fontId="0" fillId="0" borderId="0" xfId="0" applyNumberFormat="1" applyAlignment="1">
      <alignment horizontal="center"/>
    </xf>
    <xf numFmtId="0" fontId="16" fillId="0" borderId="0" xfId="0" applyFont="1"/>
    <xf numFmtId="1" fontId="16" fillId="0" borderId="0" xfId="0" applyNumberFormat="1" applyFont="1" applyAlignment="1">
      <alignment horizontal="center"/>
    </xf>
    <xf numFmtId="0" fontId="11" fillId="6" borderId="4" xfId="11"/>
    <xf numFmtId="0" fontId="9" fillId="5" borderId="4" xfId="9"/>
    <xf numFmtId="0" fontId="9" fillId="5" borderId="4" xfId="9" applyAlignment="1">
      <alignment horizontal="center"/>
    </xf>
    <xf numFmtId="164" fontId="11" fillId="6" borderId="4" xfId="11" applyNumberFormat="1"/>
    <xf numFmtId="164" fontId="0" fillId="0" borderId="0" xfId="0" applyNumberFormat="1"/>
    <xf numFmtId="165" fontId="0" fillId="0" borderId="0" xfId="0" applyNumberFormat="1"/>
    <xf numFmtId="0" fontId="20" fillId="5" borderId="4" xfId="9" applyFont="1" applyAlignment="1">
      <alignment horizontal="right"/>
    </xf>
    <xf numFmtId="0" fontId="20" fillId="5" borderId="4" xfId="9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8"/>
  <sheetViews>
    <sheetView tabSelected="1" workbookViewId="0">
      <selection activeCell="F17" sqref="F17"/>
    </sheetView>
  </sheetViews>
  <sheetFormatPr defaultColWidth="11" defaultRowHeight="15.75" x14ac:dyDescent="0.25"/>
  <cols>
    <col min="1" max="1" width="18.375" bestFit="1" customWidth="1"/>
    <col min="2" max="4" width="11.125" style="6" customWidth="1"/>
    <col min="5" max="5" width="9.25" style="3" customWidth="1"/>
    <col min="6" max="6" width="17.625" style="3" customWidth="1"/>
    <col min="7" max="8" width="12.75" customWidth="1"/>
    <col min="9" max="9" width="15.875" bestFit="1" customWidth="1"/>
    <col min="10" max="10" width="15.875" style="3" customWidth="1"/>
    <col min="14" max="14" width="11" style="3"/>
    <col min="15" max="15" width="17.25" bestFit="1" customWidth="1"/>
    <col min="18" max="18" width="7" style="3" customWidth="1"/>
    <col min="20" max="20" width="13" bestFit="1" customWidth="1"/>
    <col min="21" max="21" width="36.75" customWidth="1"/>
    <col min="22" max="22" width="125.25" bestFit="1" customWidth="1"/>
  </cols>
  <sheetData>
    <row r="1" spans="1:22" x14ac:dyDescent="0.25">
      <c r="A1" t="s">
        <v>0</v>
      </c>
      <c r="B1" s="6" t="s">
        <v>264</v>
      </c>
      <c r="C1" s="6" t="s">
        <v>275</v>
      </c>
      <c r="D1" s="6" t="s">
        <v>266</v>
      </c>
      <c r="E1" s="3" t="s">
        <v>265</v>
      </c>
      <c r="F1" s="3" t="s">
        <v>276</v>
      </c>
      <c r="G1" t="s">
        <v>267</v>
      </c>
      <c r="H1" s="3" t="s">
        <v>278</v>
      </c>
      <c r="I1" t="s">
        <v>268</v>
      </c>
      <c r="J1" s="3" t="s">
        <v>269</v>
      </c>
      <c r="K1" t="s">
        <v>3</v>
      </c>
      <c r="L1" t="s">
        <v>4</v>
      </c>
      <c r="M1" t="s">
        <v>5</v>
      </c>
      <c r="N1" s="3" t="s">
        <v>6</v>
      </c>
      <c r="O1" t="s">
        <v>277</v>
      </c>
      <c r="P1" t="s">
        <v>270</v>
      </c>
      <c r="Q1" t="s">
        <v>271</v>
      </c>
      <c r="R1" s="3" t="s">
        <v>273</v>
      </c>
      <c r="S1" t="s">
        <v>7</v>
      </c>
      <c r="T1" t="s">
        <v>8</v>
      </c>
      <c r="U1" t="s">
        <v>272</v>
      </c>
      <c r="V1" t="s">
        <v>9</v>
      </c>
    </row>
    <row r="2" spans="1:22" x14ac:dyDescent="0.25">
      <c r="A2" t="s">
        <v>10</v>
      </c>
      <c r="B2" s="6">
        <v>172</v>
      </c>
      <c r="C2" s="6">
        <f>FLOOR(CONVERT(B2, "cm", "in"), 0.5)</f>
        <v>67.5</v>
      </c>
      <c r="D2" s="6">
        <f>(B2/100)</f>
        <v>1.72</v>
      </c>
      <c r="E2" s="3">
        <v>77</v>
      </c>
      <c r="F2" s="3">
        <f>CEILING(CONVERT(E2, "kg", "lbm"), 0.25)</f>
        <v>170</v>
      </c>
      <c r="G2">
        <f t="shared" ref="G2:G33" si="0">IF(E2="NA",0,1*(E2/D2^2))</f>
        <v>26.027582477014604</v>
      </c>
      <c r="H2">
        <f>AVERAGEIF(G2:G88, "&gt;0")</f>
        <v>32.048638992833226</v>
      </c>
      <c r="I2" t="b">
        <f>$G$5&lt;=G2</f>
        <v>0</v>
      </c>
      <c r="J2" s="3">
        <f>RANK(G3, G2:G88)</f>
        <v>14</v>
      </c>
      <c r="K2" t="s">
        <v>11</v>
      </c>
      <c r="L2" t="s">
        <v>12</v>
      </c>
      <c r="M2" t="s">
        <v>13</v>
      </c>
      <c r="N2" s="3">
        <v>19</v>
      </c>
      <c r="O2" t="b">
        <f>ISNUMBER(N2)</f>
        <v>1</v>
      </c>
      <c r="P2">
        <f>N2*365</f>
        <v>6935</v>
      </c>
      <c r="R2" s="3" t="str">
        <f>_xlfn.XLOOKUP(44, N$2:N$88, A2:A88,,-1 )</f>
        <v>Greedo</v>
      </c>
      <c r="S2" t="s">
        <v>14</v>
      </c>
      <c r="T2" t="s">
        <v>15</v>
      </c>
      <c r="U2" t="str">
        <f t="shared" ref="U2:U18" si="1">IFERROR(LEFT(V2, FIND(",",V2)-1),V2)</f>
        <v xml:space="preserve">Revenge of the Sith </v>
      </c>
      <c r="V2" t="s">
        <v>16</v>
      </c>
    </row>
    <row r="3" spans="1:22" x14ac:dyDescent="0.25">
      <c r="A3" t="s">
        <v>17</v>
      </c>
      <c r="B3" s="6">
        <v>167</v>
      </c>
      <c r="C3" s="6">
        <f t="shared" ref="C3:C66" si="2">FLOOR(CONVERT(B3, "cm", "in"), 0.5)</f>
        <v>65.5</v>
      </c>
      <c r="D3" s="6">
        <f t="shared" ref="D3:D66" si="3">(B3/100)</f>
        <v>1.67</v>
      </c>
      <c r="E3" s="3">
        <v>75</v>
      </c>
      <c r="F3" s="3">
        <f t="shared" ref="F3:F66" si="4">CEILING(CONVERT(E3, "kg", "lbm"), 0.25)</f>
        <v>165.5</v>
      </c>
      <c r="G3">
        <f t="shared" si="0"/>
        <v>26.892323138154829</v>
      </c>
      <c r="I3" t="b">
        <f t="shared" ref="I3:I66" si="5">$G$5&lt;=G3</f>
        <v>0</v>
      </c>
      <c r="J3" s="3">
        <f t="shared" ref="J3:J66" si="6">RANK(G4, G3:G89)</f>
        <v>6</v>
      </c>
      <c r="K3" t="s">
        <v>18</v>
      </c>
      <c r="L3" t="s">
        <v>19</v>
      </c>
      <c r="M3" t="s">
        <v>20</v>
      </c>
      <c r="N3" s="3">
        <v>112</v>
      </c>
      <c r="O3" t="b">
        <f t="shared" ref="O3:O66" si="7">ISNUMBER(N3)</f>
        <v>1</v>
      </c>
      <c r="P3">
        <f t="shared" ref="P3:P66" si="8">N3*365</f>
        <v>40880</v>
      </c>
      <c r="S3" t="s">
        <v>14</v>
      </c>
      <c r="T3" t="s">
        <v>21</v>
      </c>
      <c r="U3" t="str">
        <f t="shared" si="1"/>
        <v xml:space="preserve">Attack of the Clones </v>
      </c>
      <c r="V3" t="s">
        <v>22</v>
      </c>
    </row>
    <row r="4" spans="1:22" x14ac:dyDescent="0.25">
      <c r="A4" t="s">
        <v>23</v>
      </c>
      <c r="B4" s="6">
        <v>96</v>
      </c>
      <c r="C4" s="6">
        <f t="shared" si="2"/>
        <v>37.5</v>
      </c>
      <c r="D4" s="6">
        <f t="shared" si="3"/>
        <v>0.96</v>
      </c>
      <c r="E4" s="3">
        <v>32</v>
      </c>
      <c r="F4" s="3">
        <f t="shared" si="4"/>
        <v>70.75</v>
      </c>
      <c r="G4">
        <f t="shared" si="0"/>
        <v>34.722222222222221</v>
      </c>
      <c r="I4" t="b">
        <f t="shared" si="5"/>
        <v>1</v>
      </c>
      <c r="J4" s="3">
        <f t="shared" si="6"/>
        <v>10</v>
      </c>
      <c r="K4" t="s">
        <v>18</v>
      </c>
      <c r="L4" t="s">
        <v>24</v>
      </c>
      <c r="M4" t="s">
        <v>25</v>
      </c>
      <c r="N4" s="3">
        <v>33</v>
      </c>
      <c r="O4" t="b">
        <f t="shared" si="7"/>
        <v>1</v>
      </c>
      <c r="P4">
        <f t="shared" si="8"/>
        <v>12045</v>
      </c>
      <c r="S4" t="s">
        <v>26</v>
      </c>
      <c r="T4" t="s">
        <v>21</v>
      </c>
      <c r="U4" t="str">
        <f t="shared" si="1"/>
        <v xml:space="preserve">Attack of the Clones </v>
      </c>
      <c r="V4" t="s">
        <v>27</v>
      </c>
    </row>
    <row r="5" spans="1:22" x14ac:dyDescent="0.25">
      <c r="A5" t="s">
        <v>28</v>
      </c>
      <c r="B5" s="6">
        <v>202</v>
      </c>
      <c r="C5" s="6">
        <f t="shared" si="2"/>
        <v>79.5</v>
      </c>
      <c r="D5" s="6">
        <f t="shared" si="3"/>
        <v>2.02</v>
      </c>
      <c r="E5" s="3">
        <v>136</v>
      </c>
      <c r="F5" s="3">
        <f t="shared" si="4"/>
        <v>300</v>
      </c>
      <c r="G5">
        <f t="shared" si="0"/>
        <v>33.330065679835307</v>
      </c>
      <c r="I5" t="b">
        <f t="shared" si="5"/>
        <v>1</v>
      </c>
      <c r="J5" s="3">
        <f t="shared" si="6"/>
        <v>40</v>
      </c>
      <c r="K5" t="s">
        <v>29</v>
      </c>
      <c r="L5" t="s">
        <v>30</v>
      </c>
      <c r="M5" t="s">
        <v>20</v>
      </c>
      <c r="N5" s="3">
        <v>41.9</v>
      </c>
      <c r="O5" t="b">
        <f t="shared" si="7"/>
        <v>1</v>
      </c>
      <c r="P5">
        <f t="shared" si="8"/>
        <v>15293.5</v>
      </c>
      <c r="S5" t="s">
        <v>14</v>
      </c>
      <c r="T5" t="s">
        <v>15</v>
      </c>
      <c r="U5" t="str">
        <f t="shared" si="1"/>
        <v xml:space="preserve">Revenge of the Sith </v>
      </c>
      <c r="V5" t="s">
        <v>31</v>
      </c>
    </row>
    <row r="6" spans="1:22" x14ac:dyDescent="0.25">
      <c r="A6" t="s">
        <v>32</v>
      </c>
      <c r="B6" s="6">
        <v>150</v>
      </c>
      <c r="C6" s="6">
        <f t="shared" si="2"/>
        <v>59</v>
      </c>
      <c r="D6" s="6">
        <f t="shared" si="3"/>
        <v>1.5</v>
      </c>
      <c r="E6" s="3">
        <v>49</v>
      </c>
      <c r="F6" s="3">
        <f t="shared" si="4"/>
        <v>108.25</v>
      </c>
      <c r="G6">
        <f t="shared" si="0"/>
        <v>21.777777777777779</v>
      </c>
      <c r="I6" t="b">
        <f t="shared" si="5"/>
        <v>0</v>
      </c>
      <c r="J6" s="3">
        <f t="shared" si="6"/>
        <v>4</v>
      </c>
      <c r="K6" t="s">
        <v>33</v>
      </c>
      <c r="L6" t="s">
        <v>34</v>
      </c>
      <c r="M6" t="s">
        <v>33</v>
      </c>
      <c r="N6" s="3">
        <v>19</v>
      </c>
      <c r="O6" t="b">
        <f t="shared" si="7"/>
        <v>1</v>
      </c>
      <c r="P6">
        <f t="shared" si="8"/>
        <v>6935</v>
      </c>
      <c r="S6" t="s">
        <v>35</v>
      </c>
      <c r="T6" t="s">
        <v>15</v>
      </c>
      <c r="U6" t="str">
        <f t="shared" si="1"/>
        <v xml:space="preserve">Revenge of the Sith </v>
      </c>
      <c r="V6" t="s">
        <v>36</v>
      </c>
    </row>
    <row r="7" spans="1:22" x14ac:dyDescent="0.25">
      <c r="A7" t="s">
        <v>37</v>
      </c>
      <c r="B7" s="6">
        <v>178</v>
      </c>
      <c r="C7" s="6">
        <f t="shared" si="2"/>
        <v>70</v>
      </c>
      <c r="D7" s="6">
        <f t="shared" si="3"/>
        <v>1.78</v>
      </c>
      <c r="E7" s="3">
        <v>120</v>
      </c>
      <c r="F7" s="3">
        <f t="shared" si="4"/>
        <v>264.75</v>
      </c>
      <c r="G7">
        <f t="shared" si="0"/>
        <v>37.874005807347558</v>
      </c>
      <c r="I7" t="b">
        <f t="shared" si="5"/>
        <v>1</v>
      </c>
      <c r="J7" s="3">
        <f t="shared" si="6"/>
        <v>11</v>
      </c>
      <c r="K7" t="s">
        <v>38</v>
      </c>
      <c r="L7" t="s">
        <v>34</v>
      </c>
      <c r="M7" t="s">
        <v>13</v>
      </c>
      <c r="N7" s="3">
        <v>52</v>
      </c>
      <c r="O7" t="b">
        <f t="shared" si="7"/>
        <v>1</v>
      </c>
      <c r="P7">
        <f t="shared" si="8"/>
        <v>18980</v>
      </c>
      <c r="S7" t="s">
        <v>14</v>
      </c>
      <c r="T7" t="s">
        <v>15</v>
      </c>
      <c r="U7" t="str">
        <f t="shared" si="1"/>
        <v xml:space="preserve">Attack of the Clones </v>
      </c>
      <c r="V7" t="s">
        <v>39</v>
      </c>
    </row>
    <row r="8" spans="1:22" x14ac:dyDescent="0.25">
      <c r="A8" t="s">
        <v>40</v>
      </c>
      <c r="B8" s="6">
        <v>165</v>
      </c>
      <c r="C8" s="6">
        <f t="shared" si="2"/>
        <v>64.5</v>
      </c>
      <c r="D8" s="6">
        <f t="shared" si="3"/>
        <v>1.65</v>
      </c>
      <c r="E8" s="3">
        <v>75</v>
      </c>
      <c r="F8" s="3">
        <f t="shared" si="4"/>
        <v>165.5</v>
      </c>
      <c r="G8">
        <f t="shared" si="0"/>
        <v>27.548209366391188</v>
      </c>
      <c r="I8" t="b">
        <f t="shared" si="5"/>
        <v>0</v>
      </c>
      <c r="J8" s="3">
        <f t="shared" si="6"/>
        <v>6</v>
      </c>
      <c r="K8" t="s">
        <v>33</v>
      </c>
      <c r="L8" t="s">
        <v>34</v>
      </c>
      <c r="M8" t="s">
        <v>13</v>
      </c>
      <c r="N8" s="3">
        <v>47</v>
      </c>
      <c r="O8" t="b">
        <f t="shared" si="7"/>
        <v>1</v>
      </c>
      <c r="P8">
        <f t="shared" si="8"/>
        <v>17155</v>
      </c>
      <c r="S8" t="s">
        <v>14</v>
      </c>
      <c r="T8" t="s">
        <v>15</v>
      </c>
      <c r="U8" t="str">
        <f t="shared" si="1"/>
        <v xml:space="preserve">Attack of the Clones </v>
      </c>
      <c r="V8" t="s">
        <v>39</v>
      </c>
    </row>
    <row r="9" spans="1:22" x14ac:dyDescent="0.25">
      <c r="A9" t="s">
        <v>41</v>
      </c>
      <c r="B9" s="6">
        <v>97</v>
      </c>
      <c r="C9" s="6">
        <f t="shared" si="2"/>
        <v>38</v>
      </c>
      <c r="D9" s="6">
        <f t="shared" si="3"/>
        <v>0.97</v>
      </c>
      <c r="E9" s="3">
        <v>32</v>
      </c>
      <c r="F9" s="3">
        <f t="shared" si="4"/>
        <v>70.75</v>
      </c>
      <c r="G9">
        <f t="shared" si="0"/>
        <v>34.009990434690195</v>
      </c>
      <c r="I9" t="b">
        <f t="shared" si="5"/>
        <v>1</v>
      </c>
      <c r="J9" s="3">
        <f t="shared" si="6"/>
        <v>19</v>
      </c>
      <c r="K9" t="s">
        <v>18</v>
      </c>
      <c r="L9" t="s">
        <v>42</v>
      </c>
      <c r="M9" t="s">
        <v>25</v>
      </c>
      <c r="N9" s="3" t="s">
        <v>18</v>
      </c>
      <c r="O9" t="b">
        <f t="shared" si="7"/>
        <v>0</v>
      </c>
      <c r="P9" t="e">
        <f t="shared" si="8"/>
        <v>#VALUE!</v>
      </c>
      <c r="S9" t="s">
        <v>14</v>
      </c>
      <c r="T9" t="s">
        <v>21</v>
      </c>
      <c r="U9" t="str">
        <f t="shared" si="1"/>
        <v xml:space="preserve">A New Hope </v>
      </c>
      <c r="V9" t="s">
        <v>274</v>
      </c>
    </row>
    <row r="10" spans="1:22" x14ac:dyDescent="0.25">
      <c r="A10" t="s">
        <v>44</v>
      </c>
      <c r="B10" s="6">
        <v>183</v>
      </c>
      <c r="C10" s="6">
        <f t="shared" si="2"/>
        <v>72</v>
      </c>
      <c r="D10" s="6">
        <f t="shared" si="3"/>
        <v>1.83</v>
      </c>
      <c r="E10" s="3">
        <v>84</v>
      </c>
      <c r="F10" s="3">
        <f t="shared" si="4"/>
        <v>185.25</v>
      </c>
      <c r="G10">
        <f t="shared" si="0"/>
        <v>25.082863029651524</v>
      </c>
      <c r="I10" t="b">
        <f t="shared" si="5"/>
        <v>0</v>
      </c>
      <c r="J10" s="3">
        <f t="shared" si="6"/>
        <v>32</v>
      </c>
      <c r="K10" t="s">
        <v>45</v>
      </c>
      <c r="L10" t="s">
        <v>34</v>
      </c>
      <c r="M10" t="s">
        <v>33</v>
      </c>
      <c r="N10" s="3">
        <v>24</v>
      </c>
      <c r="O10" t="b">
        <f t="shared" si="7"/>
        <v>1</v>
      </c>
      <c r="P10">
        <f t="shared" si="8"/>
        <v>8760</v>
      </c>
      <c r="S10" t="s">
        <v>14</v>
      </c>
      <c r="T10" t="s">
        <v>15</v>
      </c>
      <c r="U10" t="str">
        <f t="shared" si="1"/>
        <v xml:space="preserve">A New Hope </v>
      </c>
      <c r="V10" t="s">
        <v>274</v>
      </c>
    </row>
    <row r="11" spans="1:22" x14ac:dyDescent="0.25">
      <c r="A11" t="s">
        <v>46</v>
      </c>
      <c r="B11" s="6">
        <v>182</v>
      </c>
      <c r="C11" s="6">
        <f t="shared" si="2"/>
        <v>71.5</v>
      </c>
      <c r="D11" s="6">
        <f t="shared" si="3"/>
        <v>1.82</v>
      </c>
      <c r="E11" s="3">
        <v>77</v>
      </c>
      <c r="F11" s="3">
        <f t="shared" si="4"/>
        <v>170</v>
      </c>
      <c r="G11">
        <f t="shared" si="0"/>
        <v>23.245984784446321</v>
      </c>
      <c r="I11" t="b">
        <f t="shared" si="5"/>
        <v>0</v>
      </c>
      <c r="J11" s="3">
        <f t="shared" si="6"/>
        <v>27</v>
      </c>
      <c r="K11" t="s">
        <v>47</v>
      </c>
      <c r="L11" t="s">
        <v>12</v>
      </c>
      <c r="M11" t="s">
        <v>48</v>
      </c>
      <c r="N11" s="3">
        <v>57</v>
      </c>
      <c r="O11" t="b">
        <f t="shared" si="7"/>
        <v>1</v>
      </c>
      <c r="P11">
        <f t="shared" si="8"/>
        <v>20805</v>
      </c>
      <c r="S11" t="s">
        <v>49</v>
      </c>
      <c r="T11" t="s">
        <v>15</v>
      </c>
      <c r="U11" t="str">
        <f t="shared" si="1"/>
        <v xml:space="preserve">Attack of the Clones </v>
      </c>
      <c r="V11" t="s">
        <v>22</v>
      </c>
    </row>
    <row r="12" spans="1:22" x14ac:dyDescent="0.25">
      <c r="A12" t="s">
        <v>50</v>
      </c>
      <c r="B12" s="6">
        <v>188</v>
      </c>
      <c r="C12" s="6">
        <f t="shared" si="2"/>
        <v>74</v>
      </c>
      <c r="D12" s="6">
        <f t="shared" si="3"/>
        <v>1.88</v>
      </c>
      <c r="E12" s="3">
        <v>84</v>
      </c>
      <c r="F12" s="3">
        <f t="shared" si="4"/>
        <v>185.25</v>
      </c>
      <c r="G12">
        <f t="shared" si="0"/>
        <v>23.766410140334994</v>
      </c>
      <c r="I12" t="b">
        <f t="shared" si="5"/>
        <v>0</v>
      </c>
      <c r="J12" s="3">
        <f t="shared" si="6"/>
        <v>50</v>
      </c>
      <c r="K12" t="s">
        <v>11</v>
      </c>
      <c r="L12" t="s">
        <v>12</v>
      </c>
      <c r="M12" t="s">
        <v>13</v>
      </c>
      <c r="N12" s="3">
        <v>41.9</v>
      </c>
      <c r="O12" t="b">
        <f t="shared" si="7"/>
        <v>1</v>
      </c>
      <c r="P12">
        <f t="shared" si="8"/>
        <v>15293.5</v>
      </c>
      <c r="S12" t="s">
        <v>14</v>
      </c>
      <c r="T12" t="s">
        <v>15</v>
      </c>
      <c r="U12" t="str">
        <f t="shared" si="1"/>
        <v xml:space="preserve">Attack of the Clones </v>
      </c>
      <c r="V12" t="s">
        <v>51</v>
      </c>
    </row>
    <row r="13" spans="1:22" x14ac:dyDescent="0.25">
      <c r="A13" t="s">
        <v>52</v>
      </c>
      <c r="B13" s="6">
        <v>180</v>
      </c>
      <c r="C13" s="6">
        <f t="shared" si="2"/>
        <v>70.5</v>
      </c>
      <c r="D13" s="6">
        <f t="shared" si="3"/>
        <v>1.8</v>
      </c>
      <c r="E13" s="3" t="s">
        <v>18</v>
      </c>
      <c r="F13" s="3" t="e">
        <f t="shared" si="4"/>
        <v>#VALUE!</v>
      </c>
      <c r="G13">
        <f t="shared" si="0"/>
        <v>0</v>
      </c>
      <c r="I13" t="b">
        <f t="shared" si="5"/>
        <v>0</v>
      </c>
      <c r="J13" s="3">
        <f t="shared" si="6"/>
        <v>33</v>
      </c>
      <c r="K13" t="s">
        <v>53</v>
      </c>
      <c r="L13" t="s">
        <v>12</v>
      </c>
      <c r="M13" t="s">
        <v>13</v>
      </c>
      <c r="N13" s="3">
        <v>64</v>
      </c>
      <c r="O13" t="b">
        <f t="shared" si="7"/>
        <v>1</v>
      </c>
      <c r="P13">
        <f t="shared" si="8"/>
        <v>23360</v>
      </c>
      <c r="S13" t="s">
        <v>54</v>
      </c>
      <c r="T13" t="s">
        <v>15</v>
      </c>
      <c r="U13" t="str">
        <f t="shared" si="1"/>
        <v xml:space="preserve">Revenge of the Sith </v>
      </c>
      <c r="V13" t="s">
        <v>55</v>
      </c>
    </row>
    <row r="14" spans="1:22" x14ac:dyDescent="0.25">
      <c r="A14" t="s">
        <v>56</v>
      </c>
      <c r="B14" s="6">
        <v>228</v>
      </c>
      <c r="C14" s="6">
        <f t="shared" si="2"/>
        <v>89.5</v>
      </c>
      <c r="D14" s="6">
        <f t="shared" si="3"/>
        <v>2.2799999999999998</v>
      </c>
      <c r="E14" s="3">
        <v>112</v>
      </c>
      <c r="F14" s="3">
        <f t="shared" si="4"/>
        <v>247</v>
      </c>
      <c r="G14">
        <f t="shared" si="0"/>
        <v>21.545090797168363</v>
      </c>
      <c r="I14" t="b">
        <f t="shared" si="5"/>
        <v>0</v>
      </c>
      <c r="J14" s="3">
        <f t="shared" si="6"/>
        <v>21</v>
      </c>
      <c r="K14" t="s">
        <v>33</v>
      </c>
      <c r="L14" t="s">
        <v>57</v>
      </c>
      <c r="M14" t="s">
        <v>13</v>
      </c>
      <c r="N14" s="3">
        <v>200</v>
      </c>
      <c r="O14" t="b">
        <f t="shared" si="7"/>
        <v>1</v>
      </c>
      <c r="P14">
        <f t="shared" si="8"/>
        <v>73000</v>
      </c>
      <c r="S14" t="s">
        <v>58</v>
      </c>
      <c r="T14" t="s">
        <v>59</v>
      </c>
      <c r="U14" t="str">
        <f t="shared" si="1"/>
        <v xml:space="preserve">Revenge of the Sith </v>
      </c>
      <c r="V14" t="s">
        <v>36</v>
      </c>
    </row>
    <row r="15" spans="1:22" x14ac:dyDescent="0.25">
      <c r="A15" t="s">
        <v>60</v>
      </c>
      <c r="B15" s="6">
        <v>180</v>
      </c>
      <c r="C15" s="6">
        <f t="shared" si="2"/>
        <v>70.5</v>
      </c>
      <c r="D15" s="6">
        <f t="shared" si="3"/>
        <v>1.8</v>
      </c>
      <c r="E15" s="3">
        <v>80</v>
      </c>
      <c r="F15" s="3">
        <f t="shared" si="4"/>
        <v>176.5</v>
      </c>
      <c r="G15">
        <f t="shared" si="0"/>
        <v>24.691358024691358</v>
      </c>
      <c r="I15" t="b">
        <f t="shared" si="5"/>
        <v>0</v>
      </c>
      <c r="J15" s="3">
        <f t="shared" si="6"/>
        <v>20</v>
      </c>
      <c r="K15" t="s">
        <v>33</v>
      </c>
      <c r="L15" t="s">
        <v>12</v>
      </c>
      <c r="M15" t="s">
        <v>33</v>
      </c>
      <c r="N15" s="3">
        <v>29</v>
      </c>
      <c r="O15" t="b">
        <f t="shared" si="7"/>
        <v>1</v>
      </c>
      <c r="P15">
        <f t="shared" si="8"/>
        <v>10585</v>
      </c>
      <c r="S15" t="s">
        <v>61</v>
      </c>
      <c r="T15" t="s">
        <v>15</v>
      </c>
      <c r="U15" t="str">
        <f t="shared" si="1"/>
        <v xml:space="preserve">Return of the Jedi </v>
      </c>
      <c r="V15" t="s">
        <v>62</v>
      </c>
    </row>
    <row r="16" spans="1:22" x14ac:dyDescent="0.25">
      <c r="A16" t="s">
        <v>63</v>
      </c>
      <c r="B16" s="6">
        <v>173</v>
      </c>
      <c r="C16" s="6">
        <f t="shared" si="2"/>
        <v>68</v>
      </c>
      <c r="D16" s="6">
        <f t="shared" si="3"/>
        <v>1.73</v>
      </c>
      <c r="E16" s="3">
        <v>74</v>
      </c>
      <c r="F16" s="3">
        <f t="shared" si="4"/>
        <v>163.25</v>
      </c>
      <c r="G16">
        <f t="shared" si="0"/>
        <v>24.725182932941294</v>
      </c>
      <c r="I16" t="b">
        <f t="shared" si="5"/>
        <v>0</v>
      </c>
      <c r="J16" s="3">
        <f t="shared" si="6"/>
        <v>1</v>
      </c>
      <c r="K16" t="s">
        <v>18</v>
      </c>
      <c r="L16" t="s">
        <v>64</v>
      </c>
      <c r="M16" t="s">
        <v>45</v>
      </c>
      <c r="N16" s="3">
        <v>44</v>
      </c>
      <c r="O16" t="b">
        <f t="shared" si="7"/>
        <v>1</v>
      </c>
      <c r="P16">
        <f t="shared" si="8"/>
        <v>16060</v>
      </c>
      <c r="S16" t="s">
        <v>65</v>
      </c>
      <c r="T16" t="s">
        <v>66</v>
      </c>
      <c r="U16" t="str">
        <f t="shared" si="1"/>
        <v>A New Hope</v>
      </c>
      <c r="V16" t="s">
        <v>43</v>
      </c>
    </row>
    <row r="17" spans="1:22" x14ac:dyDescent="0.25">
      <c r="A17" t="s">
        <v>67</v>
      </c>
      <c r="B17" s="6">
        <v>175</v>
      </c>
      <c r="C17" s="6">
        <f t="shared" si="2"/>
        <v>68.5</v>
      </c>
      <c r="D17" s="6">
        <f t="shared" si="3"/>
        <v>1.75</v>
      </c>
      <c r="E17" s="3">
        <v>1358</v>
      </c>
      <c r="F17" s="4">
        <f t="shared" si="4"/>
        <v>2994</v>
      </c>
      <c r="G17">
        <f t="shared" si="0"/>
        <v>443.42857142857144</v>
      </c>
      <c r="I17" t="b">
        <f t="shared" si="5"/>
        <v>1</v>
      </c>
      <c r="J17" s="3">
        <f t="shared" si="6"/>
        <v>9</v>
      </c>
      <c r="K17" t="s">
        <v>18</v>
      </c>
      <c r="L17" t="s">
        <v>68</v>
      </c>
      <c r="M17" t="s">
        <v>69</v>
      </c>
      <c r="N17" s="3">
        <v>600</v>
      </c>
      <c r="O17" t="b">
        <f t="shared" si="7"/>
        <v>1</v>
      </c>
      <c r="P17">
        <f t="shared" si="8"/>
        <v>219000</v>
      </c>
      <c r="S17" t="s">
        <v>70</v>
      </c>
      <c r="T17" t="s">
        <v>71</v>
      </c>
      <c r="U17" t="str">
        <f t="shared" si="1"/>
        <v xml:space="preserve">The Phantom Menace </v>
      </c>
      <c r="V17" t="s">
        <v>72</v>
      </c>
    </row>
    <row r="18" spans="1:22" x14ac:dyDescent="0.25">
      <c r="A18" t="s">
        <v>73</v>
      </c>
      <c r="B18" s="6">
        <v>170</v>
      </c>
      <c r="C18" s="6">
        <f t="shared" si="2"/>
        <v>66.5</v>
      </c>
      <c r="D18" s="6">
        <f t="shared" si="3"/>
        <v>1.7</v>
      </c>
      <c r="E18" s="3">
        <v>77</v>
      </c>
      <c r="F18" s="3">
        <f t="shared" si="4"/>
        <v>170</v>
      </c>
      <c r="G18">
        <f t="shared" si="0"/>
        <v>26.643598615916957</v>
      </c>
      <c r="I18" t="b">
        <f t="shared" si="5"/>
        <v>0</v>
      </c>
      <c r="J18" s="3">
        <f t="shared" si="6"/>
        <v>5</v>
      </c>
      <c r="K18" t="s">
        <v>33</v>
      </c>
      <c r="L18" t="s">
        <v>12</v>
      </c>
      <c r="M18" t="s">
        <v>74</v>
      </c>
      <c r="N18" s="3">
        <v>21</v>
      </c>
      <c r="O18" t="b">
        <f t="shared" si="7"/>
        <v>1</v>
      </c>
      <c r="P18">
        <f t="shared" si="8"/>
        <v>7665</v>
      </c>
      <c r="S18" t="s">
        <v>61</v>
      </c>
      <c r="T18" t="s">
        <v>15</v>
      </c>
      <c r="U18" t="str">
        <f t="shared" si="1"/>
        <v xml:space="preserve">Return of the Jedi </v>
      </c>
      <c r="V18" t="s">
        <v>75</v>
      </c>
    </row>
    <row r="19" spans="1:22" x14ac:dyDescent="0.25">
      <c r="A19" t="s">
        <v>76</v>
      </c>
      <c r="B19" s="6">
        <v>180</v>
      </c>
      <c r="C19" s="6">
        <f t="shared" si="2"/>
        <v>70.5</v>
      </c>
      <c r="D19" s="6">
        <f t="shared" si="3"/>
        <v>1.8</v>
      </c>
      <c r="E19" s="3">
        <v>110</v>
      </c>
      <c r="F19" s="3">
        <f t="shared" si="4"/>
        <v>242.75</v>
      </c>
      <c r="G19">
        <f t="shared" si="0"/>
        <v>33.950617283950614</v>
      </c>
      <c r="I19" t="b">
        <f t="shared" si="5"/>
        <v>1</v>
      </c>
      <c r="J19" s="3">
        <f t="shared" si="6"/>
        <v>2</v>
      </c>
      <c r="K19" t="s">
        <v>33</v>
      </c>
      <c r="L19" t="s">
        <v>12</v>
      </c>
      <c r="M19" t="s">
        <v>13</v>
      </c>
      <c r="N19" s="3" t="s">
        <v>18</v>
      </c>
      <c r="O19" t="b">
        <f t="shared" si="7"/>
        <v>0</v>
      </c>
      <c r="P19" t="e">
        <f t="shared" si="8"/>
        <v>#VALUE!</v>
      </c>
      <c r="S19" t="s">
        <v>77</v>
      </c>
      <c r="T19" t="s">
        <v>15</v>
      </c>
      <c r="U19" t="str">
        <f>IFERROR(LEFT(V19, FIND(",",V19)-1),V19)</f>
        <v>A New Hope</v>
      </c>
      <c r="V19" t="s">
        <v>43</v>
      </c>
    </row>
    <row r="20" spans="1:22" x14ac:dyDescent="0.25">
      <c r="A20" t="s">
        <v>78</v>
      </c>
      <c r="B20" s="6">
        <v>66</v>
      </c>
      <c r="C20" s="6">
        <f t="shared" si="2"/>
        <v>25.5</v>
      </c>
      <c r="D20" s="6">
        <f t="shared" si="3"/>
        <v>0.66</v>
      </c>
      <c r="E20" s="3">
        <v>17</v>
      </c>
      <c r="F20" s="3">
        <f t="shared" si="4"/>
        <v>37.5</v>
      </c>
      <c r="G20">
        <f t="shared" si="0"/>
        <v>39.026629935720841</v>
      </c>
      <c r="I20" t="b">
        <f t="shared" si="5"/>
        <v>1</v>
      </c>
      <c r="J20" s="3">
        <f t="shared" si="6"/>
        <v>10</v>
      </c>
      <c r="K20" t="s">
        <v>30</v>
      </c>
      <c r="L20" t="s">
        <v>64</v>
      </c>
      <c r="M20" t="s">
        <v>33</v>
      </c>
      <c r="N20" s="3">
        <v>896</v>
      </c>
      <c r="O20" t="b">
        <f t="shared" si="7"/>
        <v>1</v>
      </c>
      <c r="P20">
        <f t="shared" si="8"/>
        <v>327040</v>
      </c>
      <c r="S20" t="s">
        <v>18</v>
      </c>
      <c r="T20" t="s">
        <v>79</v>
      </c>
      <c r="U20" t="str">
        <f t="shared" ref="U20:U83" si="9">IFERROR(LEFT(V20, FIND(",",V20)-1),V20)</f>
        <v xml:space="preserve">Attack of the Clones </v>
      </c>
      <c r="V20" t="s">
        <v>80</v>
      </c>
    </row>
    <row r="21" spans="1:22" x14ac:dyDescent="0.25">
      <c r="A21" t="s">
        <v>81</v>
      </c>
      <c r="B21" s="6">
        <v>170</v>
      </c>
      <c r="C21" s="6">
        <f t="shared" si="2"/>
        <v>66.5</v>
      </c>
      <c r="D21" s="6">
        <f t="shared" si="3"/>
        <v>1.7</v>
      </c>
      <c r="E21" s="3">
        <v>75</v>
      </c>
      <c r="F21" s="3">
        <f t="shared" si="4"/>
        <v>165.5</v>
      </c>
      <c r="G21">
        <f t="shared" si="0"/>
        <v>25.95155709342561</v>
      </c>
      <c r="I21" t="b">
        <f t="shared" si="5"/>
        <v>0</v>
      </c>
      <c r="J21" s="3">
        <f t="shared" si="6"/>
        <v>23</v>
      </c>
      <c r="K21" t="s">
        <v>82</v>
      </c>
      <c r="L21" t="s">
        <v>83</v>
      </c>
      <c r="M21" t="s">
        <v>20</v>
      </c>
      <c r="N21" s="3">
        <v>82</v>
      </c>
      <c r="O21" t="b">
        <f t="shared" si="7"/>
        <v>1</v>
      </c>
      <c r="P21">
        <f t="shared" si="8"/>
        <v>29930</v>
      </c>
      <c r="S21" t="s">
        <v>26</v>
      </c>
      <c r="T21" t="s">
        <v>15</v>
      </c>
      <c r="U21" t="str">
        <f t="shared" si="9"/>
        <v xml:space="preserve"> Attack of the Clones </v>
      </c>
      <c r="V21" t="s">
        <v>84</v>
      </c>
    </row>
    <row r="22" spans="1:22" x14ac:dyDescent="0.25">
      <c r="A22" t="s">
        <v>85</v>
      </c>
      <c r="B22" s="6">
        <v>183</v>
      </c>
      <c r="C22" s="6">
        <f t="shared" si="2"/>
        <v>72</v>
      </c>
      <c r="D22" s="6">
        <f t="shared" si="3"/>
        <v>1.83</v>
      </c>
      <c r="E22" s="3">
        <v>78.2</v>
      </c>
      <c r="F22" s="3">
        <f t="shared" si="4"/>
        <v>172.5</v>
      </c>
      <c r="G22">
        <f t="shared" si="0"/>
        <v>23.350951058556539</v>
      </c>
      <c r="I22" t="b">
        <f t="shared" si="5"/>
        <v>0</v>
      </c>
      <c r="J22" s="3">
        <f t="shared" si="6"/>
        <v>2</v>
      </c>
      <c r="K22" t="s">
        <v>45</v>
      </c>
      <c r="L22" t="s">
        <v>12</v>
      </c>
      <c r="M22" t="s">
        <v>33</v>
      </c>
      <c r="N22" s="3">
        <v>31.5</v>
      </c>
      <c r="O22" t="b">
        <f t="shared" si="7"/>
        <v>1</v>
      </c>
      <c r="P22">
        <f t="shared" si="8"/>
        <v>11497.5</v>
      </c>
      <c r="S22" t="s">
        <v>86</v>
      </c>
      <c r="T22" t="s">
        <v>15</v>
      </c>
      <c r="U22" t="str">
        <f t="shared" si="9"/>
        <v xml:space="preserve">Attack of the Clones </v>
      </c>
      <c r="V22" t="s">
        <v>87</v>
      </c>
    </row>
    <row r="23" spans="1:22" x14ac:dyDescent="0.25">
      <c r="A23" t="s">
        <v>88</v>
      </c>
      <c r="B23" s="6">
        <v>200</v>
      </c>
      <c r="C23" s="6">
        <f t="shared" si="2"/>
        <v>78.5</v>
      </c>
      <c r="D23" s="6">
        <f t="shared" si="3"/>
        <v>2</v>
      </c>
      <c r="E23" s="3">
        <v>140</v>
      </c>
      <c r="F23" s="3">
        <f t="shared" si="4"/>
        <v>308.75</v>
      </c>
      <c r="G23">
        <f t="shared" si="0"/>
        <v>35</v>
      </c>
      <c r="I23" t="b">
        <f t="shared" si="5"/>
        <v>1</v>
      </c>
      <c r="J23" s="3">
        <f t="shared" si="6"/>
        <v>5</v>
      </c>
      <c r="K23" t="s">
        <v>29</v>
      </c>
      <c r="L23" t="s">
        <v>89</v>
      </c>
      <c r="M23" t="s">
        <v>25</v>
      </c>
      <c r="N23" s="3">
        <v>15</v>
      </c>
      <c r="O23" t="b">
        <f t="shared" si="7"/>
        <v>1</v>
      </c>
      <c r="P23">
        <f t="shared" si="8"/>
        <v>5475</v>
      </c>
      <c r="S23" t="s">
        <v>18</v>
      </c>
      <c r="T23" t="s">
        <v>21</v>
      </c>
      <c r="U23" t="str">
        <f t="shared" si="9"/>
        <v>The Empire Strikes Back</v>
      </c>
      <c r="V23" t="s">
        <v>90</v>
      </c>
    </row>
    <row r="24" spans="1:22" x14ac:dyDescent="0.25">
      <c r="A24" t="s">
        <v>91</v>
      </c>
      <c r="B24" s="6">
        <v>190</v>
      </c>
      <c r="C24" s="6">
        <f t="shared" si="2"/>
        <v>74.5</v>
      </c>
      <c r="D24" s="6">
        <f t="shared" si="3"/>
        <v>1.9</v>
      </c>
      <c r="E24" s="3">
        <v>113</v>
      </c>
      <c r="F24" s="3">
        <f t="shared" si="4"/>
        <v>249.25</v>
      </c>
      <c r="G24">
        <f t="shared" si="0"/>
        <v>31.301939058171747</v>
      </c>
      <c r="I24" t="b">
        <f t="shared" si="5"/>
        <v>0</v>
      </c>
      <c r="J24" s="3">
        <f t="shared" si="6"/>
        <v>11</v>
      </c>
      <c r="K24" t="s">
        <v>29</v>
      </c>
      <c r="L24" t="s">
        <v>64</v>
      </c>
      <c r="M24" t="s">
        <v>25</v>
      </c>
      <c r="N24" s="3">
        <v>53</v>
      </c>
      <c r="O24" t="b">
        <f t="shared" si="7"/>
        <v>1</v>
      </c>
      <c r="P24">
        <f t="shared" si="8"/>
        <v>19345</v>
      </c>
      <c r="S24" t="s">
        <v>92</v>
      </c>
      <c r="T24" t="s">
        <v>93</v>
      </c>
      <c r="U24" t="str">
        <f t="shared" si="9"/>
        <v>The Empire Strikes Back</v>
      </c>
      <c r="V24" t="s">
        <v>90</v>
      </c>
    </row>
    <row r="25" spans="1:22" x14ac:dyDescent="0.25">
      <c r="A25" t="s">
        <v>94</v>
      </c>
      <c r="B25" s="6">
        <v>177</v>
      </c>
      <c r="C25" s="6">
        <f t="shared" si="2"/>
        <v>69.5</v>
      </c>
      <c r="D25" s="6">
        <f t="shared" si="3"/>
        <v>1.77</v>
      </c>
      <c r="E25" s="3">
        <v>79</v>
      </c>
      <c r="F25" s="3">
        <f t="shared" si="4"/>
        <v>174.25</v>
      </c>
      <c r="G25">
        <f t="shared" si="0"/>
        <v>25.216253311628201</v>
      </c>
      <c r="I25" t="b">
        <f t="shared" si="5"/>
        <v>0</v>
      </c>
      <c r="J25" s="3">
        <f t="shared" si="6"/>
        <v>8</v>
      </c>
      <c r="K25" t="s">
        <v>45</v>
      </c>
      <c r="L25" t="s">
        <v>95</v>
      </c>
      <c r="M25" t="s">
        <v>33</v>
      </c>
      <c r="N25" s="3">
        <v>31</v>
      </c>
      <c r="O25" t="b">
        <f t="shared" si="7"/>
        <v>1</v>
      </c>
      <c r="P25">
        <f t="shared" si="8"/>
        <v>11315</v>
      </c>
      <c r="S25" t="s">
        <v>96</v>
      </c>
      <c r="T25" t="s">
        <v>15</v>
      </c>
      <c r="U25" t="str">
        <f t="shared" si="9"/>
        <v xml:space="preserve">Return of the Jedi </v>
      </c>
      <c r="V25" t="s">
        <v>97</v>
      </c>
    </row>
    <row r="26" spans="1:22" x14ac:dyDescent="0.25">
      <c r="A26" t="s">
        <v>98</v>
      </c>
      <c r="B26" s="6">
        <v>175</v>
      </c>
      <c r="C26" s="6">
        <f t="shared" si="2"/>
        <v>68.5</v>
      </c>
      <c r="D26" s="6">
        <f t="shared" si="3"/>
        <v>1.75</v>
      </c>
      <c r="E26" s="3">
        <v>79</v>
      </c>
      <c r="F26" s="3">
        <f t="shared" si="4"/>
        <v>174.25</v>
      </c>
      <c r="G26">
        <f t="shared" si="0"/>
        <v>25.795918367346939</v>
      </c>
      <c r="I26" t="b">
        <f t="shared" si="5"/>
        <v>0</v>
      </c>
      <c r="J26" s="3">
        <f t="shared" si="6"/>
        <v>9</v>
      </c>
      <c r="K26" t="s">
        <v>29</v>
      </c>
      <c r="L26" t="s">
        <v>34</v>
      </c>
      <c r="M26" t="s">
        <v>13</v>
      </c>
      <c r="N26" s="3">
        <v>37</v>
      </c>
      <c r="O26" t="b">
        <f t="shared" si="7"/>
        <v>1</v>
      </c>
      <c r="P26">
        <f t="shared" si="8"/>
        <v>13505</v>
      </c>
      <c r="S26" t="s">
        <v>99</v>
      </c>
      <c r="T26" t="s">
        <v>15</v>
      </c>
      <c r="U26" t="str">
        <f t="shared" si="9"/>
        <v>The Empire Strikes Back</v>
      </c>
      <c r="V26" t="s">
        <v>90</v>
      </c>
    </row>
    <row r="27" spans="1:22" x14ac:dyDescent="0.25">
      <c r="A27" t="s">
        <v>100</v>
      </c>
      <c r="B27" s="6">
        <v>180</v>
      </c>
      <c r="C27" s="6">
        <f t="shared" si="2"/>
        <v>70.5</v>
      </c>
      <c r="D27" s="6">
        <f t="shared" si="3"/>
        <v>1.8</v>
      </c>
      <c r="E27" s="3">
        <v>83</v>
      </c>
      <c r="F27" s="3">
        <f t="shared" si="4"/>
        <v>183</v>
      </c>
      <c r="G27">
        <f t="shared" si="0"/>
        <v>25.617283950617281</v>
      </c>
      <c r="I27" t="b">
        <f t="shared" si="5"/>
        <v>0</v>
      </c>
      <c r="J27" s="3">
        <f t="shared" si="6"/>
        <v>36</v>
      </c>
      <c r="K27" t="s">
        <v>29</v>
      </c>
      <c r="L27" t="s">
        <v>101</v>
      </c>
      <c r="M27" t="s">
        <v>69</v>
      </c>
      <c r="N27" s="3">
        <v>41</v>
      </c>
      <c r="O27" t="b">
        <f t="shared" si="7"/>
        <v>1</v>
      </c>
      <c r="P27">
        <f t="shared" si="8"/>
        <v>14965</v>
      </c>
      <c r="S27" t="s">
        <v>102</v>
      </c>
      <c r="T27" t="s">
        <v>103</v>
      </c>
      <c r="U27" t="str">
        <f t="shared" si="9"/>
        <v xml:space="preserve">Return of the Jedi </v>
      </c>
      <c r="V27" t="s">
        <v>104</v>
      </c>
    </row>
    <row r="28" spans="1:22" x14ac:dyDescent="0.25">
      <c r="A28" t="s">
        <v>105</v>
      </c>
      <c r="B28" s="6">
        <v>150</v>
      </c>
      <c r="C28" s="6">
        <f t="shared" si="2"/>
        <v>59</v>
      </c>
      <c r="D28" s="6">
        <f t="shared" si="3"/>
        <v>1.5</v>
      </c>
      <c r="E28" s="3" t="s">
        <v>18</v>
      </c>
      <c r="F28" s="3" t="e">
        <f t="shared" si="4"/>
        <v>#VALUE!</v>
      </c>
      <c r="G28">
        <f t="shared" si="0"/>
        <v>0</v>
      </c>
      <c r="I28" t="b">
        <f t="shared" si="5"/>
        <v>0</v>
      </c>
      <c r="J28" s="3">
        <f t="shared" si="6"/>
        <v>35</v>
      </c>
      <c r="K28" t="s">
        <v>106</v>
      </c>
      <c r="L28" t="s">
        <v>12</v>
      </c>
      <c r="M28" t="s">
        <v>13</v>
      </c>
      <c r="N28" s="3">
        <v>48</v>
      </c>
      <c r="O28" t="b">
        <f t="shared" si="7"/>
        <v>1</v>
      </c>
      <c r="P28">
        <f t="shared" si="8"/>
        <v>17520</v>
      </c>
      <c r="S28" t="s">
        <v>107</v>
      </c>
      <c r="T28" t="s">
        <v>15</v>
      </c>
      <c r="U28" t="str">
        <f t="shared" si="9"/>
        <v>Return of the Jedi</v>
      </c>
      <c r="V28" t="s">
        <v>108</v>
      </c>
    </row>
    <row r="29" spans="1:22" x14ac:dyDescent="0.25">
      <c r="A29" t="s">
        <v>109</v>
      </c>
      <c r="B29" s="6" t="s">
        <v>18</v>
      </c>
      <c r="C29" s="6" t="s">
        <v>18</v>
      </c>
      <c r="D29" s="6" t="s">
        <v>18</v>
      </c>
      <c r="E29" s="3" t="s">
        <v>18</v>
      </c>
      <c r="F29" s="3" t="e">
        <f t="shared" si="4"/>
        <v>#VALUE!</v>
      </c>
      <c r="G29">
        <f t="shared" si="0"/>
        <v>0</v>
      </c>
      <c r="I29" t="b">
        <f t="shared" si="5"/>
        <v>0</v>
      </c>
      <c r="J29" s="3">
        <f t="shared" si="6"/>
        <v>7</v>
      </c>
      <c r="K29" t="s">
        <v>33</v>
      </c>
      <c r="L29" t="s">
        <v>12</v>
      </c>
      <c r="M29" t="s">
        <v>33</v>
      </c>
      <c r="N29" s="3" t="s">
        <v>18</v>
      </c>
      <c r="O29" t="b">
        <f t="shared" si="7"/>
        <v>0</v>
      </c>
      <c r="P29" t="e">
        <f t="shared" si="8"/>
        <v>#VALUE!</v>
      </c>
      <c r="S29" t="s">
        <v>18</v>
      </c>
      <c r="T29" t="s">
        <v>15</v>
      </c>
      <c r="U29" t="str">
        <f t="shared" si="9"/>
        <v>Return of the Jedi</v>
      </c>
      <c r="V29" t="s">
        <v>108</v>
      </c>
    </row>
    <row r="30" spans="1:22" x14ac:dyDescent="0.25">
      <c r="A30" t="s">
        <v>110</v>
      </c>
      <c r="B30" s="6">
        <v>88</v>
      </c>
      <c r="C30" s="6">
        <f t="shared" si="2"/>
        <v>34.5</v>
      </c>
      <c r="D30" s="6">
        <f t="shared" si="3"/>
        <v>0.88</v>
      </c>
      <c r="E30" s="3">
        <v>20</v>
      </c>
      <c r="F30" s="3">
        <f t="shared" si="4"/>
        <v>44.25</v>
      </c>
      <c r="G30">
        <f t="shared" si="0"/>
        <v>25.826446280991735</v>
      </c>
      <c r="I30" t="b">
        <f t="shared" si="5"/>
        <v>0</v>
      </c>
      <c r="J30" s="3">
        <f t="shared" si="6"/>
        <v>4</v>
      </c>
      <c r="K30" t="s">
        <v>33</v>
      </c>
      <c r="L30" t="s">
        <v>33</v>
      </c>
      <c r="M30" t="s">
        <v>33</v>
      </c>
      <c r="N30" s="3">
        <v>8</v>
      </c>
      <c r="O30" t="b">
        <f t="shared" si="7"/>
        <v>1</v>
      </c>
      <c r="P30">
        <f t="shared" si="8"/>
        <v>2920</v>
      </c>
      <c r="S30" t="s">
        <v>111</v>
      </c>
      <c r="T30" t="s">
        <v>112</v>
      </c>
      <c r="U30" t="str">
        <f t="shared" si="9"/>
        <v>Return of the Jedi</v>
      </c>
      <c r="V30" t="s">
        <v>108</v>
      </c>
    </row>
    <row r="31" spans="1:22" x14ac:dyDescent="0.25">
      <c r="A31" t="s">
        <v>113</v>
      </c>
      <c r="B31" s="6">
        <v>160</v>
      </c>
      <c r="C31" s="6">
        <f t="shared" si="2"/>
        <v>62.5</v>
      </c>
      <c r="D31" s="6">
        <f t="shared" si="3"/>
        <v>1.6</v>
      </c>
      <c r="E31" s="3">
        <v>68</v>
      </c>
      <c r="F31" s="3">
        <f t="shared" si="4"/>
        <v>150</v>
      </c>
      <c r="G31">
        <f t="shared" si="0"/>
        <v>26.562499999999996</v>
      </c>
      <c r="I31" t="b">
        <f t="shared" si="5"/>
        <v>0</v>
      </c>
      <c r="J31" s="3">
        <f t="shared" si="6"/>
        <v>12</v>
      </c>
      <c r="K31" t="s">
        <v>29</v>
      </c>
      <c r="L31" t="s">
        <v>82</v>
      </c>
      <c r="M31" t="s">
        <v>45</v>
      </c>
      <c r="N31" s="3" t="s">
        <v>18</v>
      </c>
      <c r="O31" t="b">
        <f t="shared" si="7"/>
        <v>0</v>
      </c>
      <c r="P31" t="e">
        <f t="shared" si="8"/>
        <v>#VALUE!</v>
      </c>
      <c r="S31" t="s">
        <v>114</v>
      </c>
      <c r="T31" t="s">
        <v>115</v>
      </c>
      <c r="U31" t="str">
        <f t="shared" si="9"/>
        <v>Return of the Jedi</v>
      </c>
      <c r="V31" t="s">
        <v>108</v>
      </c>
    </row>
    <row r="32" spans="1:22" x14ac:dyDescent="0.25">
      <c r="A32" t="s">
        <v>116</v>
      </c>
      <c r="B32" s="6">
        <v>193</v>
      </c>
      <c r="C32" s="6">
        <f t="shared" si="2"/>
        <v>75.5</v>
      </c>
      <c r="D32" s="6">
        <f t="shared" si="3"/>
        <v>1.93</v>
      </c>
      <c r="E32" s="3">
        <v>89</v>
      </c>
      <c r="F32" s="3">
        <f t="shared" si="4"/>
        <v>196.25</v>
      </c>
      <c r="G32">
        <f t="shared" si="0"/>
        <v>23.893258879433006</v>
      </c>
      <c r="I32" t="b">
        <f t="shared" si="5"/>
        <v>0</v>
      </c>
      <c r="J32" s="3">
        <f t="shared" si="6"/>
        <v>8</v>
      </c>
      <c r="K32" t="s">
        <v>33</v>
      </c>
      <c r="L32" t="s">
        <v>12</v>
      </c>
      <c r="M32" t="s">
        <v>13</v>
      </c>
      <c r="N32" s="3">
        <v>92</v>
      </c>
      <c r="O32" t="b">
        <f t="shared" si="7"/>
        <v>1</v>
      </c>
      <c r="P32">
        <f t="shared" si="8"/>
        <v>33580</v>
      </c>
      <c r="S32" t="s">
        <v>18</v>
      </c>
      <c r="T32" t="s">
        <v>15</v>
      </c>
      <c r="U32" t="str">
        <f t="shared" si="9"/>
        <v>The Phantom Menace</v>
      </c>
      <c r="V32" t="s">
        <v>117</v>
      </c>
    </row>
    <row r="33" spans="1:22" x14ac:dyDescent="0.25">
      <c r="A33" t="s">
        <v>118</v>
      </c>
      <c r="B33" s="6">
        <v>191</v>
      </c>
      <c r="C33" s="6">
        <f t="shared" si="2"/>
        <v>75</v>
      </c>
      <c r="D33" s="6">
        <f t="shared" si="3"/>
        <v>1.91</v>
      </c>
      <c r="E33" s="3">
        <v>90</v>
      </c>
      <c r="F33" s="3">
        <f t="shared" si="4"/>
        <v>198.5</v>
      </c>
      <c r="G33">
        <f t="shared" si="0"/>
        <v>24.670376360297141</v>
      </c>
      <c r="I33" t="b">
        <f t="shared" si="5"/>
        <v>0</v>
      </c>
      <c r="J33" s="3">
        <f t="shared" si="6"/>
        <v>32</v>
      </c>
      <c r="K33" t="s">
        <v>29</v>
      </c>
      <c r="L33" t="s">
        <v>119</v>
      </c>
      <c r="M33" t="s">
        <v>25</v>
      </c>
      <c r="N33" s="3" t="s">
        <v>18</v>
      </c>
      <c r="O33" t="b">
        <f t="shared" si="7"/>
        <v>0</v>
      </c>
      <c r="P33" t="e">
        <f t="shared" si="8"/>
        <v>#VALUE!</v>
      </c>
      <c r="S33" t="s">
        <v>120</v>
      </c>
      <c r="T33" t="s">
        <v>121</v>
      </c>
      <c r="U33" t="str">
        <f t="shared" si="9"/>
        <v xml:space="preserve">Attack of the Clones </v>
      </c>
      <c r="V33" t="s">
        <v>51</v>
      </c>
    </row>
    <row r="34" spans="1:22" x14ac:dyDescent="0.25">
      <c r="A34" t="s">
        <v>122</v>
      </c>
      <c r="B34" s="6">
        <v>170</v>
      </c>
      <c r="C34" s="6">
        <f t="shared" si="2"/>
        <v>66.5</v>
      </c>
      <c r="D34" s="6">
        <f t="shared" si="3"/>
        <v>1.7</v>
      </c>
      <c r="E34" s="3" t="s">
        <v>18</v>
      </c>
      <c r="F34" s="3" t="e">
        <f t="shared" si="4"/>
        <v>#VALUE!</v>
      </c>
      <c r="G34">
        <f t="shared" ref="G34:G65" si="10">IF(E34="NA",0,1*(E34/D34^2))</f>
        <v>0</v>
      </c>
      <c r="I34" t="b">
        <f t="shared" si="5"/>
        <v>0</v>
      </c>
      <c r="J34" s="3">
        <f t="shared" si="6"/>
        <v>24</v>
      </c>
      <c r="K34" t="s">
        <v>11</v>
      </c>
      <c r="L34" t="s">
        <v>12</v>
      </c>
      <c r="M34" t="s">
        <v>13</v>
      </c>
      <c r="N34" s="3">
        <v>91</v>
      </c>
      <c r="O34" t="b">
        <f t="shared" si="7"/>
        <v>1</v>
      </c>
      <c r="P34">
        <f t="shared" si="8"/>
        <v>33215</v>
      </c>
      <c r="S34" t="s">
        <v>123</v>
      </c>
      <c r="T34" t="s">
        <v>15</v>
      </c>
      <c r="U34" t="str">
        <f t="shared" si="9"/>
        <v>The Phantom Menace</v>
      </c>
      <c r="V34" t="s">
        <v>117</v>
      </c>
    </row>
    <row r="35" spans="1:22" x14ac:dyDescent="0.25">
      <c r="A35" t="s">
        <v>124</v>
      </c>
      <c r="B35" s="6">
        <v>196</v>
      </c>
      <c r="C35" s="6">
        <f t="shared" si="2"/>
        <v>77</v>
      </c>
      <c r="D35" s="6">
        <f t="shared" si="3"/>
        <v>1.96</v>
      </c>
      <c r="E35" s="3">
        <v>66</v>
      </c>
      <c r="F35" s="3">
        <f t="shared" si="4"/>
        <v>145.75</v>
      </c>
      <c r="G35">
        <f t="shared" si="10"/>
        <v>17.180341524364849</v>
      </c>
      <c r="I35" t="b">
        <f t="shared" si="5"/>
        <v>0</v>
      </c>
      <c r="J35" s="3">
        <f t="shared" si="6"/>
        <v>27</v>
      </c>
      <c r="K35" t="s">
        <v>29</v>
      </c>
      <c r="L35" t="s">
        <v>69</v>
      </c>
      <c r="M35" t="s">
        <v>69</v>
      </c>
      <c r="N35" s="3">
        <v>52</v>
      </c>
      <c r="O35" t="b">
        <f t="shared" si="7"/>
        <v>1</v>
      </c>
      <c r="P35">
        <f t="shared" si="8"/>
        <v>18980</v>
      </c>
      <c r="S35" t="s">
        <v>26</v>
      </c>
      <c r="T35" t="s">
        <v>125</v>
      </c>
      <c r="U35" t="str">
        <f t="shared" si="9"/>
        <v xml:space="preserve">Attack of the Clones </v>
      </c>
      <c r="V35" t="s">
        <v>126</v>
      </c>
    </row>
    <row r="36" spans="1:22" x14ac:dyDescent="0.25">
      <c r="A36" t="s">
        <v>127</v>
      </c>
      <c r="B36" s="6">
        <v>224</v>
      </c>
      <c r="C36" s="6">
        <f t="shared" si="2"/>
        <v>88</v>
      </c>
      <c r="D36" s="6">
        <f t="shared" si="3"/>
        <v>2.2400000000000002</v>
      </c>
      <c r="E36" s="3">
        <v>82</v>
      </c>
      <c r="F36" s="3">
        <f t="shared" si="4"/>
        <v>181</v>
      </c>
      <c r="G36">
        <f t="shared" si="10"/>
        <v>16.342474489795915</v>
      </c>
      <c r="I36" t="b">
        <f t="shared" si="5"/>
        <v>0</v>
      </c>
      <c r="J36" s="3">
        <f t="shared" si="6"/>
        <v>30</v>
      </c>
      <c r="K36" t="s">
        <v>29</v>
      </c>
      <c r="L36" t="s">
        <v>82</v>
      </c>
      <c r="M36" t="s">
        <v>69</v>
      </c>
      <c r="N36" s="3" t="s">
        <v>18</v>
      </c>
      <c r="O36" t="b">
        <f t="shared" si="7"/>
        <v>0</v>
      </c>
      <c r="P36" t="e">
        <f t="shared" si="8"/>
        <v>#VALUE!</v>
      </c>
      <c r="S36" t="s">
        <v>26</v>
      </c>
      <c r="T36" t="s">
        <v>125</v>
      </c>
      <c r="U36" t="str">
        <f t="shared" si="9"/>
        <v>The Phantom Menace</v>
      </c>
      <c r="V36" t="s">
        <v>117</v>
      </c>
    </row>
    <row r="37" spans="1:22" x14ac:dyDescent="0.25">
      <c r="A37" t="s">
        <v>128</v>
      </c>
      <c r="B37" s="6">
        <v>206</v>
      </c>
      <c r="C37" s="6">
        <f t="shared" si="2"/>
        <v>81</v>
      </c>
      <c r="D37" s="6">
        <f t="shared" si="3"/>
        <v>2.06</v>
      </c>
      <c r="E37" s="3" t="s">
        <v>18</v>
      </c>
      <c r="F37" s="3" t="e">
        <f t="shared" si="4"/>
        <v>#VALUE!</v>
      </c>
      <c r="G37">
        <f t="shared" si="10"/>
        <v>0</v>
      </c>
      <c r="I37" t="b">
        <f t="shared" si="5"/>
        <v>0</v>
      </c>
      <c r="J37" s="3">
        <f t="shared" si="6"/>
        <v>29</v>
      </c>
      <c r="K37" t="s">
        <v>29</v>
      </c>
      <c r="L37" t="s">
        <v>64</v>
      </c>
      <c r="M37" t="s">
        <v>69</v>
      </c>
      <c r="N37" s="3" t="s">
        <v>18</v>
      </c>
      <c r="O37" t="b">
        <f t="shared" si="7"/>
        <v>0</v>
      </c>
      <c r="P37" t="e">
        <f t="shared" si="8"/>
        <v>#VALUE!</v>
      </c>
      <c r="S37" t="s">
        <v>26</v>
      </c>
      <c r="T37" t="s">
        <v>125</v>
      </c>
      <c r="U37" t="str">
        <f t="shared" si="9"/>
        <v>The Phantom Menace</v>
      </c>
      <c r="V37" t="s">
        <v>117</v>
      </c>
    </row>
    <row r="38" spans="1:22" x14ac:dyDescent="0.25">
      <c r="A38" t="s">
        <v>129</v>
      </c>
      <c r="B38" s="6">
        <v>183</v>
      </c>
      <c r="C38" s="6">
        <f t="shared" si="2"/>
        <v>72</v>
      </c>
      <c r="D38" s="6">
        <f t="shared" si="3"/>
        <v>1.83</v>
      </c>
      <c r="E38" s="3" t="s">
        <v>18</v>
      </c>
      <c r="F38" s="3" t="e">
        <f t="shared" si="4"/>
        <v>#VALUE!</v>
      </c>
      <c r="G38">
        <f t="shared" si="10"/>
        <v>0</v>
      </c>
      <c r="I38" t="b">
        <f t="shared" si="5"/>
        <v>0</v>
      </c>
      <c r="J38" s="3">
        <f t="shared" si="6"/>
        <v>29</v>
      </c>
      <c r="K38" t="s">
        <v>33</v>
      </c>
      <c r="L38" t="s">
        <v>12</v>
      </c>
      <c r="M38" t="s">
        <v>13</v>
      </c>
      <c r="N38" s="3" t="s">
        <v>18</v>
      </c>
      <c r="O38" t="b">
        <f t="shared" si="7"/>
        <v>0</v>
      </c>
      <c r="P38" t="e">
        <f t="shared" si="8"/>
        <v>#VALUE!</v>
      </c>
      <c r="S38" t="s">
        <v>26</v>
      </c>
      <c r="T38" t="s">
        <v>18</v>
      </c>
      <c r="U38" t="str">
        <f t="shared" si="9"/>
        <v>The Phantom Menace</v>
      </c>
      <c r="V38" t="s">
        <v>117</v>
      </c>
    </row>
    <row r="39" spans="1:22" x14ac:dyDescent="0.25">
      <c r="A39" t="s">
        <v>130</v>
      </c>
      <c r="B39" s="6">
        <v>137</v>
      </c>
      <c r="C39" s="6">
        <f t="shared" si="2"/>
        <v>53.5</v>
      </c>
      <c r="D39" s="6">
        <f t="shared" si="3"/>
        <v>1.37</v>
      </c>
      <c r="E39" s="3" t="s">
        <v>18</v>
      </c>
      <c r="F39" s="3" t="e">
        <f t="shared" si="4"/>
        <v>#VALUE!</v>
      </c>
      <c r="G39">
        <f t="shared" si="10"/>
        <v>0</v>
      </c>
      <c r="I39" t="b">
        <f t="shared" si="5"/>
        <v>0</v>
      </c>
      <c r="J39" s="3">
        <f t="shared" si="6"/>
        <v>3</v>
      </c>
      <c r="K39" t="s">
        <v>45</v>
      </c>
      <c r="L39" t="s">
        <v>131</v>
      </c>
      <c r="M39" t="s">
        <v>20</v>
      </c>
      <c r="N39" s="3" t="s">
        <v>18</v>
      </c>
      <c r="O39" t="b">
        <f t="shared" si="7"/>
        <v>0</v>
      </c>
      <c r="P39" t="e">
        <f t="shared" si="8"/>
        <v>#VALUE!</v>
      </c>
      <c r="S39" t="s">
        <v>132</v>
      </c>
      <c r="T39" t="s">
        <v>133</v>
      </c>
      <c r="U39" t="str">
        <f t="shared" si="9"/>
        <v xml:space="preserve"> Attack of the Clones </v>
      </c>
      <c r="V39" t="s">
        <v>134</v>
      </c>
    </row>
    <row r="40" spans="1:22" x14ac:dyDescent="0.25">
      <c r="A40" t="s">
        <v>135</v>
      </c>
      <c r="B40" s="6">
        <v>112</v>
      </c>
      <c r="C40" s="6">
        <f t="shared" si="2"/>
        <v>44</v>
      </c>
      <c r="D40" s="6">
        <f t="shared" si="3"/>
        <v>1.1200000000000001</v>
      </c>
      <c r="E40" s="3">
        <v>40</v>
      </c>
      <c r="F40" s="3">
        <f t="shared" si="4"/>
        <v>88.25</v>
      </c>
      <c r="G40">
        <f t="shared" si="10"/>
        <v>31.887755102040813</v>
      </c>
      <c r="I40" t="b">
        <f t="shared" si="5"/>
        <v>0</v>
      </c>
      <c r="J40" s="3">
        <f t="shared" si="6"/>
        <v>29</v>
      </c>
      <c r="K40" t="s">
        <v>29</v>
      </c>
      <c r="L40" t="s">
        <v>136</v>
      </c>
      <c r="M40" t="s">
        <v>69</v>
      </c>
      <c r="N40" s="3" t="s">
        <v>18</v>
      </c>
      <c r="O40" t="b">
        <f t="shared" si="7"/>
        <v>0</v>
      </c>
      <c r="P40" t="e">
        <f t="shared" si="8"/>
        <v>#VALUE!</v>
      </c>
      <c r="S40" t="s">
        <v>137</v>
      </c>
      <c r="T40" t="s">
        <v>138</v>
      </c>
      <c r="U40" t="str">
        <f t="shared" si="9"/>
        <v>The Phantom Menace</v>
      </c>
      <c r="V40" t="s">
        <v>117</v>
      </c>
    </row>
    <row r="41" spans="1:22" x14ac:dyDescent="0.25">
      <c r="A41" t="s">
        <v>139</v>
      </c>
      <c r="B41" s="6">
        <v>183</v>
      </c>
      <c r="C41" s="6">
        <f t="shared" si="2"/>
        <v>72</v>
      </c>
      <c r="D41" s="6">
        <f t="shared" si="3"/>
        <v>1.83</v>
      </c>
      <c r="E41" s="3" t="s">
        <v>18</v>
      </c>
      <c r="F41" s="3" t="e">
        <f t="shared" si="4"/>
        <v>#VALUE!</v>
      </c>
      <c r="G41">
        <f t="shared" si="10"/>
        <v>0</v>
      </c>
      <c r="I41" t="b">
        <f t="shared" si="5"/>
        <v>0</v>
      </c>
      <c r="J41" s="3">
        <f t="shared" si="6"/>
        <v>28</v>
      </c>
      <c r="K41" t="s">
        <v>45</v>
      </c>
      <c r="L41" t="s">
        <v>95</v>
      </c>
      <c r="M41" t="s">
        <v>33</v>
      </c>
      <c r="N41" s="3">
        <v>62</v>
      </c>
      <c r="O41" t="b">
        <f t="shared" si="7"/>
        <v>1</v>
      </c>
      <c r="P41">
        <f t="shared" si="8"/>
        <v>22630</v>
      </c>
      <c r="S41" t="s">
        <v>26</v>
      </c>
      <c r="T41" t="s">
        <v>18</v>
      </c>
      <c r="U41" t="str">
        <f t="shared" si="9"/>
        <v>The Phantom Menace</v>
      </c>
      <c r="V41" t="s">
        <v>117</v>
      </c>
    </row>
    <row r="42" spans="1:22" x14ac:dyDescent="0.25">
      <c r="A42" t="s">
        <v>140</v>
      </c>
      <c r="B42" s="6">
        <v>163</v>
      </c>
      <c r="C42" s="6">
        <f t="shared" si="2"/>
        <v>64</v>
      </c>
      <c r="D42" s="6">
        <f t="shared" si="3"/>
        <v>1.63</v>
      </c>
      <c r="E42" s="3" t="s">
        <v>18</v>
      </c>
      <c r="F42" s="3" t="e">
        <f t="shared" si="4"/>
        <v>#VALUE!</v>
      </c>
      <c r="G42">
        <f t="shared" si="10"/>
        <v>0</v>
      </c>
      <c r="I42" t="b">
        <f t="shared" si="5"/>
        <v>0</v>
      </c>
      <c r="J42" s="3">
        <f t="shared" si="6"/>
        <v>3</v>
      </c>
      <c r="K42" t="s">
        <v>45</v>
      </c>
      <c r="L42" t="s">
        <v>12</v>
      </c>
      <c r="M42" t="s">
        <v>33</v>
      </c>
      <c r="N42" s="3">
        <v>72</v>
      </c>
      <c r="O42" t="b">
        <f t="shared" si="7"/>
        <v>1</v>
      </c>
      <c r="P42">
        <f t="shared" si="8"/>
        <v>26280</v>
      </c>
      <c r="S42" t="s">
        <v>14</v>
      </c>
      <c r="T42" t="s">
        <v>15</v>
      </c>
      <c r="U42" t="str">
        <f t="shared" si="9"/>
        <v xml:space="preserve"> Attack of the Clones </v>
      </c>
      <c r="V42" t="s">
        <v>134</v>
      </c>
    </row>
    <row r="43" spans="1:22" x14ac:dyDescent="0.25">
      <c r="A43" t="s">
        <v>141</v>
      </c>
      <c r="B43" s="6">
        <v>175</v>
      </c>
      <c r="C43" s="6">
        <f t="shared" si="2"/>
        <v>68.5</v>
      </c>
      <c r="D43" s="6">
        <f t="shared" si="3"/>
        <v>1.75</v>
      </c>
      <c r="E43" s="3">
        <v>80</v>
      </c>
      <c r="F43" s="3">
        <f t="shared" si="4"/>
        <v>176.5</v>
      </c>
      <c r="G43">
        <f t="shared" si="10"/>
        <v>26.122448979591837</v>
      </c>
      <c r="I43" t="b">
        <f t="shared" si="5"/>
        <v>0</v>
      </c>
      <c r="J43" s="3">
        <f t="shared" si="6"/>
        <v>28</v>
      </c>
      <c r="K43" t="s">
        <v>29</v>
      </c>
      <c r="L43" t="s">
        <v>25</v>
      </c>
      <c r="M43" t="s">
        <v>20</v>
      </c>
      <c r="N43" s="3">
        <v>54</v>
      </c>
      <c r="O43" t="b">
        <f t="shared" si="7"/>
        <v>1</v>
      </c>
      <c r="P43">
        <f t="shared" si="8"/>
        <v>19710</v>
      </c>
      <c r="S43" t="s">
        <v>142</v>
      </c>
      <c r="T43" t="s">
        <v>143</v>
      </c>
      <c r="U43" t="str">
        <f t="shared" si="9"/>
        <v>The Phantom Menace</v>
      </c>
      <c r="V43" t="s">
        <v>117</v>
      </c>
    </row>
    <row r="44" spans="1:22" x14ac:dyDescent="0.25">
      <c r="A44" t="s">
        <v>144</v>
      </c>
      <c r="B44" s="6">
        <v>180</v>
      </c>
      <c r="C44" s="6">
        <f t="shared" si="2"/>
        <v>70.5</v>
      </c>
      <c r="D44" s="6">
        <f t="shared" si="3"/>
        <v>1.8</v>
      </c>
      <c r="E44" s="3" t="s">
        <v>18</v>
      </c>
      <c r="F44" s="3" t="e">
        <f t="shared" si="4"/>
        <v>#VALUE!</v>
      </c>
      <c r="G44">
        <f t="shared" si="10"/>
        <v>0</v>
      </c>
      <c r="I44" t="b">
        <f t="shared" si="5"/>
        <v>0</v>
      </c>
      <c r="J44" s="3">
        <f t="shared" si="6"/>
        <v>21</v>
      </c>
      <c r="K44" t="s">
        <v>29</v>
      </c>
      <c r="L44" t="s">
        <v>83</v>
      </c>
      <c r="M44" t="s">
        <v>145</v>
      </c>
      <c r="N44" s="3" t="s">
        <v>18</v>
      </c>
      <c r="O44" t="b">
        <f t="shared" si="7"/>
        <v>0</v>
      </c>
      <c r="P44" t="e">
        <f t="shared" si="8"/>
        <v>#VALUE!</v>
      </c>
      <c r="S44" t="s">
        <v>146</v>
      </c>
      <c r="T44" t="s">
        <v>147</v>
      </c>
      <c r="U44" t="str">
        <f t="shared" si="9"/>
        <v>Return of the Jedi</v>
      </c>
      <c r="V44" t="s">
        <v>108</v>
      </c>
    </row>
    <row r="45" spans="1:22" x14ac:dyDescent="0.25">
      <c r="A45" t="s">
        <v>148</v>
      </c>
      <c r="B45" s="6">
        <v>178</v>
      </c>
      <c r="C45" s="6">
        <f t="shared" si="2"/>
        <v>70</v>
      </c>
      <c r="D45" s="6">
        <f t="shared" si="3"/>
        <v>1.78</v>
      </c>
      <c r="E45" s="3">
        <v>55</v>
      </c>
      <c r="F45" s="3">
        <f t="shared" si="4"/>
        <v>121.5</v>
      </c>
      <c r="G45">
        <f t="shared" si="10"/>
        <v>17.35891932836763</v>
      </c>
      <c r="I45" t="b">
        <f t="shared" si="5"/>
        <v>0</v>
      </c>
      <c r="J45" s="3">
        <f t="shared" si="6"/>
        <v>1</v>
      </c>
      <c r="K45" t="s">
        <v>29</v>
      </c>
      <c r="L45" t="s">
        <v>13</v>
      </c>
      <c r="M45" t="s">
        <v>74</v>
      </c>
      <c r="N45" s="3">
        <v>48</v>
      </c>
      <c r="O45" t="b">
        <f t="shared" si="7"/>
        <v>1</v>
      </c>
      <c r="P45">
        <f t="shared" si="8"/>
        <v>17520</v>
      </c>
      <c r="S45" t="s">
        <v>146</v>
      </c>
      <c r="T45" t="s">
        <v>147</v>
      </c>
      <c r="U45" t="str">
        <f t="shared" si="9"/>
        <v xml:space="preserve"> Attack of the Clones </v>
      </c>
      <c r="V45" t="s">
        <v>149</v>
      </c>
    </row>
    <row r="46" spans="1:22" x14ac:dyDescent="0.25">
      <c r="A46" t="s">
        <v>150</v>
      </c>
      <c r="B46" s="6">
        <v>94</v>
      </c>
      <c r="C46" s="6">
        <f t="shared" si="2"/>
        <v>37</v>
      </c>
      <c r="D46" s="6">
        <f t="shared" si="3"/>
        <v>0.94</v>
      </c>
      <c r="E46" s="3">
        <v>45</v>
      </c>
      <c r="F46" s="3">
        <f t="shared" si="4"/>
        <v>99.25</v>
      </c>
      <c r="G46">
        <f t="shared" si="10"/>
        <v>50.928021729289277</v>
      </c>
      <c r="I46" t="b">
        <f t="shared" si="5"/>
        <v>1</v>
      </c>
      <c r="J46" s="3">
        <f t="shared" si="6"/>
        <v>26</v>
      </c>
      <c r="K46" t="s">
        <v>29</v>
      </c>
      <c r="L46" t="s">
        <v>131</v>
      </c>
      <c r="M46" t="s">
        <v>20</v>
      </c>
      <c r="N46" s="3" t="s">
        <v>18</v>
      </c>
      <c r="O46" t="b">
        <f t="shared" si="7"/>
        <v>0</v>
      </c>
      <c r="P46" t="e">
        <f t="shared" si="8"/>
        <v>#VALUE!</v>
      </c>
      <c r="S46" t="s">
        <v>151</v>
      </c>
      <c r="T46" t="s">
        <v>152</v>
      </c>
      <c r="U46" t="str">
        <f t="shared" si="9"/>
        <v>The Phantom Menace</v>
      </c>
      <c r="V46" t="s">
        <v>117</v>
      </c>
    </row>
    <row r="47" spans="1:22" x14ac:dyDescent="0.25">
      <c r="A47" t="s">
        <v>153</v>
      </c>
      <c r="B47" s="6">
        <v>122</v>
      </c>
      <c r="C47" s="6">
        <f t="shared" si="2"/>
        <v>48</v>
      </c>
      <c r="D47" s="6">
        <f t="shared" si="3"/>
        <v>1.22</v>
      </c>
      <c r="E47" s="3" t="s">
        <v>18</v>
      </c>
      <c r="F47" s="3" t="e">
        <f t="shared" si="4"/>
        <v>#VALUE!</v>
      </c>
      <c r="G47">
        <f t="shared" si="10"/>
        <v>0</v>
      </c>
      <c r="I47" t="b">
        <f t="shared" si="5"/>
        <v>0</v>
      </c>
      <c r="J47" s="3">
        <f t="shared" si="6"/>
        <v>5</v>
      </c>
      <c r="K47" t="s">
        <v>29</v>
      </c>
      <c r="L47" t="s">
        <v>24</v>
      </c>
      <c r="M47" t="s">
        <v>45</v>
      </c>
      <c r="N47" s="3" t="s">
        <v>18</v>
      </c>
      <c r="O47" t="b">
        <f t="shared" si="7"/>
        <v>0</v>
      </c>
      <c r="P47" t="e">
        <f t="shared" si="8"/>
        <v>#VALUE!</v>
      </c>
      <c r="S47" t="s">
        <v>154</v>
      </c>
      <c r="T47" t="s">
        <v>155</v>
      </c>
      <c r="U47" t="str">
        <f t="shared" si="9"/>
        <v>The Phantom Menace</v>
      </c>
      <c r="V47" t="s">
        <v>117</v>
      </c>
    </row>
    <row r="48" spans="1:22" x14ac:dyDescent="0.25">
      <c r="A48" t="s">
        <v>156</v>
      </c>
      <c r="B48" s="6">
        <v>163</v>
      </c>
      <c r="C48" s="6">
        <f t="shared" si="2"/>
        <v>64</v>
      </c>
      <c r="D48" s="6">
        <f t="shared" si="3"/>
        <v>1.63</v>
      </c>
      <c r="E48" s="3">
        <v>65</v>
      </c>
      <c r="F48" s="3">
        <f t="shared" si="4"/>
        <v>143.5</v>
      </c>
      <c r="G48">
        <f t="shared" si="10"/>
        <v>24.464601603372351</v>
      </c>
      <c r="I48" t="b">
        <f t="shared" si="5"/>
        <v>0</v>
      </c>
      <c r="J48" s="3">
        <f t="shared" si="6"/>
        <v>8</v>
      </c>
      <c r="K48" t="s">
        <v>29</v>
      </c>
      <c r="L48" t="s">
        <v>157</v>
      </c>
      <c r="M48" t="s">
        <v>69</v>
      </c>
      <c r="N48" s="3" t="s">
        <v>18</v>
      </c>
      <c r="O48" t="b">
        <f t="shared" si="7"/>
        <v>0</v>
      </c>
      <c r="P48" t="e">
        <f t="shared" si="8"/>
        <v>#VALUE!</v>
      </c>
      <c r="S48" t="s">
        <v>158</v>
      </c>
      <c r="T48" t="s">
        <v>159</v>
      </c>
      <c r="U48" t="str">
        <f t="shared" si="9"/>
        <v>The Phantom Menace</v>
      </c>
      <c r="V48" t="s">
        <v>117</v>
      </c>
    </row>
    <row r="49" spans="1:22" x14ac:dyDescent="0.25">
      <c r="A49" t="s">
        <v>160</v>
      </c>
      <c r="B49" s="6">
        <v>188</v>
      </c>
      <c r="C49" s="6">
        <f t="shared" si="2"/>
        <v>74</v>
      </c>
      <c r="D49" s="6">
        <f t="shared" si="3"/>
        <v>1.88</v>
      </c>
      <c r="E49" s="3">
        <v>84</v>
      </c>
      <c r="F49" s="3">
        <f t="shared" si="4"/>
        <v>185.25</v>
      </c>
      <c r="G49">
        <f t="shared" si="10"/>
        <v>23.766410140334994</v>
      </c>
      <c r="I49" t="b">
        <f t="shared" si="5"/>
        <v>0</v>
      </c>
      <c r="J49" s="3">
        <f t="shared" si="6"/>
        <v>13</v>
      </c>
      <c r="K49" t="s">
        <v>29</v>
      </c>
      <c r="L49" t="s">
        <v>95</v>
      </c>
      <c r="M49" t="s">
        <v>33</v>
      </c>
      <c r="N49" s="3">
        <v>72</v>
      </c>
      <c r="O49" t="b">
        <f t="shared" si="7"/>
        <v>1</v>
      </c>
      <c r="P49">
        <f t="shared" si="8"/>
        <v>26280</v>
      </c>
      <c r="S49" t="s">
        <v>161</v>
      </c>
      <c r="T49" t="s">
        <v>15</v>
      </c>
      <c r="U49" t="str">
        <f t="shared" si="9"/>
        <v xml:space="preserve">Attack of the Clones </v>
      </c>
      <c r="V49" t="s">
        <v>51</v>
      </c>
    </row>
    <row r="50" spans="1:22" x14ac:dyDescent="0.25">
      <c r="A50" t="s">
        <v>162</v>
      </c>
      <c r="B50" s="6">
        <v>198</v>
      </c>
      <c r="C50" s="6">
        <f t="shared" si="2"/>
        <v>77.5</v>
      </c>
      <c r="D50" s="6">
        <f t="shared" si="3"/>
        <v>1.98</v>
      </c>
      <c r="E50" s="3">
        <v>82</v>
      </c>
      <c r="F50" s="3">
        <f t="shared" si="4"/>
        <v>181</v>
      </c>
      <c r="G50">
        <f t="shared" si="10"/>
        <v>20.91623303744516</v>
      </c>
      <c r="I50" t="b">
        <f t="shared" si="5"/>
        <v>0</v>
      </c>
      <c r="J50" s="3">
        <f t="shared" si="6"/>
        <v>8</v>
      </c>
      <c r="K50" t="s">
        <v>30</v>
      </c>
      <c r="L50" t="s">
        <v>83</v>
      </c>
      <c r="M50" t="s">
        <v>20</v>
      </c>
      <c r="N50" s="3">
        <v>92</v>
      </c>
      <c r="O50" t="b">
        <f t="shared" si="7"/>
        <v>1</v>
      </c>
      <c r="P50">
        <f t="shared" si="8"/>
        <v>33580</v>
      </c>
      <c r="S50" t="s">
        <v>163</v>
      </c>
      <c r="T50" t="s">
        <v>164</v>
      </c>
      <c r="U50" t="str">
        <f t="shared" si="9"/>
        <v xml:space="preserve">Attack of the Clones </v>
      </c>
      <c r="V50" t="s">
        <v>51</v>
      </c>
    </row>
    <row r="51" spans="1:22" x14ac:dyDescent="0.25">
      <c r="A51" t="s">
        <v>165</v>
      </c>
      <c r="B51" s="6">
        <v>196</v>
      </c>
      <c r="C51" s="6">
        <f t="shared" si="2"/>
        <v>77</v>
      </c>
      <c r="D51" s="6">
        <f t="shared" si="3"/>
        <v>1.96</v>
      </c>
      <c r="E51" s="3">
        <v>87</v>
      </c>
      <c r="F51" s="3">
        <f t="shared" si="4"/>
        <v>192</v>
      </c>
      <c r="G51">
        <f t="shared" si="10"/>
        <v>22.646813827571847</v>
      </c>
      <c r="I51" t="b">
        <f t="shared" si="5"/>
        <v>0</v>
      </c>
      <c r="J51" s="3">
        <f t="shared" si="6"/>
        <v>22</v>
      </c>
      <c r="K51" t="s">
        <v>29</v>
      </c>
      <c r="L51" t="s">
        <v>64</v>
      </c>
      <c r="M51" t="s">
        <v>45</v>
      </c>
      <c r="N51" s="3" t="s">
        <v>18</v>
      </c>
      <c r="O51" t="b">
        <f t="shared" si="7"/>
        <v>0</v>
      </c>
      <c r="P51" t="e">
        <f t="shared" si="8"/>
        <v>#VALUE!</v>
      </c>
      <c r="S51" t="s">
        <v>166</v>
      </c>
      <c r="T51" t="s">
        <v>167</v>
      </c>
      <c r="U51" t="str">
        <f t="shared" si="9"/>
        <v xml:space="preserve">Attack of the Clones </v>
      </c>
      <c r="V51" t="s">
        <v>51</v>
      </c>
    </row>
    <row r="52" spans="1:22" x14ac:dyDescent="0.25">
      <c r="A52" t="s">
        <v>168</v>
      </c>
      <c r="B52" s="6">
        <v>171</v>
      </c>
      <c r="C52" s="6">
        <f t="shared" si="2"/>
        <v>67</v>
      </c>
      <c r="D52" s="6">
        <f t="shared" si="3"/>
        <v>1.71</v>
      </c>
      <c r="E52" s="3" t="s">
        <v>18</v>
      </c>
      <c r="F52" s="3" t="e">
        <f t="shared" si="4"/>
        <v>#VALUE!</v>
      </c>
      <c r="G52">
        <f t="shared" si="10"/>
        <v>0</v>
      </c>
      <c r="I52" t="b">
        <f t="shared" si="5"/>
        <v>0</v>
      </c>
      <c r="J52" s="3">
        <f t="shared" si="6"/>
        <v>19</v>
      </c>
      <c r="K52" t="s">
        <v>45</v>
      </c>
      <c r="L52" t="s">
        <v>33</v>
      </c>
      <c r="M52" t="s">
        <v>33</v>
      </c>
      <c r="N52" s="3" t="s">
        <v>18</v>
      </c>
      <c r="O52" t="b">
        <f t="shared" si="7"/>
        <v>0</v>
      </c>
      <c r="P52" t="e">
        <f t="shared" si="8"/>
        <v>#VALUE!</v>
      </c>
      <c r="S52" t="s">
        <v>169</v>
      </c>
      <c r="T52" t="s">
        <v>143</v>
      </c>
      <c r="U52" t="str">
        <f t="shared" si="9"/>
        <v xml:space="preserve">The Phantom Menace </v>
      </c>
      <c r="V52" t="s">
        <v>170</v>
      </c>
    </row>
    <row r="53" spans="1:22" x14ac:dyDescent="0.25">
      <c r="A53" t="s">
        <v>171</v>
      </c>
      <c r="B53" s="6">
        <v>184</v>
      </c>
      <c r="C53" s="6">
        <f t="shared" si="2"/>
        <v>72</v>
      </c>
      <c r="D53" s="6">
        <f t="shared" si="3"/>
        <v>1.84</v>
      </c>
      <c r="E53" s="3">
        <v>50</v>
      </c>
      <c r="F53" s="3">
        <f t="shared" si="4"/>
        <v>110.25</v>
      </c>
      <c r="G53">
        <f t="shared" si="10"/>
        <v>14.768431001890358</v>
      </c>
      <c r="I53" t="b">
        <f t="shared" si="5"/>
        <v>0</v>
      </c>
      <c r="J53" s="3">
        <f t="shared" si="6"/>
        <v>21</v>
      </c>
      <c r="K53" t="s">
        <v>29</v>
      </c>
      <c r="L53" t="s">
        <v>95</v>
      </c>
      <c r="M53" t="s">
        <v>13</v>
      </c>
      <c r="N53" s="3" t="s">
        <v>18</v>
      </c>
      <c r="O53" t="b">
        <f t="shared" si="7"/>
        <v>0</v>
      </c>
      <c r="P53" t="e">
        <f t="shared" si="8"/>
        <v>#VALUE!</v>
      </c>
      <c r="S53" t="s">
        <v>123</v>
      </c>
      <c r="T53" t="s">
        <v>172</v>
      </c>
      <c r="U53" t="str">
        <f t="shared" si="9"/>
        <v xml:space="preserve">The Phantom Menace </v>
      </c>
      <c r="V53" t="s">
        <v>170</v>
      </c>
    </row>
    <row r="54" spans="1:22" x14ac:dyDescent="0.25">
      <c r="A54" t="s">
        <v>173</v>
      </c>
      <c r="B54" s="6">
        <v>188</v>
      </c>
      <c r="C54" s="6">
        <f t="shared" si="2"/>
        <v>74</v>
      </c>
      <c r="D54" s="6">
        <f t="shared" si="3"/>
        <v>1.88</v>
      </c>
      <c r="E54" s="3" t="s">
        <v>18</v>
      </c>
      <c r="F54" s="3" t="e">
        <f t="shared" si="4"/>
        <v>#VALUE!</v>
      </c>
      <c r="G54">
        <f t="shared" si="10"/>
        <v>0</v>
      </c>
      <c r="I54" t="b">
        <f t="shared" si="5"/>
        <v>0</v>
      </c>
      <c r="J54" s="3">
        <f t="shared" si="6"/>
        <v>20</v>
      </c>
      <c r="K54" t="s">
        <v>29</v>
      </c>
      <c r="L54" t="s">
        <v>83</v>
      </c>
      <c r="M54" t="s">
        <v>69</v>
      </c>
      <c r="N54" s="3" t="s">
        <v>18</v>
      </c>
      <c r="O54" t="b">
        <f t="shared" si="7"/>
        <v>0</v>
      </c>
      <c r="P54" t="e">
        <f t="shared" si="8"/>
        <v>#VALUE!</v>
      </c>
      <c r="S54" t="s">
        <v>174</v>
      </c>
      <c r="T54" t="s">
        <v>175</v>
      </c>
      <c r="U54" t="str">
        <f t="shared" si="9"/>
        <v xml:space="preserve">The Phantom Menace </v>
      </c>
      <c r="V54" t="s">
        <v>170</v>
      </c>
    </row>
    <row r="55" spans="1:22" x14ac:dyDescent="0.25">
      <c r="A55" t="s">
        <v>176</v>
      </c>
      <c r="B55" s="6">
        <v>264</v>
      </c>
      <c r="C55" s="6">
        <f t="shared" si="2"/>
        <v>103.5</v>
      </c>
      <c r="D55" s="6">
        <f t="shared" si="3"/>
        <v>2.64</v>
      </c>
      <c r="E55" s="3" t="s">
        <v>18</v>
      </c>
      <c r="F55" s="3" t="e">
        <f t="shared" si="4"/>
        <v>#VALUE!</v>
      </c>
      <c r="G55">
        <f t="shared" si="10"/>
        <v>0</v>
      </c>
      <c r="I55" t="b">
        <f t="shared" si="5"/>
        <v>0</v>
      </c>
      <c r="J55" s="3">
        <f t="shared" si="6"/>
        <v>8</v>
      </c>
      <c r="K55" t="s">
        <v>29</v>
      </c>
      <c r="L55" t="s">
        <v>30</v>
      </c>
      <c r="M55" t="s">
        <v>20</v>
      </c>
      <c r="N55" s="3" t="s">
        <v>18</v>
      </c>
      <c r="O55" t="b">
        <f t="shared" si="7"/>
        <v>0</v>
      </c>
      <c r="P55" t="e">
        <f t="shared" si="8"/>
        <v>#VALUE!</v>
      </c>
      <c r="S55" t="s">
        <v>177</v>
      </c>
      <c r="T55" t="s">
        <v>178</v>
      </c>
      <c r="U55" t="str">
        <f t="shared" si="9"/>
        <v>The Phantom Menace</v>
      </c>
      <c r="V55" t="s">
        <v>117</v>
      </c>
    </row>
    <row r="56" spans="1:22" x14ac:dyDescent="0.25">
      <c r="A56" t="s">
        <v>179</v>
      </c>
      <c r="B56" s="6">
        <v>188</v>
      </c>
      <c r="C56" s="6">
        <f t="shared" si="2"/>
        <v>74</v>
      </c>
      <c r="D56" s="6">
        <f t="shared" si="3"/>
        <v>1.88</v>
      </c>
      <c r="E56" s="3">
        <v>80</v>
      </c>
      <c r="F56" s="3">
        <f t="shared" si="4"/>
        <v>176.5</v>
      </c>
      <c r="G56">
        <f t="shared" si="10"/>
        <v>22.634676324128566</v>
      </c>
      <c r="I56" t="b">
        <f t="shared" si="5"/>
        <v>0</v>
      </c>
      <c r="J56" s="3">
        <f t="shared" si="6"/>
        <v>20</v>
      </c>
      <c r="K56" t="s">
        <v>29</v>
      </c>
      <c r="L56" t="s">
        <v>69</v>
      </c>
      <c r="M56" t="s">
        <v>45</v>
      </c>
      <c r="N56" s="3">
        <v>22</v>
      </c>
      <c r="O56" t="b">
        <f t="shared" si="7"/>
        <v>1</v>
      </c>
      <c r="P56">
        <f t="shared" si="8"/>
        <v>8030</v>
      </c>
      <c r="S56" t="s">
        <v>180</v>
      </c>
      <c r="T56" t="s">
        <v>181</v>
      </c>
      <c r="U56" t="str">
        <f t="shared" si="9"/>
        <v xml:space="preserve">Attack of the Clones </v>
      </c>
      <c r="V56" t="s">
        <v>51</v>
      </c>
    </row>
    <row r="57" spans="1:22" x14ac:dyDescent="0.25">
      <c r="A57" t="s">
        <v>182</v>
      </c>
      <c r="B57" s="6">
        <v>196</v>
      </c>
      <c r="C57" s="6">
        <f t="shared" si="2"/>
        <v>77</v>
      </c>
      <c r="D57" s="6">
        <f t="shared" si="3"/>
        <v>1.96</v>
      </c>
      <c r="E57" s="3" t="s">
        <v>18</v>
      </c>
      <c r="F57" s="3" t="e">
        <f t="shared" si="4"/>
        <v>#VALUE!</v>
      </c>
      <c r="G57">
        <f t="shared" si="10"/>
        <v>0</v>
      </c>
      <c r="I57" t="b">
        <f t="shared" si="5"/>
        <v>0</v>
      </c>
      <c r="J57" s="3">
        <f t="shared" si="6"/>
        <v>4</v>
      </c>
      <c r="K57" t="s">
        <v>29</v>
      </c>
      <c r="L57" t="s">
        <v>13</v>
      </c>
      <c r="M57" t="s">
        <v>13</v>
      </c>
      <c r="N57" s="3" t="s">
        <v>18</v>
      </c>
      <c r="O57" t="b">
        <f t="shared" si="7"/>
        <v>0</v>
      </c>
      <c r="P57" t="e">
        <f t="shared" si="8"/>
        <v>#VALUE!</v>
      </c>
      <c r="S57" t="s">
        <v>183</v>
      </c>
      <c r="T57" t="s">
        <v>184</v>
      </c>
      <c r="U57" t="str">
        <f t="shared" si="9"/>
        <v xml:space="preserve">Attack of the Clones </v>
      </c>
      <c r="V57" t="s">
        <v>126</v>
      </c>
    </row>
    <row r="58" spans="1:22" x14ac:dyDescent="0.25">
      <c r="A58" t="s">
        <v>185</v>
      </c>
      <c r="B58" s="6">
        <v>185</v>
      </c>
      <c r="C58" s="6">
        <f t="shared" si="2"/>
        <v>72.5</v>
      </c>
      <c r="D58" s="6">
        <f t="shared" si="3"/>
        <v>1.85</v>
      </c>
      <c r="E58" s="3">
        <v>85</v>
      </c>
      <c r="F58" s="3">
        <f t="shared" si="4"/>
        <v>187.5</v>
      </c>
      <c r="G58">
        <f t="shared" si="10"/>
        <v>24.835646457268076</v>
      </c>
      <c r="I58" t="b">
        <f t="shared" si="5"/>
        <v>0</v>
      </c>
      <c r="J58" s="3">
        <f t="shared" si="6"/>
        <v>19</v>
      </c>
      <c r="K58" t="s">
        <v>45</v>
      </c>
      <c r="L58" t="s">
        <v>95</v>
      </c>
      <c r="M58" t="s">
        <v>33</v>
      </c>
      <c r="N58" s="3" t="s">
        <v>18</v>
      </c>
      <c r="O58" t="b">
        <f t="shared" si="7"/>
        <v>0</v>
      </c>
      <c r="P58" t="e">
        <f t="shared" si="8"/>
        <v>#VALUE!</v>
      </c>
      <c r="S58" t="s">
        <v>26</v>
      </c>
      <c r="T58" t="s">
        <v>15</v>
      </c>
      <c r="U58" t="str">
        <f t="shared" si="9"/>
        <v>Attack of the Clones</v>
      </c>
      <c r="V58" t="s">
        <v>186</v>
      </c>
    </row>
    <row r="59" spans="1:22" x14ac:dyDescent="0.25">
      <c r="A59" t="s">
        <v>187</v>
      </c>
      <c r="B59" s="6">
        <v>157</v>
      </c>
      <c r="C59" s="6">
        <f t="shared" si="2"/>
        <v>61.5</v>
      </c>
      <c r="D59" s="6">
        <f t="shared" si="3"/>
        <v>1.57</v>
      </c>
      <c r="E59" s="3" t="s">
        <v>18</v>
      </c>
      <c r="F59" s="3" t="e">
        <f t="shared" si="4"/>
        <v>#VALUE!</v>
      </c>
      <c r="G59">
        <f t="shared" si="10"/>
        <v>0</v>
      </c>
      <c r="I59" t="b">
        <f t="shared" si="5"/>
        <v>0</v>
      </c>
      <c r="J59" s="3">
        <f t="shared" si="6"/>
        <v>18</v>
      </c>
      <c r="K59" t="s">
        <v>33</v>
      </c>
      <c r="L59" t="s">
        <v>34</v>
      </c>
      <c r="M59" t="s">
        <v>33</v>
      </c>
      <c r="N59" s="3" t="s">
        <v>18</v>
      </c>
      <c r="O59" t="b">
        <f t="shared" si="7"/>
        <v>0</v>
      </c>
      <c r="P59" t="e">
        <f t="shared" si="8"/>
        <v>#VALUE!</v>
      </c>
      <c r="S59" t="s">
        <v>26</v>
      </c>
      <c r="T59" t="s">
        <v>15</v>
      </c>
      <c r="U59" t="str">
        <f t="shared" si="9"/>
        <v>Attack of the Clones</v>
      </c>
      <c r="V59" t="s">
        <v>186</v>
      </c>
    </row>
    <row r="60" spans="1:22" x14ac:dyDescent="0.25">
      <c r="A60" t="s">
        <v>188</v>
      </c>
      <c r="B60" s="6">
        <v>183</v>
      </c>
      <c r="C60" s="6">
        <f t="shared" si="2"/>
        <v>72</v>
      </c>
      <c r="D60" s="6">
        <f t="shared" si="3"/>
        <v>1.83</v>
      </c>
      <c r="E60" s="3" t="s">
        <v>18</v>
      </c>
      <c r="F60" s="3" t="e">
        <f t="shared" si="4"/>
        <v>#VALUE!</v>
      </c>
      <c r="G60">
        <f t="shared" si="10"/>
        <v>0</v>
      </c>
      <c r="I60" t="b">
        <f t="shared" si="5"/>
        <v>0</v>
      </c>
      <c r="J60" s="3">
        <f t="shared" si="6"/>
        <v>5</v>
      </c>
      <c r="K60" t="s">
        <v>33</v>
      </c>
      <c r="L60" t="s">
        <v>12</v>
      </c>
      <c r="M60" t="s">
        <v>13</v>
      </c>
      <c r="N60" s="3">
        <v>82</v>
      </c>
      <c r="O60" t="b">
        <f t="shared" si="7"/>
        <v>1</v>
      </c>
      <c r="P60">
        <f t="shared" si="8"/>
        <v>29930</v>
      </c>
      <c r="S60" t="s">
        <v>14</v>
      </c>
      <c r="T60" t="s">
        <v>15</v>
      </c>
      <c r="U60" t="str">
        <f t="shared" si="9"/>
        <v>Attack of the Clones</v>
      </c>
      <c r="V60" t="s">
        <v>186</v>
      </c>
    </row>
    <row r="61" spans="1:22" x14ac:dyDescent="0.25">
      <c r="A61" t="s">
        <v>189</v>
      </c>
      <c r="B61" s="6">
        <v>183</v>
      </c>
      <c r="C61" s="6">
        <f t="shared" si="2"/>
        <v>72</v>
      </c>
      <c r="D61" s="6">
        <f t="shared" si="3"/>
        <v>1.83</v>
      </c>
      <c r="E61" s="3">
        <v>80</v>
      </c>
      <c r="F61" s="3">
        <f t="shared" si="4"/>
        <v>176.5</v>
      </c>
      <c r="G61">
        <f t="shared" si="10"/>
        <v>23.888440980620498</v>
      </c>
      <c r="I61" t="b">
        <f t="shared" si="5"/>
        <v>0</v>
      </c>
      <c r="J61" s="3">
        <f t="shared" si="6"/>
        <v>10</v>
      </c>
      <c r="K61" t="s">
        <v>29</v>
      </c>
      <c r="L61" t="s">
        <v>64</v>
      </c>
      <c r="M61" t="s">
        <v>20</v>
      </c>
      <c r="N61" s="3" t="s">
        <v>18</v>
      </c>
      <c r="O61" t="b">
        <f t="shared" si="7"/>
        <v>0</v>
      </c>
      <c r="P61" t="e">
        <f t="shared" si="8"/>
        <v>#VALUE!</v>
      </c>
      <c r="S61" t="s">
        <v>190</v>
      </c>
      <c r="T61" t="s">
        <v>191</v>
      </c>
      <c r="U61" t="str">
        <f t="shared" si="9"/>
        <v xml:space="preserve">Attack of the Clones </v>
      </c>
      <c r="V61" t="s">
        <v>192</v>
      </c>
    </row>
    <row r="62" spans="1:22" x14ac:dyDescent="0.25">
      <c r="A62" t="s">
        <v>193</v>
      </c>
      <c r="B62" s="6">
        <v>170</v>
      </c>
      <c r="C62" s="6">
        <f t="shared" si="2"/>
        <v>66.5</v>
      </c>
      <c r="D62" s="6">
        <f t="shared" si="3"/>
        <v>1.7</v>
      </c>
      <c r="E62" s="3">
        <v>56.2</v>
      </c>
      <c r="F62" s="3">
        <f t="shared" si="4"/>
        <v>124</v>
      </c>
      <c r="G62">
        <f t="shared" si="10"/>
        <v>19.446366782006923</v>
      </c>
      <c r="I62" t="b">
        <f t="shared" si="5"/>
        <v>0</v>
      </c>
      <c r="J62" s="3">
        <f t="shared" si="6"/>
        <v>11</v>
      </c>
      <c r="K62" t="s">
        <v>45</v>
      </c>
      <c r="L62" t="s">
        <v>20</v>
      </c>
      <c r="M62" t="s">
        <v>13</v>
      </c>
      <c r="N62" s="3">
        <v>58</v>
      </c>
      <c r="O62" t="b">
        <f t="shared" si="7"/>
        <v>1</v>
      </c>
      <c r="P62">
        <f t="shared" si="8"/>
        <v>21170</v>
      </c>
      <c r="S62" t="s">
        <v>194</v>
      </c>
      <c r="T62" t="s">
        <v>195</v>
      </c>
      <c r="U62" t="str">
        <f t="shared" si="9"/>
        <v xml:space="preserve">Attack of the Clones </v>
      </c>
      <c r="V62" t="s">
        <v>192</v>
      </c>
    </row>
    <row r="63" spans="1:22" x14ac:dyDescent="0.25">
      <c r="A63" t="s">
        <v>196</v>
      </c>
      <c r="B63" s="6">
        <v>166</v>
      </c>
      <c r="C63" s="6">
        <f t="shared" si="2"/>
        <v>65</v>
      </c>
      <c r="D63" s="6">
        <f t="shared" si="3"/>
        <v>1.66</v>
      </c>
      <c r="E63" s="3">
        <v>50</v>
      </c>
      <c r="F63" s="3">
        <f t="shared" si="4"/>
        <v>110.25</v>
      </c>
      <c r="G63">
        <f t="shared" si="10"/>
        <v>18.144868631151112</v>
      </c>
      <c r="I63" t="b">
        <f t="shared" si="5"/>
        <v>0</v>
      </c>
      <c r="J63" s="3">
        <f t="shared" si="6"/>
        <v>16</v>
      </c>
      <c r="K63" t="s">
        <v>45</v>
      </c>
      <c r="L63" t="s">
        <v>20</v>
      </c>
      <c r="M63" t="s">
        <v>13</v>
      </c>
      <c r="N63" s="3">
        <v>40</v>
      </c>
      <c r="O63" t="b">
        <f t="shared" si="7"/>
        <v>1</v>
      </c>
      <c r="P63">
        <f t="shared" si="8"/>
        <v>14600</v>
      </c>
      <c r="S63" t="s">
        <v>194</v>
      </c>
      <c r="T63" t="s">
        <v>195</v>
      </c>
      <c r="U63" t="str">
        <f t="shared" si="9"/>
        <v>Attack of the Clones</v>
      </c>
      <c r="V63" t="s">
        <v>186</v>
      </c>
    </row>
    <row r="64" spans="1:22" x14ac:dyDescent="0.25">
      <c r="A64" t="s">
        <v>197</v>
      </c>
      <c r="B64" s="6">
        <v>165</v>
      </c>
      <c r="C64" s="6">
        <f t="shared" si="2"/>
        <v>64.5</v>
      </c>
      <c r="D64" s="6">
        <f t="shared" si="3"/>
        <v>1.65</v>
      </c>
      <c r="E64" s="3" t="s">
        <v>18</v>
      </c>
      <c r="F64" s="3" t="e">
        <f t="shared" si="4"/>
        <v>#VALUE!</v>
      </c>
      <c r="G64">
        <f t="shared" si="10"/>
        <v>0</v>
      </c>
      <c r="I64" t="b">
        <f t="shared" si="5"/>
        <v>0</v>
      </c>
      <c r="J64" s="3">
        <f t="shared" si="6"/>
        <v>7</v>
      </c>
      <c r="K64" t="s">
        <v>33</v>
      </c>
      <c r="L64" t="s">
        <v>34</v>
      </c>
      <c r="M64" t="s">
        <v>33</v>
      </c>
      <c r="N64" s="3" t="s">
        <v>18</v>
      </c>
      <c r="O64" t="b">
        <f t="shared" si="7"/>
        <v>0</v>
      </c>
      <c r="P64" t="e">
        <f t="shared" si="8"/>
        <v>#VALUE!</v>
      </c>
      <c r="S64" t="s">
        <v>26</v>
      </c>
      <c r="T64" t="s">
        <v>15</v>
      </c>
      <c r="U64" t="str">
        <f t="shared" si="9"/>
        <v>Attack of the Clones</v>
      </c>
      <c r="V64" t="s">
        <v>186</v>
      </c>
    </row>
    <row r="65" spans="1:22" x14ac:dyDescent="0.25">
      <c r="A65" t="s">
        <v>198</v>
      </c>
      <c r="B65" s="6">
        <v>193</v>
      </c>
      <c r="C65" s="6">
        <f t="shared" si="2"/>
        <v>75.5</v>
      </c>
      <c r="D65" s="6">
        <f t="shared" si="3"/>
        <v>1.93</v>
      </c>
      <c r="E65" s="3">
        <v>80</v>
      </c>
      <c r="F65" s="3">
        <f t="shared" si="4"/>
        <v>176.5</v>
      </c>
      <c r="G65">
        <f t="shared" si="10"/>
        <v>21.477086633198208</v>
      </c>
      <c r="I65" t="b">
        <f t="shared" si="5"/>
        <v>0</v>
      </c>
      <c r="J65" s="3">
        <f t="shared" si="6"/>
        <v>15</v>
      </c>
      <c r="K65" t="s">
        <v>30</v>
      </c>
      <c r="L65" t="s">
        <v>12</v>
      </c>
      <c r="M65" t="s">
        <v>33</v>
      </c>
      <c r="N65" s="3">
        <v>102</v>
      </c>
      <c r="O65" t="b">
        <f t="shared" si="7"/>
        <v>1</v>
      </c>
      <c r="P65">
        <f t="shared" si="8"/>
        <v>37230</v>
      </c>
      <c r="S65" t="s">
        <v>199</v>
      </c>
      <c r="T65" t="s">
        <v>15</v>
      </c>
      <c r="U65" t="str">
        <f t="shared" si="9"/>
        <v xml:space="preserve">Attack of the Clones </v>
      </c>
      <c r="V65" t="s">
        <v>192</v>
      </c>
    </row>
    <row r="66" spans="1:22" x14ac:dyDescent="0.25">
      <c r="A66" t="s">
        <v>200</v>
      </c>
      <c r="B66" s="6">
        <v>191</v>
      </c>
      <c r="C66" s="6">
        <f t="shared" si="2"/>
        <v>75</v>
      </c>
      <c r="D66" s="6">
        <f t="shared" si="3"/>
        <v>1.91</v>
      </c>
      <c r="E66" s="3" t="s">
        <v>18</v>
      </c>
      <c r="F66" s="3" t="e">
        <f t="shared" si="4"/>
        <v>#VALUE!</v>
      </c>
      <c r="G66">
        <f t="shared" ref="G66:G88" si="11">IF(E66="NA",0,1*(E66/D66^2))</f>
        <v>0</v>
      </c>
      <c r="I66" t="b">
        <f t="shared" si="5"/>
        <v>0</v>
      </c>
      <c r="J66" s="3">
        <f t="shared" si="6"/>
        <v>5</v>
      </c>
      <c r="K66" t="s">
        <v>45</v>
      </c>
      <c r="L66" t="s">
        <v>201</v>
      </c>
      <c r="M66" t="s">
        <v>33</v>
      </c>
      <c r="N66" s="3">
        <v>67</v>
      </c>
      <c r="O66" t="b">
        <f t="shared" si="7"/>
        <v>1</v>
      </c>
      <c r="P66">
        <f t="shared" si="8"/>
        <v>24455</v>
      </c>
      <c r="S66" t="s">
        <v>35</v>
      </c>
      <c r="T66" t="s">
        <v>15</v>
      </c>
      <c r="U66" t="str">
        <f t="shared" si="9"/>
        <v xml:space="preserve">Attack of the Clones </v>
      </c>
      <c r="V66" t="s">
        <v>192</v>
      </c>
    </row>
    <row r="67" spans="1:22" x14ac:dyDescent="0.25">
      <c r="A67" t="s">
        <v>202</v>
      </c>
      <c r="B67" s="6">
        <v>183</v>
      </c>
      <c r="C67" s="6">
        <f t="shared" ref="C67:C88" si="12">FLOOR(CONVERT(B67, "cm", "in"), 0.5)</f>
        <v>72</v>
      </c>
      <c r="D67" s="6">
        <f t="shared" ref="D67:D88" si="13">(B67/100)</f>
        <v>1.83</v>
      </c>
      <c r="E67" s="3">
        <v>79</v>
      </c>
      <c r="F67" s="3">
        <f t="shared" ref="F67:F88" si="14">CEILING(CONVERT(E67, "kg", "lbm"), 0.25)</f>
        <v>174.25</v>
      </c>
      <c r="G67">
        <f t="shared" si="11"/>
        <v>23.589835468362743</v>
      </c>
      <c r="I67" t="b">
        <f t="shared" ref="I67:I88" si="15">$G$5&lt;=G67</f>
        <v>0</v>
      </c>
      <c r="J67" s="3">
        <f t="shared" ref="J67:J88" si="16">RANK(G68, G67:G153)</f>
        <v>7</v>
      </c>
      <c r="K67" t="s">
        <v>45</v>
      </c>
      <c r="L67" t="s">
        <v>201</v>
      </c>
      <c r="M67" t="s">
        <v>33</v>
      </c>
      <c r="N67" s="3">
        <v>66</v>
      </c>
      <c r="O67" t="b">
        <f t="shared" ref="O67:O88" si="17">ISNUMBER(N67)</f>
        <v>1</v>
      </c>
      <c r="P67">
        <f t="shared" ref="P67:P88" si="18">N67*365</f>
        <v>24090</v>
      </c>
      <c r="S67" t="s">
        <v>203</v>
      </c>
      <c r="T67" t="s">
        <v>15</v>
      </c>
      <c r="U67" t="str">
        <f t="shared" si="9"/>
        <v>Attack of the Clones</v>
      </c>
      <c r="V67" t="s">
        <v>186</v>
      </c>
    </row>
    <row r="68" spans="1:22" x14ac:dyDescent="0.25">
      <c r="A68" t="s">
        <v>204</v>
      </c>
      <c r="B68" s="6">
        <v>168</v>
      </c>
      <c r="C68" s="6">
        <f t="shared" si="12"/>
        <v>66</v>
      </c>
      <c r="D68" s="6">
        <f t="shared" si="13"/>
        <v>1.68</v>
      </c>
      <c r="E68" s="3">
        <v>55</v>
      </c>
      <c r="F68" s="3">
        <f t="shared" si="14"/>
        <v>121.5</v>
      </c>
      <c r="G68">
        <f t="shared" si="11"/>
        <v>19.486961451247168</v>
      </c>
      <c r="I68" t="b">
        <f t="shared" si="15"/>
        <v>0</v>
      </c>
      <c r="J68" s="3">
        <f t="shared" si="16"/>
        <v>2</v>
      </c>
      <c r="K68" t="s">
        <v>205</v>
      </c>
      <c r="L68" t="s">
        <v>206</v>
      </c>
      <c r="M68" t="s">
        <v>20</v>
      </c>
      <c r="N68" s="3" t="s">
        <v>18</v>
      </c>
      <c r="O68" t="b">
        <f t="shared" si="17"/>
        <v>0</v>
      </c>
      <c r="P68" t="e">
        <f t="shared" si="18"/>
        <v>#VALUE!</v>
      </c>
      <c r="S68" t="s">
        <v>207</v>
      </c>
      <c r="T68" t="s">
        <v>208</v>
      </c>
      <c r="U68" t="str">
        <f t="shared" si="9"/>
        <v>Attack of the Clones</v>
      </c>
      <c r="V68" t="s">
        <v>186</v>
      </c>
    </row>
    <row r="69" spans="1:22" x14ac:dyDescent="0.25">
      <c r="A69" t="s">
        <v>209</v>
      </c>
      <c r="B69" s="6">
        <v>198</v>
      </c>
      <c r="C69" s="6">
        <f t="shared" si="12"/>
        <v>77.5</v>
      </c>
      <c r="D69" s="6">
        <f t="shared" si="13"/>
        <v>1.98</v>
      </c>
      <c r="E69" s="3">
        <v>102</v>
      </c>
      <c r="F69" s="3">
        <f t="shared" si="14"/>
        <v>225</v>
      </c>
      <c r="G69">
        <f t="shared" si="11"/>
        <v>26.017753290480563</v>
      </c>
      <c r="I69" t="b">
        <f t="shared" si="15"/>
        <v>0</v>
      </c>
      <c r="J69" s="3">
        <f t="shared" si="16"/>
        <v>8</v>
      </c>
      <c r="K69" t="s">
        <v>29</v>
      </c>
      <c r="L69" t="s">
        <v>33</v>
      </c>
      <c r="M69" t="s">
        <v>20</v>
      </c>
      <c r="N69" s="3" t="s">
        <v>18</v>
      </c>
      <c r="O69" t="b">
        <f t="shared" si="17"/>
        <v>0</v>
      </c>
      <c r="P69" t="e">
        <f t="shared" si="18"/>
        <v>#VALUE!</v>
      </c>
      <c r="S69" t="s">
        <v>210</v>
      </c>
      <c r="T69" t="s">
        <v>211</v>
      </c>
      <c r="U69" t="str">
        <f t="shared" si="9"/>
        <v>Attack of the Clones</v>
      </c>
      <c r="V69" t="s">
        <v>186</v>
      </c>
    </row>
    <row r="70" spans="1:22" x14ac:dyDescent="0.25">
      <c r="A70" t="s">
        <v>212</v>
      </c>
      <c r="B70" s="6">
        <v>229</v>
      </c>
      <c r="C70" s="6">
        <f t="shared" si="12"/>
        <v>90</v>
      </c>
      <c r="D70" s="6">
        <f t="shared" si="13"/>
        <v>2.29</v>
      </c>
      <c r="E70" s="3">
        <v>88</v>
      </c>
      <c r="F70" s="3">
        <f t="shared" si="14"/>
        <v>194.25</v>
      </c>
      <c r="G70">
        <f t="shared" si="11"/>
        <v>16.780763143342039</v>
      </c>
      <c r="I70" t="b">
        <f t="shared" si="15"/>
        <v>0</v>
      </c>
      <c r="J70" s="3">
        <f t="shared" si="16"/>
        <v>11</v>
      </c>
      <c r="K70" t="s">
        <v>29</v>
      </c>
      <c r="L70" t="s">
        <v>82</v>
      </c>
      <c r="M70" t="s">
        <v>45</v>
      </c>
      <c r="N70" s="3" t="s">
        <v>18</v>
      </c>
      <c r="O70" t="b">
        <f t="shared" si="17"/>
        <v>0</v>
      </c>
      <c r="P70" t="e">
        <f t="shared" si="18"/>
        <v>#VALUE!</v>
      </c>
      <c r="S70" t="s">
        <v>86</v>
      </c>
      <c r="T70" t="s">
        <v>213</v>
      </c>
      <c r="U70" t="str">
        <f t="shared" si="9"/>
        <v>Attack of the Clones</v>
      </c>
      <c r="V70" t="s">
        <v>186</v>
      </c>
    </row>
    <row r="71" spans="1:22" x14ac:dyDescent="0.25">
      <c r="A71" t="s">
        <v>214</v>
      </c>
      <c r="B71" s="6">
        <v>213</v>
      </c>
      <c r="C71" s="6">
        <f t="shared" si="12"/>
        <v>83.5</v>
      </c>
      <c r="D71" s="6">
        <f t="shared" si="13"/>
        <v>2.13</v>
      </c>
      <c r="E71" s="3" t="s">
        <v>18</v>
      </c>
      <c r="F71" s="3" t="e">
        <f t="shared" si="14"/>
        <v>#VALUE!</v>
      </c>
      <c r="G71">
        <f t="shared" si="11"/>
        <v>0</v>
      </c>
      <c r="I71" t="b">
        <f t="shared" si="15"/>
        <v>0</v>
      </c>
      <c r="J71" s="3">
        <f t="shared" si="16"/>
        <v>10</v>
      </c>
      <c r="K71" t="s">
        <v>29</v>
      </c>
      <c r="L71" t="s">
        <v>82</v>
      </c>
      <c r="M71" t="s">
        <v>45</v>
      </c>
      <c r="N71" s="3" t="s">
        <v>18</v>
      </c>
      <c r="O71" t="b">
        <f t="shared" si="17"/>
        <v>0</v>
      </c>
      <c r="P71" t="e">
        <f t="shared" si="18"/>
        <v>#VALUE!</v>
      </c>
      <c r="S71" t="s">
        <v>86</v>
      </c>
      <c r="T71" t="s">
        <v>213</v>
      </c>
      <c r="U71" t="str">
        <f t="shared" si="9"/>
        <v>Attack of the Clones</v>
      </c>
      <c r="V71" t="s">
        <v>186</v>
      </c>
    </row>
    <row r="72" spans="1:22" x14ac:dyDescent="0.25">
      <c r="A72" t="s">
        <v>215</v>
      </c>
      <c r="B72" s="6">
        <v>167</v>
      </c>
      <c r="C72" s="6">
        <f t="shared" si="12"/>
        <v>65.5</v>
      </c>
      <c r="D72" s="6">
        <f t="shared" si="13"/>
        <v>1.67</v>
      </c>
      <c r="E72" s="3" t="s">
        <v>18</v>
      </c>
      <c r="F72" s="3" t="e">
        <f t="shared" si="14"/>
        <v>#VALUE!</v>
      </c>
      <c r="G72">
        <f t="shared" si="11"/>
        <v>0</v>
      </c>
      <c r="I72" t="b">
        <f t="shared" si="15"/>
        <v>0</v>
      </c>
      <c r="J72" s="3">
        <f t="shared" si="16"/>
        <v>3</v>
      </c>
      <c r="K72" t="s">
        <v>30</v>
      </c>
      <c r="L72" t="s">
        <v>12</v>
      </c>
      <c r="M72" t="s">
        <v>13</v>
      </c>
      <c r="N72" s="3" t="s">
        <v>18</v>
      </c>
      <c r="O72" t="b">
        <f t="shared" si="17"/>
        <v>0</v>
      </c>
      <c r="P72" t="e">
        <f t="shared" si="18"/>
        <v>#VALUE!</v>
      </c>
      <c r="S72" t="s">
        <v>123</v>
      </c>
      <c r="T72" t="s">
        <v>15</v>
      </c>
      <c r="U72" t="str">
        <f t="shared" si="9"/>
        <v>Attack of the Clones</v>
      </c>
      <c r="V72" t="s">
        <v>186</v>
      </c>
    </row>
    <row r="73" spans="1:22" x14ac:dyDescent="0.25">
      <c r="A73" t="s">
        <v>216</v>
      </c>
      <c r="B73" s="6">
        <v>79</v>
      </c>
      <c r="C73" s="6">
        <f t="shared" si="12"/>
        <v>31</v>
      </c>
      <c r="D73" s="6">
        <f t="shared" si="13"/>
        <v>0.79</v>
      </c>
      <c r="E73" s="3">
        <v>15</v>
      </c>
      <c r="F73" s="3">
        <f t="shared" si="14"/>
        <v>33.25</v>
      </c>
      <c r="G73">
        <f t="shared" si="11"/>
        <v>24.034609838166958</v>
      </c>
      <c r="I73" t="b">
        <f t="shared" si="15"/>
        <v>0</v>
      </c>
      <c r="J73" s="3">
        <f t="shared" si="16"/>
        <v>10</v>
      </c>
      <c r="K73" t="s">
        <v>29</v>
      </c>
      <c r="L73" t="s">
        <v>217</v>
      </c>
      <c r="M73" t="s">
        <v>57</v>
      </c>
      <c r="N73" s="3" t="s">
        <v>18</v>
      </c>
      <c r="O73" t="b">
        <f t="shared" si="17"/>
        <v>0</v>
      </c>
      <c r="P73" t="e">
        <f t="shared" si="18"/>
        <v>#VALUE!</v>
      </c>
      <c r="S73" t="s">
        <v>218</v>
      </c>
      <c r="T73" t="s">
        <v>219</v>
      </c>
      <c r="U73" t="str">
        <f t="shared" si="9"/>
        <v>The Phantom Menace</v>
      </c>
      <c r="V73" t="s">
        <v>117</v>
      </c>
    </row>
    <row r="74" spans="1:22" x14ac:dyDescent="0.25">
      <c r="A74" t="s">
        <v>220</v>
      </c>
      <c r="B74" s="6">
        <v>96</v>
      </c>
      <c r="C74" s="6">
        <f t="shared" si="12"/>
        <v>37.5</v>
      </c>
      <c r="D74" s="6">
        <f t="shared" si="13"/>
        <v>0.96</v>
      </c>
      <c r="E74" s="3" t="s">
        <v>18</v>
      </c>
      <c r="F74" s="3" t="e">
        <f t="shared" si="14"/>
        <v>#VALUE!</v>
      </c>
      <c r="G74">
        <f t="shared" si="11"/>
        <v>0</v>
      </c>
      <c r="I74" t="b">
        <f t="shared" si="15"/>
        <v>0</v>
      </c>
      <c r="J74" s="3">
        <f t="shared" si="16"/>
        <v>8</v>
      </c>
      <c r="K74" t="s">
        <v>29</v>
      </c>
      <c r="L74" t="s">
        <v>221</v>
      </c>
      <c r="M74" t="s">
        <v>222</v>
      </c>
      <c r="N74" s="3" t="s">
        <v>18</v>
      </c>
      <c r="O74" t="b">
        <f t="shared" si="17"/>
        <v>0</v>
      </c>
      <c r="P74" t="e">
        <f t="shared" si="18"/>
        <v>#VALUE!</v>
      </c>
      <c r="S74" t="s">
        <v>18</v>
      </c>
      <c r="T74" t="s">
        <v>18</v>
      </c>
      <c r="U74" t="str">
        <f t="shared" si="9"/>
        <v xml:space="preserve">Attack of the Clones </v>
      </c>
      <c r="V74" t="s">
        <v>192</v>
      </c>
    </row>
    <row r="75" spans="1:22" x14ac:dyDescent="0.25">
      <c r="A75" t="s">
        <v>223</v>
      </c>
      <c r="B75" s="6">
        <v>193</v>
      </c>
      <c r="C75" s="6">
        <f t="shared" si="12"/>
        <v>75.5</v>
      </c>
      <c r="D75" s="6">
        <f t="shared" si="13"/>
        <v>1.93</v>
      </c>
      <c r="E75" s="3">
        <v>48</v>
      </c>
      <c r="F75" s="3">
        <f t="shared" si="14"/>
        <v>106</v>
      </c>
      <c r="G75">
        <f t="shared" si="11"/>
        <v>12.886251979918924</v>
      </c>
      <c r="I75" t="b">
        <f t="shared" si="15"/>
        <v>0</v>
      </c>
      <c r="J75" s="3">
        <f t="shared" si="16"/>
        <v>9</v>
      </c>
      <c r="K75" t="s">
        <v>29</v>
      </c>
      <c r="L75" t="s">
        <v>224</v>
      </c>
      <c r="M75" t="s">
        <v>57</v>
      </c>
      <c r="N75" s="3" t="s">
        <v>18</v>
      </c>
      <c r="O75" t="b">
        <f t="shared" si="17"/>
        <v>0</v>
      </c>
      <c r="P75" t="e">
        <f t="shared" si="18"/>
        <v>#VALUE!</v>
      </c>
      <c r="S75" t="s">
        <v>225</v>
      </c>
      <c r="T75" t="s">
        <v>226</v>
      </c>
      <c r="U75" t="str">
        <f t="shared" si="9"/>
        <v>Attack of the Clones</v>
      </c>
      <c r="V75" t="s">
        <v>186</v>
      </c>
    </row>
    <row r="76" spans="1:22" x14ac:dyDescent="0.25">
      <c r="A76" t="s">
        <v>227</v>
      </c>
      <c r="B76" s="6">
        <v>191</v>
      </c>
      <c r="C76" s="6">
        <f t="shared" si="12"/>
        <v>75</v>
      </c>
      <c r="D76" s="6">
        <f t="shared" si="13"/>
        <v>1.91</v>
      </c>
      <c r="E76" s="3" t="s">
        <v>18</v>
      </c>
      <c r="F76" s="3" t="e">
        <f t="shared" si="14"/>
        <v>#VALUE!</v>
      </c>
      <c r="G76">
        <f t="shared" si="11"/>
        <v>0</v>
      </c>
      <c r="I76" t="b">
        <f t="shared" si="15"/>
        <v>0</v>
      </c>
      <c r="J76" s="3">
        <f t="shared" si="16"/>
        <v>5</v>
      </c>
      <c r="K76" t="s">
        <v>29</v>
      </c>
      <c r="L76" t="s">
        <v>82</v>
      </c>
      <c r="M76" t="s">
        <v>19</v>
      </c>
      <c r="N76" s="3" t="s">
        <v>18</v>
      </c>
      <c r="O76" t="b">
        <f t="shared" si="17"/>
        <v>0</v>
      </c>
      <c r="P76" t="e">
        <f t="shared" si="18"/>
        <v>#VALUE!</v>
      </c>
      <c r="S76" t="s">
        <v>228</v>
      </c>
      <c r="T76" t="s">
        <v>229</v>
      </c>
      <c r="U76" t="str">
        <f t="shared" si="9"/>
        <v>Attack of the Clones</v>
      </c>
      <c r="V76" t="s">
        <v>186</v>
      </c>
    </row>
    <row r="77" spans="1:22" x14ac:dyDescent="0.25">
      <c r="A77" t="s">
        <v>230</v>
      </c>
      <c r="B77" s="6">
        <v>178</v>
      </c>
      <c r="C77" s="6">
        <f t="shared" si="12"/>
        <v>70</v>
      </c>
      <c r="D77" s="6">
        <f t="shared" si="13"/>
        <v>1.78</v>
      </c>
      <c r="E77" s="3">
        <v>57</v>
      </c>
      <c r="F77" s="3">
        <f t="shared" si="14"/>
        <v>125.75</v>
      </c>
      <c r="G77">
        <f t="shared" si="11"/>
        <v>17.99015275849009</v>
      </c>
      <c r="I77" t="b">
        <f t="shared" si="15"/>
        <v>0</v>
      </c>
      <c r="J77" s="3">
        <f t="shared" si="16"/>
        <v>1</v>
      </c>
      <c r="K77" t="s">
        <v>29</v>
      </c>
      <c r="L77" t="s">
        <v>231</v>
      </c>
      <c r="M77" t="s">
        <v>45</v>
      </c>
      <c r="N77" s="3" t="s">
        <v>18</v>
      </c>
      <c r="O77" t="b">
        <f t="shared" si="17"/>
        <v>0</v>
      </c>
      <c r="P77" t="e">
        <f t="shared" si="18"/>
        <v>#VALUE!</v>
      </c>
      <c r="S77" t="s">
        <v>232</v>
      </c>
      <c r="T77" t="s">
        <v>233</v>
      </c>
      <c r="U77" t="str">
        <f t="shared" si="9"/>
        <v xml:space="preserve">Attack of the Clones </v>
      </c>
      <c r="V77" t="s">
        <v>192</v>
      </c>
    </row>
    <row r="78" spans="1:22" x14ac:dyDescent="0.25">
      <c r="A78" t="s">
        <v>234</v>
      </c>
      <c r="B78" s="6">
        <v>216</v>
      </c>
      <c r="C78" s="6">
        <f t="shared" si="12"/>
        <v>85</v>
      </c>
      <c r="D78" s="6">
        <f t="shared" si="13"/>
        <v>2.16</v>
      </c>
      <c r="E78" s="3">
        <v>159</v>
      </c>
      <c r="F78" s="3">
        <f t="shared" si="14"/>
        <v>350.75</v>
      </c>
      <c r="G78">
        <f t="shared" si="11"/>
        <v>34.079218106995881</v>
      </c>
      <c r="I78" t="b">
        <f t="shared" si="15"/>
        <v>1</v>
      </c>
      <c r="J78" s="3">
        <f t="shared" si="16"/>
        <v>2</v>
      </c>
      <c r="K78" t="s">
        <v>29</v>
      </c>
      <c r="L78" t="s">
        <v>235</v>
      </c>
      <c r="M78" t="s">
        <v>236</v>
      </c>
      <c r="N78" s="3" t="s">
        <v>18</v>
      </c>
      <c r="O78" t="b">
        <f t="shared" si="17"/>
        <v>0</v>
      </c>
      <c r="P78" t="e">
        <f t="shared" si="18"/>
        <v>#VALUE!</v>
      </c>
      <c r="S78" t="s">
        <v>237</v>
      </c>
      <c r="T78" t="s">
        <v>238</v>
      </c>
      <c r="U78" t="str">
        <f t="shared" si="9"/>
        <v>Revenge of the Sith</v>
      </c>
      <c r="V78" t="s">
        <v>239</v>
      </c>
    </row>
    <row r="79" spans="1:22" x14ac:dyDescent="0.25">
      <c r="A79" t="s">
        <v>240</v>
      </c>
      <c r="B79" s="6">
        <v>234</v>
      </c>
      <c r="C79" s="6">
        <f t="shared" si="12"/>
        <v>92</v>
      </c>
      <c r="D79" s="6">
        <f t="shared" si="13"/>
        <v>2.34</v>
      </c>
      <c r="E79" s="3">
        <v>136</v>
      </c>
      <c r="F79" s="3">
        <f t="shared" si="14"/>
        <v>300</v>
      </c>
      <c r="G79">
        <f t="shared" si="11"/>
        <v>24.837460734896638</v>
      </c>
      <c r="I79" t="b">
        <f t="shared" si="15"/>
        <v>0</v>
      </c>
      <c r="J79" s="3">
        <f t="shared" si="16"/>
        <v>2</v>
      </c>
      <c r="K79" t="s">
        <v>33</v>
      </c>
      <c r="L79" t="s">
        <v>33</v>
      </c>
      <c r="M79" t="s">
        <v>13</v>
      </c>
      <c r="N79" s="3" t="s">
        <v>18</v>
      </c>
      <c r="O79" t="b">
        <f t="shared" si="17"/>
        <v>0</v>
      </c>
      <c r="P79" t="e">
        <f t="shared" si="18"/>
        <v>#VALUE!</v>
      </c>
      <c r="S79" t="s">
        <v>58</v>
      </c>
      <c r="T79" t="s">
        <v>59</v>
      </c>
      <c r="U79" t="str">
        <f t="shared" si="9"/>
        <v>Revenge of the Sith</v>
      </c>
      <c r="V79" t="s">
        <v>239</v>
      </c>
    </row>
    <row r="80" spans="1:22" x14ac:dyDescent="0.25">
      <c r="A80" t="s">
        <v>241</v>
      </c>
      <c r="B80" s="6">
        <v>188</v>
      </c>
      <c r="C80" s="6">
        <f t="shared" si="12"/>
        <v>74</v>
      </c>
      <c r="D80" s="6">
        <f t="shared" si="13"/>
        <v>1.88</v>
      </c>
      <c r="E80" s="3">
        <v>79</v>
      </c>
      <c r="F80" s="3">
        <f t="shared" si="14"/>
        <v>174.25</v>
      </c>
      <c r="G80">
        <f t="shared" si="11"/>
        <v>22.351742870076958</v>
      </c>
      <c r="I80" t="b">
        <f t="shared" si="15"/>
        <v>0</v>
      </c>
      <c r="J80" s="3">
        <f t="shared" si="16"/>
        <v>4</v>
      </c>
      <c r="K80" t="s">
        <v>33</v>
      </c>
      <c r="L80" t="s">
        <v>34</v>
      </c>
      <c r="M80" t="s">
        <v>33</v>
      </c>
      <c r="N80" s="3" t="s">
        <v>18</v>
      </c>
      <c r="O80" t="b">
        <f t="shared" si="17"/>
        <v>0</v>
      </c>
      <c r="P80" t="e">
        <f t="shared" si="18"/>
        <v>#VALUE!</v>
      </c>
      <c r="S80" t="s">
        <v>35</v>
      </c>
      <c r="T80" t="s">
        <v>15</v>
      </c>
      <c r="U80" t="str">
        <f t="shared" si="9"/>
        <v xml:space="preserve">Revenge of the Sith </v>
      </c>
      <c r="V80" t="s">
        <v>55</v>
      </c>
    </row>
    <row r="81" spans="1:22" x14ac:dyDescent="0.25">
      <c r="A81" t="s">
        <v>242</v>
      </c>
      <c r="B81" s="6">
        <v>178</v>
      </c>
      <c r="C81" s="6">
        <f t="shared" si="12"/>
        <v>70</v>
      </c>
      <c r="D81" s="6">
        <f t="shared" si="13"/>
        <v>1.78</v>
      </c>
      <c r="E81" s="3">
        <v>48</v>
      </c>
      <c r="F81" s="3">
        <f t="shared" si="14"/>
        <v>106</v>
      </c>
      <c r="G81">
        <f t="shared" si="11"/>
        <v>15.149602322939023</v>
      </c>
      <c r="I81" t="b">
        <f t="shared" si="15"/>
        <v>0</v>
      </c>
      <c r="J81" s="3">
        <f t="shared" si="16"/>
        <v>1</v>
      </c>
      <c r="K81" t="s">
        <v>29</v>
      </c>
      <c r="L81" t="s">
        <v>83</v>
      </c>
      <c r="M81" t="s">
        <v>30</v>
      </c>
      <c r="N81" s="3" t="s">
        <v>18</v>
      </c>
      <c r="O81" t="b">
        <f t="shared" si="17"/>
        <v>0</v>
      </c>
      <c r="P81" t="e">
        <f t="shared" si="18"/>
        <v>#VALUE!</v>
      </c>
      <c r="S81" t="s">
        <v>243</v>
      </c>
      <c r="T81" t="s">
        <v>18</v>
      </c>
      <c r="U81" t="str">
        <f t="shared" si="9"/>
        <v xml:space="preserve">Attack of the Clones </v>
      </c>
      <c r="V81" t="s">
        <v>192</v>
      </c>
    </row>
    <row r="82" spans="1:22" x14ac:dyDescent="0.25">
      <c r="A82" t="s">
        <v>244</v>
      </c>
      <c r="B82" s="6">
        <v>206</v>
      </c>
      <c r="C82" s="6">
        <f t="shared" si="12"/>
        <v>81</v>
      </c>
      <c r="D82" s="6">
        <f t="shared" si="13"/>
        <v>2.06</v>
      </c>
      <c r="E82" s="3">
        <v>80</v>
      </c>
      <c r="F82" s="3">
        <f t="shared" si="14"/>
        <v>176.5</v>
      </c>
      <c r="G82">
        <f t="shared" si="11"/>
        <v>18.851918182675089</v>
      </c>
      <c r="I82" t="b">
        <f t="shared" si="15"/>
        <v>0</v>
      </c>
      <c r="J82" s="3">
        <f t="shared" si="16"/>
        <v>3</v>
      </c>
      <c r="K82" t="s">
        <v>29</v>
      </c>
      <c r="L82" t="s">
        <v>82</v>
      </c>
      <c r="M82" t="s">
        <v>45</v>
      </c>
      <c r="N82" s="3" t="s">
        <v>18</v>
      </c>
      <c r="O82" t="b">
        <f t="shared" si="17"/>
        <v>0</v>
      </c>
      <c r="P82" t="e">
        <f t="shared" si="18"/>
        <v>#VALUE!</v>
      </c>
      <c r="S82" t="s">
        <v>245</v>
      </c>
      <c r="T82" t="s">
        <v>246</v>
      </c>
      <c r="U82" t="str">
        <f t="shared" si="9"/>
        <v>Revenge of the Sith</v>
      </c>
      <c r="V82" t="s">
        <v>239</v>
      </c>
    </row>
    <row r="83" spans="1:22" x14ac:dyDescent="0.25">
      <c r="A83" t="s">
        <v>247</v>
      </c>
      <c r="B83" s="6" t="s">
        <v>18</v>
      </c>
      <c r="C83" s="6" t="s">
        <v>18</v>
      </c>
      <c r="D83" s="6" t="s">
        <v>18</v>
      </c>
      <c r="E83" s="3" t="s">
        <v>18</v>
      </c>
      <c r="F83" s="3" t="e">
        <f t="shared" si="14"/>
        <v>#VALUE!</v>
      </c>
      <c r="G83">
        <f t="shared" si="11"/>
        <v>0</v>
      </c>
      <c r="I83" t="b">
        <f t="shared" si="15"/>
        <v>0</v>
      </c>
      <c r="J83" s="3">
        <f t="shared" si="16"/>
        <v>2</v>
      </c>
      <c r="K83" t="s">
        <v>45</v>
      </c>
      <c r="L83" t="s">
        <v>95</v>
      </c>
      <c r="M83" t="s">
        <v>95</v>
      </c>
      <c r="N83" s="3" t="s">
        <v>18</v>
      </c>
      <c r="O83" t="b">
        <f t="shared" si="17"/>
        <v>0</v>
      </c>
      <c r="P83" t="e">
        <f t="shared" si="18"/>
        <v>#VALUE!</v>
      </c>
      <c r="S83" t="s">
        <v>18</v>
      </c>
      <c r="T83" t="s">
        <v>15</v>
      </c>
      <c r="U83" t="str">
        <f t="shared" si="9"/>
        <v>The Force Awakens</v>
      </c>
      <c r="V83" t="s">
        <v>248</v>
      </c>
    </row>
    <row r="84" spans="1:22" x14ac:dyDescent="0.25">
      <c r="A84" t="s">
        <v>249</v>
      </c>
      <c r="B84" s="6" t="s">
        <v>18</v>
      </c>
      <c r="C84" s="6" t="s">
        <v>18</v>
      </c>
      <c r="D84" s="6" t="s">
        <v>18</v>
      </c>
      <c r="E84" s="3" t="s">
        <v>18</v>
      </c>
      <c r="F84" s="3" t="e">
        <f t="shared" si="14"/>
        <v>#VALUE!</v>
      </c>
      <c r="G84">
        <f t="shared" si="11"/>
        <v>0</v>
      </c>
      <c r="I84" t="b">
        <f t="shared" si="15"/>
        <v>0</v>
      </c>
      <c r="J84" s="3">
        <f t="shared" si="16"/>
        <v>2</v>
      </c>
      <c r="K84" t="s">
        <v>33</v>
      </c>
      <c r="L84" t="s">
        <v>34</v>
      </c>
      <c r="M84" t="s">
        <v>74</v>
      </c>
      <c r="N84" s="3" t="s">
        <v>18</v>
      </c>
      <c r="O84" t="b">
        <f t="shared" si="17"/>
        <v>0</v>
      </c>
      <c r="P84" t="e">
        <f t="shared" si="18"/>
        <v>#VALUE!</v>
      </c>
      <c r="S84" t="s">
        <v>18</v>
      </c>
      <c r="T84" t="s">
        <v>15</v>
      </c>
      <c r="U84" t="str">
        <f t="shared" ref="U84:U88" si="19">IFERROR(LEFT(V84, FIND(",",V84)-1),V84)</f>
        <v>The Force Awakens</v>
      </c>
      <c r="V84" t="s">
        <v>248</v>
      </c>
    </row>
    <row r="85" spans="1:22" x14ac:dyDescent="0.25">
      <c r="A85" t="s">
        <v>250</v>
      </c>
      <c r="B85" s="6" t="s">
        <v>18</v>
      </c>
      <c r="C85" s="6" t="s">
        <v>18</v>
      </c>
      <c r="D85" s="6" t="s">
        <v>18</v>
      </c>
      <c r="E85" s="3" t="s">
        <v>18</v>
      </c>
      <c r="F85" s="3" t="e">
        <f t="shared" si="14"/>
        <v>#VALUE!</v>
      </c>
      <c r="G85">
        <f t="shared" si="11"/>
        <v>0</v>
      </c>
      <c r="I85" t="b">
        <f t="shared" si="15"/>
        <v>0</v>
      </c>
      <c r="J85" s="3">
        <f t="shared" si="16"/>
        <v>2</v>
      </c>
      <c r="K85" t="s">
        <v>33</v>
      </c>
      <c r="L85" t="s">
        <v>34</v>
      </c>
      <c r="M85" t="s">
        <v>33</v>
      </c>
      <c r="N85" s="3" t="s">
        <v>18</v>
      </c>
      <c r="O85" t="b">
        <f t="shared" si="17"/>
        <v>0</v>
      </c>
      <c r="P85" t="e">
        <f t="shared" si="18"/>
        <v>#VALUE!</v>
      </c>
      <c r="S85" t="s">
        <v>18</v>
      </c>
      <c r="T85" t="s">
        <v>15</v>
      </c>
      <c r="U85" t="str">
        <f t="shared" si="19"/>
        <v>The Force Awakens</v>
      </c>
      <c r="V85" t="s">
        <v>248</v>
      </c>
    </row>
    <row r="86" spans="1:22" x14ac:dyDescent="0.25">
      <c r="A86" t="s">
        <v>251</v>
      </c>
      <c r="B86" s="6" t="s">
        <v>18</v>
      </c>
      <c r="C86" s="6" t="s">
        <v>18</v>
      </c>
      <c r="D86" s="6" t="s">
        <v>18</v>
      </c>
      <c r="E86" s="3" t="s">
        <v>18</v>
      </c>
      <c r="F86" s="3" t="e">
        <f t="shared" si="14"/>
        <v>#VALUE!</v>
      </c>
      <c r="G86">
        <f t="shared" si="11"/>
        <v>0</v>
      </c>
      <c r="I86" t="b">
        <f t="shared" si="15"/>
        <v>0</v>
      </c>
      <c r="J86" s="3">
        <f t="shared" si="16"/>
        <v>2</v>
      </c>
      <c r="K86" t="s">
        <v>29</v>
      </c>
      <c r="L86" t="s">
        <v>29</v>
      </c>
      <c r="M86" t="s">
        <v>45</v>
      </c>
      <c r="N86" s="3" t="s">
        <v>18</v>
      </c>
      <c r="O86" t="b">
        <f t="shared" si="17"/>
        <v>0</v>
      </c>
      <c r="P86" t="e">
        <f t="shared" si="18"/>
        <v>#VALUE!</v>
      </c>
      <c r="S86" t="s">
        <v>18</v>
      </c>
      <c r="T86" t="s">
        <v>21</v>
      </c>
      <c r="U86" t="str">
        <f t="shared" si="19"/>
        <v>The Force Awakens</v>
      </c>
      <c r="V86" t="s">
        <v>248</v>
      </c>
    </row>
    <row r="87" spans="1:22" x14ac:dyDescent="0.25">
      <c r="A87" t="s">
        <v>252</v>
      </c>
      <c r="B87" s="6" t="s">
        <v>18</v>
      </c>
      <c r="C87" s="6" t="s">
        <v>18</v>
      </c>
      <c r="D87" s="6" t="s">
        <v>18</v>
      </c>
      <c r="E87" s="3" t="s">
        <v>18</v>
      </c>
      <c r="F87" s="3" t="e">
        <f t="shared" si="14"/>
        <v>#VALUE!</v>
      </c>
      <c r="G87">
        <f t="shared" si="11"/>
        <v>0</v>
      </c>
      <c r="I87" t="b">
        <f t="shared" si="15"/>
        <v>0</v>
      </c>
      <c r="J87" s="3">
        <f t="shared" si="16"/>
        <v>1</v>
      </c>
      <c r="K87" t="s">
        <v>57</v>
      </c>
      <c r="L87" t="s">
        <v>57</v>
      </c>
      <c r="M87" t="s">
        <v>57</v>
      </c>
      <c r="N87" s="3" t="s">
        <v>18</v>
      </c>
      <c r="O87" t="b">
        <f t="shared" si="17"/>
        <v>0</v>
      </c>
      <c r="P87" t="e">
        <f t="shared" si="18"/>
        <v>#VALUE!</v>
      </c>
      <c r="S87" t="s">
        <v>18</v>
      </c>
      <c r="T87" t="s">
        <v>18</v>
      </c>
      <c r="U87" t="str">
        <f t="shared" si="19"/>
        <v>The Force Awakens</v>
      </c>
      <c r="V87" t="s">
        <v>248</v>
      </c>
    </row>
    <row r="88" spans="1:22" x14ac:dyDescent="0.25">
      <c r="A88" t="s">
        <v>253</v>
      </c>
      <c r="B88" s="6">
        <v>165</v>
      </c>
      <c r="C88" s="6">
        <f t="shared" si="12"/>
        <v>64.5</v>
      </c>
      <c r="D88" s="6">
        <f t="shared" si="13"/>
        <v>1.65</v>
      </c>
      <c r="E88" s="3">
        <v>45</v>
      </c>
      <c r="F88" s="3">
        <f t="shared" si="14"/>
        <v>99.25</v>
      </c>
      <c r="G88">
        <f t="shared" si="11"/>
        <v>16.528925619834713</v>
      </c>
      <c r="I88" t="b">
        <f t="shared" si="15"/>
        <v>0</v>
      </c>
      <c r="J88" s="3" t="e">
        <f t="shared" si="16"/>
        <v>#N/A</v>
      </c>
      <c r="K88" t="s">
        <v>33</v>
      </c>
      <c r="L88" t="s">
        <v>34</v>
      </c>
      <c r="M88" t="s">
        <v>33</v>
      </c>
      <c r="N88" s="3">
        <v>46</v>
      </c>
      <c r="O88" t="b">
        <f t="shared" si="17"/>
        <v>1</v>
      </c>
      <c r="P88">
        <f t="shared" si="18"/>
        <v>16790</v>
      </c>
      <c r="S88" t="s">
        <v>26</v>
      </c>
      <c r="T88" t="s">
        <v>15</v>
      </c>
      <c r="U88" t="str">
        <f t="shared" si="19"/>
        <v xml:space="preserve">Attack of the Clones </v>
      </c>
      <c r="V88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94AB-0F60-40D1-AD33-654FBC2EB7FA}">
  <dimension ref="A1:M94"/>
  <sheetViews>
    <sheetView workbookViewId="0">
      <pane ySplit="1" topLeftCell="A2" activePane="bottomLeft" state="frozen"/>
      <selection pane="bottomLeft" activeCell="M4" sqref="M4"/>
    </sheetView>
  </sheetViews>
  <sheetFormatPr defaultRowHeight="15.75" x14ac:dyDescent="0.25"/>
  <cols>
    <col min="1" max="1" width="18.375" bestFit="1" customWidth="1"/>
    <col min="2" max="4" width="9" style="3"/>
    <col min="6" max="6" width="15.125" style="3" bestFit="1" customWidth="1"/>
    <col min="7" max="8" width="14.25" style="3" bestFit="1" customWidth="1"/>
    <col min="12" max="12" width="15.5" bestFit="1" customWidth="1"/>
    <col min="13" max="13" width="14.5" bestFit="1" customWidth="1"/>
  </cols>
  <sheetData>
    <row r="1" spans="1:13" x14ac:dyDescent="0.25">
      <c r="A1" s="7" t="s">
        <v>0</v>
      </c>
      <c r="B1" s="8" t="s">
        <v>264</v>
      </c>
      <c r="C1" s="8" t="s">
        <v>275</v>
      </c>
      <c r="D1" s="8" t="s">
        <v>266</v>
      </c>
      <c r="F1" s="8" t="s">
        <v>281</v>
      </c>
      <c r="G1" s="8" t="s">
        <v>282</v>
      </c>
      <c r="H1" s="8" t="s">
        <v>283</v>
      </c>
      <c r="K1" s="8" t="s">
        <v>287</v>
      </c>
      <c r="L1" s="8" t="s">
        <v>288</v>
      </c>
    </row>
    <row r="2" spans="1:13" x14ac:dyDescent="0.25">
      <c r="A2" t="str" cm="1">
        <f t="array" ref="A2:D82">_xlfn._xlws.FILTER(starwars!A2:D88,(ISNUMBER(starwars!B2:B88)) + (ISNUMBER(starwars!C2:C88)) + (ISNUMBER(starwars!D2:D88)))</f>
        <v>Luke Skywalker</v>
      </c>
      <c r="B2" s="3">
        <v>172</v>
      </c>
      <c r="C2" s="3">
        <v>67.5</v>
      </c>
      <c r="D2" s="3">
        <v>1.72</v>
      </c>
      <c r="F2" s="3" cm="1">
        <f t="array" ref="F2:F82">_xlfn._xlws.SORT(B2:B82)</f>
        <v>66</v>
      </c>
      <c r="G2" s="3" cm="1">
        <f t="array" ref="G2:G82">_xlfn._xlws.SORT(C2:C82)</f>
        <v>25.5</v>
      </c>
      <c r="H2" s="3" cm="1">
        <f t="array" ref="H2:H82">_xlfn._xlws.SORT(D2:D82)</f>
        <v>0.66</v>
      </c>
      <c r="K2" s="13">
        <f>F2-$E$90</f>
        <v>-108.35802469135803</v>
      </c>
      <c r="L2" s="14">
        <f>K2^2</f>
        <v>11741.461515012956</v>
      </c>
      <c r="M2" s="14">
        <f>AVERAGE(L2:L82)</f>
        <v>1194.0570035055634</v>
      </c>
    </row>
    <row r="3" spans="1:13" x14ac:dyDescent="0.25">
      <c r="A3" t="str">
        <v>C-3PO</v>
      </c>
      <c r="B3" s="3">
        <v>167</v>
      </c>
      <c r="C3" s="3">
        <v>65.5</v>
      </c>
      <c r="D3" s="3">
        <v>1.67</v>
      </c>
      <c r="F3" s="3">
        <v>79</v>
      </c>
      <c r="G3" s="3">
        <v>31</v>
      </c>
      <c r="H3" s="3">
        <v>0.79</v>
      </c>
      <c r="K3" s="13">
        <f t="shared" ref="K3:K66" si="0">F3-$E$90</f>
        <v>-95.358024691358025</v>
      </c>
      <c r="L3" s="14">
        <f t="shared" ref="L3:L66" si="1">K3^2</f>
        <v>9093.1528730376467</v>
      </c>
      <c r="M3">
        <f>_xlfn.VAR.P(L2:L82)</f>
        <v>5555621.222789621</v>
      </c>
    </row>
    <row r="4" spans="1:13" x14ac:dyDescent="0.25">
      <c r="A4" t="str">
        <v>R2-D2</v>
      </c>
      <c r="B4" s="3">
        <v>96</v>
      </c>
      <c r="C4" s="3">
        <v>37.5</v>
      </c>
      <c r="D4" s="3">
        <v>0.96</v>
      </c>
      <c r="F4" s="3">
        <v>88</v>
      </c>
      <c r="G4" s="3">
        <v>34.5</v>
      </c>
      <c r="H4" s="3">
        <v>0.88</v>
      </c>
      <c r="K4" s="13">
        <f t="shared" si="0"/>
        <v>-86.358024691358025</v>
      </c>
      <c r="L4" s="14">
        <f t="shared" si="1"/>
        <v>7457.7084285932024</v>
      </c>
      <c r="M4">
        <f>_xlfn.STDEV.P(L2:L82)</f>
        <v>2357.0365340379476</v>
      </c>
    </row>
    <row r="5" spans="1:13" x14ac:dyDescent="0.25">
      <c r="A5" t="str">
        <v>Darth Vader</v>
      </c>
      <c r="B5" s="3">
        <v>202</v>
      </c>
      <c r="C5" s="3">
        <v>79.5</v>
      </c>
      <c r="D5" s="3">
        <v>2.02</v>
      </c>
      <c r="F5" s="3">
        <v>94</v>
      </c>
      <c r="G5" s="3">
        <v>37</v>
      </c>
      <c r="H5" s="3">
        <v>0.94</v>
      </c>
      <c r="K5" s="13">
        <f t="shared" si="0"/>
        <v>-80.358024691358025</v>
      </c>
      <c r="L5" s="14">
        <f t="shared" si="1"/>
        <v>6457.4121322969058</v>
      </c>
    </row>
    <row r="6" spans="1:13" x14ac:dyDescent="0.25">
      <c r="A6" t="str">
        <v>Leia Organa</v>
      </c>
      <c r="B6" s="3">
        <v>150</v>
      </c>
      <c r="C6" s="3">
        <v>59</v>
      </c>
      <c r="D6" s="3">
        <v>1.5</v>
      </c>
      <c r="F6" s="3">
        <v>96</v>
      </c>
      <c r="G6" s="3">
        <v>37.5</v>
      </c>
      <c r="H6" s="3">
        <v>0.96</v>
      </c>
      <c r="K6" s="13">
        <f t="shared" si="0"/>
        <v>-78.358024691358025</v>
      </c>
      <c r="L6" s="14">
        <f t="shared" si="1"/>
        <v>6139.980033531474</v>
      </c>
    </row>
    <row r="7" spans="1:13" x14ac:dyDescent="0.25">
      <c r="A7" t="str">
        <v>Owen Lars</v>
      </c>
      <c r="B7" s="3">
        <v>178</v>
      </c>
      <c r="C7" s="3">
        <v>70</v>
      </c>
      <c r="D7" s="3">
        <v>1.78</v>
      </c>
      <c r="F7" s="3">
        <v>96</v>
      </c>
      <c r="G7" s="3">
        <v>37.5</v>
      </c>
      <c r="H7" s="3">
        <v>0.96</v>
      </c>
      <c r="K7" s="13">
        <f t="shared" si="0"/>
        <v>-78.358024691358025</v>
      </c>
      <c r="L7" s="14">
        <f t="shared" si="1"/>
        <v>6139.980033531474</v>
      </c>
    </row>
    <row r="8" spans="1:13" x14ac:dyDescent="0.25">
      <c r="A8" t="str">
        <v>Beru Whitesun lars</v>
      </c>
      <c r="B8" s="3">
        <v>165</v>
      </c>
      <c r="C8" s="3">
        <v>64.5</v>
      </c>
      <c r="D8" s="3">
        <v>1.65</v>
      </c>
      <c r="F8" s="3">
        <v>97</v>
      </c>
      <c r="G8" s="3">
        <v>38</v>
      </c>
      <c r="H8" s="3">
        <v>0.97</v>
      </c>
      <c r="K8" s="13">
        <f t="shared" si="0"/>
        <v>-77.358024691358025</v>
      </c>
      <c r="L8" s="14">
        <f t="shared" si="1"/>
        <v>5984.263984148758</v>
      </c>
    </row>
    <row r="9" spans="1:13" x14ac:dyDescent="0.25">
      <c r="A9" t="str">
        <v>R5-D4</v>
      </c>
      <c r="B9" s="3">
        <v>97</v>
      </c>
      <c r="C9" s="3">
        <v>38</v>
      </c>
      <c r="D9" s="3">
        <v>0.97</v>
      </c>
      <c r="F9" s="3">
        <v>112</v>
      </c>
      <c r="G9" s="3">
        <v>44</v>
      </c>
      <c r="H9" s="3">
        <v>1.1200000000000001</v>
      </c>
      <c r="K9" s="13">
        <f t="shared" si="0"/>
        <v>-62.358024691358025</v>
      </c>
      <c r="L9" s="14">
        <f t="shared" si="1"/>
        <v>3888.5232434080172</v>
      </c>
    </row>
    <row r="10" spans="1:13" x14ac:dyDescent="0.25">
      <c r="A10" t="str">
        <v>Biggs Darklighter</v>
      </c>
      <c r="B10" s="3">
        <v>183</v>
      </c>
      <c r="C10" s="3">
        <v>72</v>
      </c>
      <c r="D10" s="3">
        <v>1.83</v>
      </c>
      <c r="F10" s="3">
        <v>122</v>
      </c>
      <c r="G10" s="3">
        <v>48</v>
      </c>
      <c r="H10" s="3">
        <v>1.22</v>
      </c>
      <c r="K10" s="13">
        <f t="shared" si="0"/>
        <v>-52.358024691358025</v>
      </c>
      <c r="L10" s="14">
        <f t="shared" si="1"/>
        <v>2741.3627495808569</v>
      </c>
    </row>
    <row r="11" spans="1:13" x14ac:dyDescent="0.25">
      <c r="A11" t="str">
        <v>Obi-Wan Kenobi</v>
      </c>
      <c r="B11" s="3">
        <v>182</v>
      </c>
      <c r="C11" s="3">
        <v>71.5</v>
      </c>
      <c r="D11" s="3">
        <v>1.82</v>
      </c>
      <c r="F11" s="3">
        <v>137</v>
      </c>
      <c r="G11" s="3">
        <v>53.5</v>
      </c>
      <c r="H11" s="3">
        <v>1.37</v>
      </c>
      <c r="K11" s="13">
        <f t="shared" si="0"/>
        <v>-37.358024691358025</v>
      </c>
      <c r="L11" s="14">
        <f t="shared" si="1"/>
        <v>1395.622008840116</v>
      </c>
    </row>
    <row r="12" spans="1:13" x14ac:dyDescent="0.25">
      <c r="A12" t="str">
        <v>Anakin Skywalker</v>
      </c>
      <c r="B12" s="3">
        <v>188</v>
      </c>
      <c r="C12" s="3">
        <v>74</v>
      </c>
      <c r="D12" s="3">
        <v>1.88</v>
      </c>
      <c r="F12" s="3">
        <v>150</v>
      </c>
      <c r="G12" s="3">
        <v>59</v>
      </c>
      <c r="H12" s="3">
        <v>1.5</v>
      </c>
      <c r="K12" s="13">
        <f t="shared" si="0"/>
        <v>-24.358024691358025</v>
      </c>
      <c r="L12" s="14">
        <f t="shared" si="1"/>
        <v>593.31336686480722</v>
      </c>
    </row>
    <row r="13" spans="1:13" x14ac:dyDescent="0.25">
      <c r="A13" t="str">
        <v>Wilhuff Tarkin</v>
      </c>
      <c r="B13" s="3">
        <v>180</v>
      </c>
      <c r="C13" s="3">
        <v>70.5</v>
      </c>
      <c r="D13" s="3">
        <v>1.8</v>
      </c>
      <c r="F13" s="3">
        <v>150</v>
      </c>
      <c r="G13" s="3">
        <v>59</v>
      </c>
      <c r="H13" s="3">
        <v>1.5</v>
      </c>
      <c r="K13" s="13">
        <f t="shared" si="0"/>
        <v>-24.358024691358025</v>
      </c>
      <c r="L13" s="14">
        <f t="shared" si="1"/>
        <v>593.31336686480722</v>
      </c>
    </row>
    <row r="14" spans="1:13" x14ac:dyDescent="0.25">
      <c r="A14" t="str">
        <v>Chewbacca</v>
      </c>
      <c r="B14" s="3">
        <v>228</v>
      </c>
      <c r="C14" s="3">
        <v>89.5</v>
      </c>
      <c r="D14" s="3">
        <v>2.2799999999999998</v>
      </c>
      <c r="F14" s="3">
        <v>157</v>
      </c>
      <c r="G14" s="3">
        <v>61.5</v>
      </c>
      <c r="H14" s="3">
        <v>1.57</v>
      </c>
      <c r="K14" s="13">
        <f t="shared" si="0"/>
        <v>-17.358024691358025</v>
      </c>
      <c r="L14" s="14">
        <f t="shared" si="1"/>
        <v>301.30102118579487</v>
      </c>
    </row>
    <row r="15" spans="1:13" x14ac:dyDescent="0.25">
      <c r="A15" t="str">
        <v>Han Solo</v>
      </c>
      <c r="B15" s="3">
        <v>180</v>
      </c>
      <c r="C15" s="3">
        <v>70.5</v>
      </c>
      <c r="D15" s="3">
        <v>1.8</v>
      </c>
      <c r="F15" s="3">
        <v>160</v>
      </c>
      <c r="G15" s="3">
        <v>62.5</v>
      </c>
      <c r="H15" s="3">
        <v>1.6</v>
      </c>
      <c r="K15" s="13">
        <f t="shared" si="0"/>
        <v>-14.358024691358025</v>
      </c>
      <c r="L15" s="14">
        <f t="shared" si="1"/>
        <v>206.15287303764671</v>
      </c>
    </row>
    <row r="16" spans="1:13" x14ac:dyDescent="0.25">
      <c r="A16" t="str">
        <v>Greedo</v>
      </c>
      <c r="B16" s="3">
        <v>173</v>
      </c>
      <c r="C16" s="3">
        <v>68</v>
      </c>
      <c r="D16" s="3">
        <v>1.73</v>
      </c>
      <c r="F16" s="3">
        <v>163</v>
      </c>
      <c r="G16" s="3">
        <v>64</v>
      </c>
      <c r="H16" s="3">
        <v>1.63</v>
      </c>
      <c r="K16" s="13">
        <f t="shared" si="0"/>
        <v>-11.358024691358025</v>
      </c>
      <c r="L16" s="14">
        <f t="shared" si="1"/>
        <v>129.00472488949856</v>
      </c>
    </row>
    <row r="17" spans="1:12" x14ac:dyDescent="0.25">
      <c r="A17" t="str">
        <v>Jabba Desilijic Tiure</v>
      </c>
      <c r="B17" s="3">
        <v>175</v>
      </c>
      <c r="C17" s="3">
        <v>68.5</v>
      </c>
      <c r="D17" s="3">
        <v>1.75</v>
      </c>
      <c r="F17" s="3">
        <v>163</v>
      </c>
      <c r="G17" s="3">
        <v>64</v>
      </c>
      <c r="H17" s="3">
        <v>1.63</v>
      </c>
      <c r="K17" s="13">
        <f t="shared" si="0"/>
        <v>-11.358024691358025</v>
      </c>
      <c r="L17" s="14">
        <f t="shared" si="1"/>
        <v>129.00472488949856</v>
      </c>
    </row>
    <row r="18" spans="1:12" x14ac:dyDescent="0.25">
      <c r="A18" t="str">
        <v>Wedge Antilles</v>
      </c>
      <c r="B18" s="3">
        <v>170</v>
      </c>
      <c r="C18" s="3">
        <v>66.5</v>
      </c>
      <c r="D18" s="3">
        <v>1.7</v>
      </c>
      <c r="F18" s="3">
        <v>165</v>
      </c>
      <c r="G18" s="3">
        <v>64.5</v>
      </c>
      <c r="H18" s="3">
        <v>1.65</v>
      </c>
      <c r="K18" s="13">
        <f t="shared" si="0"/>
        <v>-9.3580246913580254</v>
      </c>
      <c r="L18" s="14">
        <f t="shared" si="1"/>
        <v>87.57262612406646</v>
      </c>
    </row>
    <row r="19" spans="1:12" x14ac:dyDescent="0.25">
      <c r="A19" t="str">
        <v>Jek Tono Porkins</v>
      </c>
      <c r="B19" s="3">
        <v>180</v>
      </c>
      <c r="C19" s="3">
        <v>70.5</v>
      </c>
      <c r="D19" s="3">
        <v>1.8</v>
      </c>
      <c r="F19" s="3">
        <v>165</v>
      </c>
      <c r="G19" s="3">
        <v>64.5</v>
      </c>
      <c r="H19" s="3">
        <v>1.65</v>
      </c>
      <c r="K19" s="13">
        <f t="shared" si="0"/>
        <v>-9.3580246913580254</v>
      </c>
      <c r="L19" s="14">
        <f t="shared" si="1"/>
        <v>87.57262612406646</v>
      </c>
    </row>
    <row r="20" spans="1:12" x14ac:dyDescent="0.25">
      <c r="A20" t="str">
        <v>Yoda</v>
      </c>
      <c r="B20" s="3">
        <v>66</v>
      </c>
      <c r="C20" s="3">
        <v>25.5</v>
      </c>
      <c r="D20" s="3">
        <v>0.66</v>
      </c>
      <c r="F20" s="3">
        <v>165</v>
      </c>
      <c r="G20" s="3">
        <v>64.5</v>
      </c>
      <c r="H20" s="3">
        <v>1.65</v>
      </c>
      <c r="K20" s="13">
        <f t="shared" si="0"/>
        <v>-9.3580246913580254</v>
      </c>
      <c r="L20" s="14">
        <f t="shared" si="1"/>
        <v>87.57262612406646</v>
      </c>
    </row>
    <row r="21" spans="1:12" x14ac:dyDescent="0.25">
      <c r="A21" t="str">
        <v>Palpatine</v>
      </c>
      <c r="B21" s="3">
        <v>170</v>
      </c>
      <c r="C21" s="3">
        <v>66.5</v>
      </c>
      <c r="D21" s="3">
        <v>1.7</v>
      </c>
      <c r="F21" s="3">
        <v>166</v>
      </c>
      <c r="G21" s="3">
        <v>65</v>
      </c>
      <c r="H21" s="3">
        <v>1.66</v>
      </c>
      <c r="K21" s="13">
        <f t="shared" si="0"/>
        <v>-8.3580246913580254</v>
      </c>
      <c r="L21" s="14">
        <f t="shared" si="1"/>
        <v>69.856576741350409</v>
      </c>
    </row>
    <row r="22" spans="1:12" x14ac:dyDescent="0.25">
      <c r="A22" t="str">
        <v>Boba Fett</v>
      </c>
      <c r="B22" s="3">
        <v>183</v>
      </c>
      <c r="C22" s="3">
        <v>72</v>
      </c>
      <c r="D22" s="3">
        <v>1.83</v>
      </c>
      <c r="F22" s="3">
        <v>167</v>
      </c>
      <c r="G22" s="3">
        <v>65.5</v>
      </c>
      <c r="H22" s="3">
        <v>1.67</v>
      </c>
      <c r="K22" s="13">
        <f t="shared" si="0"/>
        <v>-7.3580246913580254</v>
      </c>
      <c r="L22" s="14">
        <f t="shared" si="1"/>
        <v>54.140527358634365</v>
      </c>
    </row>
    <row r="23" spans="1:12" x14ac:dyDescent="0.25">
      <c r="A23" t="str">
        <v>IG-88</v>
      </c>
      <c r="B23" s="3">
        <v>200</v>
      </c>
      <c r="C23" s="3">
        <v>78.5</v>
      </c>
      <c r="D23" s="3">
        <v>2</v>
      </c>
      <c r="F23" s="3">
        <v>167</v>
      </c>
      <c r="G23" s="3">
        <v>65.5</v>
      </c>
      <c r="H23" s="3">
        <v>1.67</v>
      </c>
      <c r="K23" s="13">
        <f t="shared" si="0"/>
        <v>-7.3580246913580254</v>
      </c>
      <c r="L23" s="14">
        <f t="shared" si="1"/>
        <v>54.140527358634365</v>
      </c>
    </row>
    <row r="24" spans="1:12" x14ac:dyDescent="0.25">
      <c r="A24" t="str">
        <v>Bossk</v>
      </c>
      <c r="B24" s="3">
        <v>190</v>
      </c>
      <c r="C24" s="3">
        <v>74.5</v>
      </c>
      <c r="D24" s="3">
        <v>1.9</v>
      </c>
      <c r="F24" s="3">
        <v>168</v>
      </c>
      <c r="G24" s="3">
        <v>66</v>
      </c>
      <c r="H24" s="3">
        <v>1.68</v>
      </c>
      <c r="K24" s="13">
        <f t="shared" si="0"/>
        <v>-6.3580246913580254</v>
      </c>
      <c r="L24" s="14">
        <f t="shared" si="1"/>
        <v>40.424477975918315</v>
      </c>
    </row>
    <row r="25" spans="1:12" x14ac:dyDescent="0.25">
      <c r="A25" t="str">
        <v>Lando Calrissian</v>
      </c>
      <c r="B25" s="3">
        <v>177</v>
      </c>
      <c r="C25" s="3">
        <v>69.5</v>
      </c>
      <c r="D25" s="3">
        <v>1.77</v>
      </c>
      <c r="F25" s="3">
        <v>170</v>
      </c>
      <c r="G25" s="3">
        <v>66.5</v>
      </c>
      <c r="H25" s="3">
        <v>1.7</v>
      </c>
      <c r="K25" s="13">
        <f t="shared" si="0"/>
        <v>-4.3580246913580254</v>
      </c>
      <c r="L25" s="14">
        <f t="shared" si="1"/>
        <v>18.992379210486213</v>
      </c>
    </row>
    <row r="26" spans="1:12" x14ac:dyDescent="0.25">
      <c r="A26" t="str">
        <v>Lobot</v>
      </c>
      <c r="B26" s="3">
        <v>175</v>
      </c>
      <c r="C26" s="3">
        <v>68.5</v>
      </c>
      <c r="D26" s="3">
        <v>1.75</v>
      </c>
      <c r="F26" s="3">
        <v>170</v>
      </c>
      <c r="G26" s="3">
        <v>66.5</v>
      </c>
      <c r="H26" s="3">
        <v>1.7</v>
      </c>
      <c r="K26" s="13">
        <f t="shared" si="0"/>
        <v>-4.3580246913580254</v>
      </c>
      <c r="L26" s="14">
        <f t="shared" si="1"/>
        <v>18.992379210486213</v>
      </c>
    </row>
    <row r="27" spans="1:12" x14ac:dyDescent="0.25">
      <c r="A27" t="str">
        <v>Ackbar</v>
      </c>
      <c r="B27" s="3">
        <v>180</v>
      </c>
      <c r="C27" s="3">
        <v>70.5</v>
      </c>
      <c r="D27" s="3">
        <v>1.8</v>
      </c>
      <c r="F27" s="3">
        <v>170</v>
      </c>
      <c r="G27" s="3">
        <v>66.5</v>
      </c>
      <c r="H27" s="3">
        <v>1.7</v>
      </c>
      <c r="K27" s="13">
        <f t="shared" si="0"/>
        <v>-4.3580246913580254</v>
      </c>
      <c r="L27" s="14">
        <f t="shared" si="1"/>
        <v>18.992379210486213</v>
      </c>
    </row>
    <row r="28" spans="1:12" x14ac:dyDescent="0.25">
      <c r="A28" t="str">
        <v>Mon Mothma</v>
      </c>
      <c r="B28" s="3">
        <v>150</v>
      </c>
      <c r="C28" s="3">
        <v>59</v>
      </c>
      <c r="D28" s="3">
        <v>1.5</v>
      </c>
      <c r="F28" s="3">
        <v>170</v>
      </c>
      <c r="G28" s="3">
        <v>66.5</v>
      </c>
      <c r="H28" s="3">
        <v>1.7</v>
      </c>
      <c r="K28" s="13">
        <f t="shared" si="0"/>
        <v>-4.3580246913580254</v>
      </c>
      <c r="L28" s="14">
        <f t="shared" si="1"/>
        <v>18.992379210486213</v>
      </c>
    </row>
    <row r="29" spans="1:12" x14ac:dyDescent="0.25">
      <c r="A29" t="str">
        <v>Wicket Systri Warrick</v>
      </c>
      <c r="B29" s="3">
        <v>88</v>
      </c>
      <c r="C29" s="3">
        <v>34.5</v>
      </c>
      <c r="D29" s="3">
        <v>0.88</v>
      </c>
      <c r="F29" s="3">
        <v>171</v>
      </c>
      <c r="G29" s="3">
        <v>67</v>
      </c>
      <c r="H29" s="3">
        <v>1.71</v>
      </c>
      <c r="K29" s="13">
        <f t="shared" si="0"/>
        <v>-3.3580246913580254</v>
      </c>
      <c r="L29" s="14">
        <f t="shared" si="1"/>
        <v>11.276329827770162</v>
      </c>
    </row>
    <row r="30" spans="1:12" x14ac:dyDescent="0.25">
      <c r="A30" t="str">
        <v>Nien Nunb</v>
      </c>
      <c r="B30" s="3">
        <v>160</v>
      </c>
      <c r="C30" s="3">
        <v>62.5</v>
      </c>
      <c r="D30" s="3">
        <v>1.6</v>
      </c>
      <c r="F30" s="3">
        <v>172</v>
      </c>
      <c r="G30" s="3">
        <v>67.5</v>
      </c>
      <c r="H30" s="3">
        <v>1.72</v>
      </c>
      <c r="K30" s="13">
        <f t="shared" si="0"/>
        <v>-2.3580246913580254</v>
      </c>
      <c r="L30" s="14">
        <f t="shared" si="1"/>
        <v>5.5602804450541106</v>
      </c>
    </row>
    <row r="31" spans="1:12" x14ac:dyDescent="0.25">
      <c r="A31" t="str">
        <v>Qui-Gon Jinn</v>
      </c>
      <c r="B31" s="3">
        <v>193</v>
      </c>
      <c r="C31" s="3">
        <v>75.5</v>
      </c>
      <c r="D31" s="3">
        <v>1.93</v>
      </c>
      <c r="F31" s="3">
        <v>173</v>
      </c>
      <c r="G31" s="3">
        <v>68</v>
      </c>
      <c r="H31" s="3">
        <v>1.73</v>
      </c>
      <c r="K31" s="13">
        <f t="shared" si="0"/>
        <v>-1.3580246913580254</v>
      </c>
      <c r="L31" s="14">
        <f t="shared" si="1"/>
        <v>1.8442310623380602</v>
      </c>
    </row>
    <row r="32" spans="1:12" x14ac:dyDescent="0.25">
      <c r="A32" t="str">
        <v>Nute Gunray</v>
      </c>
      <c r="B32" s="3">
        <v>191</v>
      </c>
      <c r="C32" s="3">
        <v>75</v>
      </c>
      <c r="D32" s="3">
        <v>1.91</v>
      </c>
      <c r="F32" s="3">
        <v>175</v>
      </c>
      <c r="G32" s="3">
        <v>68.5</v>
      </c>
      <c r="H32" s="3">
        <v>1.75</v>
      </c>
      <c r="K32" s="13">
        <f t="shared" si="0"/>
        <v>0.64197530864197461</v>
      </c>
      <c r="L32" s="14">
        <f t="shared" si="1"/>
        <v>0.41213229690595854</v>
      </c>
    </row>
    <row r="33" spans="1:12" x14ac:dyDescent="0.25">
      <c r="A33" t="str">
        <v>Finis Valorum</v>
      </c>
      <c r="B33" s="3">
        <v>170</v>
      </c>
      <c r="C33" s="3">
        <v>66.5</v>
      </c>
      <c r="D33" s="3">
        <v>1.7</v>
      </c>
      <c r="F33" s="3">
        <v>175</v>
      </c>
      <c r="G33" s="3">
        <v>68.5</v>
      </c>
      <c r="H33" s="3">
        <v>1.75</v>
      </c>
      <c r="K33" s="13">
        <f t="shared" si="0"/>
        <v>0.64197530864197461</v>
      </c>
      <c r="L33" s="14">
        <f t="shared" si="1"/>
        <v>0.41213229690595854</v>
      </c>
    </row>
    <row r="34" spans="1:12" x14ac:dyDescent="0.25">
      <c r="A34" t="str">
        <v>Jar Jar Binks</v>
      </c>
      <c r="B34" s="3">
        <v>196</v>
      </c>
      <c r="C34" s="3">
        <v>77</v>
      </c>
      <c r="D34" s="3">
        <v>1.96</v>
      </c>
      <c r="F34" s="3">
        <v>175</v>
      </c>
      <c r="G34" s="3">
        <v>68.5</v>
      </c>
      <c r="H34" s="3">
        <v>1.75</v>
      </c>
      <c r="K34" s="13">
        <f t="shared" si="0"/>
        <v>0.64197530864197461</v>
      </c>
      <c r="L34" s="14">
        <f t="shared" si="1"/>
        <v>0.41213229690595854</v>
      </c>
    </row>
    <row r="35" spans="1:12" x14ac:dyDescent="0.25">
      <c r="A35" t="str">
        <v>Roos Tarpals</v>
      </c>
      <c r="B35" s="3">
        <v>224</v>
      </c>
      <c r="C35" s="3">
        <v>88</v>
      </c>
      <c r="D35" s="3">
        <v>2.2400000000000002</v>
      </c>
      <c r="F35" s="3">
        <v>177</v>
      </c>
      <c r="G35" s="3">
        <v>69.5</v>
      </c>
      <c r="H35" s="3">
        <v>1.77</v>
      </c>
      <c r="K35" s="13">
        <f t="shared" si="0"/>
        <v>2.6419753086419746</v>
      </c>
      <c r="L35" s="14">
        <f t="shared" si="1"/>
        <v>6.9800335314738566</v>
      </c>
    </row>
    <row r="36" spans="1:12" x14ac:dyDescent="0.25">
      <c r="A36" t="str">
        <v>Rugor Nass</v>
      </c>
      <c r="B36" s="3">
        <v>206</v>
      </c>
      <c r="C36" s="3">
        <v>81</v>
      </c>
      <c r="D36" s="3">
        <v>2.06</v>
      </c>
      <c r="F36" s="3">
        <v>178</v>
      </c>
      <c r="G36" s="3">
        <v>70</v>
      </c>
      <c r="H36" s="3">
        <v>1.78</v>
      </c>
      <c r="K36" s="13">
        <f t="shared" si="0"/>
        <v>3.6419753086419746</v>
      </c>
      <c r="L36" s="14">
        <f t="shared" si="1"/>
        <v>13.263984148757807</v>
      </c>
    </row>
    <row r="37" spans="1:12" x14ac:dyDescent="0.25">
      <c r="A37" t="str">
        <v>Ric Olié</v>
      </c>
      <c r="B37" s="3">
        <v>183</v>
      </c>
      <c r="C37" s="3">
        <v>72</v>
      </c>
      <c r="D37" s="3">
        <v>1.83</v>
      </c>
      <c r="F37" s="3">
        <v>178</v>
      </c>
      <c r="G37" s="3">
        <v>70</v>
      </c>
      <c r="H37" s="3">
        <v>1.78</v>
      </c>
      <c r="K37" s="13">
        <f t="shared" si="0"/>
        <v>3.6419753086419746</v>
      </c>
      <c r="L37" s="14">
        <f t="shared" si="1"/>
        <v>13.263984148757807</v>
      </c>
    </row>
    <row r="38" spans="1:12" x14ac:dyDescent="0.25">
      <c r="A38" t="str">
        <v>Watto</v>
      </c>
      <c r="B38" s="3">
        <v>137</v>
      </c>
      <c r="C38" s="3">
        <v>53.5</v>
      </c>
      <c r="D38" s="3">
        <v>1.37</v>
      </c>
      <c r="F38" s="3">
        <v>178</v>
      </c>
      <c r="G38" s="3">
        <v>70</v>
      </c>
      <c r="H38" s="3">
        <v>1.78</v>
      </c>
      <c r="K38" s="13">
        <f t="shared" si="0"/>
        <v>3.6419753086419746</v>
      </c>
      <c r="L38" s="14">
        <f t="shared" si="1"/>
        <v>13.263984148757807</v>
      </c>
    </row>
    <row r="39" spans="1:12" x14ac:dyDescent="0.25">
      <c r="A39" t="str">
        <v>Sebulba</v>
      </c>
      <c r="B39" s="3">
        <v>112</v>
      </c>
      <c r="C39" s="3">
        <v>44</v>
      </c>
      <c r="D39" s="3">
        <v>1.1200000000000001</v>
      </c>
      <c r="F39" s="3">
        <v>178</v>
      </c>
      <c r="G39" s="3">
        <v>70</v>
      </c>
      <c r="H39" s="3">
        <v>1.78</v>
      </c>
      <c r="K39" s="13">
        <f t="shared" si="0"/>
        <v>3.6419753086419746</v>
      </c>
      <c r="L39" s="14">
        <f t="shared" si="1"/>
        <v>13.263984148757807</v>
      </c>
    </row>
    <row r="40" spans="1:12" x14ac:dyDescent="0.25">
      <c r="A40" t="str">
        <v>Quarsh Panaka</v>
      </c>
      <c r="B40" s="3">
        <v>183</v>
      </c>
      <c r="C40" s="3">
        <v>72</v>
      </c>
      <c r="D40" s="3">
        <v>1.83</v>
      </c>
      <c r="F40" s="3">
        <v>180</v>
      </c>
      <c r="G40" s="3">
        <v>70.5</v>
      </c>
      <c r="H40" s="3">
        <v>1.8</v>
      </c>
      <c r="K40" s="13">
        <f t="shared" si="0"/>
        <v>5.6419753086419746</v>
      </c>
      <c r="L40" s="14">
        <f t="shared" si="1"/>
        <v>31.831885383325705</v>
      </c>
    </row>
    <row r="41" spans="1:12" x14ac:dyDescent="0.25">
      <c r="A41" t="str">
        <v>Shmi Skywalker</v>
      </c>
      <c r="B41" s="3">
        <v>163</v>
      </c>
      <c r="C41" s="3">
        <v>64</v>
      </c>
      <c r="D41" s="3">
        <v>1.63</v>
      </c>
      <c r="F41" s="3">
        <v>180</v>
      </c>
      <c r="G41" s="3">
        <v>70.5</v>
      </c>
      <c r="H41" s="3">
        <v>1.8</v>
      </c>
      <c r="K41" s="13">
        <f t="shared" si="0"/>
        <v>5.6419753086419746</v>
      </c>
      <c r="L41" s="14">
        <f t="shared" si="1"/>
        <v>31.831885383325705</v>
      </c>
    </row>
    <row r="42" spans="1:12" x14ac:dyDescent="0.25">
      <c r="A42" t="str">
        <v>Darth Maul</v>
      </c>
      <c r="B42" s="3">
        <v>175</v>
      </c>
      <c r="C42" s="3">
        <v>68.5</v>
      </c>
      <c r="D42" s="3">
        <v>1.75</v>
      </c>
      <c r="F42" s="3">
        <v>180</v>
      </c>
      <c r="G42" s="3">
        <v>70.5</v>
      </c>
      <c r="H42" s="3">
        <v>1.8</v>
      </c>
      <c r="K42" s="13">
        <f t="shared" si="0"/>
        <v>5.6419753086419746</v>
      </c>
      <c r="L42" s="14">
        <f t="shared" si="1"/>
        <v>31.831885383325705</v>
      </c>
    </row>
    <row r="43" spans="1:12" x14ac:dyDescent="0.25">
      <c r="A43" t="str">
        <v>Bib Fortuna</v>
      </c>
      <c r="B43" s="3">
        <v>180</v>
      </c>
      <c r="C43" s="3">
        <v>70.5</v>
      </c>
      <c r="D43" s="3">
        <v>1.8</v>
      </c>
      <c r="F43" s="3">
        <v>180</v>
      </c>
      <c r="G43" s="3">
        <v>70.5</v>
      </c>
      <c r="H43" s="3">
        <v>1.8</v>
      </c>
      <c r="K43" s="13">
        <f t="shared" si="0"/>
        <v>5.6419753086419746</v>
      </c>
      <c r="L43" s="14">
        <f t="shared" si="1"/>
        <v>31.831885383325705</v>
      </c>
    </row>
    <row r="44" spans="1:12" x14ac:dyDescent="0.25">
      <c r="A44" t="str">
        <v>Ayla Secura</v>
      </c>
      <c r="B44" s="3">
        <v>178</v>
      </c>
      <c r="C44" s="3">
        <v>70</v>
      </c>
      <c r="D44" s="3">
        <v>1.78</v>
      </c>
      <c r="F44" s="3">
        <v>180</v>
      </c>
      <c r="G44" s="3">
        <v>70.5</v>
      </c>
      <c r="H44" s="3">
        <v>1.8</v>
      </c>
      <c r="K44" s="13">
        <f t="shared" si="0"/>
        <v>5.6419753086419746</v>
      </c>
      <c r="L44" s="14">
        <f t="shared" si="1"/>
        <v>31.831885383325705</v>
      </c>
    </row>
    <row r="45" spans="1:12" x14ac:dyDescent="0.25">
      <c r="A45" t="str">
        <v>Dud Bolt</v>
      </c>
      <c r="B45" s="3">
        <v>94</v>
      </c>
      <c r="C45" s="3">
        <v>37</v>
      </c>
      <c r="D45" s="3">
        <v>0.94</v>
      </c>
      <c r="F45" s="3">
        <v>182</v>
      </c>
      <c r="G45" s="3">
        <v>71.5</v>
      </c>
      <c r="H45" s="3">
        <v>1.82</v>
      </c>
      <c r="K45" s="13">
        <f t="shared" si="0"/>
        <v>7.6419753086419746</v>
      </c>
      <c r="L45" s="14">
        <f t="shared" si="1"/>
        <v>58.399786617893604</v>
      </c>
    </row>
    <row r="46" spans="1:12" x14ac:dyDescent="0.25">
      <c r="A46" t="str">
        <v>Gasgano</v>
      </c>
      <c r="B46" s="3">
        <v>122</v>
      </c>
      <c r="C46" s="3">
        <v>48</v>
      </c>
      <c r="D46" s="3">
        <v>1.22</v>
      </c>
      <c r="F46" s="3">
        <v>183</v>
      </c>
      <c r="G46" s="3">
        <v>72</v>
      </c>
      <c r="H46" s="3">
        <v>1.83</v>
      </c>
      <c r="K46" s="13">
        <f t="shared" si="0"/>
        <v>8.6419753086419746</v>
      </c>
      <c r="L46" s="14">
        <f t="shared" si="1"/>
        <v>74.683737235177546</v>
      </c>
    </row>
    <row r="47" spans="1:12" x14ac:dyDescent="0.25">
      <c r="A47" t="str">
        <v>Ben Quadinaros</v>
      </c>
      <c r="B47" s="3">
        <v>163</v>
      </c>
      <c r="C47" s="3">
        <v>64</v>
      </c>
      <c r="D47" s="3">
        <v>1.63</v>
      </c>
      <c r="F47" s="3">
        <v>183</v>
      </c>
      <c r="G47" s="3">
        <v>72</v>
      </c>
      <c r="H47" s="3">
        <v>1.83</v>
      </c>
      <c r="K47" s="13">
        <f t="shared" si="0"/>
        <v>8.6419753086419746</v>
      </c>
      <c r="L47" s="14">
        <f t="shared" si="1"/>
        <v>74.683737235177546</v>
      </c>
    </row>
    <row r="48" spans="1:12" x14ac:dyDescent="0.25">
      <c r="A48" t="str">
        <v>Mace Windu</v>
      </c>
      <c r="B48" s="3">
        <v>188</v>
      </c>
      <c r="C48" s="3">
        <v>74</v>
      </c>
      <c r="D48" s="3">
        <v>1.88</v>
      </c>
      <c r="F48" s="3">
        <v>183</v>
      </c>
      <c r="G48" s="3">
        <v>72</v>
      </c>
      <c r="H48" s="3">
        <v>1.83</v>
      </c>
      <c r="K48" s="13">
        <f t="shared" si="0"/>
        <v>8.6419753086419746</v>
      </c>
      <c r="L48" s="14">
        <f t="shared" si="1"/>
        <v>74.683737235177546</v>
      </c>
    </row>
    <row r="49" spans="1:12" x14ac:dyDescent="0.25">
      <c r="A49" t="str">
        <v>Ki-Adi-Mundi</v>
      </c>
      <c r="B49" s="3">
        <v>198</v>
      </c>
      <c r="C49" s="3">
        <v>77.5</v>
      </c>
      <c r="D49" s="3">
        <v>1.98</v>
      </c>
      <c r="F49" s="3">
        <v>183</v>
      </c>
      <c r="G49" s="3">
        <v>72</v>
      </c>
      <c r="H49" s="3">
        <v>1.83</v>
      </c>
      <c r="K49" s="13">
        <f t="shared" si="0"/>
        <v>8.6419753086419746</v>
      </c>
      <c r="L49" s="14">
        <f t="shared" si="1"/>
        <v>74.683737235177546</v>
      </c>
    </row>
    <row r="50" spans="1:12" x14ac:dyDescent="0.25">
      <c r="A50" t="str">
        <v>Kit Fisto</v>
      </c>
      <c r="B50" s="3">
        <v>196</v>
      </c>
      <c r="C50" s="3">
        <v>77</v>
      </c>
      <c r="D50" s="3">
        <v>1.96</v>
      </c>
      <c r="F50" s="3">
        <v>183</v>
      </c>
      <c r="G50" s="3">
        <v>72</v>
      </c>
      <c r="H50" s="3">
        <v>1.83</v>
      </c>
      <c r="K50" s="13">
        <f t="shared" si="0"/>
        <v>8.6419753086419746</v>
      </c>
      <c r="L50" s="14">
        <f t="shared" si="1"/>
        <v>74.683737235177546</v>
      </c>
    </row>
    <row r="51" spans="1:12" x14ac:dyDescent="0.25">
      <c r="A51" t="str">
        <v>Eeth Koth</v>
      </c>
      <c r="B51" s="3">
        <v>171</v>
      </c>
      <c r="C51" s="3">
        <v>67</v>
      </c>
      <c r="D51" s="3">
        <v>1.71</v>
      </c>
      <c r="F51" s="3">
        <v>183</v>
      </c>
      <c r="G51" s="3">
        <v>72</v>
      </c>
      <c r="H51" s="3">
        <v>1.83</v>
      </c>
      <c r="K51" s="13">
        <f t="shared" si="0"/>
        <v>8.6419753086419746</v>
      </c>
      <c r="L51" s="14">
        <f t="shared" si="1"/>
        <v>74.683737235177546</v>
      </c>
    </row>
    <row r="52" spans="1:12" x14ac:dyDescent="0.25">
      <c r="A52" t="str">
        <v>Adi Gallia</v>
      </c>
      <c r="B52" s="3">
        <v>184</v>
      </c>
      <c r="C52" s="3">
        <v>72</v>
      </c>
      <c r="D52" s="3">
        <v>1.84</v>
      </c>
      <c r="F52" s="3">
        <v>183</v>
      </c>
      <c r="G52" s="3">
        <v>72</v>
      </c>
      <c r="H52" s="3">
        <v>1.83</v>
      </c>
      <c r="K52" s="13">
        <f t="shared" si="0"/>
        <v>8.6419753086419746</v>
      </c>
      <c r="L52" s="14">
        <f t="shared" si="1"/>
        <v>74.683737235177546</v>
      </c>
    </row>
    <row r="53" spans="1:12" x14ac:dyDescent="0.25">
      <c r="A53" t="str">
        <v>Saesee Tiin</v>
      </c>
      <c r="B53" s="3">
        <v>188</v>
      </c>
      <c r="C53" s="3">
        <v>74</v>
      </c>
      <c r="D53" s="3">
        <v>1.88</v>
      </c>
      <c r="F53" s="3">
        <v>184</v>
      </c>
      <c r="G53" s="3">
        <v>72</v>
      </c>
      <c r="H53" s="3">
        <v>1.84</v>
      </c>
      <c r="K53" s="13">
        <f t="shared" si="0"/>
        <v>9.6419753086419746</v>
      </c>
      <c r="L53" s="14">
        <f t="shared" si="1"/>
        <v>92.967687852461495</v>
      </c>
    </row>
    <row r="54" spans="1:12" x14ac:dyDescent="0.25">
      <c r="A54" t="str">
        <v>Yarael Poof</v>
      </c>
      <c r="B54" s="3">
        <v>264</v>
      </c>
      <c r="C54" s="3">
        <v>103.5</v>
      </c>
      <c r="D54" s="3">
        <v>2.64</v>
      </c>
      <c r="F54" s="3">
        <v>185</v>
      </c>
      <c r="G54" s="3">
        <v>72.5</v>
      </c>
      <c r="H54" s="3">
        <v>1.85</v>
      </c>
      <c r="K54" s="13">
        <f t="shared" si="0"/>
        <v>10.641975308641975</v>
      </c>
      <c r="L54" s="14">
        <f t="shared" si="1"/>
        <v>113.25163846974544</v>
      </c>
    </row>
    <row r="55" spans="1:12" x14ac:dyDescent="0.25">
      <c r="A55" t="str">
        <v>Plo Koon</v>
      </c>
      <c r="B55" s="3">
        <v>188</v>
      </c>
      <c r="C55" s="3">
        <v>74</v>
      </c>
      <c r="D55" s="3">
        <v>1.88</v>
      </c>
      <c r="F55" s="3">
        <v>188</v>
      </c>
      <c r="G55" s="3">
        <v>74</v>
      </c>
      <c r="H55" s="3">
        <v>1.88</v>
      </c>
      <c r="K55" s="13">
        <f t="shared" si="0"/>
        <v>13.641975308641975</v>
      </c>
      <c r="L55" s="14">
        <f t="shared" si="1"/>
        <v>186.10349032159729</v>
      </c>
    </row>
    <row r="56" spans="1:12" x14ac:dyDescent="0.25">
      <c r="A56" t="str">
        <v>Mas Amedda</v>
      </c>
      <c r="B56" s="3">
        <v>196</v>
      </c>
      <c r="C56" s="3">
        <v>77</v>
      </c>
      <c r="D56" s="3">
        <v>1.96</v>
      </c>
      <c r="F56" s="3">
        <v>188</v>
      </c>
      <c r="G56" s="3">
        <v>74</v>
      </c>
      <c r="H56" s="3">
        <v>1.88</v>
      </c>
      <c r="K56" s="13">
        <f t="shared" si="0"/>
        <v>13.641975308641975</v>
      </c>
      <c r="L56" s="14">
        <f t="shared" si="1"/>
        <v>186.10349032159729</v>
      </c>
    </row>
    <row r="57" spans="1:12" x14ac:dyDescent="0.25">
      <c r="A57" t="str">
        <v>Gregar Typho</v>
      </c>
      <c r="B57" s="3">
        <v>185</v>
      </c>
      <c r="C57" s="3">
        <v>72.5</v>
      </c>
      <c r="D57" s="3">
        <v>1.85</v>
      </c>
      <c r="F57" s="3">
        <v>188</v>
      </c>
      <c r="G57" s="3">
        <v>74</v>
      </c>
      <c r="H57" s="3">
        <v>1.88</v>
      </c>
      <c r="K57" s="13">
        <f t="shared" si="0"/>
        <v>13.641975308641975</v>
      </c>
      <c r="L57" s="14">
        <f t="shared" si="1"/>
        <v>186.10349032159729</v>
      </c>
    </row>
    <row r="58" spans="1:12" x14ac:dyDescent="0.25">
      <c r="A58" t="str">
        <v>Cordé</v>
      </c>
      <c r="B58" s="3">
        <v>157</v>
      </c>
      <c r="C58" s="3">
        <v>61.5</v>
      </c>
      <c r="D58" s="3">
        <v>1.57</v>
      </c>
      <c r="F58" s="3">
        <v>188</v>
      </c>
      <c r="G58" s="3">
        <v>74</v>
      </c>
      <c r="H58" s="3">
        <v>1.88</v>
      </c>
      <c r="K58" s="13">
        <f t="shared" si="0"/>
        <v>13.641975308641975</v>
      </c>
      <c r="L58" s="14">
        <f t="shared" si="1"/>
        <v>186.10349032159729</v>
      </c>
    </row>
    <row r="59" spans="1:12" x14ac:dyDescent="0.25">
      <c r="A59" t="str">
        <v>Cliegg Lars</v>
      </c>
      <c r="B59" s="3">
        <v>183</v>
      </c>
      <c r="C59" s="3">
        <v>72</v>
      </c>
      <c r="D59" s="3">
        <v>1.83</v>
      </c>
      <c r="F59" s="3">
        <v>188</v>
      </c>
      <c r="G59" s="3">
        <v>74</v>
      </c>
      <c r="H59" s="3">
        <v>1.88</v>
      </c>
      <c r="K59" s="13">
        <f t="shared" si="0"/>
        <v>13.641975308641975</v>
      </c>
      <c r="L59" s="14">
        <f t="shared" si="1"/>
        <v>186.10349032159729</v>
      </c>
    </row>
    <row r="60" spans="1:12" x14ac:dyDescent="0.25">
      <c r="A60" t="str">
        <v>Poggle the Lesser</v>
      </c>
      <c r="B60" s="3">
        <v>183</v>
      </c>
      <c r="C60" s="3">
        <v>72</v>
      </c>
      <c r="D60" s="3">
        <v>1.83</v>
      </c>
      <c r="F60" s="3">
        <v>190</v>
      </c>
      <c r="G60" s="3">
        <v>74.5</v>
      </c>
      <c r="H60" s="3">
        <v>1.9</v>
      </c>
      <c r="K60" s="13">
        <f t="shared" si="0"/>
        <v>15.641975308641975</v>
      </c>
      <c r="L60" s="14">
        <f t="shared" si="1"/>
        <v>244.67139155616519</v>
      </c>
    </row>
    <row r="61" spans="1:12" x14ac:dyDescent="0.25">
      <c r="A61" t="str">
        <v>Luminara Unduli</v>
      </c>
      <c r="B61" s="3">
        <v>170</v>
      </c>
      <c r="C61" s="3">
        <v>66.5</v>
      </c>
      <c r="D61" s="3">
        <v>1.7</v>
      </c>
      <c r="F61" s="3">
        <v>191</v>
      </c>
      <c r="G61" s="3">
        <v>75</v>
      </c>
      <c r="H61" s="3">
        <v>1.91</v>
      </c>
      <c r="K61" s="13">
        <f t="shared" si="0"/>
        <v>16.641975308641975</v>
      </c>
      <c r="L61" s="14">
        <f t="shared" si="1"/>
        <v>276.95534217344914</v>
      </c>
    </row>
    <row r="62" spans="1:12" x14ac:dyDescent="0.25">
      <c r="A62" t="str">
        <v>Barriss Offee</v>
      </c>
      <c r="B62" s="3">
        <v>166</v>
      </c>
      <c r="C62" s="3">
        <v>65</v>
      </c>
      <c r="D62" s="3">
        <v>1.66</v>
      </c>
      <c r="F62" s="3">
        <v>191</v>
      </c>
      <c r="G62" s="3">
        <v>75</v>
      </c>
      <c r="H62" s="3">
        <v>1.91</v>
      </c>
      <c r="K62" s="13">
        <f t="shared" si="0"/>
        <v>16.641975308641975</v>
      </c>
      <c r="L62" s="14">
        <f t="shared" si="1"/>
        <v>276.95534217344914</v>
      </c>
    </row>
    <row r="63" spans="1:12" x14ac:dyDescent="0.25">
      <c r="A63" t="str">
        <v>Dormé</v>
      </c>
      <c r="B63" s="3">
        <v>165</v>
      </c>
      <c r="C63" s="3">
        <v>64.5</v>
      </c>
      <c r="D63" s="3">
        <v>1.65</v>
      </c>
      <c r="F63" s="3">
        <v>191</v>
      </c>
      <c r="G63" s="3">
        <v>75</v>
      </c>
      <c r="H63" s="3">
        <v>1.91</v>
      </c>
      <c r="K63" s="13">
        <f t="shared" si="0"/>
        <v>16.641975308641975</v>
      </c>
      <c r="L63" s="14">
        <f t="shared" si="1"/>
        <v>276.95534217344914</v>
      </c>
    </row>
    <row r="64" spans="1:12" x14ac:dyDescent="0.25">
      <c r="A64" t="str">
        <v>Dooku</v>
      </c>
      <c r="B64" s="3">
        <v>193</v>
      </c>
      <c r="C64" s="3">
        <v>75.5</v>
      </c>
      <c r="D64" s="3">
        <v>1.93</v>
      </c>
      <c r="F64" s="3">
        <v>193</v>
      </c>
      <c r="G64" s="3">
        <v>75.5</v>
      </c>
      <c r="H64" s="3">
        <v>1.93</v>
      </c>
      <c r="K64" s="13">
        <f t="shared" si="0"/>
        <v>18.641975308641975</v>
      </c>
      <c r="L64" s="14">
        <f t="shared" si="1"/>
        <v>347.52324340801704</v>
      </c>
    </row>
    <row r="65" spans="1:12" x14ac:dyDescent="0.25">
      <c r="A65" t="str">
        <v>Bail Prestor Organa</v>
      </c>
      <c r="B65" s="3">
        <v>191</v>
      </c>
      <c r="C65" s="3">
        <v>75</v>
      </c>
      <c r="D65" s="3">
        <v>1.91</v>
      </c>
      <c r="F65" s="3">
        <v>193</v>
      </c>
      <c r="G65" s="3">
        <v>75.5</v>
      </c>
      <c r="H65" s="3">
        <v>1.93</v>
      </c>
      <c r="K65" s="13">
        <f t="shared" si="0"/>
        <v>18.641975308641975</v>
      </c>
      <c r="L65" s="14">
        <f t="shared" si="1"/>
        <v>347.52324340801704</v>
      </c>
    </row>
    <row r="66" spans="1:12" x14ac:dyDescent="0.25">
      <c r="A66" t="str">
        <v>Jango Fett</v>
      </c>
      <c r="B66" s="3">
        <v>183</v>
      </c>
      <c r="C66" s="3">
        <v>72</v>
      </c>
      <c r="D66" s="3">
        <v>1.83</v>
      </c>
      <c r="F66" s="3">
        <v>193</v>
      </c>
      <c r="G66" s="3">
        <v>75.5</v>
      </c>
      <c r="H66" s="3">
        <v>1.93</v>
      </c>
      <c r="K66" s="13">
        <f t="shared" si="0"/>
        <v>18.641975308641975</v>
      </c>
      <c r="L66" s="14">
        <f t="shared" si="1"/>
        <v>347.52324340801704</v>
      </c>
    </row>
    <row r="67" spans="1:12" x14ac:dyDescent="0.25">
      <c r="A67" t="str">
        <v>Zam Wesell</v>
      </c>
      <c r="B67" s="3">
        <v>168</v>
      </c>
      <c r="C67" s="3">
        <v>66</v>
      </c>
      <c r="D67" s="3">
        <v>1.68</v>
      </c>
      <c r="F67" s="3">
        <v>196</v>
      </c>
      <c r="G67" s="3">
        <v>77</v>
      </c>
      <c r="H67" s="3">
        <v>1.96</v>
      </c>
      <c r="K67" s="13">
        <f t="shared" ref="K67:K82" si="2">F67-$E$90</f>
        <v>21.641975308641975</v>
      </c>
      <c r="L67" s="14">
        <f t="shared" ref="L67:L82" si="3">K67^2</f>
        <v>468.37509525986889</v>
      </c>
    </row>
    <row r="68" spans="1:12" x14ac:dyDescent="0.25">
      <c r="A68" t="str">
        <v>Dexter Jettster</v>
      </c>
      <c r="B68" s="3">
        <v>198</v>
      </c>
      <c r="C68" s="3">
        <v>77.5</v>
      </c>
      <c r="D68" s="3">
        <v>1.98</v>
      </c>
      <c r="F68" s="3">
        <v>196</v>
      </c>
      <c r="G68" s="3">
        <v>77</v>
      </c>
      <c r="H68" s="3">
        <v>1.96</v>
      </c>
      <c r="K68" s="13">
        <f t="shared" si="2"/>
        <v>21.641975308641975</v>
      </c>
      <c r="L68" s="14">
        <f t="shared" si="3"/>
        <v>468.37509525986889</v>
      </c>
    </row>
    <row r="69" spans="1:12" x14ac:dyDescent="0.25">
      <c r="A69" t="str">
        <v>Lama Su</v>
      </c>
      <c r="B69" s="3">
        <v>229</v>
      </c>
      <c r="C69" s="3">
        <v>90</v>
      </c>
      <c r="D69" s="3">
        <v>2.29</v>
      </c>
      <c r="F69" s="3">
        <v>196</v>
      </c>
      <c r="G69" s="3">
        <v>77</v>
      </c>
      <c r="H69" s="3">
        <v>1.96</v>
      </c>
      <c r="K69" s="13">
        <f t="shared" si="2"/>
        <v>21.641975308641975</v>
      </c>
      <c r="L69" s="14">
        <f t="shared" si="3"/>
        <v>468.37509525986889</v>
      </c>
    </row>
    <row r="70" spans="1:12" x14ac:dyDescent="0.25">
      <c r="A70" t="str">
        <v>Taun We</v>
      </c>
      <c r="B70" s="3">
        <v>213</v>
      </c>
      <c r="C70" s="3">
        <v>83.5</v>
      </c>
      <c r="D70" s="3">
        <v>2.13</v>
      </c>
      <c r="F70" s="3">
        <v>198</v>
      </c>
      <c r="G70" s="3">
        <v>77.5</v>
      </c>
      <c r="H70" s="3">
        <v>1.98</v>
      </c>
      <c r="K70" s="13">
        <f t="shared" si="2"/>
        <v>23.641975308641975</v>
      </c>
      <c r="L70" s="14">
        <f t="shared" si="3"/>
        <v>558.94299649443678</v>
      </c>
    </row>
    <row r="71" spans="1:12" x14ac:dyDescent="0.25">
      <c r="A71" t="str">
        <v>Jocasta Nu</v>
      </c>
      <c r="B71" s="3">
        <v>167</v>
      </c>
      <c r="C71" s="3">
        <v>65.5</v>
      </c>
      <c r="D71" s="3">
        <v>1.67</v>
      </c>
      <c r="F71" s="3">
        <v>198</v>
      </c>
      <c r="G71" s="3">
        <v>77.5</v>
      </c>
      <c r="H71" s="3">
        <v>1.98</v>
      </c>
      <c r="K71" s="13">
        <f t="shared" si="2"/>
        <v>23.641975308641975</v>
      </c>
      <c r="L71" s="14">
        <f t="shared" si="3"/>
        <v>558.94299649443678</v>
      </c>
    </row>
    <row r="72" spans="1:12" x14ac:dyDescent="0.25">
      <c r="A72" t="str">
        <v>Ratts Tyerell</v>
      </c>
      <c r="B72" s="3">
        <v>79</v>
      </c>
      <c r="C72" s="3">
        <v>31</v>
      </c>
      <c r="D72" s="3">
        <v>0.79</v>
      </c>
      <c r="F72" s="3">
        <v>200</v>
      </c>
      <c r="G72" s="3">
        <v>78.5</v>
      </c>
      <c r="H72" s="3">
        <v>2</v>
      </c>
      <c r="K72" s="13">
        <f t="shared" si="2"/>
        <v>25.641975308641975</v>
      </c>
      <c r="L72" s="14">
        <f t="shared" si="3"/>
        <v>657.51089772900468</v>
      </c>
    </row>
    <row r="73" spans="1:12" x14ac:dyDescent="0.25">
      <c r="A73" t="str">
        <v>R4-P17</v>
      </c>
      <c r="B73" s="3">
        <v>96</v>
      </c>
      <c r="C73" s="3">
        <v>37.5</v>
      </c>
      <c r="D73" s="3">
        <v>0.96</v>
      </c>
      <c r="F73" s="3">
        <v>202</v>
      </c>
      <c r="G73" s="3">
        <v>79.5</v>
      </c>
      <c r="H73" s="3">
        <v>2.02</v>
      </c>
      <c r="K73" s="13">
        <f t="shared" si="2"/>
        <v>27.641975308641975</v>
      </c>
      <c r="L73" s="14">
        <f t="shared" si="3"/>
        <v>764.07879896357258</v>
      </c>
    </row>
    <row r="74" spans="1:12" x14ac:dyDescent="0.25">
      <c r="A74" t="str">
        <v>Wat Tambor</v>
      </c>
      <c r="B74" s="3">
        <v>193</v>
      </c>
      <c r="C74" s="3">
        <v>75.5</v>
      </c>
      <c r="D74" s="3">
        <v>1.93</v>
      </c>
      <c r="F74" s="3">
        <v>206</v>
      </c>
      <c r="G74" s="3">
        <v>81</v>
      </c>
      <c r="H74" s="3">
        <v>2.06</v>
      </c>
      <c r="K74" s="13">
        <f t="shared" si="2"/>
        <v>31.641975308641975</v>
      </c>
      <c r="L74" s="14">
        <f t="shared" si="3"/>
        <v>1001.2146014327084</v>
      </c>
    </row>
    <row r="75" spans="1:12" x14ac:dyDescent="0.25">
      <c r="A75" t="str">
        <v>San Hill</v>
      </c>
      <c r="B75" s="3">
        <v>191</v>
      </c>
      <c r="C75" s="3">
        <v>75</v>
      </c>
      <c r="D75" s="3">
        <v>1.91</v>
      </c>
      <c r="F75" s="3">
        <v>206</v>
      </c>
      <c r="G75" s="3">
        <v>81</v>
      </c>
      <c r="H75" s="3">
        <v>2.06</v>
      </c>
      <c r="K75" s="13">
        <f t="shared" si="2"/>
        <v>31.641975308641975</v>
      </c>
      <c r="L75" s="14">
        <f t="shared" si="3"/>
        <v>1001.2146014327084</v>
      </c>
    </row>
    <row r="76" spans="1:12" x14ac:dyDescent="0.25">
      <c r="A76" t="str">
        <v>Shaak Ti</v>
      </c>
      <c r="B76" s="3">
        <v>178</v>
      </c>
      <c r="C76" s="3">
        <v>70</v>
      </c>
      <c r="D76" s="3">
        <v>1.78</v>
      </c>
      <c r="F76" s="3">
        <v>213</v>
      </c>
      <c r="G76" s="3">
        <v>83.5</v>
      </c>
      <c r="H76" s="3">
        <v>2.13</v>
      </c>
      <c r="K76" s="13">
        <f t="shared" si="2"/>
        <v>38.641975308641975</v>
      </c>
      <c r="L76" s="14">
        <f t="shared" si="3"/>
        <v>1493.2022557536961</v>
      </c>
    </row>
    <row r="77" spans="1:12" x14ac:dyDescent="0.25">
      <c r="A77" t="str">
        <v>Grievous</v>
      </c>
      <c r="B77" s="3">
        <v>216</v>
      </c>
      <c r="C77" s="3">
        <v>85</v>
      </c>
      <c r="D77" s="3">
        <v>2.16</v>
      </c>
      <c r="F77" s="3">
        <v>216</v>
      </c>
      <c r="G77" s="3">
        <v>85</v>
      </c>
      <c r="H77" s="3">
        <v>2.16</v>
      </c>
      <c r="K77" s="13">
        <f t="shared" si="2"/>
        <v>41.641975308641975</v>
      </c>
      <c r="L77" s="14">
        <f t="shared" si="3"/>
        <v>1734.0541076055479</v>
      </c>
    </row>
    <row r="78" spans="1:12" x14ac:dyDescent="0.25">
      <c r="A78" t="str">
        <v>Tarfful</v>
      </c>
      <c r="B78" s="3">
        <v>234</v>
      </c>
      <c r="C78" s="3">
        <v>92</v>
      </c>
      <c r="D78" s="3">
        <v>2.34</v>
      </c>
      <c r="F78" s="3">
        <v>224</v>
      </c>
      <c r="G78" s="3">
        <v>88</v>
      </c>
      <c r="H78" s="3">
        <v>2.2400000000000002</v>
      </c>
      <c r="K78" s="13">
        <f t="shared" si="2"/>
        <v>49.641975308641975</v>
      </c>
      <c r="L78" s="14">
        <f t="shared" si="3"/>
        <v>2464.3257125438195</v>
      </c>
    </row>
    <row r="79" spans="1:12" x14ac:dyDescent="0.25">
      <c r="A79" t="str">
        <v>Raymus Antilles</v>
      </c>
      <c r="B79" s="3">
        <v>188</v>
      </c>
      <c r="C79" s="3">
        <v>74</v>
      </c>
      <c r="D79" s="3">
        <v>1.88</v>
      </c>
      <c r="F79" s="3">
        <v>228</v>
      </c>
      <c r="G79" s="3">
        <v>89.5</v>
      </c>
      <c r="H79" s="3">
        <v>2.2799999999999998</v>
      </c>
      <c r="K79" s="13">
        <f t="shared" si="2"/>
        <v>53.641975308641975</v>
      </c>
      <c r="L79" s="14">
        <f t="shared" si="3"/>
        <v>2877.4615150129553</v>
      </c>
    </row>
    <row r="80" spans="1:12" x14ac:dyDescent="0.25">
      <c r="A80" t="str">
        <v>Sly Moore</v>
      </c>
      <c r="B80" s="3">
        <v>178</v>
      </c>
      <c r="C80" s="3">
        <v>70</v>
      </c>
      <c r="D80" s="3">
        <v>1.78</v>
      </c>
      <c r="F80" s="3">
        <v>229</v>
      </c>
      <c r="G80" s="3">
        <v>90</v>
      </c>
      <c r="H80" s="3">
        <v>2.29</v>
      </c>
      <c r="K80" s="13">
        <f t="shared" si="2"/>
        <v>54.641975308641975</v>
      </c>
      <c r="L80" s="14">
        <f t="shared" si="3"/>
        <v>2985.7454656302393</v>
      </c>
    </row>
    <row r="81" spans="1:12" x14ac:dyDescent="0.25">
      <c r="A81" t="str">
        <v>Tion Medon</v>
      </c>
      <c r="B81" s="3">
        <v>206</v>
      </c>
      <c r="C81" s="3">
        <v>81</v>
      </c>
      <c r="D81" s="3">
        <v>2.06</v>
      </c>
      <c r="F81" s="3">
        <v>234</v>
      </c>
      <c r="G81" s="3">
        <v>92</v>
      </c>
      <c r="H81" s="3">
        <v>2.34</v>
      </c>
      <c r="K81" s="13">
        <f t="shared" si="2"/>
        <v>59.641975308641975</v>
      </c>
      <c r="L81" s="14">
        <f t="shared" si="3"/>
        <v>3557.1652187166592</v>
      </c>
    </row>
    <row r="82" spans="1:12" x14ac:dyDescent="0.25">
      <c r="A82" t="str">
        <v>Padmé Amidala</v>
      </c>
      <c r="B82" s="3">
        <v>165</v>
      </c>
      <c r="C82" s="3">
        <v>64.5</v>
      </c>
      <c r="D82" s="3">
        <v>1.65</v>
      </c>
      <c r="F82" s="3">
        <v>264</v>
      </c>
      <c r="G82" s="3">
        <v>103.5</v>
      </c>
      <c r="H82" s="3">
        <v>2.64</v>
      </c>
      <c r="K82" s="13">
        <f t="shared" si="2"/>
        <v>89.641975308641975</v>
      </c>
      <c r="L82" s="14">
        <f t="shared" si="3"/>
        <v>8035.6837372351774</v>
      </c>
    </row>
    <row r="84" spans="1:12" x14ac:dyDescent="0.25">
      <c r="A84" s="10" t="s">
        <v>279</v>
      </c>
      <c r="B84" s="11">
        <f>SUM(B2:B82)</f>
        <v>14123</v>
      </c>
      <c r="C84" s="11">
        <f t="shared" ref="C84:D84" si="4">SUM(C2:C82)</f>
        <v>5541.5</v>
      </c>
      <c r="D84" s="11">
        <f t="shared" si="4"/>
        <v>141.22999999999996</v>
      </c>
      <c r="E84" s="10"/>
      <c r="F84" s="11">
        <f>VLOOKUP(E92, F2:F82, 1, TRUE)</f>
        <v>180</v>
      </c>
      <c r="G84" s="11">
        <f>VLOOKUP(F92, G2:G82, 1, TRUE)</f>
        <v>70.5</v>
      </c>
      <c r="H84" s="11">
        <f>VLOOKUP(G92, H2:H82, 1, TRUE)</f>
        <v>1.8</v>
      </c>
    </row>
    <row r="85" spans="1:12" x14ac:dyDescent="0.25">
      <c r="A85" s="10" t="s">
        <v>280</v>
      </c>
      <c r="B85" s="11">
        <f>COUNT(B2:B82)</f>
        <v>81</v>
      </c>
      <c r="C85" s="11">
        <f t="shared" ref="C85:D85" si="5">COUNT(C2:C82)</f>
        <v>81</v>
      </c>
      <c r="D85" s="11">
        <f t="shared" si="5"/>
        <v>81</v>
      </c>
      <c r="F85" s="16" t="s">
        <v>284</v>
      </c>
      <c r="G85" s="16" t="s">
        <v>284</v>
      </c>
      <c r="H85" s="16" t="s">
        <v>284</v>
      </c>
    </row>
    <row r="86" spans="1:12" x14ac:dyDescent="0.25">
      <c r="A86" s="15" t="s">
        <v>286</v>
      </c>
      <c r="B86" s="11">
        <f>B84/B85</f>
        <v>174.35802469135803</v>
      </c>
      <c r="C86" s="11">
        <f t="shared" ref="C86:D86" si="6">C84/C85</f>
        <v>68.413580246913583</v>
      </c>
      <c r="D86" s="11">
        <f t="shared" si="6"/>
        <v>1.7435802469135797</v>
      </c>
      <c r="E86" s="11">
        <f>81/2</f>
        <v>40.5</v>
      </c>
      <c r="F86" s="11">
        <v>183</v>
      </c>
      <c r="G86" s="11">
        <v>72</v>
      </c>
      <c r="H86" s="11">
        <v>1.83</v>
      </c>
    </row>
    <row r="87" spans="1:12" x14ac:dyDescent="0.25">
      <c r="F87" s="16" t="s">
        <v>285</v>
      </c>
      <c r="G87" s="16" t="s">
        <v>285</v>
      </c>
      <c r="H87" s="16" t="s">
        <v>285</v>
      </c>
    </row>
    <row r="88" spans="1:12" x14ac:dyDescent="0.25">
      <c r="F88" s="11">
        <v>180</v>
      </c>
      <c r="G88" s="11">
        <v>70.5</v>
      </c>
      <c r="H88" s="11">
        <v>1.8</v>
      </c>
    </row>
    <row r="90" spans="1:12" x14ac:dyDescent="0.25">
      <c r="D90" s="5" t="s">
        <v>286</v>
      </c>
      <c r="E90" s="12">
        <f>AVERAGE(F2:F82)</f>
        <v>174.35802469135803</v>
      </c>
      <c r="F90" s="12">
        <f t="shared" ref="F90:G90" si="7">AVERAGE(G2:G82)</f>
        <v>68.413580246913583</v>
      </c>
      <c r="G90" s="12">
        <f t="shared" si="7"/>
        <v>1.7435802469135797</v>
      </c>
    </row>
    <row r="91" spans="1:12" x14ac:dyDescent="0.25">
      <c r="D91" s="5" t="s">
        <v>284</v>
      </c>
      <c r="E91" s="9">
        <f>MODE(F2:F82)</f>
        <v>183</v>
      </c>
      <c r="F91" s="9">
        <f t="shared" ref="F91:G91" si="8">MODE(G2:G82)</f>
        <v>72</v>
      </c>
      <c r="G91" s="9">
        <f t="shared" si="8"/>
        <v>1.83</v>
      </c>
    </row>
    <row r="92" spans="1:12" x14ac:dyDescent="0.25">
      <c r="D92" s="5" t="s">
        <v>285</v>
      </c>
      <c r="E92" s="9">
        <f>MEDIAN(F2:F82)</f>
        <v>180</v>
      </c>
      <c r="F92" s="9">
        <f t="shared" ref="F92:G92" si="9">MEDIAN(G2:G82)</f>
        <v>70.5</v>
      </c>
      <c r="G92" s="9">
        <f t="shared" si="9"/>
        <v>1.8</v>
      </c>
    </row>
    <row r="93" spans="1:12" x14ac:dyDescent="0.25">
      <c r="D93" s="3" t="s">
        <v>289</v>
      </c>
      <c r="E93">
        <f>ROUNDUP(SUM(E92*0.9), 0)</f>
        <v>162</v>
      </c>
      <c r="F93">
        <f t="shared" ref="F93:G93" si="10">ROUNDUP(SUM(F92*0.9), 0)</f>
        <v>64</v>
      </c>
      <c r="G93">
        <f t="shared" si="10"/>
        <v>2</v>
      </c>
      <c r="H93" s="3">
        <f>_xlfn.PERCENTILE.INC(F2:F82, 0.9)</f>
        <v>206</v>
      </c>
    </row>
    <row r="94" spans="1:12" x14ac:dyDescent="0.25">
      <c r="D94" s="3" t="s">
        <v>290</v>
      </c>
      <c r="H94" s="3">
        <f>_xlfn.QUARTILE.INC(F2:F82,1)</f>
        <v>167</v>
      </c>
    </row>
  </sheetData>
  <conditionalFormatting sqref="F1:H82 K1:L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35" sqref="B35"/>
    </sheetView>
  </sheetViews>
  <sheetFormatPr defaultRowHeight="15.75" x14ac:dyDescent="0.25"/>
  <cols>
    <col min="1" max="1" width="10.5" bestFit="1" customWidth="1"/>
    <col min="2" max="2" width="27.5" bestFit="1" customWidth="1"/>
  </cols>
  <sheetData>
    <row r="1" spans="1:2" x14ac:dyDescent="0.25">
      <c r="A1" s="1" t="s">
        <v>0</v>
      </c>
      <c r="B1" s="2" t="s">
        <v>254</v>
      </c>
    </row>
    <row r="2" spans="1:2" x14ac:dyDescent="0.25">
      <c r="A2" s="1" t="s">
        <v>1</v>
      </c>
      <c r="B2" s="2" t="s">
        <v>255</v>
      </c>
    </row>
    <row r="3" spans="1:2" x14ac:dyDescent="0.25">
      <c r="A3" s="1" t="s">
        <v>2</v>
      </c>
      <c r="B3" s="2" t="s">
        <v>256</v>
      </c>
    </row>
    <row r="4" spans="1:2" x14ac:dyDescent="0.25">
      <c r="A4" s="1" t="s">
        <v>3</v>
      </c>
      <c r="B4" s="2" t="s">
        <v>257</v>
      </c>
    </row>
    <row r="5" spans="1:2" x14ac:dyDescent="0.25">
      <c r="A5" s="1" t="s">
        <v>4</v>
      </c>
      <c r="B5" s="2" t="s">
        <v>258</v>
      </c>
    </row>
    <row r="6" spans="1:2" x14ac:dyDescent="0.25">
      <c r="A6" s="1" t="s">
        <v>5</v>
      </c>
      <c r="B6" s="2" t="s">
        <v>259</v>
      </c>
    </row>
    <row r="7" spans="1:2" x14ac:dyDescent="0.25">
      <c r="A7" s="1" t="s">
        <v>6</v>
      </c>
      <c r="B7" s="2" t="s">
        <v>260</v>
      </c>
    </row>
    <row r="8" spans="1:2" x14ac:dyDescent="0.25">
      <c r="A8" s="1" t="s">
        <v>7</v>
      </c>
      <c r="B8" s="2" t="s">
        <v>261</v>
      </c>
    </row>
    <row r="9" spans="1:2" x14ac:dyDescent="0.25">
      <c r="A9" s="1" t="s">
        <v>8</v>
      </c>
      <c r="B9" s="2" t="s">
        <v>262</v>
      </c>
    </row>
    <row r="10" spans="1:2" x14ac:dyDescent="0.25">
      <c r="A10" s="1" t="s">
        <v>9</v>
      </c>
      <c r="B10" s="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starwars</vt:lpstr>
      <vt:lpstr>Sheet1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Michelle Ruppert</cp:lastModifiedBy>
  <cp:revision/>
  <dcterms:created xsi:type="dcterms:W3CDTF">2020-02-17T22:11:26Z</dcterms:created>
  <dcterms:modified xsi:type="dcterms:W3CDTF">2026-01-16T19:30:13Z</dcterms:modified>
  <cp:category/>
  <cp:contentStatus/>
</cp:coreProperties>
</file>